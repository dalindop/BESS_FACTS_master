
<file path=[Content_Types].xml><?xml version="1.0" encoding="utf-8"?>
<Types xmlns="http://schemas.openxmlformats.org/package/2006/content-types">
  <Default Extension="5A2F4270" ContentType="image/png"/>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2_Processed\IPOEL\"/>
    </mc:Choice>
  </mc:AlternateContent>
  <xr:revisionPtr revIDLastSave="0" documentId="13_ncr:1_{53F970FE-AD7D-4055-BFAF-FC490D0A6CC7}" xr6:coauthVersionLast="47" xr6:coauthVersionMax="47" xr10:uidLastSave="{00000000-0000-0000-0000-000000000000}"/>
  <bookViews>
    <workbookView xWindow="-120" yWindow="-120" windowWidth="29040" windowHeight="15720" tabRatio="900" activeTab="2" xr2:uid="{00000000-000D-0000-FFFF-FFFF00000000}"/>
  </bookViews>
  <sheets>
    <sheet name="LEEME" sheetId="17" r:id="rId1"/>
    <sheet name="LimitesImport" sheetId="14" r:id="rId2"/>
    <sheet name="Restricciones" sheetId="29" r:id="rId3"/>
    <sheet name="Restricciones SDL" sheetId="28" r:id="rId4"/>
    <sheet name="Restricciones nuevas" sheetId="27" state="hidden" r:id="rId5"/>
    <sheet name="Restricciones_Futuras" sheetId="23" state="hidden" r:id="rId6"/>
    <sheet name="Restricciones_Eliminadas" sheetId="25" state="hidden" r:id="rId7"/>
    <sheet name="ReqUnidades_Caribe2" sheetId="16" r:id="rId8"/>
    <sheet name="ReqUnidades_Suroccidental" sheetId="9" r:id="rId9"/>
    <sheet name="ReqUnidades_BoyacaCasanare" sheetId="10" r:id="rId10"/>
    <sheet name="ReqUnidades_NSantander" sheetId="24" r:id="rId11"/>
    <sheet name="ReqUnidades_Antioquia" sheetId="11" r:id="rId12"/>
    <sheet name="ReqUnidades_Oriental" sheetId="12" r:id="rId13"/>
    <sheet name="DemandaMínima" sheetId="26" r:id="rId14"/>
    <sheet name="EquivUnid" sheetId="2" r:id="rId15"/>
    <sheet name="Tensiones" sheetId="1" r:id="rId16"/>
    <sheet name="Info_Elems_Condiciones" sheetId="18" r:id="rId17"/>
    <sheet name="Graficas" sheetId="19" r:id="rId18"/>
    <sheet name="RADIALIDADES" sheetId="20" r:id="rId19"/>
    <sheet name="Bandas VQC" sheetId="22" r:id="rId20"/>
  </sheets>
  <definedNames>
    <definedName name="_xlnm._FilterDatabase" localSheetId="14" hidden="1">EquivUnid!$A$1:$E$86</definedName>
    <definedName name="_xlnm._FilterDatabase" localSheetId="18" hidden="1">RADIALIDADES!$A$1:$C$112</definedName>
    <definedName name="_xlnm._FilterDatabase" localSheetId="2" hidden="1">Restricciones!$A$1:$Q$200</definedName>
    <definedName name="_xlnm._FilterDatabase" localSheetId="4" hidden="1">'Restricciones nuevas'!$A$1:$K$1</definedName>
    <definedName name="_xlnm._FilterDatabase" localSheetId="3" hidden="1">'Restricciones SDL'!$A$1:$P$1</definedName>
    <definedName name="_xlnm._FilterDatabase" localSheetId="6" hidden="1">Restricciones_Eliminadas!$A$1:$Q$1</definedName>
    <definedName name="_xlnm._FilterDatabase" localSheetId="5" hidden="1">Restricciones_Futuras!$A$1:$Q$4</definedName>
    <definedName name="_xlnm._FilterDatabase" localSheetId="15" hidden="1">Tensiones!$A$1:$Q$62</definedName>
    <definedName name="_Hlk45015439" localSheetId="14">EquivUnid!$B$2</definedName>
    <definedName name="_Hlk75254411" localSheetId="2">Restricciones!$D$113</definedName>
    <definedName name="_Hlk75254411" localSheetId="4">'Restricciones nuevas'!#REF!</definedName>
    <definedName name="_Hlk75254411" localSheetId="3">'Restricciones SDL'!#REF!</definedName>
    <definedName name="_Hlk75254411" localSheetId="5">Restricciones_Futuras!#REF!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16" l="1"/>
  <c r="A14" i="16"/>
  <c r="C7" i="19"/>
  <c r="D7" i="19"/>
  <c r="E7" i="19"/>
  <c r="F7" i="19"/>
  <c r="C3" i="19"/>
  <c r="F18" i="19" l="1"/>
  <c r="E18" i="19"/>
  <c r="D18" i="19"/>
  <c r="C18" i="19"/>
  <c r="F17" i="19"/>
  <c r="E17" i="19"/>
  <c r="D17" i="19"/>
  <c r="C17" i="19"/>
  <c r="F16" i="19"/>
  <c r="E16" i="19"/>
  <c r="D16" i="19"/>
  <c r="C16" i="19"/>
  <c r="F15" i="19"/>
  <c r="E15" i="19"/>
  <c r="D15" i="19"/>
  <c r="C15" i="19"/>
  <c r="F14" i="19"/>
  <c r="E14" i="19"/>
  <c r="D14" i="19"/>
  <c r="C14" i="19"/>
  <c r="F13" i="19"/>
  <c r="E13" i="19"/>
  <c r="D13" i="19"/>
  <c r="C13" i="19"/>
  <c r="F12" i="19"/>
  <c r="E12" i="19"/>
  <c r="D12" i="19"/>
  <c r="C12" i="19"/>
  <c r="F11" i="19"/>
  <c r="E11" i="19"/>
  <c r="D11" i="19"/>
  <c r="C11" i="19"/>
  <c r="F10" i="19"/>
  <c r="E10" i="19"/>
  <c r="D10" i="19"/>
  <c r="C10" i="19"/>
  <c r="F9" i="19"/>
  <c r="E9" i="19"/>
  <c r="D9" i="19"/>
  <c r="C9" i="19"/>
  <c r="F8" i="19"/>
  <c r="E8" i="19"/>
  <c r="D8" i="19"/>
  <c r="C8" i="19"/>
  <c r="F6" i="19"/>
  <c r="E6" i="19"/>
  <c r="D6" i="19"/>
  <c r="C6" i="19"/>
  <c r="F5" i="19"/>
  <c r="E5" i="19"/>
  <c r="D5" i="19"/>
  <c r="C5" i="19"/>
  <c r="F4" i="19"/>
  <c r="E4" i="19"/>
  <c r="D4" i="19"/>
  <c r="C4" i="19"/>
  <c r="F3" i="19"/>
  <c r="E3" i="19"/>
  <c r="D3" i="19"/>
  <c r="F2" i="19"/>
  <c r="E2" i="19"/>
  <c r="D2" i="19"/>
  <c r="C2" i="19"/>
  <c r="A4" i="16"/>
  <c r="A5" i="16"/>
  <c r="A6" i="16"/>
  <c r="A7" i="16"/>
  <c r="A8" i="16"/>
  <c r="A9" i="16"/>
  <c r="A10" i="16"/>
  <c r="A11" i="16"/>
  <c r="A12" i="16"/>
  <c r="A13" i="16"/>
  <c r="A3" i="16"/>
  <c r="G2" i="19" l="1"/>
  <c r="G8" i="19"/>
  <c r="G11" i="19"/>
  <c r="G5" i="19"/>
  <c r="G15" i="19"/>
  <c r="G18" i="19"/>
  <c r="G3" i="19"/>
  <c r="G14" i="19"/>
  <c r="G17" i="19"/>
  <c r="G9" i="19"/>
  <c r="G12" i="19"/>
  <c r="G6" i="19"/>
  <c r="G4" i="19"/>
  <c r="G7" i="19"/>
  <c r="G10" i="19"/>
  <c r="G13" i="19"/>
  <c r="G16" i="19"/>
  <c r="A12" i="10" l="1"/>
  <c r="E19" i="19" l="1"/>
  <c r="C16" i="25"/>
  <c r="C7" i="25" l="1"/>
  <c r="A3" i="24" l="1"/>
  <c r="A4" i="10"/>
  <c r="A5" i="10"/>
  <c r="A6" i="10"/>
  <c r="A7" i="10"/>
  <c r="A8" i="10"/>
  <c r="A9" i="10"/>
  <c r="A10" i="10"/>
  <c r="A11" i="10"/>
  <c r="A3" i="10"/>
  <c r="C19" i="19" l="1"/>
  <c r="D19" i="19"/>
  <c r="F19" i="19"/>
  <c r="G19" i="19" l="1"/>
  <c r="C11"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JUAN GONZALO ORTEGA PULGARIN</author>
    <author>GABRIEL FERNANDO PAEZ MENDEZ</author>
  </authors>
  <commentList>
    <comment ref="O1" authorId="0" shapeId="0" xr:uid="{4B4F86FD-82D9-4FFF-B3D5-85B7F06ADE32}">
      <text>
        <r>
          <rPr>
            <b/>
            <sz val="12"/>
            <color indexed="81"/>
            <rFont val="Tahoma"/>
            <family val="2"/>
          </rPr>
          <t>0: Restricción en alerta</t>
        </r>
        <r>
          <rPr>
            <sz val="9"/>
            <color indexed="81"/>
            <rFont val="Tahoma"/>
            <family val="2"/>
          </rPr>
          <t xml:space="preserve">
</t>
        </r>
        <r>
          <rPr>
            <b/>
            <sz val="12"/>
            <color indexed="81"/>
            <rFont val="Tahoma"/>
            <family val="2"/>
          </rPr>
          <t>1: Restricción en emergencia
2: Corto circuito
3: En estado normal</t>
        </r>
      </text>
    </comment>
    <comment ref="P1" authorId="1" shapeId="0" xr:uid="{A9AE2792-7CBC-42DF-A0DF-B61887943649}">
      <text>
        <r>
          <rPr>
            <b/>
            <sz val="9"/>
            <color indexed="81"/>
            <rFont val="Tahoma"/>
            <family val="2"/>
          </rPr>
          <t>0: Restricción operativa
1: Restricción eléctrica</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JUAN GONZALO ORTEGA PULGARIN</author>
    <author>GABRIEL FERNANDO PAEZ MENDEZ</author>
  </authors>
  <commentList>
    <comment ref="O1" authorId="0" shapeId="0" xr:uid="{9ED5FCE0-602F-49EB-AD9D-30B01630C207}">
      <text>
        <r>
          <rPr>
            <b/>
            <sz val="12"/>
            <color indexed="81"/>
            <rFont val="Tahoma"/>
            <family val="2"/>
          </rPr>
          <t>0: Restricción en alerta</t>
        </r>
        <r>
          <rPr>
            <sz val="9"/>
            <color indexed="81"/>
            <rFont val="Tahoma"/>
            <family val="2"/>
          </rPr>
          <t xml:space="preserve">
</t>
        </r>
        <r>
          <rPr>
            <b/>
            <sz val="12"/>
            <color indexed="81"/>
            <rFont val="Tahoma"/>
            <family val="2"/>
          </rPr>
          <t>1: Restricción en emergencia
2: Corto circuito
3: En estado normal</t>
        </r>
      </text>
    </comment>
    <comment ref="P1" authorId="1" shapeId="0" xr:uid="{0ECFCB21-A6B4-499D-9A9E-D0F86C7C0781}">
      <text>
        <r>
          <rPr>
            <b/>
            <sz val="9"/>
            <color indexed="81"/>
            <rFont val="Tahoma"/>
            <family val="2"/>
          </rPr>
          <t>0: Restricción operativa
1: Restricción eléctrica</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JUAN GONZALO ORTEGA PULGARIN</author>
    <author>GABRIEL FERNANDO PAEZ MENDEZ</author>
  </authors>
  <commentList>
    <comment ref="O1" authorId="0" shapeId="0" xr:uid="{517D0472-A772-44E1-A32F-65BC791D941C}">
      <text>
        <r>
          <rPr>
            <b/>
            <sz val="12"/>
            <color indexed="81"/>
            <rFont val="Tahoma"/>
            <family val="2"/>
          </rPr>
          <t>0: Restricción en alerta</t>
        </r>
        <r>
          <rPr>
            <sz val="9"/>
            <color indexed="81"/>
            <rFont val="Tahoma"/>
            <family val="2"/>
          </rPr>
          <t xml:space="preserve">
</t>
        </r>
        <r>
          <rPr>
            <b/>
            <sz val="12"/>
            <color indexed="81"/>
            <rFont val="Tahoma"/>
            <family val="2"/>
          </rPr>
          <t>1: Restricción en emergencia
2: Corto circuito
3: En estado normal</t>
        </r>
      </text>
    </comment>
    <comment ref="P1" authorId="1" shapeId="0" xr:uid="{E2F7353E-0183-461C-A68A-AD19B08E5B9F}">
      <text>
        <r>
          <rPr>
            <b/>
            <sz val="9"/>
            <color indexed="81"/>
            <rFont val="Tahoma"/>
            <family val="2"/>
          </rPr>
          <t>0: Restricción operativa
1: Restricción eléctrica</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JUAN GONZALO ORTEGA PULGARIN</author>
    <author>GABRIEL FERNANDO PAEZ MENDEZ</author>
  </authors>
  <commentList>
    <comment ref="O1" authorId="0" shapeId="0" xr:uid="{767B2466-E4AB-4A8B-A2CF-C2BFBD8DB05D}">
      <text>
        <r>
          <rPr>
            <b/>
            <sz val="12"/>
            <color indexed="81"/>
            <rFont val="Tahoma"/>
            <family val="2"/>
          </rPr>
          <t>0: Restricción en alerta</t>
        </r>
        <r>
          <rPr>
            <sz val="9"/>
            <color indexed="81"/>
            <rFont val="Tahoma"/>
            <family val="2"/>
          </rPr>
          <t xml:space="preserve">
</t>
        </r>
        <r>
          <rPr>
            <b/>
            <sz val="12"/>
            <color indexed="81"/>
            <rFont val="Tahoma"/>
            <family val="2"/>
          </rPr>
          <t>1: Restricción en emergencia
2: Corto circuito</t>
        </r>
      </text>
    </comment>
    <comment ref="P1" authorId="1" shapeId="0" xr:uid="{6EAFFF6E-1014-4C93-AF00-EBBAB733FBD8}">
      <text>
        <r>
          <rPr>
            <b/>
            <sz val="9"/>
            <color indexed="81"/>
            <rFont val="Tahoma"/>
            <family val="2"/>
          </rPr>
          <t>0: Restricción operativa
1: Restricción eléctrica</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JUAN GONZALO ORTEGA PULGARIN</author>
    <author>GABRIEL FERNANDO PAEZ MENDEZ</author>
  </authors>
  <commentList>
    <comment ref="O1" authorId="0" shapeId="0" xr:uid="{F5100EF8-488F-4966-B71C-C85DEA852784}">
      <text>
        <r>
          <rPr>
            <b/>
            <sz val="12"/>
            <color indexed="81"/>
            <rFont val="Tahoma"/>
            <family val="2"/>
          </rPr>
          <t>0: Restricción en alerta</t>
        </r>
        <r>
          <rPr>
            <sz val="9"/>
            <color indexed="81"/>
            <rFont val="Tahoma"/>
            <family val="2"/>
          </rPr>
          <t xml:space="preserve">
</t>
        </r>
        <r>
          <rPr>
            <b/>
            <sz val="12"/>
            <color indexed="81"/>
            <rFont val="Tahoma"/>
            <family val="2"/>
          </rPr>
          <t>1: Restricción en emergencia
2: Corto circuito</t>
        </r>
      </text>
    </comment>
    <comment ref="P1" authorId="1" shapeId="0" xr:uid="{36EF7029-A8FD-44E2-9619-B541A0FAF58B}">
      <text>
        <r>
          <rPr>
            <b/>
            <sz val="9"/>
            <color indexed="81"/>
            <rFont val="Tahoma"/>
            <family val="2"/>
          </rPr>
          <t>0: Restricción operativa
1: Restricción eléctrica</t>
        </r>
        <r>
          <rPr>
            <sz val="9"/>
            <color indexed="81"/>
            <rFont val="Tahoma"/>
            <family val="2"/>
          </rPr>
          <t xml:space="preserve">
</t>
        </r>
      </text>
    </comment>
  </commentList>
</comments>
</file>

<file path=xl/sharedStrings.xml><?xml version="1.0" encoding="utf-8"?>
<sst xmlns="http://schemas.openxmlformats.org/spreadsheetml/2006/main" count="3921" uniqueCount="1482">
  <si>
    <t xml:space="preserve">En esta hoja usted encontrará información de utilidad para entender el presente archivo. 
El entendimiento del contenido y organización aquí presente permitirá la explotación de la información suministrada con automatismos. Esta hoja pretende ser una ayuda para la claridad de cada hoja, columna y fila con el fin de facilitar el fin anterior (que sea usada con automatismos).
Por favor, tomese el tiempo de leer cuidadosamente la descripción de cada hoja. </t>
  </si>
  <si>
    <t>Hoja</t>
  </si>
  <si>
    <t>Descripción</t>
  </si>
  <si>
    <t>LEEME</t>
  </si>
  <si>
    <t>Explicación del contenido de este archivo.</t>
  </si>
  <si>
    <t>LimitesImport</t>
  </si>
  <si>
    <r>
      <t>Lista de las importaciones máximas permitidas por área del SIN.
La columna "</t>
    </r>
    <r>
      <rPr>
        <b/>
        <sz val="14"/>
        <color theme="1"/>
        <rFont val="Calibri"/>
        <family val="2"/>
        <scheme val="minor"/>
      </rPr>
      <t>ElemName</t>
    </r>
    <r>
      <rPr>
        <sz val="14"/>
        <color theme="1"/>
        <rFont val="Calibri"/>
        <family val="2"/>
        <scheme val="minor"/>
      </rPr>
      <t>" contiene los nombres de los elementos por donde se mide la importación al área.
La columna "</t>
    </r>
    <r>
      <rPr>
        <b/>
        <sz val="14"/>
        <color theme="1"/>
        <rFont val="Calibri"/>
        <family val="2"/>
        <scheme val="minor"/>
      </rPr>
      <t>FKEYS</t>
    </r>
    <r>
      <rPr>
        <sz val="14"/>
        <color theme="1"/>
        <rFont val="Calibri"/>
        <family val="2"/>
        <scheme val="minor"/>
      </rPr>
      <t>" contiene los foreign keys de PowerFactory para cada elemento por el cual se mide la importación. El signo + o - al frente del foreign key indica la dirección del flujo de potencia con respecto al nombre del mismo. 
La columna "</t>
    </r>
    <r>
      <rPr>
        <b/>
        <sz val="14"/>
        <color theme="1"/>
        <rFont val="Calibri"/>
        <family val="2"/>
        <scheme val="minor"/>
      </rPr>
      <t>LimiteSup [MW]</t>
    </r>
    <r>
      <rPr>
        <sz val="14"/>
        <color theme="1"/>
        <rFont val="Calibri"/>
        <family val="2"/>
        <scheme val="minor"/>
      </rPr>
      <t>" indica el máximo valor permitido.</t>
    </r>
  </si>
  <si>
    <t>Restricciones</t>
  </si>
  <si>
    <r>
      <t>Lista detallada de las restricciones eléctricas por área y subárea.
La columna "</t>
    </r>
    <r>
      <rPr>
        <b/>
        <sz val="14"/>
        <color theme="1"/>
        <rFont val="Calibri"/>
        <family val="2"/>
        <scheme val="minor"/>
      </rPr>
      <t>FKEYS</t>
    </r>
    <r>
      <rPr>
        <sz val="14"/>
        <color theme="1"/>
        <rFont val="Calibri"/>
        <family val="2"/>
        <scheme val="minor"/>
      </rPr>
      <t>" contiene los foreign keys de PowerFactory para cada elemento involucrado en las restricciones listadas. El signo + o - al frente del foreign key indica la dirección del flujo de potencia con respecto al nombre del mismo. 
La columna "</t>
    </r>
    <r>
      <rPr>
        <b/>
        <sz val="14"/>
        <color theme="1"/>
        <rFont val="Calibri"/>
        <family val="2"/>
        <scheme val="minor"/>
      </rPr>
      <t>Corte [MW]</t>
    </r>
    <r>
      <rPr>
        <sz val="14"/>
        <color theme="1"/>
        <rFont val="Calibri"/>
        <family val="2"/>
        <scheme val="minor"/>
      </rPr>
      <t xml:space="preserve">" indica el máximo valor permitido para la suma de todas las potencias (con sus direcciones de flujo) en cada corte.
</t>
    </r>
  </si>
  <si>
    <t>ReqUnidades_Caribe2</t>
  </si>
  <si>
    <t>Tabla con los requerimientos de unidades en la subárea Caribe2 (compuesta por Atlántico, Bolivar y GCM). La demanda listada debe ser medida en estas tres subáreas.
Las dos últimas columnas representan la condición del número de unidades a adicionar a la base (columna con el nombre de la subárea o área). Esta condición se refiere a la importación por medio de los elementos reportados en la hoja "Info_Elems_Condiciones". 
Para más detalle consultar el IPOEMP vigente.</t>
  </si>
  <si>
    <t>ReqUnidades_GCM</t>
  </si>
  <si>
    <t>Tabla con los requerimientos de unidades en la subárea GCM. La demanda listada debe ser medida en esta subárea.</t>
  </si>
  <si>
    <t>ReqUnidades_Suroccidental</t>
  </si>
  <si>
    <t>Tabla con los requerimientos de unidades en el área Suroccidental. La demanda listada debe ser medida la totalidad del área.</t>
  </si>
  <si>
    <t>ReqUnidades_Antioquia</t>
  </si>
  <si>
    <t>Tabla con los requerimientos de unidades en el área Suroccidental. La demanda listada debe ser medida la totalidad del área. Los requerimientos se listan por las subáreas Norte y Oriente de Antioquia.</t>
  </si>
  <si>
    <t>ReqUnidades_Oriental</t>
  </si>
  <si>
    <t>Tabla con los requerimientos de unidades en el área Oriental. La demanda listada debe ser medida en la totalidad del área.
Las tres últimas columnas representan la condición del número de unidades a adicionar a la base (columna con el nombre de la subárea o área). Esta condición se refiere a la importación por medio de los elementos reportados en la hoja "Info_Elems_Condiciones". 
Para más detalle consultar el IPOEMP vigente.</t>
  </si>
  <si>
    <t>EquivUnid</t>
  </si>
  <si>
    <r>
      <t>Tabla con los pesos de las unidades. La columna "</t>
    </r>
    <r>
      <rPr>
        <b/>
        <sz val="14"/>
        <color theme="1"/>
        <rFont val="Calibri"/>
        <family val="2"/>
        <scheme val="minor"/>
      </rPr>
      <t>Area</t>
    </r>
    <r>
      <rPr>
        <sz val="14"/>
        <color theme="1"/>
        <rFont val="Calibri"/>
        <family val="2"/>
        <scheme val="minor"/>
      </rPr>
      <t>" informa el área en el que se reporta el peso de las unidades. La columna "</t>
    </r>
    <r>
      <rPr>
        <b/>
        <sz val="14"/>
        <color theme="1"/>
        <rFont val="Calibri"/>
        <family val="2"/>
        <scheme val="minor"/>
      </rPr>
      <t>Planta</t>
    </r>
    <r>
      <rPr>
        <sz val="14"/>
        <color theme="1"/>
        <rFont val="Calibri"/>
        <family val="2"/>
        <scheme val="minor"/>
      </rPr>
      <t>" informa el nombre de la planta de generación, la columna "</t>
    </r>
    <r>
      <rPr>
        <b/>
        <sz val="14"/>
        <color theme="1"/>
        <rFont val="Calibri"/>
        <family val="2"/>
        <scheme val="minor"/>
      </rPr>
      <t>FKEYS</t>
    </r>
    <r>
      <rPr>
        <sz val="14"/>
        <color theme="1"/>
        <rFont val="Calibri"/>
        <family val="2"/>
        <scheme val="minor"/>
      </rPr>
      <t xml:space="preserve">" lista todos los ForeignKey como aparecen en PowerFactory de las unidades que pertenecen a dicha planta.
</t>
    </r>
    <r>
      <rPr>
        <i/>
        <sz val="14"/>
        <color theme="1"/>
        <rFont val="Calibri"/>
        <family val="2"/>
        <scheme val="minor"/>
      </rPr>
      <t>NOTA: Los foreign keys en esta hoja no tienen el formato de las demás hojas. Los separadores entre foreign keys es un salto de línea ASCII "\n". Tener en cuenta esto en sus automatizaciones.</t>
    </r>
  </si>
  <si>
    <t>Tensiones</t>
  </si>
  <si>
    <r>
      <t>Tabla con las tensiones superiores e inferiores recomendadas por subestación en cada área.
La columna "</t>
    </r>
    <r>
      <rPr>
        <b/>
        <sz val="14"/>
        <color theme="1"/>
        <rFont val="Calibri"/>
        <family val="2"/>
        <scheme val="minor"/>
      </rPr>
      <t>lim_inf</t>
    </r>
    <r>
      <rPr>
        <sz val="14"/>
        <color theme="1"/>
        <rFont val="Calibri"/>
        <family val="2"/>
        <scheme val="minor"/>
      </rPr>
      <t>" y "</t>
    </r>
    <r>
      <rPr>
        <b/>
        <sz val="14"/>
        <color theme="1"/>
        <rFont val="Calibri"/>
        <family val="2"/>
        <scheme val="minor"/>
      </rPr>
      <t>lim_sup</t>
    </r>
    <r>
      <rPr>
        <sz val="14"/>
        <color theme="1"/>
        <rFont val="Calibri"/>
        <family val="2"/>
        <scheme val="minor"/>
      </rPr>
      <t>" contienen los valores mínimos y máximos. La columna "</t>
    </r>
    <r>
      <rPr>
        <b/>
        <sz val="14"/>
        <color theme="1"/>
        <rFont val="Calibri"/>
        <family val="2"/>
        <scheme val="minor"/>
      </rPr>
      <t>Substation.loc_name</t>
    </r>
    <r>
      <rPr>
        <sz val="14"/>
        <color theme="1"/>
        <rFont val="Calibri"/>
        <family val="2"/>
        <scheme val="minor"/>
      </rPr>
      <t xml:space="preserve">" contiene el nombre del objeto de PowerFactory </t>
    </r>
    <r>
      <rPr>
        <i/>
        <sz val="14"/>
        <color theme="1"/>
        <rFont val="Calibri"/>
        <family val="2"/>
        <scheme val="minor"/>
      </rPr>
      <t>ElmSubstat</t>
    </r>
    <r>
      <rPr>
        <sz val="14"/>
        <color theme="1"/>
        <rFont val="Calibri"/>
        <family val="2"/>
        <scheme val="minor"/>
      </rPr>
      <t xml:space="preserve"> para las subestaciones listadas (es decir, el .loc_name del elemento ElmSubstat -- Así se encuentra en PowerFactory). La columna "</t>
    </r>
    <r>
      <rPr>
        <b/>
        <sz val="14"/>
        <color theme="1"/>
        <rFont val="Calibri"/>
        <family val="2"/>
        <scheme val="minor"/>
      </rPr>
      <t>FKEYS</t>
    </r>
    <r>
      <rPr>
        <sz val="14"/>
        <color theme="1"/>
        <rFont val="Calibri"/>
        <family val="2"/>
        <scheme val="minor"/>
      </rPr>
      <t>" lista los foreign keys de las barras.
La razón por la cual se tienen ambas columnas es porque hay barras que no están asociadas a ningún elemento ElmSubstat.</t>
    </r>
  </si>
  <si>
    <t>Info_Elems_Condiciones</t>
  </si>
  <si>
    <r>
      <t>Esta hoja sirve para identificar los elementos que condicionan el número de unidades en las áreas donde existe dicha situación (caso de las hojas "ReqUnidades_Caribe2" y "ReUnidades_Oriental").
La columna "</t>
    </r>
    <r>
      <rPr>
        <b/>
        <sz val="14"/>
        <color theme="1"/>
        <rFont val="Calibri"/>
        <family val="2"/>
        <scheme val="minor"/>
      </rPr>
      <t>Area</t>
    </r>
    <r>
      <rPr>
        <sz val="14"/>
        <color theme="1"/>
        <rFont val="Calibri"/>
        <family val="2"/>
        <scheme val="minor"/>
      </rPr>
      <t>" contiene el área que presenta una condición basada en importación para su número mínino de unidades.
La columna "</t>
    </r>
    <r>
      <rPr>
        <b/>
        <sz val="14"/>
        <color theme="1"/>
        <rFont val="Calibri"/>
        <family val="2"/>
        <scheme val="minor"/>
      </rPr>
      <t>Medicion</t>
    </r>
    <r>
      <rPr>
        <sz val="14"/>
        <color theme="1"/>
        <rFont val="Calibri"/>
        <family val="2"/>
        <scheme val="minor"/>
      </rPr>
      <t>" contiene una lista con los nombres de los elementos por donde se mide la importación para la evaluación de dicha condición.
La columna "</t>
    </r>
    <r>
      <rPr>
        <b/>
        <sz val="14"/>
        <color theme="1"/>
        <rFont val="Calibri"/>
        <family val="2"/>
        <scheme val="minor"/>
      </rPr>
      <t>Elemento(s)</t>
    </r>
    <r>
      <rPr>
        <sz val="14"/>
        <color theme="1"/>
        <rFont val="Calibri"/>
        <family val="2"/>
        <scheme val="minor"/>
      </rPr>
      <t>" contiene el nombre con el cual se identificarán los elementos en PowerFactory. Es importante que todos los nombres que se escriban aquí sigan los siguientes criterios:
1) En caso de ser más de un elemento estos deben ir separados por coma (,) y no tener ningún otro separador diferente.
2) Todos los nombres escritos aquí deben ser exactamente igual a cómo aparecen en el modelo del SIN en PowerFactory.
La columna "</t>
    </r>
    <r>
      <rPr>
        <b/>
        <sz val="14"/>
        <color theme="1"/>
        <rFont val="Calibri"/>
        <family val="2"/>
        <scheme val="minor"/>
      </rPr>
      <t>Tipo</t>
    </r>
    <r>
      <rPr>
        <sz val="14"/>
        <color theme="1"/>
        <rFont val="Calibri"/>
        <family val="2"/>
        <scheme val="minor"/>
      </rPr>
      <t>" contiene la clase de los elementos listados en la columna "Elemento(s)".</t>
    </r>
  </si>
  <si>
    <t>Gráficas</t>
  </si>
  <si>
    <t>Esta hoja contiene información de resumen de las restricciones eléctricas listadas en la hoja "Restricciones". La información contenida aquí tiene un propósito descriptivo.</t>
  </si>
  <si>
    <t>Para mayor información remitirse al IPOEMP vigente.</t>
  </si>
  <si>
    <t>Area</t>
  </si>
  <si>
    <t>ElemName</t>
  </si>
  <si>
    <t>FKEYS</t>
  </si>
  <si>
    <t>LimiteSup [MW]</t>
  </si>
  <si>
    <t>Caribe</t>
  </si>
  <si>
    <t>Porce III – Cerromatoso 500 kV + 
Primavera – Cerromatoso 500 kV + 
Ocaña – La Loma 500 kV +
Antioquia - Cerromatoso 1 y 2 500 kV</t>
  </si>
  <si>
    <t>"-lrtCmt3Shn15","-LrtCmtPmv51r", "-LinOcaLom512, "+LinAntCer51r","+LinAntCer52r"</t>
  </si>
  <si>
    <t>Oriental</t>
  </si>
  <si>
    <t>Nordeste</t>
  </si>
  <si>
    <t>Suroccidental</t>
  </si>
  <si>
    <t>Antioquia</t>
  </si>
  <si>
    <t>Subarea</t>
  </si>
  <si>
    <t>Número</t>
  </si>
  <si>
    <t>Restricción</t>
  </si>
  <si>
    <t>Corte [MW]</t>
  </si>
  <si>
    <t>ESPS</t>
  </si>
  <si>
    <t>Escenario</t>
  </si>
  <si>
    <t>Recomendación operativa</t>
  </si>
  <si>
    <t>Proyecto de Expansión Mediano plazo</t>
  </si>
  <si>
    <t>Codigo</t>
  </si>
  <si>
    <t>Acciones de corto plazo recomendadas</t>
  </si>
  <si>
    <t>Generación a limitar</t>
  </si>
  <si>
    <t>Generación a subir</t>
  </si>
  <si>
    <t>Estado restricción</t>
  </si>
  <si>
    <t>Origen de la restricción</t>
  </si>
  <si>
    <t>Antioquia – Cerromatoso 1 500 kV + Antioquia – Cerromatoso 2 500 kV + Porce 3 – Cerromatoso 500 kV + Primavera – Cerromatoso 500 kV + Ocaña – La Loma 500 kV</t>
  </si>
  <si>
    <t>"-lrtCmt3Shn15","-LrtCmtPmv51r","-LinOcaLom512","+LinAntCer51r","+LinAntCer52r"</t>
  </si>
  <si>
    <t>NO</t>
  </si>
  <si>
    <t>Alta importación de potencia del área Caribe.</t>
  </si>
  <si>
    <t>• Programar generación de seguridad al interior del área Caribe de manera que se cubra el límite de importación y el requerimiento del número de unidades equivalentes
• Hacer un uso adecuado de taps de transformadores y compensación reactiva del área y mantener adecuados perfiles de tensión en estado normal de operación.
• En caso de que no se puedan programar las unidades equivalentes mínimas requeridas, es necesario disminuir el intercambio de potencia entre el interior y el área Caribe 2 (alrededor de 100 MW por unidad), verficando en cada caso la respuesta del sistema en estado normal de operación y ante N-1</t>
  </si>
  <si>
    <t>No aplica</t>
  </si>
  <si>
    <t>Guajira,
Termonorte,
Tebsa,
Barranquilla,
Flores 1,
Flores 4,
Candelaria,
Cartagena,
Proeléctrica</t>
  </si>
  <si>
    <t>• Programar generación de seguridad al interior del área Caribe de manera que se cubra el límite de importación y el número de unidades
• Hacer un uso adecuado de taps de transformadores y compensación reactiva del área y mantener adecuados perfiles de tensión en estado normal de operación.
• En caso de que no se puedan programar las unidades equivalentes mínimas requeridas, es necesario disminuir el intercambio de potencia entre el interior y el área Caribe 2 (alrededor de 100 MW por unidad),vericando en cada caso la respuesta del sistema en estado normal de operación y ante N-1</t>
  </si>
  <si>
    <t>Atlántico</t>
  </si>
  <si>
    <t xml:space="preserve">Baja tensión en nodos Atlántico 110 kV en red completa y ante N-1 </t>
  </si>
  <si>
    <t>Alta demanda  y baja generación al interior de la subárea</t>
  </si>
  <si>
    <t>Si bien, la subárea no tienen requerimiento de unidades definidos, se recomienda evaluar para demanda de Caribe 2 mayor 1671 MW la pertinencia de programar unidades al interior</t>
  </si>
  <si>
    <t>Tebsa,
Barranquilla,
Flores 1,
Flores 4</t>
  </si>
  <si>
    <t>Tebsa 1 220/110 kV / Tebsa 2 220/110 kV + Tebsa 5 220/110 kV</t>
  </si>
  <si>
    <t>"+TrfTbs2146","+TrfTbs2017","+TrfTbs215"</t>
  </si>
  <si>
    <t>SI</t>
  </si>
  <si>
    <t xml:space="preserve">Alta generación en Tebsa 220 kV y Barranquilla.
Baja generación en 110 kV y Flores 4 220 kV.
</t>
  </si>
  <si>
    <t xml:space="preserve">Realizar balance de generación entre Flores y Tebsa 220 kV + Barranquilla y/o programar generación en la red de 110 kV. En caso de no ser suficiente validar la suficiencia del ESPS asociado a sobrecarga de la transformación Tebsa 220/110 kV </t>
  </si>
  <si>
    <t>Tebsa 220 kV, 
Barraquilla 220kV</t>
  </si>
  <si>
    <t>Tebsa 110 kV,
Flores 1,
Flores 4</t>
  </si>
  <si>
    <t>Tebsa 2 220/110 kV / Tebsa 1 220/110 kV + Tebsa 5 220/110 kV</t>
  </si>
  <si>
    <t>"+TrfTbs2017","+TrfTbs2146,"+TrfTbs215"</t>
  </si>
  <si>
    <t>Tebsa 5 220/110 kV / Tebsa 1 220/110 kV + Tebsa 2 220/110 kV</t>
  </si>
  <si>
    <t>"+TrfTbs215","+TrfTbs2146,"+TrfTbs2017"</t>
  </si>
  <si>
    <t>"+TrfFls2011","+TrfFls2012"</t>
  </si>
  <si>
    <t>Alta generación en Flores 4 a nivel de 220 kV y baja generación de Flores 1 y Flores 4 a nivel de 110 kV, Tebsa y Barranquilla</t>
  </si>
  <si>
    <t>Realizar balance de generación entre Flores y Tebsa y/o programar generación a nivel de 110 kV. El valor del corte dependerá del escenario de operación y si la S/E Termoflores 110 kV se opera acoplada o desacoplada</t>
  </si>
  <si>
    <r>
      <t xml:space="preserve">PTRA05299: </t>
    </r>
    <r>
      <rPr>
        <sz val="10"/>
        <color theme="1"/>
        <rFont val="Arial"/>
        <family val="2"/>
      </rPr>
      <t>Nueva Río 220/110 kV</t>
    </r>
  </si>
  <si>
    <t>Flores 4 220 kV</t>
  </si>
  <si>
    <t>Tebsa,
Barranquilla,
Flores 1,
Flores 4 110 kV</t>
  </si>
  <si>
    <t>"+TrfFls2012","+TrfFls2011"</t>
  </si>
  <si>
    <r>
      <rPr>
        <b/>
        <sz val="10"/>
        <color theme="1"/>
        <rFont val="Arial"/>
        <family val="2"/>
      </rPr>
      <t>PTRA05299</t>
    </r>
    <r>
      <rPr>
        <sz val="10"/>
        <color theme="1"/>
        <rFont val="Arial"/>
        <family val="2"/>
      </rPr>
      <t>: Nueva Río 220/110 kV</t>
    </r>
  </si>
  <si>
    <t>PTRA05299</t>
  </si>
  <si>
    <t>"-CI0890","+TrfFls2012"</t>
  </si>
  <si>
    <t>Con Termoflores 110 kV desacoplada. Alta generación en Flores 4 y baja generación en Flores 1, Tebsa y Barranquilla</t>
  </si>
  <si>
    <t>Con Termoflores 110 kV desacoplada. Realizar balance de generación entre Flores 4, Tebsa y Barranquilla y/o programar generación en Flores 1. El valor del corte dependerá de la generación que se utilice para cubrirlo</t>
  </si>
  <si>
    <t>Flores 4</t>
  </si>
  <si>
    <t>Tebsa,
Barranquilla,
Flores 1</t>
  </si>
  <si>
    <t>PTRA00669</t>
  </si>
  <si>
    <t>Flores 1,
Flores 4</t>
  </si>
  <si>
    <t>Tebsa,
Barranquilla</t>
  </si>
  <si>
    <t>"+TrfFls2012","-CI0890"</t>
  </si>
  <si>
    <t>Con Termoflores 110 kV desacoplada
Alta generación en Flores 4 y baja en Flores 1, Tebsa y Barranquilla</t>
  </si>
  <si>
    <t>Con Termoflores 110 kV desacoplada. Aumentar generación en Flores 1. Disminuir en Flores IV. Aumentar en Tebsa - Barranquilla. De no ser posible controlar esta restricción con generación, verificar suficiencia ESPS sobrecargas Termoflores II – Oasis 110 kV</t>
  </si>
  <si>
    <t>Flores 1,
Tebsa,
Barranquilla</t>
  </si>
  <si>
    <t>Alta generación en Flores 1 y Flores 4 con baja generación en Tebsa y Barranquilla</t>
  </si>
  <si>
    <t>Tebsa - Unión 110 kV / Tebsa - El Río 110 kV</t>
  </si>
  <si>
    <t>"+CI0484","-CI0454"</t>
  </si>
  <si>
    <t>Alta generación en Tebsa y Barranquilla.
Baja generación en Flores 1 y Flores 4.</t>
  </si>
  <si>
    <t>• Balance de generación entre Flores 1 - Flores 4 y Tebsa - Barranquilla. 
• De no ser posible eliminar esta restricción con balance de generación, verificar suficiencia ESPS de sobrecarga de la línea Tebsa – El Río 110 kV .</t>
  </si>
  <si>
    <t>Evaluar el aumeto de capacidad de transporte de corriente del circuito. Se recomienda al OR evaluar la implementación de un esquema suplementario para mitigar el impacto de la restricción</t>
  </si>
  <si>
    <t>El Río 110/34.5 kV / Tebsa - Unión 110 kV</t>
  </si>
  <si>
    <t>"+TR0454","+CI0484"</t>
  </si>
  <si>
    <t>Independiente del escenario.</t>
  </si>
  <si>
    <t>• No hay manera de cubrir esta restricción ni de disminuir su impacto, por lo que se presentaría desatención de demanda de manera descontrolada.
• Para cubrirla sería necesario programar DNA preventiva si aplica la CREG 224 de 2016</t>
  </si>
  <si>
    <t>Unión 110/34.5 kV / El Río - Magdalena 34.5 kV</t>
  </si>
  <si>
    <t>Traslados de carga que realizará AIR-E a la subestación Magdalena 110 kV (FPO: 2025)
• Evaluar la pertinencia de instalar un ESPS</t>
  </si>
  <si>
    <t>Las Flores 1 110/34.5 kV / Las Flores 2 110/34.5 kV</t>
  </si>
  <si>
    <t>"+TR0456","+TR0531"</t>
  </si>
  <si>
    <t>Independiente del escenario de generación.
En demanda máxima y media.</t>
  </si>
  <si>
    <t>• No hay manera de cubrir esta restricción ni de disminuir su impacto, por lo que se presentaría desatención de demanda de manera descontrolada.
• Para cubrirla sería necesario programar DNA preventiva si aplica la CREG 224 de 2016
• Cabe resaltar que este valor de corte es dependiente del escenario de generación, por lo que puede existir un valor diferente dependiendo de la manera como se cubra.</t>
  </si>
  <si>
    <r>
      <rPr>
        <b/>
        <sz val="10"/>
        <color theme="1"/>
        <rFont val="Arial"/>
        <family val="2"/>
      </rPr>
      <t>No hay obra de expansión definida en el horizonte de Mediano Plazo. Sí</t>
    </r>
    <r>
      <rPr>
        <sz val="10"/>
        <color theme="1"/>
        <rFont val="Arial"/>
        <family val="2"/>
      </rPr>
      <t xml:space="preserve"> bien las SAEB tienen impacto positivo esta restricción no hace parte de su lógica. Se requieren definir TDC, obras a nivel de SDL, o proyectos de expansión
• Evaluar la pertinencia de instalar un ESPS
</t>
    </r>
  </si>
  <si>
    <t>Las Flores 2 110/34.5 kV / Las Flores 1 110/34.5 kV</t>
  </si>
  <si>
    <t>"+TR0531","+TR0456"</t>
  </si>
  <si>
    <t>Silencio 4N 110/34.5 / Las Flores 1 110/34.5 + Las Flores 2 110/34.5</t>
  </si>
  <si>
    <t>"+TrfSil1374","+TR0456","+TR0531"</t>
  </si>
  <si>
    <r>
      <rPr>
        <b/>
        <sz val="10"/>
        <color theme="1"/>
        <rFont val="Arial"/>
        <family val="2"/>
      </rPr>
      <t>No hay obra de expansión definida en el horizonte de Mediano Plazo.</t>
    </r>
    <r>
      <rPr>
        <sz val="10"/>
        <color theme="1"/>
        <rFont val="Arial"/>
        <family val="2"/>
      </rPr>
      <t xml:space="preserve">, si bien las SAEB tienen impacto positivo esta restricción no hace parte de su lógica. Se requieren definir TDC, obras a nivel de SDL, o proyectos de expansión
• Evaluar la pertinencia de instalar un ESPS
</t>
    </r>
  </si>
  <si>
    <t>Silencio 5 110/34.5 / Las Flores 1 110/34.5 + Las Flores 2 110/34.5</t>
  </si>
  <si>
    <t>"+TR0466","+TR0456","+TR0531"</t>
  </si>
  <si>
    <r>
      <rPr>
        <b/>
        <sz val="10"/>
        <color theme="1"/>
        <rFont val="Arial"/>
        <family val="2"/>
      </rPr>
      <t>No hay obra de expansión definida en el horizonte de Mediano Plazo.</t>
    </r>
    <r>
      <rPr>
        <sz val="10"/>
        <color theme="1"/>
        <rFont val="Arial"/>
        <family val="2"/>
      </rPr>
      <t xml:space="preserve"> si bien las SAEB tienen impacto positivo esta restricción no hace parte de su lógica. Se requieren definir TDC, obras a nivel de SDL, o proyectos de expansión
• Evaluar la pertinencia de instalar un ESPS
</t>
    </r>
  </si>
  <si>
    <t>Sobrecarga en del circuito Tebsa - Unión 110 kV</t>
  </si>
  <si>
    <t>"+CI0484"</t>
  </si>
  <si>
    <t>Si bien puede mitigarse con balance de generación, se identifica que su criticidad esta asociada principalmente a la demanda.</t>
  </si>
  <si>
    <t>Tebsa - El Río 110 kV / Tebsa - Unión 110 kV</t>
  </si>
  <si>
    <t>"-CI0454","+CI0484"</t>
  </si>
  <si>
    <t xml:space="preserve">Alta generación en Tebsa y Barranquilla.
Baja generación en Flores 1 y Flores 4.
</t>
  </si>
  <si>
    <t xml:space="preserve">• Balance de generación entre Flores 1 - Flores 4 y Tebsa – Barranquilla.
• De no ser posible eliminar esta restricción con balance de generación. 
•  Verificar suficiencia ESPS de sobrecarga de Tebsa – Cordialidad 110 kV </t>
  </si>
  <si>
    <t>Agotamiento capacidad de cortocircuito de Las Flores 110 kV</t>
  </si>
  <si>
    <t>Bolívar</t>
  </si>
  <si>
    <t>Ternera - Zaragocilla 66 kV / Cartagena - Zaragocilla 66 kV</t>
  </si>
  <si>
    <t>"+CI0759","+ZarCar7"</t>
  </si>
  <si>
    <t>Depende de la magnitud de carga en Zaragocilla 66 kV</t>
  </si>
  <si>
    <t xml:space="preserve">Validarse suficiencia del ESPS de sobrecarga de las líneas Ternera – Zaragocilla 66 kV y Cartagena – Zaragocilla 66 kV </t>
  </si>
  <si>
    <t>Cartagena - Zaragocilla 66 kV / Ternera - Zaragocilla 66 kV</t>
  </si>
  <si>
    <t>"+ZarCar7","+CI0759"</t>
  </si>
  <si>
    <t>Cartagena - Bocagrande 66 kV / Bosque - Bocagrande 66 kV</t>
  </si>
  <si>
    <t>"-CI0714","-CI0713"</t>
  </si>
  <si>
    <t>Depende de la magnitud de carga en Bocagrande 66 kV</t>
  </si>
  <si>
    <t xml:space="preserve">• Validar suficiencia del ESPS de sobrecarga en la línea Bosque – Bocagrande 66 kV </t>
  </si>
  <si>
    <r>
      <rPr>
        <b/>
        <sz val="10"/>
        <color theme="1"/>
        <rFont val="Arial"/>
        <family val="2"/>
      </rPr>
      <t>PTRA07064</t>
    </r>
    <r>
      <rPr>
        <sz val="10"/>
        <color theme="1"/>
        <rFont val="Arial"/>
        <family val="2"/>
      </rPr>
      <t>: Aumento de capacidad circuito Bosque – Bocagrande 66 kV (FPO: 2023)</t>
    </r>
  </si>
  <si>
    <t>PTRA00617, PTRA07064</t>
  </si>
  <si>
    <t>Identificar obras entre los OR y la UPME para eliminar la condición radial</t>
  </si>
  <si>
    <t>Boston - Sierra flor 110 kV / Baja tensión en Toluviejo 110 kV, El Carmen 110/66 kV, Zambrano y San jacinto 66 kV</t>
  </si>
  <si>
    <t>Restricción dependiente de la demanda.</t>
  </si>
  <si>
    <t>Validar la suficiencia del ESPS de baja tensión en Zambrano y San Jacinto 66 kV, en caso contrario evaluar pertinencia si el caso de solicitar desconexión de demanda.</t>
  </si>
  <si>
    <r>
      <rPr>
        <b/>
        <sz val="10"/>
        <rFont val="Arial"/>
        <family val="2"/>
      </rPr>
      <t xml:space="preserve">PTRA00322: </t>
    </r>
    <r>
      <rPr>
        <sz val="10"/>
        <rFont val="Arial"/>
        <family val="2"/>
      </rPr>
      <t>Toluviejo 220 kV y líneas asociadas</t>
    </r>
    <r>
      <rPr>
        <b/>
        <sz val="10"/>
        <rFont val="Arial"/>
        <family val="2"/>
      </rPr>
      <t xml:space="preserve">
PTRA05304: </t>
    </r>
    <r>
      <rPr>
        <sz val="10"/>
        <rFont val="Arial"/>
        <family val="2"/>
      </rPr>
      <t xml:space="preserve">Nueva Toluviejo 220/110 kV
</t>
    </r>
    <r>
      <rPr>
        <b/>
        <sz val="10"/>
        <rFont val="Arial"/>
        <family val="2"/>
      </rPr>
      <t xml:space="preserve">PTRA01139: </t>
    </r>
    <r>
      <rPr>
        <sz val="10"/>
        <rFont val="Arial"/>
        <family val="2"/>
      </rPr>
      <t>Carreto 500 kV y circuitos asociados.</t>
    </r>
    <r>
      <rPr>
        <b/>
        <sz val="10"/>
        <rFont val="Arial"/>
        <family val="2"/>
      </rPr>
      <t xml:space="preserve">
PTRA02158: </t>
    </r>
    <r>
      <rPr>
        <sz val="10"/>
        <rFont val="Arial"/>
        <family val="2"/>
      </rPr>
      <t>Carreto 66 kV y circuitos asociados.</t>
    </r>
  </si>
  <si>
    <t>PTRA00322, PTRA05304, PTRA01139, PTRA02158</t>
  </si>
  <si>
    <t>En demanda máxima y media.</t>
  </si>
  <si>
    <t xml:space="preserve">•  Ante contingencia verificar suficiencia de los ESPS de Córdoba - Sucre (circuitos entre Chinú y Toluviejo 110 kV) y el ESPS por baja tensión en Boston 110 kV, San Jacinto 66 kV y Zambrano 66 kV </t>
  </si>
  <si>
    <t>"+TrfTer673","+TrfTer675"</t>
  </si>
  <si>
    <t>Depende de la magnitud de carga en Ternera 13.8 y 6.9 kV</t>
  </si>
  <si>
    <t xml:space="preserve">Verificar suficiencia ESPS Ternera 66/13.8/6.9 kV </t>
  </si>
  <si>
    <t>Baja tensión en Gambote 66 kV y Sobrecarga de Ternera – Gambote 66 kV en estado normal de operación</t>
  </si>
  <si>
    <t>"-CI0757"</t>
  </si>
  <si>
    <t>Operar con tensión similar en los nodos de Ternera y Bosque 66 kV, para disminuir los Mvar en tránsito. En caso de sobrecarga o baja tensión, solicitar desatención de demanda en Gambote 66 kV</t>
  </si>
  <si>
    <r>
      <rPr>
        <b/>
        <sz val="10"/>
        <rFont val="Arial"/>
        <family val="2"/>
      </rPr>
      <t xml:space="preserve">PTRA01139: </t>
    </r>
    <r>
      <rPr>
        <sz val="10"/>
        <rFont val="Arial"/>
        <family val="2"/>
      </rPr>
      <t>Carreto 500 kV y circuitos asociados.</t>
    </r>
    <r>
      <rPr>
        <b/>
        <sz val="10"/>
        <rFont val="Arial"/>
        <family val="2"/>
      </rPr>
      <t xml:space="preserve">
PTRA02158: </t>
    </r>
    <r>
      <rPr>
        <sz val="10"/>
        <rFont val="Arial"/>
        <family val="2"/>
      </rPr>
      <t>Carreto 66 kV y circuitos asociados.</t>
    </r>
  </si>
  <si>
    <t>PTRA01139, PTRA02158</t>
  </si>
  <si>
    <t>Cordoba-Sucre</t>
  </si>
  <si>
    <t>Chinú - Boston 1 110 kV / Chinú - Boston 2 110 kV</t>
  </si>
  <si>
    <t>"-LrtBosChn2","-LinBosChn12"</t>
  </si>
  <si>
    <t>Demanda media y máxima</t>
  </si>
  <si>
    <t xml:space="preserve">• Validar suficiencia ESPS de sobrecarga de Chinú – Boston 110 kV </t>
  </si>
  <si>
    <r>
      <rPr>
        <b/>
        <sz val="10"/>
        <color theme="1"/>
        <rFont val="Arial"/>
        <family val="2"/>
      </rPr>
      <t>PTRA00322</t>
    </r>
    <r>
      <rPr>
        <sz val="10"/>
        <color theme="1"/>
        <rFont val="Arial"/>
        <family val="2"/>
      </rPr>
      <t xml:space="preserve">: UPME 05 - 2018 S/E Toluviejo 220 kV, LT Chinú - Toluviejo 220 kV y Toluviejo - Bolívar 220 kV
</t>
    </r>
    <r>
      <rPr>
        <b/>
        <sz val="10"/>
        <color theme="1"/>
        <rFont val="Arial"/>
        <family val="2"/>
      </rPr>
      <t>PTRA05304</t>
    </r>
    <r>
      <rPr>
        <sz val="10"/>
        <color theme="1"/>
        <rFont val="Arial"/>
        <family val="2"/>
      </rPr>
      <t>: Nueva Toluviejo 220/110 kV</t>
    </r>
  </si>
  <si>
    <t>PTRA00322, PTRA05304</t>
  </si>
  <si>
    <t>Candelaria,
Cartagena,
Proeléctrica</t>
  </si>
  <si>
    <t>Chinú - Coveñas 110 kV / Chinú - Boston 110 kV</t>
  </si>
  <si>
    <t>"+CI0817","-LrtBosChn2"</t>
  </si>
  <si>
    <t xml:space="preserve">• Validar suficiencia ESPS de sobrecarga de Boston – Sierra Flor 110 kV, Chinú – Boston 110 kV y ESPS baja tensión en Zambrano 66 kV 
</t>
  </si>
  <si>
    <t>Chinú - Coveñas 110 kV / Boston - Sierraflor 110 kV</t>
  </si>
  <si>
    <t>"+CI0817","+CI0800"</t>
  </si>
  <si>
    <t>• Validar suficiencia ESPS de sobrecarga de Boston – Sierra Flor 110 kV, Chinú – Boston 110 kV y ESPS baja tensión en Zambrano y San Jacinto 66 kV</t>
  </si>
  <si>
    <t>• Mejorar el perfil de tensión desde Chinú 110 kV (el corte esta calulado con tensión minima en Chinu de 117 kV)
• De no ser suficiente o posible, deberá evaluarse el realizar desatención de demanda.</t>
  </si>
  <si>
    <r>
      <rPr>
        <b/>
        <sz val="10"/>
        <color theme="1"/>
        <rFont val="Arial"/>
        <family val="2"/>
      </rPr>
      <t xml:space="preserve">No hay obra de expansión definida en el horizonte de Mediano Plazo. (PTRA00686: </t>
    </r>
    <r>
      <rPr>
        <sz val="10"/>
        <color theme="1"/>
        <rFont val="Arial"/>
        <family val="2"/>
      </rPr>
      <t>Compensación capacitiva Mompox 2x8 Mvar mitiga, pero no elimina la restricción)</t>
    </r>
  </si>
  <si>
    <t>"+TrfChn3","+TrfChn5131","+TrfChn5132"</t>
  </si>
  <si>
    <t xml:space="preserve">• Validar suficiencia del ESPS de sobrecarga transfomadores Chinú 500/110 kV </t>
  </si>
  <si>
    <t>"+Brk05481","+TrfChn5131"</t>
  </si>
  <si>
    <t>Baja generación en Urrá y al interior de Bolívar.
En demanda máxima y media.</t>
  </si>
  <si>
    <t xml:space="preserve">Demanda máxima y media.
Baja generación en Urrá
</t>
  </si>
  <si>
    <t>Programar generación en Urra y a través del tap de Urra 230/115 kV, buscar un perfil de tensión seguro para Urra 110 kV (comúnmente entre 117 – 118 kV)</t>
  </si>
  <si>
    <t>Río Sinú – Tierra Alta 110 kV / Alta tensión en Urrá 110 kV, Tierra Alta 110 kV y Nueva Monteria 110 kV</t>
  </si>
  <si>
    <t>Baja generación en Urrá y al interior de Bolívar.</t>
  </si>
  <si>
    <t>A través del generador Urra y el tap de Urra 230/115 kV, buscar un perfil de tensión seguro para Urra 110 kV que mitigue esta condición (comúnmente entre 117 – 118 kV).</t>
  </si>
  <si>
    <t xml:space="preserve">No hay obra de expansión definida en el horizonte de Mediano Plazo </t>
  </si>
  <si>
    <t>Agotamiento capacidad de cortocircuito de Cerromatoso 110 kV</t>
  </si>
  <si>
    <t>En línea un alto número de recursos de generación cercanos eléctricamente</t>
  </si>
  <si>
    <t>Con recursos de generación de la subárea en línea de identificar que se supera la capacidad de corto circuito de Cerromatoso 110 kV, validar la pertinencia de operar Cerromatoso con los campos repartidos en dos barras y el acoplamiento abierto para distribuir los aportes de corto circuito y mitigar esta condición</t>
  </si>
  <si>
    <t>Sobrecarga del transformador El Carmen 110/66/13.8 kV</t>
  </si>
  <si>
    <t>"+TR0522"</t>
  </si>
  <si>
    <t>En lo posible operar en sus devanados de 110 y 66 kV con una tensión alta pero segura y regulatoria. Durante el transitorio asociado a fallas, entre mayor es la carga de este equipo en menor la recuperación transitoria de tensión en nodos radiales a 66 kV que se alimentan de este equipo.</t>
  </si>
  <si>
    <t>GCM</t>
  </si>
  <si>
    <r>
      <rPr>
        <b/>
        <sz val="10"/>
        <color theme="1"/>
        <rFont val="Arial"/>
        <family val="2"/>
      </rPr>
      <t xml:space="preserve">PTRA00203: </t>
    </r>
    <r>
      <rPr>
        <sz val="10"/>
        <color theme="1"/>
        <rFont val="Arial"/>
        <family val="2"/>
      </rPr>
      <t xml:space="preserve">Circuitos a 110 kV La Loma – La Jagua y La Loma – El Paso
</t>
    </r>
    <r>
      <rPr>
        <b/>
        <sz val="10"/>
        <color theme="1"/>
        <rFont val="Arial"/>
        <family val="2"/>
      </rPr>
      <t>PTRA00243:</t>
    </r>
    <r>
      <rPr>
        <sz val="10"/>
        <color theme="1"/>
        <rFont val="Arial"/>
        <family val="2"/>
      </rPr>
      <t xml:space="preserve"> UPME 09 - 2016 Subestación Cuestecitas 500 kV y Líneas Copey - Cuestecitas 500 kV y Copey - Fundación 220 kV</t>
    </r>
  </si>
  <si>
    <t>PTRA00203,
PTRA00243</t>
  </si>
  <si>
    <t>Guajira, Termonorte</t>
  </si>
  <si>
    <t xml:space="preserve">Valledupar 1 220/34,5/13,8 kV  / Valledupar 12 220/34,5/13,8 kV </t>
  </si>
  <si>
    <t>Dependiente de la demanda en Valledupar 34,5 y 13.8 kV</t>
  </si>
  <si>
    <t xml:space="preserve">Evaluar suficiencia ESPS asociados a sobrecarga de Valledupar 220/34,5/13,8 kV </t>
  </si>
  <si>
    <t xml:space="preserve">Valledupar 12 220/34,5/13,8 kV  / Valledupar 1 220/34,5/13,8 kV </t>
  </si>
  <si>
    <t>Dependiente de la demanda en Guatapurí 34,5</t>
  </si>
  <si>
    <t xml:space="preserve">Validar suficiencia del ESPS asociado a sobrecarga de los circuitos Valledupar – Guatapurí 34,5 kV 
</t>
  </si>
  <si>
    <r>
      <rPr>
        <b/>
        <sz val="10"/>
        <color theme="1"/>
        <rFont val="Arial"/>
        <family val="2"/>
      </rPr>
      <t xml:space="preserve">PTRA06813 </t>
    </r>
    <r>
      <rPr>
        <sz val="10"/>
        <color theme="1"/>
        <rFont val="Arial"/>
        <family val="2"/>
      </rPr>
      <t>Burechce 110 kV, Se recomienda evaluar traslados de carga de Santa Marta 34.5 kV</t>
    </r>
  </si>
  <si>
    <t xml:space="preserve">PTRA06813 </t>
  </si>
  <si>
    <t>Alta importación de potencia de la subárea GCM</t>
  </si>
  <si>
    <t>Disminuir la importación de potencia de la subárea GCM aumentando la magnitud de generación al interior.</t>
  </si>
  <si>
    <t>"+Trf1889"</t>
  </si>
  <si>
    <t>Operar con alto perfil de tensión, se requieren TDC por parte del OR</t>
  </si>
  <si>
    <r>
      <rPr>
        <b/>
        <sz val="10"/>
        <color theme="1"/>
        <rFont val="Arial"/>
        <family val="2"/>
      </rPr>
      <t>No hay obra de expansión definida en el horizonte de Mediano Plazo.</t>
    </r>
    <r>
      <rPr>
        <sz val="10"/>
        <color theme="1"/>
        <rFont val="Arial"/>
        <family val="2"/>
      </rPr>
      <t xml:space="preserve"> (con el proyecto PTRA05302: Nueva San Juan 110 kV, se revizará la posibilidad de anillar por 34.5kV)</t>
    </r>
  </si>
  <si>
    <t>Sierra – Primavera 230 kV / Sierra - San Carlos 230 kV</t>
  </si>
  <si>
    <t>Demanda máxima, media y mínima. Baja generación en Antioquia y Caribe, alta generación en Oriental y en Termosierra.</t>
  </si>
  <si>
    <t>Balancear generación entre todas las áreas del SIN. La acción de mayor efectividad para controlar el corte consiste en bajar generación en La Sierra.</t>
  </si>
  <si>
    <t>Sierra</t>
  </si>
  <si>
    <t>San Carlos, Porce II, Porce III, La Tasajera</t>
  </si>
  <si>
    <t>Bolombolo - Barroso 110 kV / Baja tensión red 115 kV Dispac</t>
  </si>
  <si>
    <t>-</t>
  </si>
  <si>
    <t xml:space="preserve">PCH Barroso </t>
  </si>
  <si>
    <t>Barroso - El Siete 115 kV  / Baja tensión red 115 kV Dispac</t>
  </si>
  <si>
    <t>Todos los escenarios de demanda</t>
  </si>
  <si>
    <t>Quibdó - El Siete 115 kV  / Baja tensión red 115 kV Dispac</t>
  </si>
  <si>
    <t>Sobrecarga de Barbosa - Girardota 1 110 kV</t>
  </si>
  <si>
    <t>"+CI0807"</t>
  </si>
  <si>
    <t>Demanda máxima con baja generación de las plantas menores en Antioquia</t>
  </si>
  <si>
    <t>Aumentar la generación de Carlos lleras.</t>
  </si>
  <si>
    <t>Carlos Lleras</t>
  </si>
  <si>
    <t>Suroccidente</t>
  </si>
  <si>
    <t>1</t>
  </si>
  <si>
    <t>Quimbo, Betania, Alto y bajo Anchicayá, Termoemcali, Termovalle, en general la generación de suroccidental</t>
  </si>
  <si>
    <t>Cauca-Nariño</t>
  </si>
  <si>
    <t>Demandas máxima, media y mínima, alta generación en Betania y Quimbo, alta importación desde Ecuador, baja generación en menores de Cauca-Nariño y baja generación en el Valle</t>
  </si>
  <si>
    <t>Quimbo, Betania</t>
  </si>
  <si>
    <t>Emcali y Termovalle, Altoanchicayá, Salvajina, Calima, Antioquia y Oriental</t>
  </si>
  <si>
    <t>Jamondino – Catambuco 115 kV / Jamondino – Pasto 115 kV</t>
  </si>
  <si>
    <t>"-CI0117","+CI0266"</t>
  </si>
  <si>
    <t>Jamondino 1 230/115 kV / Jamondino 2 230/115 kV</t>
  </si>
  <si>
    <t>"+TrfJam2171","+TrfJam2172"</t>
  </si>
  <si>
    <t>La acción que mejor controla este corte es limitar la importación desde Ecuador. De igual manera, se puede balancear generación de la siguiente manera:
- Bajar la generación en Betania y Quimbo
- Subir la generación en Salvajina, Termoemcali, Termovalle, Alto Anchicayá y Calima.</t>
  </si>
  <si>
    <t>Betania, Quimbo, Amoyá y Cucuana</t>
  </si>
  <si>
    <t>Cualquier recurso diferente a Betania, Quimbo, Amoyá y Cucuana</t>
  </si>
  <si>
    <t>Huila-Tolima</t>
  </si>
  <si>
    <t xml:space="preserve">La acción más efectiva para mitigar este corte es aumentar la generación en Prado, de igual manera se recomienda realizar los siguientes balances de generación:
- Bajar la generación en Betania y Quimbo, bajar la importación desde Ecuador y bajar la generación en el Valle
- Subir la generación menor de la subárea Huila -Tolima y subir la generación en Oriental </t>
  </si>
  <si>
    <t>Amoya, Cucuana y Prado</t>
  </si>
  <si>
    <t>Valle</t>
  </si>
  <si>
    <t>Bogotá</t>
  </si>
  <si>
    <t>Demanda máxima, media
Baja generación al interior del área Oriental</t>
  </si>
  <si>
    <t>No hay obra de expansión definida en el horizonte de Mediano Plazo</t>
  </si>
  <si>
    <t>Zipa, Dario Valencia, Guavio, Chivor, Paraíso y Guaca</t>
  </si>
  <si>
    <t xml:space="preserve">Chivor - Guavio 2 230 kV / Chivor - Guavio 1 230 kV </t>
  </si>
  <si>
    <t>"+LinChvGvo22","+LinChvGvo21"</t>
  </si>
  <si>
    <t>Demanda máxima, media, mínima
Alta generación en Chivor, Termoyopal y Paipa
Baja generación en Guavio, Pagua
Baja demanda en Rubiales y Guateque</t>
  </si>
  <si>
    <t>Chivor</t>
  </si>
  <si>
    <t>Guavio</t>
  </si>
  <si>
    <t>Chivor - Guavio 1 230 kV / Chivor - Guavio 2 230 kV</t>
  </si>
  <si>
    <t>"+LinChvGvo21","+LinChvGvo22"</t>
  </si>
  <si>
    <t>Zipa</t>
  </si>
  <si>
    <t>Paraiso - Nva Esperanza 2 230 kV / Paraiso - Nva Esperanza 1 230 kV</t>
  </si>
  <si>
    <t>"-LinNEsPar22","-LinNEsPar21"</t>
  </si>
  <si>
    <t>Demanda máxima, media
Alta generación en Paraíso y Guaca
Baja generación en Guavio y Chivor
Alta demanda en San Mateo, Barzal y Granada</t>
  </si>
  <si>
    <t>Limitar la generación en Paraíso y Guaca es la acción más efectiva
Incremento de generación en Guavio y Chivor</t>
  </si>
  <si>
    <t>Paraiso, Guaca</t>
  </si>
  <si>
    <t>Guavio, Chivor</t>
  </si>
  <si>
    <t>Paraiso - Nva Esperanza 1 230 kV / Paraiso - Nva Esperanza 2 230 kV</t>
  </si>
  <si>
    <t>"-LinNEsPar21","-LinNEsPar22"</t>
  </si>
  <si>
    <t>Guaca - Mesa 1 230 kV / Guaca - Mesa 2 230 kV</t>
  </si>
  <si>
    <t>"+LinGcaLme21","+LinGcaLme22"</t>
  </si>
  <si>
    <t>Pagua, Darío Valencia, Chivor, Guavio</t>
  </si>
  <si>
    <t>Betania, Miel</t>
  </si>
  <si>
    <t>Guaca - Mesa 2 230 kV / Guaca - Mesa 1 230 kV</t>
  </si>
  <si>
    <t>"+LinGcaLme22","+LinGcaLme21"</t>
  </si>
  <si>
    <t>"+Brk06467","+LinChvGvo22"</t>
  </si>
  <si>
    <t>Escenarios con baja generación en las unidades Chivor 5 - 8, baja generación en Guavio y alta generación en las unidades Chivor 1 - 4</t>
  </si>
  <si>
    <t>Etapa 1 de Chivor</t>
  </si>
  <si>
    <t>Guavio, Paraíso, Guaca, Zipa, D Valencia y Etapa 2 de Chivor</t>
  </si>
  <si>
    <t>Bacata - Chia 1 115 kV / Bacata - El Sol 1 115 kV</t>
  </si>
  <si>
    <t>"+LinBacCh11","+LinBacSol11"</t>
  </si>
  <si>
    <t>Guateque Sesquilé 115 kV Abierto.
Baja generación en Zipa.</t>
  </si>
  <si>
    <t>Con Guateque Sesquilé 115 kV Abierto:
Incremento de generación en Zipa.</t>
  </si>
  <si>
    <t>Chivor 1 150 MVA 230/115/13.8 kV / Guavio 230/115/13.2 kV</t>
  </si>
  <si>
    <t>"+TrfChv2171","+TrfGua217"</t>
  </si>
  <si>
    <t>Guateque Sesquilé 115 kV Abierto.
Alta generación de Chivor y Guavio.  Baja generación en Yopal, Paipas,  menor Guavio y menor Tunjita</t>
  </si>
  <si>
    <t xml:space="preserve">Chivor, Guavio </t>
  </si>
  <si>
    <t>Zipa, Paipas, Yopal</t>
  </si>
  <si>
    <t>Chivor 1 150 MVA 230/115/13.8 kV / Guavio - Mambita 1 115 kV</t>
  </si>
  <si>
    <t>"+TrfChv2171","+linGvioMamb11"</t>
  </si>
  <si>
    <t>Guateque Sesquilé 115 kV Abierto.
Alta generación de Chivor, menor Guavio y Guavio.  Baja generación en Yopal, Paipas y menor Tunjita</t>
  </si>
  <si>
    <t>Sobrecarga de Tunjita-Guateque 115 kV</t>
  </si>
  <si>
    <t>"-LinGuaTja11"</t>
  </si>
  <si>
    <t>Guateque Sesquilé 115 kV Cerrado.
Alta generación de Chivor, Guavio, Yopal, menor tunjita y menor Guavio.  Baja generación en Zipa y Paipas</t>
  </si>
  <si>
    <t>Chivor, Guavio, Yopal</t>
  </si>
  <si>
    <t>Zipa, Paipas</t>
  </si>
  <si>
    <t>Bacatá-Chia 115 kV / Tunjita-Guateque 115 kV</t>
  </si>
  <si>
    <t>"+LinBacCh11","-LinGuaTja11"</t>
  </si>
  <si>
    <t>Sobrecarga Guateque – Sesquilé 115 kV</t>
  </si>
  <si>
    <t>"+linGuatSesq11"</t>
  </si>
  <si>
    <t>Guateque Sesquilé 115 kV Cerrado.
Alta generación de Chivor, Guavio, Yopal, Paipas, menor Tunjita y menor Guavio.  Baja generación en Zipa</t>
  </si>
  <si>
    <t>Chivor, Guavio, Paipas, Yopal</t>
  </si>
  <si>
    <t>Bacatá-Chia 115 kV / Guateque-Sesquilé 115 kV</t>
  </si>
  <si>
    <t>"+LinBacCh11","+linGuatSesq11"</t>
  </si>
  <si>
    <t>Chivor - Tunjita 1 115 kV / Guavio – Mámbita 115 kV</t>
  </si>
  <si>
    <t>"+LinChvTja11","+linGvioMamb11"</t>
  </si>
  <si>
    <t>Guateque Sesquilé 115 kV Cerrado.
Alta generación de Chivor, Guavio y menor Guavio.  Baja generación en Zipa, Yopal, Paipas y menor Tunjita</t>
  </si>
  <si>
    <t>Agotamiento capacidad de cortocircuito de Mesa 220 kV</t>
  </si>
  <si>
    <t>Meta</t>
  </si>
  <si>
    <t>En demanda máxima donde la subárea Meta importe energía, existen escenarios donde puede ser necesaria limitación en la demanda.</t>
  </si>
  <si>
    <t>En escenarios de baja generación interna en el Meta y demanda alta, esta sobrecarga podría no ser controlada mediante balances de generación, por lo cual se recomienda que ante dicho escenario se considere desatención de demanda o el traslado de carga a la subestación Villavicencio 115 kV.</t>
  </si>
  <si>
    <r>
      <rPr>
        <b/>
        <sz val="10"/>
        <rFont val="Arial"/>
        <family val="2"/>
      </rPr>
      <t>PTRA00623</t>
    </r>
    <r>
      <rPr>
        <sz val="10"/>
        <rFont val="Arial"/>
        <family val="2"/>
      </rPr>
      <t xml:space="preserve">: Etapa 2 Transformadores Santa Helena 230/115 kV 2X150 MVA (Suria 2)
</t>
    </r>
  </si>
  <si>
    <t>PTRA00623</t>
  </si>
  <si>
    <t>"-CI1043","-CI1042"</t>
  </si>
  <si>
    <r>
      <rPr>
        <b/>
        <sz val="10"/>
        <rFont val="Arial"/>
        <family val="2"/>
      </rPr>
      <t>PTRA00623</t>
    </r>
    <r>
      <rPr>
        <sz val="10"/>
        <rFont val="Arial"/>
        <family val="2"/>
      </rPr>
      <t xml:space="preserve">: Etapa 2 Transformadores Santa Helena 230/115 kV 2X150 MVA (Suria 2)
</t>
    </r>
  </si>
  <si>
    <t>"-CI1042","-CI1043"</t>
  </si>
  <si>
    <t>En demanda máxima donde la subárea Meta importe energía, existen escenarios donde puede ser necesaria limitación en la demanda</t>
  </si>
  <si>
    <t>Arauca</t>
  </si>
  <si>
    <t>Boyaca-Casanare</t>
  </si>
  <si>
    <t>"-LinSAnApa11","+LinSAnSmx11"</t>
  </si>
  <si>
    <t>Paipa 4, Tasajero 1 y 2</t>
  </si>
  <si>
    <t>"-LinApaSmx11","-LinSAnSmx11"</t>
  </si>
  <si>
    <t>Paipa 4, Tasajero 1  y 2</t>
  </si>
  <si>
    <t>"-LinSAnSmx11","-LinApaSmx11"</t>
  </si>
  <si>
    <t>Sochagota - San Antonio 1 115 kV / Suamox - San Antonio 1 115 kV</t>
  </si>
  <si>
    <t>"-LinSAnScg11","-LinSAnSmx11"</t>
  </si>
  <si>
    <t>Paipa 1,2,3,4</t>
  </si>
  <si>
    <t>Norte de Santander</t>
  </si>
  <si>
    <t xml:space="preserve">Tibú – Zulia 115 kV / altas tensiones en Tibú 115 kV  </t>
  </si>
  <si>
    <t>Se recomienda operar con un solo paso la compensación en Tibú 115 kV para evitar altas tensiones en esta subestación ante la contingencia Tibú – Zulia 115 kV.</t>
  </si>
  <si>
    <t>Demanda_MW_inf</t>
  </si>
  <si>
    <t>Demanda_MW_sup</t>
  </si>
  <si>
    <t>Caribe2</t>
  </si>
  <si>
    <t>1. YOPALES (2,3,4 y 5)</t>
  </si>
  <si>
    <t>Planta</t>
  </si>
  <si>
    <t>Unidades por planta</t>
  </si>
  <si>
    <t>Peso por unidad</t>
  </si>
  <si>
    <t>gCLlerasG1
gCLlerasG2</t>
  </si>
  <si>
    <t>Centro</t>
  </si>
  <si>
    <t>Escuela de Minas</t>
  </si>
  <si>
    <t>gEMinas1
gEMinas2
gEMinas3</t>
  </si>
  <si>
    <t>Guadalupe III</t>
  </si>
  <si>
    <t>gGuadaIII-1
gGuadaIII-2
gGuadaIII-3
gGuadaIII-4
gGuadaIII-5
gGuadaIII-6</t>
  </si>
  <si>
    <t>Guadalupe IV</t>
  </si>
  <si>
    <t>gGuadaIV1
gGuadaIV2
gGuadaIV3</t>
  </si>
  <si>
    <t>Guatapé</t>
  </si>
  <si>
    <t>gGuatape1
gGuatape2
gGuatape3
gGuatape4
gGuatape5
gGuatape6
gGuatape7
gGuatape8</t>
  </si>
  <si>
    <t>Jaguas</t>
  </si>
  <si>
    <t>gJaguas-1
gJaguas-2</t>
  </si>
  <si>
    <t>Playas</t>
  </si>
  <si>
    <t>gPlayas-1
gPlayas-2
gPlayas-3</t>
  </si>
  <si>
    <t>Porce II</t>
  </si>
  <si>
    <t>gPorceII-1
gPorceII-2
gPorceII-3</t>
  </si>
  <si>
    <t>Porce III</t>
  </si>
  <si>
    <t>gPorceIII1
gPorceIII2
gPorceIII3
gPorceIII4</t>
  </si>
  <si>
    <t>San Carlos</t>
  </si>
  <si>
    <t>gSnCarlos1
gSnCarlos2
gSnCarlos3
gSnCarlos4
gSnCarlos5
gSnCarlos6
gSnCarlos7
gSnCarlos8</t>
  </si>
  <si>
    <t>San Miguel</t>
  </si>
  <si>
    <t>gSMigu-1
gSMigu-2</t>
  </si>
  <si>
    <t>Sierra Gas</t>
  </si>
  <si>
    <t>gSierraG-1
gSierraG-2</t>
  </si>
  <si>
    <t>Sierra Vapor</t>
  </si>
  <si>
    <t>gSierraS1</t>
  </si>
  <si>
    <t>Tasajera</t>
  </si>
  <si>
    <t>gLatasa1
gLatasa2
gLatasa3</t>
  </si>
  <si>
    <t>gChivor1
gChivor2
gChivor3
gChivor4
gChivor5
gChivor6
gChivor7
gChivor8</t>
  </si>
  <si>
    <t>Paipa 1</t>
  </si>
  <si>
    <t>gPaipa1</t>
  </si>
  <si>
    <t>Paipa  2 y 3</t>
  </si>
  <si>
    <t>gPaipa2
gPaipa3</t>
  </si>
  <si>
    <t>Paipa IV</t>
  </si>
  <si>
    <t>gPaipa4</t>
  </si>
  <si>
    <t>gTasajero1</t>
  </si>
  <si>
    <t>gTasajero2</t>
  </si>
  <si>
    <t>Yopal 2</t>
  </si>
  <si>
    <t>gYopal2</t>
  </si>
  <si>
    <t>Yopal 3, 4 y 5</t>
  </si>
  <si>
    <t>gNYopal3
gNYopal4
gNYopal5</t>
  </si>
  <si>
    <t>Barranquilla</t>
  </si>
  <si>
    <t>gBarranq-3
gBarranq-4</t>
  </si>
  <si>
    <t>Candelaria</t>
  </si>
  <si>
    <t>gCandelaria1
gCandelaria2
gCandelaria3</t>
  </si>
  <si>
    <t xml:space="preserve">Cartagena </t>
  </si>
  <si>
    <t>gCartage-1
gCartage-2
gCartage3</t>
  </si>
  <si>
    <t>Flores 1 Gas</t>
  </si>
  <si>
    <t>gFlores1G1</t>
  </si>
  <si>
    <t>Flores 1 Vapor</t>
  </si>
  <si>
    <t>gFlores1S1</t>
  </si>
  <si>
    <t>gFloresIV1</t>
  </si>
  <si>
    <t>Guajira</t>
  </si>
  <si>
    <t>gGuajira-1
gGuajira-2</t>
  </si>
  <si>
    <t>Proeléctrica</t>
  </si>
  <si>
    <t>gProelectr1
gProelectr2</t>
  </si>
  <si>
    <t>Tebsa 110</t>
  </si>
  <si>
    <t>gTebsaG1-1
gTebsaG1-2</t>
  </si>
  <si>
    <t>Tebsa Gas</t>
  </si>
  <si>
    <t>gTebsaG2-1
gTebsaG2-2
gTebsaG2-3</t>
  </si>
  <si>
    <t>gTTCaribe3</t>
  </si>
  <si>
    <t>Tebsa Vapor</t>
  </si>
  <si>
    <t>gTebsaS-1
gTebsaS-2</t>
  </si>
  <si>
    <t>Termonorte</t>
  </si>
  <si>
    <t>gTNorteU1
gTNorteU10
gTNorteU2
gTNorteU3
gTNorteU4
gTNorteU5
gTNorteU6
gTNorteU7
gTNorteU8
gTNorteU9</t>
  </si>
  <si>
    <t>gGuavio-1
gGuavio-2
gGuavio-3
gGuavio-4
gGuavio-5</t>
  </si>
  <si>
    <t>La Guaca</t>
  </si>
  <si>
    <t>gGuaca1
gGuaca2
gGuaca3</t>
  </si>
  <si>
    <t>Paraíso</t>
  </si>
  <si>
    <t>gParaiso1
gParaiso2
gParaiso3</t>
  </si>
  <si>
    <t>Darioa Valencia</t>
  </si>
  <si>
    <t>gDVSamG1
gDVSamG2
gDVSamG5</t>
  </si>
  <si>
    <t>Zipa 4</t>
  </si>
  <si>
    <t>gZipa-4</t>
  </si>
  <si>
    <t>Zipa 5</t>
  </si>
  <si>
    <t>gZipa-5</t>
  </si>
  <si>
    <t>Zipa 3</t>
  </si>
  <si>
    <t>gZipa-3</t>
  </si>
  <si>
    <t>La Miel</t>
  </si>
  <si>
    <t>gMiel-1
gMiel-2
gMiel-3</t>
  </si>
  <si>
    <t>Zipa 2</t>
  </si>
  <si>
    <t>gZipa2</t>
  </si>
  <si>
    <t>Salto II</t>
  </si>
  <si>
    <t>gSaltoII</t>
  </si>
  <si>
    <t>gEmcaliG1</t>
  </si>
  <si>
    <t>gAmoya1
gAmoya2</t>
  </si>
  <si>
    <t>gBajoan-1
gBajoan-2
gBajoan-3
gBajoan-4</t>
  </si>
  <si>
    <t>Betania 1 y 2</t>
  </si>
  <si>
    <t>Betania 3</t>
  </si>
  <si>
    <t>gBetani-3</t>
  </si>
  <si>
    <t>Calima</t>
  </si>
  <si>
    <t>gCalima-1
gCalima-2
gCalima-3
gCalima-4</t>
  </si>
  <si>
    <t>gPrado-1
gPrado-2
gPrado-3</t>
  </si>
  <si>
    <t>Quimbo</t>
  </si>
  <si>
    <t>gQuimbo1
gQuimbo2</t>
  </si>
  <si>
    <t>San Francisco</t>
  </si>
  <si>
    <t>gSnFransc-1
gSnFransc-2
gSnFransc-3</t>
  </si>
  <si>
    <t>gDorada1</t>
  </si>
  <si>
    <t>gEmcaliS1</t>
  </si>
  <si>
    <t>gTValleG1</t>
  </si>
  <si>
    <t>gTValleS1</t>
  </si>
  <si>
    <t>Ituango</t>
  </si>
  <si>
    <t>Barraje</t>
  </si>
  <si>
    <t>Min_inf</t>
  </si>
  <si>
    <t>Min_sup</t>
  </si>
  <si>
    <t>Med_inf</t>
  </si>
  <si>
    <t>Med_sup</t>
  </si>
  <si>
    <t>Max_inf</t>
  </si>
  <si>
    <t>Max_sup</t>
  </si>
  <si>
    <t xml:space="preserve">Ancón Sur EPM 230 kV </t>
  </si>
  <si>
    <t xml:space="preserve">Barroso 110 kV </t>
  </si>
  <si>
    <t xml:space="preserve">Central 115 kV </t>
  </si>
  <si>
    <t xml:space="preserve">Certegui 110 kV </t>
  </si>
  <si>
    <t xml:space="preserve">Envigado 230 kV </t>
  </si>
  <si>
    <t xml:space="preserve">Guayabal 230 kV </t>
  </si>
  <si>
    <t xml:space="preserve">La Sierra 230 kV </t>
  </si>
  <si>
    <t xml:space="preserve">Playas 110 kV </t>
  </si>
  <si>
    <t xml:space="preserve">Primavera 230 kV </t>
  </si>
  <si>
    <t xml:space="preserve">San Carlos 230 kV </t>
  </si>
  <si>
    <t xml:space="preserve">San Carlos 500 kV </t>
  </si>
  <si>
    <t>Bolívar 220 kV</t>
  </si>
  <si>
    <t>Bolívar 500 kV</t>
  </si>
  <si>
    <t>Cerromatoso 220 kV</t>
  </si>
  <si>
    <t>Chinú 110 kV</t>
  </si>
  <si>
    <t>Chinú 500 kV</t>
  </si>
  <si>
    <t>Bosque 66 kV</t>
  </si>
  <si>
    <t>Ternera 66 kV</t>
  </si>
  <si>
    <t>Copey 110 kV</t>
  </si>
  <si>
    <t xml:space="preserve">Copey 220 kV </t>
  </si>
  <si>
    <t>Copey 500 kV</t>
  </si>
  <si>
    <t>Fundación 220 kV</t>
  </si>
  <si>
    <t>Montería 110 kV</t>
  </si>
  <si>
    <t>Sabanalarga 220 kV</t>
  </si>
  <si>
    <t>Sabanalarga 500 kV</t>
  </si>
  <si>
    <t>Cuestecitas 110 kV</t>
  </si>
  <si>
    <t>Lo Loma 110 kV</t>
  </si>
  <si>
    <t>Ternera 110 kV</t>
  </si>
  <si>
    <t>Urra 110 kV</t>
  </si>
  <si>
    <t>Valledupar 110 kV</t>
  </si>
  <si>
    <t>Valledupar 220 kV</t>
  </si>
  <si>
    <t xml:space="preserve">Ocaña 500 kV </t>
  </si>
  <si>
    <t xml:space="preserve">Sochagota 230 kV </t>
  </si>
  <si>
    <t xml:space="preserve">Paipa 115 kV </t>
  </si>
  <si>
    <t xml:space="preserve">Real Minas 115 kV </t>
  </si>
  <si>
    <t xml:space="preserve">San Mateo 115 kV </t>
  </si>
  <si>
    <t xml:space="preserve">Yopal 115 kV </t>
  </si>
  <si>
    <t xml:space="preserve">El Sol 115 kV </t>
  </si>
  <si>
    <t xml:space="preserve">Salitre 115 kV </t>
  </si>
  <si>
    <t xml:space="preserve">Noroeste 115 kV </t>
  </si>
  <si>
    <t xml:space="preserve">Circo 115 kV </t>
  </si>
  <si>
    <t xml:space="preserve">Bacatá 115 kV </t>
  </si>
  <si>
    <t xml:space="preserve">Tunal 115 kV </t>
  </si>
  <si>
    <t>Bacatá 500 kV</t>
  </si>
  <si>
    <t>Altamira 220 kV</t>
  </si>
  <si>
    <t>Betania 220 kV</t>
  </si>
  <si>
    <t>Enea 220 kV</t>
  </si>
  <si>
    <t>Esmeralda 220 kV</t>
  </si>
  <si>
    <t>Jamondino 220 kV</t>
  </si>
  <si>
    <t>San Bernardino 220 kV</t>
  </si>
  <si>
    <t>San Marcos 220 kV</t>
  </si>
  <si>
    <t>San Marcos 500 kV</t>
  </si>
  <si>
    <t>Virginia 220 kV</t>
  </si>
  <si>
    <t>Virginia 500 kV</t>
  </si>
  <si>
    <t>Medicion</t>
  </si>
  <si>
    <t>Tipo</t>
  </si>
  <si>
    <t>ForeignKey</t>
  </si>
  <si>
    <t>"gYopal2","gNYopal3","gNYopal4","gNYopal5"</t>
  </si>
  <si>
    <t>Área</t>
  </si>
  <si>
    <t>Subárea</t>
  </si>
  <si>
    <t>Restricciones en Alerta</t>
  </si>
  <si>
    <t>Restricciones en Emergencia</t>
  </si>
  <si>
    <t>Total Restricciones</t>
  </si>
  <si>
    <t>Santander</t>
  </si>
  <si>
    <t>Total</t>
  </si>
  <si>
    <t xml:space="preserve">Area </t>
  </si>
  <si>
    <t>Activo</t>
  </si>
  <si>
    <t>El Salto - Porce 110 kV</t>
  </si>
  <si>
    <t>Puerto Nare - Puerto Inmarco 110 kV</t>
  </si>
  <si>
    <t>Puerto Nare - Moriche 110 kV</t>
  </si>
  <si>
    <t>Cocorná - Teka 110 kV</t>
  </si>
  <si>
    <t>Cocorná - Puerto Boyacá 110 kV</t>
  </si>
  <si>
    <t>Puerto Boyacá - Vasconia 110 kV</t>
  </si>
  <si>
    <t>Palagua - Vasconia 110 kV</t>
  </si>
  <si>
    <t>Yarumal II - Yarumal 110 kV</t>
  </si>
  <si>
    <t>Hispania - THispania 1 110</t>
  </si>
  <si>
    <t>Cértegui - Itsmina 110 kV</t>
  </si>
  <si>
    <t>Caucheras - Chorodo 1 110</t>
  </si>
  <si>
    <t>Antioquia - Chorodo 1 110</t>
  </si>
  <si>
    <t>Antiquia</t>
  </si>
  <si>
    <t>Dispac</t>
  </si>
  <si>
    <t>Certegui - Itsmina 115 kV</t>
  </si>
  <si>
    <t>Valledupar - San Juan 110 kV</t>
  </si>
  <si>
    <t>El Paso - El Banco 110 kV</t>
  </si>
  <si>
    <t>Rio Cordoba - Cienaga 110 kV</t>
  </si>
  <si>
    <t>Gaira - Tpuerto Nuevo 110 kV</t>
  </si>
  <si>
    <t>Tpuerto Nuevo - Puerto Nuevo 110 kV</t>
  </si>
  <si>
    <t>Rio Cordoba - Tpuerto Nuevo 110 kV</t>
  </si>
  <si>
    <t>Santa Marta - Manzanares 110 kV</t>
  </si>
  <si>
    <t>Santa Marta - Libertad 110 kV</t>
  </si>
  <si>
    <t>Bolivar</t>
  </si>
  <si>
    <t>El Carmen - Toluviejo 1 110 kV</t>
  </si>
  <si>
    <t>El Carmen - Zambrano 1 66 kV</t>
  </si>
  <si>
    <t>El Carmen - TSan Jacinto 1 66 kV</t>
  </si>
  <si>
    <t>San Jacinto - TSan Jacinto 1 66 kV</t>
  </si>
  <si>
    <t>TCalamar - TSan Jacinto 1 66 kV</t>
  </si>
  <si>
    <t>Calamar - TCalamar 1 66 kV</t>
  </si>
  <si>
    <t>Gambote - Ternera 1 66 kV</t>
  </si>
  <si>
    <t>Bolivar - Villa Estrella 1 66 kV</t>
  </si>
  <si>
    <t>Cordoba - Sucre</t>
  </si>
  <si>
    <t>La Mojana - San Marcos 110 kV</t>
  </si>
  <si>
    <t>Chinu - San Marcos 1 110 kV</t>
  </si>
  <si>
    <t>Chinu - Chinu Planta 1 110 kV</t>
  </si>
  <si>
    <t>Chinu - Since 1 110 kV</t>
  </si>
  <si>
    <t>Magangue - Mompox 1 110 kV</t>
  </si>
  <si>
    <t>Magangue - Since 1 110</t>
  </si>
  <si>
    <t>Apartado - Uraba 1 110 kV</t>
  </si>
  <si>
    <t>Cerromatoso</t>
  </si>
  <si>
    <t>Cerromatoso - P. Rica 1 110 kV</t>
  </si>
  <si>
    <t>Atlantico</t>
  </si>
  <si>
    <t>Sabanalarga - Salamina 1 110 kV</t>
  </si>
  <si>
    <t>Juan Mina - Nv Brrquilla 1 110</t>
  </si>
  <si>
    <t>Valledupar 9 110/34.5 kV</t>
  </si>
  <si>
    <t>Valledupar 3 220/34.5 kV</t>
  </si>
  <si>
    <t>Banadia - Cano Limon 1 230</t>
  </si>
  <si>
    <t>Palos - Toledo 1 230</t>
  </si>
  <si>
    <t>Banadia - Samore 1 230</t>
  </si>
  <si>
    <t>Samore - Toledo 1 230</t>
  </si>
  <si>
    <t>Banadia - Tame 1 115</t>
  </si>
  <si>
    <t>Piedecuesta - San Gil 1 115</t>
  </si>
  <si>
    <t>Conucos - TBosconia 1 115</t>
  </si>
  <si>
    <t>Comuneros - Merilectrica 1 230</t>
  </si>
  <si>
    <t>CiraInfanta - Comuneros 1 230</t>
  </si>
  <si>
    <t>Yopal - Yopalosa 1 115</t>
  </si>
  <si>
    <t>Paz de Ariporo - Yopal 1 115</t>
  </si>
  <si>
    <t>Diaco - Paipa 1 115</t>
  </si>
  <si>
    <t>Barbosa - TSta Rosa 1 115</t>
  </si>
  <si>
    <t>Santa Rosa - TSta Rosa 1 115</t>
  </si>
  <si>
    <t>TSta Rosa - Cimitarra 1 115</t>
  </si>
  <si>
    <t>Cementos Argos - San Antonio 1 115</t>
  </si>
  <si>
    <t>Acerias Paz del Rio - Suamox 1 115</t>
  </si>
  <si>
    <t>Acerias - San Antonio 1 115</t>
  </si>
  <si>
    <t>Bavaria - Holcim 1 115</t>
  </si>
  <si>
    <t>Bavaria - Paipa 1 115</t>
  </si>
  <si>
    <t>Aguachica - Buturama 115</t>
  </si>
  <si>
    <t>Barbosa - Cimitarra 115</t>
  </si>
  <si>
    <t>Banadia 230/115</t>
  </si>
  <si>
    <t>Ocoa -Santa Helena 115 kV</t>
  </si>
  <si>
    <t>Santa Helena -Suria 115 kV</t>
  </si>
  <si>
    <t>Ocoa - Granada 115 kV</t>
  </si>
  <si>
    <t>Granada - San José del Guaviare 115 kV</t>
  </si>
  <si>
    <t>Guateque - Sesquilé 115 kV</t>
  </si>
  <si>
    <t>Termozipa - Sesquilé 115 kV</t>
  </si>
  <si>
    <t>El Sol - Zipaquira 115 kV</t>
  </si>
  <si>
    <t>Ubate - Simijaca 115 kV</t>
  </si>
  <si>
    <t>Zipaquira - Tpeldar 115 kV</t>
  </si>
  <si>
    <t>Tpeldar - Peldar 115 kV</t>
  </si>
  <si>
    <t>Tpeldar - Ubate 115 kV</t>
  </si>
  <si>
    <t>Balsillas - Facatativa 115 kV</t>
  </si>
  <si>
    <t>Facatativa - Villeta 115 kV</t>
  </si>
  <si>
    <t>Guavio - Ubala 115 kV</t>
  </si>
  <si>
    <t>Gran Sabana - Termozipa 1 115</t>
  </si>
  <si>
    <t>Muña - Sauces 1 115</t>
  </si>
  <si>
    <t>Canoas - Muña 1 115</t>
  </si>
  <si>
    <t>Salto I - Salto II 1 115</t>
  </si>
  <si>
    <t>TIndumil  - TMuñas II 1 57.5</t>
  </si>
  <si>
    <t>Muña 2 - TMuña II 1 57.5</t>
  </si>
  <si>
    <t>TIndumil - Veraguas 1 57.5</t>
  </si>
  <si>
    <t>El Pailón - Bahía Málaga 115 kV</t>
  </si>
  <si>
    <t>Santa Bárbara - Cerrito 115 kV</t>
  </si>
  <si>
    <t>Cauca - Nariño</t>
  </si>
  <si>
    <t>San Bernardino - Guapi 115</t>
  </si>
  <si>
    <t>Guapi - Olaya 115 kV</t>
  </si>
  <si>
    <t>Jamondino - Panamericana 115 kV</t>
  </si>
  <si>
    <t>Jamondino - Jardinera 115 kV</t>
  </si>
  <si>
    <t>Jardinera - Junín 115 kV</t>
  </si>
  <si>
    <t>Junín - Buchely (Tumaco) 115 kV</t>
  </si>
  <si>
    <t>CQR</t>
  </si>
  <si>
    <t>Esmeralda - Viterbo 115 kV</t>
  </si>
  <si>
    <t>Esmeralda - Irra 115 kV</t>
  </si>
  <si>
    <t>Irra - Río Sucio 115 kV</t>
  </si>
  <si>
    <t>Irra - Salamina 115 kV</t>
  </si>
  <si>
    <t>Enea - Acasa 115 kV</t>
  </si>
  <si>
    <t>Armenia - La Tebaida 115 kV</t>
  </si>
  <si>
    <t>La Rosa - Cuba 115 kV</t>
  </si>
  <si>
    <t>Ínsula - Buencafé 115 kV</t>
  </si>
  <si>
    <t>Huila - Tolima</t>
  </si>
  <si>
    <t>Flandes - Lanceros 115 kV</t>
  </si>
  <si>
    <t>Sur - Oriente 115 kV</t>
  </si>
  <si>
    <t>Altamira - Pitalito 115 kV</t>
  </si>
  <si>
    <t>Caquetá</t>
  </si>
  <si>
    <t>Altamira - Florencia 115 kV</t>
  </si>
  <si>
    <t>Florencia - Doncello 115 kV</t>
  </si>
  <si>
    <t>Renacer - Altamira 230 kV</t>
  </si>
  <si>
    <t>Putumayo</t>
  </si>
  <si>
    <t>Altamira - Mocoa 115 kV</t>
  </si>
  <si>
    <t>Mocoa - Puerto Caicedo 115 kV</t>
  </si>
  <si>
    <t>Puerto Caicedo - Yarumo 115 kV</t>
  </si>
  <si>
    <t>Altamira - Segovianas 1 115</t>
  </si>
  <si>
    <t>NODO</t>
  </si>
  <si>
    <t>TIPO</t>
  </si>
  <si>
    <t>P</t>
  </si>
  <si>
    <t>Vmin</t>
  </si>
  <si>
    <t>Vmax</t>
  </si>
  <si>
    <t>CUESTECITAS 230 KV</t>
  </si>
  <si>
    <t>ORDINARIO</t>
  </si>
  <si>
    <t>JAMONDINO 230 KV</t>
  </si>
  <si>
    <t xml:space="preserve"> FESTIVO</t>
  </si>
  <si>
    <t>SAN BERNARD 230 KV</t>
  </si>
  <si>
    <t>SAN MARCOS 500 KV</t>
  </si>
  <si>
    <t>SAN MARCOS 230 KV</t>
  </si>
  <si>
    <t>VIRGINIA 500 KV</t>
  </si>
  <si>
    <t>VIRGNIA 230 KV</t>
  </si>
  <si>
    <t>Agotamiento capacidad de cortocircuito de Tebsa 220 kV</t>
  </si>
  <si>
    <t>Agotamiento capacidad de cortocircuito de Sabanalarga 220 kV</t>
  </si>
  <si>
    <t>Agotamiento capacidad de cortocircuito de Oasis 110 kV</t>
  </si>
  <si>
    <t>Agotamiento capacidad de cortocircuito de Silencio 110 kV</t>
  </si>
  <si>
    <t>Agotamiento capacidad de cortocircuito de Nv Barranquilla 220 kV</t>
  </si>
  <si>
    <t>En operación gran numero de unidades de generación electricamente cercanas</t>
  </si>
  <si>
    <t xml:space="preserve">No hay obra de expansión definida en el horizonte de Mediano Plazo. </t>
  </si>
  <si>
    <t>Agotamiento capacidad de cortocircuito de Bosque 66 kV</t>
  </si>
  <si>
    <t>Agotamiento capacidad de cortocircuito de Cartagena 220 kV</t>
  </si>
  <si>
    <t>No hay obra de expansión definida en el horizonte de Mediano Plazo.</t>
  </si>
  <si>
    <t>Agotamiento capacidad de cortocircuito de Gorgonzola 57.5 kV</t>
  </si>
  <si>
    <t>Agotamiento capacidad de cortocircuito de Concordia 57.5 kV</t>
  </si>
  <si>
    <t>Agotamiento capacidad de cortocircuito de Circo 115 kV</t>
  </si>
  <si>
    <t>Agotamiento capacidad de cortocircuito de Salitre 115 kV</t>
  </si>
  <si>
    <t>Agotamiento capacidad de cortocircuito de Tunal 115 kV</t>
  </si>
  <si>
    <t>S/E Corto circuito &gt; 99%</t>
  </si>
  <si>
    <r>
      <rPr>
        <b/>
        <sz val="10"/>
        <color theme="1"/>
        <rFont val="Arial"/>
        <family val="2"/>
      </rPr>
      <t xml:space="preserve">PTRA05299: </t>
    </r>
    <r>
      <rPr>
        <sz val="10"/>
        <color theme="1"/>
        <rFont val="Arial"/>
        <family val="2"/>
      </rPr>
      <t>Nueva Río 220/110 kV</t>
    </r>
  </si>
  <si>
    <r>
      <rPr>
        <b/>
        <sz val="10"/>
        <color theme="1"/>
        <rFont val="Arial"/>
        <family val="2"/>
      </rPr>
      <t xml:space="preserve">PTRA05299: </t>
    </r>
    <r>
      <rPr>
        <sz val="10"/>
        <color theme="1"/>
        <rFont val="Arial"/>
        <family val="2"/>
      </rPr>
      <t>Nueva Río 220/110 kV (mitiga pero no elimina)</t>
    </r>
  </si>
  <si>
    <r>
      <rPr>
        <b/>
        <sz val="10"/>
        <rFont val="Arial"/>
        <family val="2"/>
      </rPr>
      <t>PTRA00669</t>
    </r>
    <r>
      <rPr>
        <sz val="10"/>
        <rFont val="Arial"/>
        <family val="2"/>
      </rPr>
      <t xml:space="preserve">: Convocatoria Atlántico </t>
    </r>
    <r>
      <rPr>
        <b/>
        <sz val="10"/>
        <rFont val="Arial"/>
        <family val="2"/>
      </rPr>
      <t>ETAPA 5</t>
    </r>
    <r>
      <rPr>
        <sz val="10"/>
        <rFont val="Arial"/>
        <family val="2"/>
      </rPr>
      <t xml:space="preserve"> circuito Tebsa - Magdalena 110 kV</t>
    </r>
  </si>
  <si>
    <r>
      <t xml:space="preserve">PTRA00669: </t>
    </r>
    <r>
      <rPr>
        <sz val="10"/>
        <rFont val="Arial"/>
        <family val="2"/>
      </rPr>
      <t xml:space="preserve">Convocatoria Atlántico </t>
    </r>
    <r>
      <rPr>
        <b/>
        <sz val="10"/>
        <rFont val="Arial"/>
        <family val="2"/>
      </rPr>
      <t xml:space="preserve">ETAPA 5 </t>
    </r>
    <r>
      <rPr>
        <sz val="10"/>
        <rFont val="Arial"/>
        <family val="2"/>
      </rPr>
      <t>circuito Tebsa - Magdalena 110 kV</t>
    </r>
  </si>
  <si>
    <r>
      <rPr>
        <b/>
        <sz val="10"/>
        <color theme="1"/>
        <rFont val="Arial"/>
        <family val="2"/>
      </rPr>
      <t xml:space="preserve">PTRA05299: </t>
    </r>
    <r>
      <rPr>
        <sz val="10"/>
        <color theme="1"/>
        <rFont val="Arial"/>
        <family val="2"/>
      </rPr>
      <t xml:space="preserve">Nueva Río 220/110 kV
</t>
    </r>
  </si>
  <si>
    <r>
      <t xml:space="preserve">No hay obra de expansión definida en el horizonte de Mediano Plazo. </t>
    </r>
    <r>
      <rPr>
        <sz val="10"/>
        <color theme="1"/>
        <rFont val="Arial"/>
        <family val="2"/>
      </rPr>
      <t xml:space="preserve"> (PTRA05299: Nueva Río 220/110 kV) Mitiga pero no elimina la restricción</t>
    </r>
  </si>
  <si>
    <r>
      <t xml:space="preserve">No hay obra de expansión definida en el horizonte de Mediano Plazo. </t>
    </r>
    <r>
      <rPr>
        <sz val="10"/>
        <rFont val="Arial"/>
        <family val="2"/>
      </rPr>
      <t>(PTRA05299: Nueva Río 220/110 kV) mitiga pero no elimina</t>
    </r>
  </si>
  <si>
    <t>Evaluar el aumeto de capacidad de transporte de corriente del circuito</t>
  </si>
  <si>
    <t xml:space="preserve">• Balance de generación entre Flores 1 - Flores 4 y Tebsa - Barranquilla. </t>
  </si>
  <si>
    <t>Caracolí – Malambo 1 110 kV / Caracolí – Malambo 2 110 kV</t>
  </si>
  <si>
    <t>"+LinCrcMal11","+LinCrcMal12"</t>
  </si>
  <si>
    <t>Solar Caracolí</t>
  </si>
  <si>
    <t xml:space="preserve">• Balance de generación entre Solar Caracolí - Flores 1 - Flores 4 y Tebsa - Barranquilla. </t>
  </si>
  <si>
    <t>Dependiente del escenario de generación</t>
  </si>
  <si>
    <t xml:space="preserve">Estambul – Juanchito 1 115 kV / Estambul - Juanchito 2 115 kV </t>
  </si>
  <si>
    <t>"+LinEstJua11", "+LinEstJua12"</t>
  </si>
  <si>
    <t>No</t>
  </si>
  <si>
    <t>Urabá – Nueva Colonia 110 kV / Urabá – Apartadó 110 kV</t>
  </si>
  <si>
    <t>"+CI0806", "+LinNCoUrb11"</t>
  </si>
  <si>
    <t>Alta generación en las subestaciones Apartadó 110 kV y Nueva Colonia 110 kV (con el circuito Apartadó - Caucheras 110 kV abierto en un extremo).</t>
  </si>
  <si>
    <t>Desatender demanda en Apartadó 110 kV o Nueva Colonia 110 kV.</t>
  </si>
  <si>
    <t>Tebsa – Caracolí 220 kV / Tebsa – El Río 220 kV</t>
  </si>
  <si>
    <t>Alta generación Tebsa y Barranquilla y baja en Flores 1 y Flores 4</t>
  </si>
  <si>
    <t>Demanda máxima, media y mínima</t>
  </si>
  <si>
    <t>Programación de unidades mínimas en Boyacá Casanare</t>
  </si>
  <si>
    <t>Programación de unidades mínimas en Norte de Santander</t>
  </si>
  <si>
    <t>Tasajero1 y 2</t>
  </si>
  <si>
    <t>Nsantander</t>
  </si>
  <si>
    <t xml:space="preserve">Loma – El Copey 500 kV / La Jagua – Codazzi 110 kV </t>
  </si>
  <si>
    <t xml:space="preserve">Loma – El Copey 500 kV / El Paso – EL Copey 110 kV </t>
  </si>
  <si>
    <t>Alta generación en la solar Latam y EL Paso con baja generación en otros recursos de la subárea GCM</t>
  </si>
  <si>
    <t>Latam y El Paso</t>
  </si>
  <si>
    <t>PTRA00325</t>
  </si>
  <si>
    <r>
      <rPr>
        <b/>
        <sz val="10"/>
        <color theme="1"/>
        <rFont val="Arial"/>
        <family val="2"/>
      </rPr>
      <t xml:space="preserve">PTRA00325 </t>
    </r>
    <r>
      <rPr>
        <sz val="10"/>
        <color theme="1"/>
        <rFont val="Arial"/>
        <family val="2"/>
      </rPr>
      <t>UPME 06 - 2017 S/E Colectora 1 500 kV, LT doble circuito Colectora - Cuestecitas 500 kV y LT Cuestecitas - La Loma 500 kV</t>
    </r>
  </si>
  <si>
    <t>Evaluar aumento de capacidad del conductor. Implementar ESPS</t>
  </si>
  <si>
    <t>• Balance de generación entre los rescursos solares Latam y El Paso y la generación al interior de la subárea</t>
  </si>
  <si>
    <t>nueva</t>
  </si>
  <si>
    <t>Termotasajero 1</t>
  </si>
  <si>
    <t>Termotasajero 2</t>
  </si>
  <si>
    <t>Sabanalarga 2 500/220 kV / Sabanalarga 1 y 3 500/220 kV</t>
  </si>
  <si>
    <t>Alta generación recursos de generación a conectar en Sabanalarga 500 kV</t>
  </si>
  <si>
    <t>Recursos en Sabanalarga 500 kV</t>
  </si>
  <si>
    <t>Genergación al interior de Caribe 2</t>
  </si>
  <si>
    <t>Fundación Solar</t>
  </si>
  <si>
    <t xml:space="preserve">Latam Solar </t>
  </si>
  <si>
    <t>El Paso Solar</t>
  </si>
  <si>
    <t>gSLAT150</t>
  </si>
  <si>
    <t>gSPaso</t>
  </si>
  <si>
    <t>gSNabus</t>
  </si>
  <si>
    <t>Operar acoplada la subestación Termoflores 110 kV. Recomendación al OR y UPME aumentar capacidad de CC de las subestaciones Flores, Centro, Oasis 110 kV</t>
  </si>
  <si>
    <t>Termoflores - Las Flores 2 110 / Termoflores - Las Flores 1 110 kV</t>
  </si>
  <si>
    <t>Flores 4 Gen 3 Gas</t>
  </si>
  <si>
    <t>Flores 4 Gen 4 Vapor</t>
  </si>
  <si>
    <t>gFloresIV3</t>
  </si>
  <si>
    <t>gFloresIV2</t>
  </si>
  <si>
    <t>Flores 4 Gen 2 Gas</t>
  </si>
  <si>
    <t>"-CI0890"</t>
  </si>
  <si>
    <t>Termoflores - Oasis 2 110 (acople abierto)</t>
  </si>
  <si>
    <t>"+TR0483","+CI0743-2"</t>
  </si>
  <si>
    <t>"+TrfVal2372","+TrfVal2312"</t>
  </si>
  <si>
    <t>"+TrfVal2312","+TrfVal2372"</t>
  </si>
  <si>
    <t>Nueva</t>
  </si>
  <si>
    <r>
      <rPr>
        <b/>
        <sz val="10"/>
        <color theme="1"/>
        <rFont val="Arial"/>
        <family val="2"/>
      </rPr>
      <t>PTRA05302:</t>
    </r>
    <r>
      <rPr>
        <sz val="10"/>
        <color theme="1"/>
        <rFont val="Arial"/>
        <family val="2"/>
      </rPr>
      <t xml:space="preserve"> Nueva San Juan 110 kV</t>
    </r>
  </si>
  <si>
    <t>PTRA05302</t>
  </si>
  <si>
    <t>ReqUnidades_BoyacaCasanare</t>
  </si>
  <si>
    <r>
      <t xml:space="preserve">Tabla con los requerimientos de unidades en la subárea Boyacá-Casanare. La demanda listada debe ser medida en la subárea Boyacá-Casanare, por esta razón se lista esta única subárea en dicha tabla.
Para el requerimiento de Yopal se debe validar que dentro del total para el segmento de demanda, exista al menos el número de unidades requeridas entre las que están conectadas a este nodo.
Para más detalle consultar el IPOEMP vigente.
</t>
    </r>
    <r>
      <rPr>
        <sz val="12"/>
        <color theme="1" tint="0.34998626667073579"/>
        <rFont val="Consolas"/>
        <family val="3"/>
      </rPr>
      <t>Nota para el admin de este doc: En Nordeste el nombre de la columna que condiciona las yopales debe ser "1. YOPALES (2,3,4 y 5)". No cambiar.</t>
    </r>
  </si>
  <si>
    <t>ReqUnidades_NSantander</t>
  </si>
  <si>
    <t>Tabla con los requerimientos de unidades en la subárea Norte de Santander. La demanda listada debe ser medida en la subárea Norte de Santander, por esta razón se lista esta única subárea en dicha tabla.
Para más detalle consultar el IPOEMP vigente.</t>
  </si>
  <si>
    <t>Restricciones_Futuras</t>
  </si>
  <si>
    <t>Lista detallada de las restricciones eléctricas por área y subárea que se espera que se materialicen en el horizonte del mediano plazo. Esto está supeditado a la entrada de proyectos, crecimiento de demanda y otros factores.
Para más información, por favor, remitirse al IPOEMP vigente.</t>
  </si>
  <si>
    <t>RADIALIDADES</t>
  </si>
  <si>
    <t>Listado de las radialidades actuales del SIN. Por radialdiad debe entenderse que existe carga alimentada por un único circuito y que, por ende, la desconexión de este circuito causará la desatención de dicha demanda.</t>
  </si>
  <si>
    <t>Bandas VQC</t>
  </si>
  <si>
    <t>Bandas de tensión en los niveles 230 kV y 500 kV para los controladores de tensión VQC en el sistema por cada periodo del día.</t>
  </si>
  <si>
    <t>Oasis - Silencio 110 kV / Oasis - Centro 110 kV</t>
  </si>
  <si>
    <t>"+CI0316","-CI0123"</t>
  </si>
  <si>
    <t xml:space="preserve">Balance de generación entre Flores 1 - Flores 4 y Tebsa – Barranquilla. De no ser posible eliminar esta restricción con balance de generación, verificar suficiencia ESPS sobrecarga de Oasis – Centro 110 kV </t>
  </si>
  <si>
    <r>
      <rPr>
        <b/>
        <sz val="10"/>
        <rFont val="Arial"/>
        <family val="2"/>
      </rPr>
      <t>PTRA00669</t>
    </r>
    <r>
      <rPr>
        <sz val="10"/>
        <rFont val="Arial"/>
        <family val="2"/>
      </rPr>
      <t xml:space="preserve">: Convocatoria Atlántico </t>
    </r>
    <r>
      <rPr>
        <b/>
        <sz val="10"/>
        <rFont val="Arial"/>
        <family val="2"/>
      </rPr>
      <t>ETAPA 4</t>
    </r>
    <r>
      <rPr>
        <sz val="10"/>
        <rFont val="Arial"/>
        <family val="2"/>
      </rPr>
      <t xml:space="preserve"> Subestación Estadio 110 kV y circuitos asociados</t>
    </r>
  </si>
  <si>
    <t>AAAAMMDD_NOTA</t>
  </si>
  <si>
    <t>20231102_Con el ingreso de la etapa 4 del proyectos UPME STR-02 Atlántico se eliminó esta restricción</t>
  </si>
  <si>
    <t>20231103_Con el ingreso de la etapa 5 del proyectos UPME STR-02 Atlántico se eliminó esta restricción</t>
  </si>
  <si>
    <t>20231029_Con la entrada en operación del segundo transformador El Carmen 110/66/13.8kV empachado con el transformador El Carmen 1 110/66/13.8kV en los niveles de tensión 110kV y 66kV</t>
  </si>
  <si>
    <t>Cuando ingresa la restricción?</t>
  </si>
  <si>
    <t>Ingresa con los trafos de El Río 220/110kV</t>
  </si>
  <si>
    <t>Ingresa con el proyecto Guayepo 400MW</t>
  </si>
  <si>
    <t>"-LinCopLom512","-linCodJag11"</t>
  </si>
  <si>
    <t>"-LinCopLom512","-LinCopEPa11"</t>
  </si>
  <si>
    <t>Baja tensión en los nodos El Paso y La Jagua 110 kV en estado normal de operación y ante N-1 de La Loma – EL Copey - 500 kV o Chinú - El Copey 500 kV</t>
  </si>
  <si>
    <t>Operar con perfil alto de tensión en nodos de la subárea GCM, buscar alta tensión en los nodos de EL Paso y La Jagua110 kV. Cubrir con MW internos las posibles restricciones por sobrecarga ante contingencia sencilla. Realizar conexión de bancos capacitivos al interior</t>
  </si>
  <si>
    <r>
      <rPr>
        <b/>
        <sz val="10"/>
        <color theme="1"/>
        <rFont val="Arial"/>
        <family val="2"/>
      </rPr>
      <t>PTRA00203:</t>
    </r>
    <r>
      <rPr>
        <sz val="10"/>
        <color theme="1"/>
        <rFont val="Arial"/>
        <family val="2"/>
      </rPr>
      <t xml:space="preserve"> Circuitos a 110 kV La Loma – La Jagua y La Loma – El Paso</t>
    </r>
  </si>
  <si>
    <t>PTRA00203</t>
  </si>
  <si>
    <t>Valledupar 11 220/110 kV / Valledupar 2 220/110 kV</t>
  </si>
  <si>
    <t>"+TrfVll2111","+TrfVal2131"</t>
  </si>
  <si>
    <t xml:space="preserve">Dependiente de la demanda </t>
  </si>
  <si>
    <t xml:space="preserve">Validar sufiiencia del ESPS asociado a sobrecarga del ATR Valledupar 2 220/110 kV. Evaluar la necesidad de solicitar desatención de demanda. En Valledupar 34,5 kV no cerrar interruptor 5100 sin la aprobación del equipo de protecciones
</t>
  </si>
  <si>
    <r>
      <rPr>
        <b/>
        <sz val="10"/>
        <color theme="1"/>
        <rFont val="Arial"/>
        <family val="2"/>
      </rPr>
      <t>PTRA00203:</t>
    </r>
    <r>
      <rPr>
        <sz val="10"/>
        <color theme="1"/>
        <rFont val="Arial"/>
        <family val="2"/>
      </rPr>
      <t xml:space="preserve"> Circuito La Loma – La Jagua 110 kV </t>
    </r>
  </si>
  <si>
    <t>Copey 1 500/220 kV / Copey 2 500/220 kV</t>
  </si>
  <si>
    <t>"+TrfCop5231","+TrfCop5232"</t>
  </si>
  <si>
    <t>20231201_Con el ingreso del proyecto La Loma – El Paso y La Loma - La Jagua a 110 kV se eliminan estas restricciones</t>
  </si>
  <si>
    <t xml:space="preserve">Todos los escenarios de demanda sin generación de la PCH Barroso </t>
  </si>
  <si>
    <t>Cértegui - Virginia 115 kV  / Baja tensión red 115 kV Dispac</t>
  </si>
  <si>
    <t>Quibdó - Cértegui 115 kV  / Baja tensión red 115 kV Dispac</t>
  </si>
  <si>
    <t>Demanda máxima y media sin generación de la PCH Barroso</t>
  </si>
  <si>
    <t>1) Limitar generación en cualquiera de las siguientes plantas: Alta generación en Autog Argos 15MW, Autog Argos Sogamoso Menor Termobolivar y en MYopal 1, Termomechero 4, Termomechero 5, Termomechero 6, Yopal 2, Yopal 3, Yopal 4, Yopal 5.
2) Incrementar generación en Paipa 4 y Tasajero</t>
  </si>
  <si>
    <t>Termoyopal, Termomechero</t>
  </si>
  <si>
    <t xml:space="preserve"> Suamox - Belencito 1 115 kV / Suamox - San Antonio 1 115 kV</t>
  </si>
  <si>
    <t>Termoyopal y Termomechero</t>
  </si>
  <si>
    <t>Suamox - San Antonio 1 115 kV / Suamox - Belencito 1 115 kV</t>
  </si>
  <si>
    <t>Se recomienda al OR evaluar la implementación de un esquema suplementario que desconecte un condensandor automaticamente cuando se tenga una sobretensión.</t>
  </si>
  <si>
    <t>Reforma - Ocoa 2 115 kV / Reforma - Ocoa 1 115 kV</t>
  </si>
  <si>
    <t>Reforma - Ocoa 1 115 kV / Reforma - Ocoa 2 115 kV</t>
  </si>
  <si>
    <t xml:space="preserve"> San Antonio - Belencito 1 115 kV / San Antonio - Suamox 1 115 kV </t>
  </si>
  <si>
    <t>"+ExpTrf0048","+ExpTrf0081"</t>
  </si>
  <si>
    <t>Alta generación en Caribe, baja generación en Antioquia pero alta generación en Ituango y Porce III</t>
  </si>
  <si>
    <t>En orden de impacto:
1. Bajar generación en Ituango.
2. Subir generación en Antioquia, principalmente Guadalupe y Porce II.
3. Bajar generación en Caribe.
4. Bajar generación en Porce III.</t>
  </si>
  <si>
    <t>Ituango, Porce III, Gecelca 3, Gecelca 32, Candelaria</t>
  </si>
  <si>
    <t>Carlos Lleras, La Tasajera, Guadalupe IV, Porce II</t>
  </si>
  <si>
    <t>Heliconia 1 500/230 kV / Heliconia 2 500/230 kV</t>
  </si>
  <si>
    <t>Paipas, Yopal y Zipas (Si cerrado)</t>
  </si>
  <si>
    <t>20231215_Actualización de parámetros técnicos de línea Bocagrande-Bosque 1 66kV</t>
  </si>
  <si>
    <t>Demandas máxima, media y mínima, en escenarios de alta generación en Betania, Quimbo, alta importación desde Ecuador, baja generación en el área oriental y alta generación en el Valle, baja generación a nivel de 115 kV en Huila-Tolima, Prado, Amoyá y Cucuana.</t>
  </si>
  <si>
    <t>Primavera - Bacata 500 kV / Brisas - Nva Cajamarca 1 115 kV</t>
  </si>
  <si>
    <t>"-PmvBac500,"+LinBriNca11"</t>
  </si>
  <si>
    <t>Demanda mínima. Alta generación en Huila-Tolima, Amoyá, Prado, Cucuana, Betania y Quimbo, alta generación en Oriental, generación mínima en Valle y CQR y alta importación desde Ecuador.</t>
  </si>
  <si>
    <t>La acción más efectiva para controlar el corte es reducir la generación en Huila – Tolima y aumentar la generación en el Valle y CQR</t>
  </si>
  <si>
    <t>Primavera - Bacata 500 kV / Nva Cajamarca - Regevit 1 115 kV</t>
  </si>
  <si>
    <t>"-PmvBac500","+LinCajNca11"</t>
  </si>
  <si>
    <t>Demandas máxima y media. Alta generación en el Valle, Antioquia y Caribe, alta exportación hacia Ecuador y baja generación en Betania, Quimbo, CQR y Oriental</t>
  </si>
  <si>
    <t>La acción más efectiva para controlar el corte es aumentar la generación en Huila – Tolima y reducir la generación en el Valle y CQR</t>
  </si>
  <si>
    <t>PTRA01398</t>
  </si>
  <si>
    <t>Betania, Quimbo, Amoyá, Prado y Cucuana</t>
  </si>
  <si>
    <t>Quimbo, Betania y Oriental.</t>
  </si>
  <si>
    <t>Calima, Emcali, Termovalle y Salvajina</t>
  </si>
  <si>
    <t>Antioquia y Valle</t>
  </si>
  <si>
    <r>
      <rPr>
        <b/>
        <sz val="10"/>
        <color theme="1"/>
        <rFont val="Arial"/>
        <family val="2"/>
      </rPr>
      <t xml:space="preserve">PTRA01398:
</t>
    </r>
    <r>
      <rPr>
        <sz val="10"/>
        <color theme="1"/>
        <rFont val="Arial"/>
        <family val="2"/>
      </rPr>
      <t>Repotenciación líneas STR-Tolima.
Especialmente la repotenciación de los circuitos: CAJAMARCA - REGIVIT 115 kV	y BRISAS - CAJAMARCA 115 kV de 400 A a 757 A.
Fecha de entrada: 18/12/2023</t>
    </r>
  </si>
  <si>
    <r>
      <rPr>
        <b/>
        <sz val="10"/>
        <color theme="1"/>
        <rFont val="Arial"/>
        <family val="2"/>
      </rPr>
      <t xml:space="preserve">PTRA01398:
</t>
    </r>
    <r>
      <rPr>
        <sz val="10"/>
        <color theme="1"/>
        <rFont val="Arial"/>
        <family val="2"/>
      </rPr>
      <t>Repotenciación líneas STR-Tolima.
Especialmente la repotenciación de los circuitos: CAJAMARCA - REGIVIT 115 kV	y BRISAS - CAJAMARCA 115 kV de 400 A a 757 A.
Fecha de entrada: 18/12/2024</t>
    </r>
    <r>
      <rPr>
        <sz val="11"/>
        <color theme="1"/>
        <rFont val="Calibri"/>
        <family val="2"/>
        <scheme val="minor"/>
      </rPr>
      <t/>
    </r>
  </si>
  <si>
    <t>Agotamiento capacidad de cortocircuito de Juanchito 115 kV</t>
  </si>
  <si>
    <t>Aumento de capacidad de corto circuito a de 26.2 kA a 40 kA</t>
  </si>
  <si>
    <t>20231226_Actualización de parámetros por parte del OR</t>
  </si>
  <si>
    <r>
      <rPr>
        <b/>
        <sz val="10"/>
        <color theme="1"/>
        <rFont val="Arial"/>
        <family val="2"/>
      </rPr>
      <t>PTRA02446</t>
    </r>
    <r>
      <rPr>
        <sz val="10"/>
        <color theme="1"/>
        <rFont val="Arial"/>
        <family val="2"/>
      </rPr>
      <t>: Subestación Campestre 66 kV, mitiga pero no es suficiente</t>
    </r>
  </si>
  <si>
    <t>Termoflores - Las Flores 1 110 / Termoflores - Las Flores 2 110 kV</t>
  </si>
  <si>
    <t>"-CI0564,"-LinLflTfl11"</t>
  </si>
  <si>
    <t>"-LinLflTfl11","-CI0564</t>
  </si>
  <si>
    <t>Ancón Sur (EPM) - Amagá 110 kV / Baja tensión red 115 kV Dispac</t>
  </si>
  <si>
    <t>Demanda máxima con baja generación en Barroso y Bolombolo</t>
  </si>
  <si>
    <t>Amagá - Bolombolo 1 110 kV / Baja tensión red 115 kV Dispac</t>
  </si>
  <si>
    <t>Jamondino - Jardinera 115 kV / Bajas tensiones en Tumaco 115 kV y Junín 115 kV</t>
  </si>
  <si>
    <t>- Conectar compensación capacitiva en Panamericana
- Emplear taps de Jamondino 220/115 kV para incrementar tensiones en el corredor</t>
  </si>
  <si>
    <t>Jamondino - Panamericana 115 kV / Jamondino - Jardinera 115 kV</t>
  </si>
  <si>
    <t>San Marcos - Buga 115 kV / San Marcos 1 - Vijes 115 kV</t>
  </si>
  <si>
    <t>En orden impacto, se tiene:
- Aumentar generación en Calima
- Aumentar generación de las centrales dispuestas en Tuluá y Zarzal
- Disminuir generación en Termovalle
- Disminuir generación en Alto Anchicayá</t>
  </si>
  <si>
    <t>Termovalle
Salvajina
Betania
Alto Anchicayá</t>
  </si>
  <si>
    <t>Calima
PCH Alto Tuluá
PCH Bajo Tuluá</t>
  </si>
  <si>
    <t>Alta demanda con baja generación en Calima y en el parque de generación dispuesto en las subestaciones Tuluá y Zarzal. Adicionalmente, alta generación en Termovalle, Alto Anchicayá, Salvajina, Betania y Quimbo</t>
  </si>
  <si>
    <t>Resumen consolidado de recomendación para demanda mínima</t>
  </si>
  <si>
    <t>Área Caribe</t>
  </si>
  <si>
    <t>Área Nordeste</t>
  </si>
  <si>
    <t>Área Oriental</t>
  </si>
  <si>
    <t>Área Antioquia</t>
  </si>
  <si>
    <t>En escenarios con demandas mínimas atípicas en Antioquia (en el rango entre 700 y 800 MW), las cuales pueden presentarse en festividades particulares como semana santa, será necesario el despacho de por lo menos dos unidades físicas de San Carlos para control de tensión. De presentarse demandas entre 600 y 700 MW, dicho requerimiento de unidades pasará a ser de cuatro unidades físicas.</t>
  </si>
  <si>
    <t>Área Suroccidental</t>
  </si>
  <si>
    <t xml:space="preserve">De otro lado,  en caso de observar escenarios operativos dónde de acuerdo a al procedimiento establecido en la resolución CREG 025 del 1995 se requiera bajar tensión, pueden explorarse opciones de desconexión de líneas como las siguientes: </t>
  </si>
  <si>
    <t>20240319_La demanda del MP y los proyectos de generación aún no activa esta restricción</t>
  </si>
  <si>
    <t>20240319_Esta restricción se elimina por el ingreso de Magdalena 110kV</t>
  </si>
  <si>
    <t>"+LinNMnRSn11","-CI0975</t>
  </si>
  <si>
    <t xml:space="preserve">Demanda máxima y media.
</t>
  </si>
  <si>
    <t>• Validar suficiencia del ESPS de sobrecarga Urrá-Tierra Alta 110 kV</t>
  </si>
  <si>
    <t>Urrá - Urabá 230 kV / Urrá - Tierra Alta 110 kV</t>
  </si>
  <si>
    <t>"-LinUrbUrr21","-CI0975"</t>
  </si>
  <si>
    <t xml:space="preserve">Demanda máxima y media.
Alta generación en Urrá
</t>
  </si>
  <si>
    <t>Limitar la generación de Urrá</t>
  </si>
  <si>
    <t>Si aplica</t>
  </si>
  <si>
    <t>Valledupar – Guatapurí 34,5 kV LN 599 / Valledupar – Guatapurí 34,5 kV LN 513</t>
  </si>
  <si>
    <t>"-LinGuaVal71","-LinGuaVal72"</t>
  </si>
  <si>
    <t>S200 Chivor 230 kV (Barra 1-Sección 1 a Barra 1-Sección 2) / Chivor - Guavio 2 230 kV</t>
  </si>
  <si>
    <t>Calizas – Rio Claro 1 110 kV / Calderas – Guatapé 1 110 kV</t>
  </si>
  <si>
    <t>"+LinClzRcl11","+NOR-CLD-GTP1"</t>
  </si>
  <si>
    <t>Demanda mínima con alta generación de las plantas menores en Antioquia</t>
  </si>
  <si>
    <t>Bajar generación en las unidades de San Miguel y menores (&lt;20MW).</t>
  </si>
  <si>
    <t>PTRA00324: UPME 10 -2021 Subestación San Lorenzo 230 kV.</t>
  </si>
  <si>
    <t>Calderas, Popal, San Miguel, San Matías, El Molino</t>
  </si>
  <si>
    <t>20240321_En el horizonte analizado no se observó la restricción</t>
  </si>
  <si>
    <t>Zona CANO</t>
  </si>
  <si>
    <t>Reforma 3 230/115 kV / Reforma 2 230/115 kV</t>
  </si>
  <si>
    <t>"+TrfRef2173","+Trfref2172"</t>
  </si>
  <si>
    <t>Reforma - Barzal 115 kV / Reforma - Ocoa 1 115 kV</t>
  </si>
  <si>
    <t>"-LinBrzVil11","-CI1043"</t>
  </si>
  <si>
    <t>Reforma - Barzal 115 kV / Reforma - Ocoa 2 115 kV</t>
  </si>
  <si>
    <t>"-LinBrzVil11","-CI1042"</t>
  </si>
  <si>
    <t xml:space="preserve">Santa Helena - Suria 115 kV </t>
  </si>
  <si>
    <t>"+LinSHeSur11"</t>
  </si>
  <si>
    <t>En escenarios con demandas mínimas atípicas en Oriental (en el rango entre 1200 y 1400 MW), las cuales pueden presentarse en festividades particulares como semana santa, será necesario acompañar el requerimiento de unidades de Oriental con al menos dos unidades físicas de San Carlos, esto debido a que es la planta más efectiva en el control de potencia reactiva a través de la red 500 kV que ingresa al área.</t>
  </si>
  <si>
    <t>En escenarios con demandas mínimas atípicas en Nordeste (en el rango entre 750 y 850 MW, menor a 245 MW en Boyacá Casanare y menor a 175 MW en Norte de Santander), las cuales pueden presentarse en festividades particulares como semana santa, no se identifica la necesidad de requerimientos adicionales para control de tensión.</t>
  </si>
  <si>
    <t xml:space="preserve">Reforma 115 kV </t>
  </si>
  <si>
    <t>Guavio 220 kV</t>
  </si>
  <si>
    <t xml:space="preserve">Chivor 220 kV </t>
  </si>
  <si>
    <t xml:space="preserve">Ocaña 220 kV </t>
  </si>
  <si>
    <t xml:space="preserve">San Mateo 220 kV </t>
  </si>
  <si>
    <t xml:space="preserve">Sogamoso 220 kV </t>
  </si>
  <si>
    <t xml:space="preserve">Banadía 220 kV </t>
  </si>
  <si>
    <t>Restricciones en estado Normal</t>
  </si>
  <si>
    <t>Evaluar la pertinencia de disminuir el número y unidades en línea</t>
  </si>
  <si>
    <t>Limitar la generación en Paraíso y Guaca es la acción más efectiva.
Incremento de generación en Guavio y Chivor</t>
  </si>
  <si>
    <t>Limitar generación en Pagua es la acción más efectiva.
Limitar generación en Darío Valencia</t>
  </si>
  <si>
    <t>La acción más efectiva para mitigar el corte es balancear la generación entre las dos etapas de Chivor.
Adicionalmente, se recomienda aumentar la generación en los recursos Paraíso, Guaca, Guavio y bajar generación en Chivor y en las plantas de Nordeste.</t>
  </si>
  <si>
    <t>Limitar la generación de Chivor.
Incremento de la generación en Guavio.
En caso de que sea asignado el AGC a la planta Chivor, se debe verificar el escenario de generación: Chivor = generación programada + holgura asignada.</t>
  </si>
  <si>
    <t>* Con Guateque Sesquilé 115 kV Abierto:
Incremento de generación en Paipas y Yopal.
Limitación de generación en Chivor y Guavio (son los recursos de menos sensibilidad al corte, pero debido a su CEN regulan el corte).
* Con Guateque Sesquilé 115 kV Cerrado:
Incremento de generación en Zipa, Paipas y Yopal.
Limitación de generación en Chivor y Guavio (son los recursos de menos sensibilidad al corte, pero debido a su CEN regulan el corte)</t>
  </si>
  <si>
    <t>Con Guateque Sesquilé 115 kV Cerrado:
Incremento de generación en Zipa es la acción más efectiva.
Incremento en generación de Paipas.
Limitación de generación de Yopal.
Limitación de generación en Chivor y Guavio (son los recursos de menos sensibilidad al corte, pero debido a su CEN regulan el corte)</t>
  </si>
  <si>
    <t>Con Guateque Sesquilé 115 kV Cerrado:
Incremento de generación en Zipa es la acción más efectiva.
Incremento de generación en Paipas y Yopal.
Limitación de generación en Chivor y Guavio (son los recursos de menos sensibilidad al corte, pero debido a su CEN regulan el corte)</t>
  </si>
  <si>
    <t>Con Guateque Sesquilé 115 kV Cerrado:
Incremento de generación en Zipa es la acción más efectiva.
Limitación de generación en Paipas y Yopal.
Limitación de generación en Chivor y Guavio (son los recursos de menos sensibilidad al corte, pero debido a su CEN regulan el corte)</t>
  </si>
  <si>
    <t>Con Guateque Sesquilé 115 kV Cerrado:
Incremento de generación en Zipa es la acción más efectiva
Limitación de generación en Paipas y Yopal.
Limitación de generación en Chivor y Guavio (son los recursos de menos sensibilidad al corte, pero debido a su CEN regulan el corte)</t>
  </si>
  <si>
    <t>Agotamiento capacidad de cortocircuito de Salitre 57.5 kV</t>
  </si>
  <si>
    <t>Agotamiento capacidad de cortocircuito de El Río 110 kV</t>
  </si>
  <si>
    <t>Agotamiento capacidad de cortocircuito de Centro 110 kV</t>
  </si>
  <si>
    <t>Agotamiento capacidad de cortocircuito de Tebsa 110 kV</t>
  </si>
  <si>
    <t>Agotamiento capacidad de cortocircuito de Termoflores 110 kV</t>
  </si>
  <si>
    <t>Agotamiento capacidad de cortocircuito de Nueva Magdalena 110 kV</t>
  </si>
  <si>
    <t>Agotamiento capacidad de cortocircuito de Unión 110 kV</t>
  </si>
  <si>
    <r>
      <rPr>
        <b/>
        <sz val="10"/>
        <rFont val="Arial"/>
        <family val="2"/>
      </rPr>
      <t xml:space="preserve">No hay obra de expansión definida en el horizonte de Mediano Plazo. 
</t>
    </r>
    <r>
      <rPr>
        <sz val="10"/>
        <rFont val="Arial"/>
        <family val="2"/>
      </rPr>
      <t>Se requiere evaluar la pertinencia de aumentar la capacidad de corto circuito de Cerromatoso 110 kV (capacidad actual 25 KA)</t>
    </r>
  </si>
  <si>
    <t>Agotamiento capacidad de cortocircuito de Ternera 66 kV</t>
  </si>
  <si>
    <t>Agotamiento capacidad de cortocircuito de Chinú 110 kV</t>
  </si>
  <si>
    <r>
      <rPr>
        <b/>
        <sz val="10"/>
        <rFont val="Arial"/>
        <family val="2"/>
      </rPr>
      <t>No hay obra de expansión definida en el horizonte de Mediano Plazo</t>
    </r>
    <r>
      <rPr>
        <sz val="10"/>
        <rFont val="Arial"/>
        <family val="2"/>
      </rPr>
      <t>. Aumento de capacidad de corto circuito de Flores 110 kV (capacidad actual 31,5 kA de ambas subestaciones)</t>
    </r>
  </si>
  <si>
    <t>Limitar el número de unidades en línea de la subárea Atlántico para mitigar la condición.</t>
  </si>
  <si>
    <t>Con recursos de generación de la subárea en línea es posible superar la capacidad de cortocircuito de estas subestaciones por lo que se deben tomar las siguientes medidas, primero la apertura de la bahía de línea en Las Flores hacia El Río 110 kV, segundo desacoplar Termoflores 110 kV, y tercero limitar el número de unidades en línea para mitigar la condición.</t>
  </si>
  <si>
    <t>Córdoba-Sucre</t>
  </si>
  <si>
    <t>Agotamiento capacidad de cortocircuito de Guatapé 220 kV</t>
  </si>
  <si>
    <t>"-CI0585","+LinSMaVij11"</t>
  </si>
  <si>
    <t>Sobrecarga Transformador Chinú 1 500/110 kV</t>
  </si>
  <si>
    <t>"+TrfChn3"</t>
  </si>
  <si>
    <t>"+TrfChn5132"</t>
  </si>
  <si>
    <t>"+TrfChn5131"</t>
  </si>
  <si>
    <t>Sobrecarga Transformador Chinú 2 500/110 kV</t>
  </si>
  <si>
    <t>Sobrecarga Transformador Chinú 3 500/110 kV</t>
  </si>
  <si>
    <t>Demanda máxima</t>
  </si>
  <si>
    <t>PTRA00322: UPME 05 - 2018 S/E Toluviejo 220 kV, LT Chinú - Toluviejo 220 kV y Toluviejo - Bolívar 220 kV
PTRA05304: Nueva Toluviejo 220/110 kV</t>
  </si>
  <si>
    <t>El esquema de los transformadores no opera en esos valores de sobrecarga.  Se recomienda gestionar la reactiva por los transformadores mediante los tapas de Chinú y Montería, para evitar/mitigar la DNA</t>
  </si>
  <si>
    <t>Bacata - El Sol 1 115 kV / Chia - Diaco 1 115 kV</t>
  </si>
  <si>
    <t>"+LinBacSol11","+LinChiDic11"</t>
  </si>
  <si>
    <t>Con Guateque Sesquilé 115 kV Abierto:
Incremento de generación en Zipa.
Mantener adecuado perfil de tensiones en el área y hacer uso de los compensadores existentes de la S/E Ubaté y El Sol 115 kV</t>
  </si>
  <si>
    <t xml:space="preserve">Demanda mínima
Alta generción en Pagua, Darío Valencia y Oriental
Baja generación en Betania y Quimbo
Baja demanda en Guaca, San Mateo y Tunal
</t>
  </si>
  <si>
    <t>20240912_Esta restricción se elimina, ya que existe una más restrictiva Reforma 3 230/115 kV / Reforma 1 230/115 kV</t>
  </si>
  <si>
    <t>20240912_Esta restricción se elimina, ya que se mitiga con la repotenciación de las líneas en Sabana Norte. Se agrega una nueva restricción que corresponde a Bacata - El Sol 1 115 kV / Chia - Diaco 1 115 kV</t>
  </si>
  <si>
    <t>Sobrecarga Valledupar 9 110/34.5 kV</t>
  </si>
  <si>
    <t xml:space="preserve">No hay obra de expansión definida en el horizonte de mediano plazo </t>
  </si>
  <si>
    <t>Emplear recursos de soporte de tensión en la zona, incluídas las centrales de generación Barroso 1 y 2, para aumentar el perfil de tensión en las subestaciones del departamento</t>
  </si>
  <si>
    <t>Demanda minima. Alta generación en suroccidental y alta importación desde Ecuador (altos excedentes desde el suroccidente)</t>
  </si>
  <si>
    <t>Reducir generación en unidades al interior del área suroccidental, especialmente Betania, Alto Anchicayá, Salvajina, Quimbo, Termovalle y Termoemcali</t>
  </si>
  <si>
    <t>Betania, Alto Anchicayá, Salvajina, Quimbo, Termovalle y Termoemcali</t>
  </si>
  <si>
    <t xml:space="preserve">Esta restricción tiene un ESP.
Si el ESP es insuficiente, se recomienda limitar la importación desde Ecuador. De igual manera, se puede balancear generación de la siguiente manera
*Bajar la generación en Betania y Quimbo
*Subir la generación en Salvajina, Termoemcali, Termovalle, Alto Anchicayá y Calima. </t>
  </si>
  <si>
    <t>YOPALES (2,3,4 y 5) -Unidades Físicas</t>
  </si>
  <si>
    <t>Demanda Mínima
Unidades Físicas San Carlos</t>
  </si>
  <si>
    <t>Demanda Mínima - Unidades físicas San Carlos</t>
  </si>
  <si>
    <t>Heliconia 2 500/230 kV / Heliconia 1 500/230 kV</t>
  </si>
  <si>
    <t>"+ExpTrf0081",'"+ExpTrf0048"</t>
  </si>
  <si>
    <t>Emcali Gas</t>
  </si>
  <si>
    <t>TValle Gas</t>
  </si>
  <si>
    <t>Alto Anchicayá 1</t>
  </si>
  <si>
    <t>gAltoan-1</t>
  </si>
  <si>
    <t>Salvajina 3</t>
  </si>
  <si>
    <t>gSalvajin-3</t>
  </si>
  <si>
    <t>Salvajina 2</t>
  </si>
  <si>
    <t>gSalvajin-2</t>
  </si>
  <si>
    <t>Emcali Vapor</t>
  </si>
  <si>
    <t>Salvajina 1</t>
  </si>
  <si>
    <t>gSalvajin-1</t>
  </si>
  <si>
    <t>TValle Vapor</t>
  </si>
  <si>
    <t>Alto Anchicayá 2 y 3</t>
  </si>
  <si>
    <t>gAltoan-2
gAltoan-3</t>
  </si>
  <si>
    <t>Amoyá 1 y 2</t>
  </si>
  <si>
    <t>Bajo Anchicayá</t>
  </si>
  <si>
    <t>Prado 1,2 y 3</t>
  </si>
  <si>
    <t>Solar Tepuy 83MW</t>
  </si>
  <si>
    <t>gSTep1</t>
  </si>
  <si>
    <t>Esmeralda</t>
  </si>
  <si>
    <t>gEsmera-1
gEsmera-2</t>
  </si>
  <si>
    <t>gItuango1
gItuango2
gItuango3
gItuango4</t>
  </si>
  <si>
    <t>Dorada</t>
  </si>
  <si>
    <t>Chivor 1 150 MVA 115/13.8/230 kV / Guavio 115/13.2/230 kV</t>
  </si>
  <si>
    <t>"-TrfChv2171","-TrfGua217"</t>
  </si>
  <si>
    <t>"-TrfChv2171","-linGvioMamb11"</t>
  </si>
  <si>
    <t xml:space="preserve">Guateque Sesquilé 115 kV Abierto.
Alta generación Nordeste: Paipa, Yopal, Termomechero, Tunjita, AutogeneradorGuavio, Sogamoso, Merielectrica y Tasajero.
Baja generación Oriental. </t>
  </si>
  <si>
    <t xml:space="preserve">* Con Guateque Sesquilé 115 kV Abierto:
Limitación de generación en Paipas, Termomechero y Yopal.
Incremento de generación en Chivor y Guavio.
Limitación Merielectrica, Sogamoso.
</t>
  </si>
  <si>
    <t xml:space="preserve">Paipa, Yopal, Termomechero, Sogamoso, Merieléctrica </t>
  </si>
  <si>
    <t>Chivor y Guavio</t>
  </si>
  <si>
    <t>Chivor 1 150 MVA 115/13.8/230 kV / Mambita - Guavio 1 115 kV</t>
  </si>
  <si>
    <t>1201-1300</t>
  </si>
  <si>
    <t>1301-1400</t>
  </si>
  <si>
    <t>Ancon EPM 220</t>
  </si>
  <si>
    <t>NtpAEPM2</t>
  </si>
  <si>
    <t>Barroso 110</t>
  </si>
  <si>
    <t>NtpBarr1</t>
  </si>
  <si>
    <t>Central 110</t>
  </si>
  <si>
    <t>NtpCenl1</t>
  </si>
  <si>
    <t>Certegui 115</t>
  </si>
  <si>
    <t>NtpCert1</t>
  </si>
  <si>
    <t>Envigado 220</t>
  </si>
  <si>
    <t>NtpEnvi2</t>
  </si>
  <si>
    <t>Guayabal 220</t>
  </si>
  <si>
    <t>NtpGuay2</t>
  </si>
  <si>
    <t>La Sierra 220</t>
  </si>
  <si>
    <t>NtpLSie2</t>
  </si>
  <si>
    <t>Playas 110</t>
  </si>
  <si>
    <t>NtpPlay1</t>
  </si>
  <si>
    <t>Primavera 220</t>
  </si>
  <si>
    <t>NtpPrim2</t>
  </si>
  <si>
    <t>San Carlos 220</t>
  </si>
  <si>
    <t>NtpSCar2</t>
  </si>
  <si>
    <t>San Carlos 500</t>
  </si>
  <si>
    <t>NtpSCar5</t>
  </si>
  <si>
    <t>Bolivar 220</t>
  </si>
  <si>
    <t>NtpBoli2</t>
  </si>
  <si>
    <t>Bolivar 500</t>
  </si>
  <si>
    <t>NtpBol5</t>
  </si>
  <si>
    <t>Cerromatoso 220</t>
  </si>
  <si>
    <t>NtpCerr2</t>
  </si>
  <si>
    <t>Chinu 110</t>
  </si>
  <si>
    <t>NtpChin1</t>
  </si>
  <si>
    <t>Chinu 500</t>
  </si>
  <si>
    <t>NtpChin5</t>
  </si>
  <si>
    <t>El Bosque 66</t>
  </si>
  <si>
    <t>NtpBosq6</t>
  </si>
  <si>
    <t>Ternera 66</t>
  </si>
  <si>
    <t>NtpTern6</t>
  </si>
  <si>
    <t>El Copey 110</t>
  </si>
  <si>
    <t>NtpCope1</t>
  </si>
  <si>
    <t>El Copey 220</t>
  </si>
  <si>
    <t>NtpCope2</t>
  </si>
  <si>
    <t>El Copey 500</t>
  </si>
  <si>
    <t>NtpECop5</t>
  </si>
  <si>
    <t>Fundacion 220</t>
  </si>
  <si>
    <t>NtpFun2</t>
  </si>
  <si>
    <t>Monteria 110</t>
  </si>
  <si>
    <t>NtpsMon1</t>
  </si>
  <si>
    <t>Sabanalarga 220</t>
  </si>
  <si>
    <t>NtpSaba2</t>
  </si>
  <si>
    <t>Sabanalarga 500</t>
  </si>
  <si>
    <t>NtpSaba5</t>
  </si>
  <si>
    <t>Cuestecitas 110</t>
  </si>
  <si>
    <t>NtpCues1</t>
  </si>
  <si>
    <t>La Loma 110</t>
  </si>
  <si>
    <t>NtpsLom1</t>
  </si>
  <si>
    <t>Ternera 110</t>
  </si>
  <si>
    <t>NtpTern1</t>
  </si>
  <si>
    <t>Urra 110</t>
  </si>
  <si>
    <t>NtpsUrr1</t>
  </si>
  <si>
    <t>Valledupar 110</t>
  </si>
  <si>
    <t>NtpVall1</t>
  </si>
  <si>
    <t>Valledupar 220</t>
  </si>
  <si>
    <t>NtpVall2</t>
  </si>
  <si>
    <t>Salitre 115</t>
  </si>
  <si>
    <t>NtpSali1</t>
  </si>
  <si>
    <t>El Sol 115</t>
  </si>
  <si>
    <t>NtpESol1</t>
  </si>
  <si>
    <t>Noroeste 115</t>
  </si>
  <si>
    <t>NtpNoro1</t>
  </si>
  <si>
    <t>Circo 115</t>
  </si>
  <si>
    <t>NtpCirc1</t>
  </si>
  <si>
    <t>Bacata 115</t>
  </si>
  <si>
    <t>NtpBaca1</t>
  </si>
  <si>
    <t>Tunal 115</t>
  </si>
  <si>
    <t>NtpTuna1</t>
  </si>
  <si>
    <t>La Reforma 115</t>
  </si>
  <si>
    <t>NtpsRef1</t>
  </si>
  <si>
    <t>Guavio 220</t>
  </si>
  <si>
    <t>NtpGuav2</t>
  </si>
  <si>
    <t>Chivor 220</t>
  </si>
  <si>
    <t>NtpChiv2</t>
  </si>
  <si>
    <t>Bacata 500</t>
  </si>
  <si>
    <t>NtpBaca5</t>
  </si>
  <si>
    <t>Ocaña 500</t>
  </si>
  <si>
    <t>NtpOca5</t>
  </si>
  <si>
    <t>Ocaña 220</t>
  </si>
  <si>
    <t>NtpOcañ2</t>
  </si>
  <si>
    <t>San Mateo 220</t>
  </si>
  <si>
    <t>NtpSMat2</t>
  </si>
  <si>
    <t>Sogamoso 220</t>
  </si>
  <si>
    <t>NtpSoga2</t>
  </si>
  <si>
    <t>Sochagota 220</t>
  </si>
  <si>
    <t>NtpSoch2</t>
  </si>
  <si>
    <t>Banadia 220</t>
  </si>
  <si>
    <t>NtpBana2</t>
  </si>
  <si>
    <t>Paipa 115</t>
  </si>
  <si>
    <t>NtpPaip1</t>
  </si>
  <si>
    <t>Realminas 115</t>
  </si>
  <si>
    <t>NtpReal1</t>
  </si>
  <si>
    <t>San Mateo 115</t>
  </si>
  <si>
    <t>NtpSMat1</t>
  </si>
  <si>
    <t>Yopal 115</t>
  </si>
  <si>
    <t>NtpYopa1</t>
  </si>
  <si>
    <t>Altamira 220</t>
  </si>
  <si>
    <t>NtpAlt2</t>
  </si>
  <si>
    <t>Betania 220</t>
  </si>
  <si>
    <t>NtpBeta2</t>
  </si>
  <si>
    <t>La Enea 220</t>
  </si>
  <si>
    <t>NtpEnea2</t>
  </si>
  <si>
    <t>Esmeralda 220</t>
  </si>
  <si>
    <t>NtpEsme2</t>
  </si>
  <si>
    <t>Jamondino 220</t>
  </si>
  <si>
    <t>NtpJamo2</t>
  </si>
  <si>
    <t>S Bernardino 220</t>
  </si>
  <si>
    <t>NtpSBer2</t>
  </si>
  <si>
    <t>San Marcos 220</t>
  </si>
  <si>
    <t>NtpSMarc2</t>
  </si>
  <si>
    <t>San Marcos 500</t>
  </si>
  <si>
    <t>NtpSMar5</t>
  </si>
  <si>
    <t>La Virginia 220</t>
  </si>
  <si>
    <t>NtpVirg2</t>
  </si>
  <si>
    <t>Substation.loc_name</t>
  </si>
  <si>
    <t>Cucuana</t>
  </si>
  <si>
    <t>gCucuana1
gCucuana2</t>
  </si>
  <si>
    <t>gBetani-1
gBetani-2</t>
  </si>
  <si>
    <t>gCentroG1
gCentroG2
gCentroS1</t>
  </si>
  <si>
    <t>"+Brk06644","-TrfPmv5231"</t>
  </si>
  <si>
    <t>Demanda máxima con baja generación en las centrales de generación de Amagá, Bolombolo, Hispania y Barroso. La restricción se activa tras la toma de carga de Ancón Sur 44 kV por parte de Caldas 115 kV</t>
  </si>
  <si>
    <t>Encender generación dispuesta en las subestaciones Amagá, Bolombolo, Hispania y Barroso</t>
  </si>
  <si>
    <t>Menor R Piedras, PCH Barroso, Mulatos II, PCH Agua Fresca</t>
  </si>
  <si>
    <t>"-LrtSmaVir51r","-Brk06468"</t>
  </si>
  <si>
    <t>Alta demanda en la subárea, especialmente la subestación Tumaco</t>
  </si>
  <si>
    <t>"-LrtPaeTSa21","+CI0380"</t>
  </si>
  <si>
    <t>CHP Incauca, Betania, Quimbo, Guavio y Chivor</t>
  </si>
  <si>
    <t>Salvajina
Alto Anchicayá</t>
  </si>
  <si>
    <t>"+Brk06466","+CI0062"</t>
  </si>
  <si>
    <t>Solar Guayepo</t>
  </si>
  <si>
    <t>gSGuay1</t>
  </si>
  <si>
    <t>Termo Caribe 3</t>
  </si>
  <si>
    <t>Alta demanda y alta exportación de energía hacia Ecuador</t>
  </si>
  <si>
    <t>Jamondino - Tesalia 230 kV / Bajas tensiones en Tumaco 115 kV y Junín 115 kV</t>
  </si>
  <si>
    <t>"-CI0823","-CI0107"</t>
  </si>
  <si>
    <t>Demanda baja con alta generación en las fuentes dispuestas en la subestación Zarzal como Rio Paila, Solar La Victoriam Solar La Paila, alta generación en Calima, centrales dispuestas en Tuluá y Termovalle</t>
  </si>
  <si>
    <t>- Reducir generación en Rio Paila, Solar La Victoria (generación reflejada en Zarzal 115 kV)
- Reducir generación en Calima
- Reducir generación de las plantas conectadas o reflejadas en Tuluá
- Reducir generación en Termovalle
- Reducir generación en Alto Anchicayá</t>
  </si>
  <si>
    <t>Solar La Victoria
Ingenio Rio Paila
Calima
Termovalle</t>
  </si>
  <si>
    <t>"+LinPmvSie21","+LinScaSie22"</t>
  </si>
  <si>
    <t>Paez - Juanchito 230 kV / Cabaña (Cauca) - Santander 115 kV</t>
  </si>
  <si>
    <t>Zarzal - La Unión 115 kV / Zarzal - Cartago 115 kV</t>
  </si>
  <si>
    <t>Portón del sol</t>
  </si>
  <si>
    <t>gSPSol</t>
  </si>
  <si>
    <t>Tebsa - Caracoli  1 220 / Tebsa - El Rio 1 220</t>
  </si>
  <si>
    <t>"-LinCrcTeb21","-LinRioTeb21"</t>
  </si>
  <si>
    <t>Maximo despacho en Tebsa y Barranquilla sin Flores 1 y Flores 4.
En demanda máxima.</t>
  </si>
  <si>
    <t xml:space="preserve">• Disminuir la impedancia de los dispositivos SSSC ubicados en las lineas Sabanalarga - Tebsa 1 y 2 220 kV.
• Aumentar la impedancia de los dispositivos SSSC ubicados en las lineas Nv Barranquilla - Termoflores 1 y 2 220 kV. (Aplicar cuidando las corrientes de enganche del dispositivo).
• Balance de generacion entre Flores 1 - Flores 4 y Tebsa - Barranquilla. </t>
  </si>
  <si>
    <t>Copey 5 220/110 kV / Copey 1 220/110 kV</t>
  </si>
  <si>
    <t>"+TrfCop25P","+TrfCop2131"</t>
  </si>
  <si>
    <t>Con barras Copey 34.5 kV acopladas. Alta demanda en El Copey 34.5_kV B1 y El Copey 34.5_kV B2</t>
  </si>
  <si>
    <t xml:space="preserve">El Sol - Zipaquira 1 115 </t>
  </si>
  <si>
    <t>Esta sobrecarga no es posible controlarla mediante balances de generación, por lo cual se recomienda operar con los capacitores encendidos, y en caso de no ser suficiente, considerar la desatención de demanda.</t>
  </si>
  <si>
    <t>Entrada de proyectos.
Evaluar la implementacion de un ESP</t>
  </si>
  <si>
    <t>"-linChvAguc11","-LinSAnSmx11"</t>
  </si>
  <si>
    <t>Chivor - Agua Clara 115 kV /Suamox - San Antonio 115 kV</t>
  </si>
  <si>
    <t>Balsillas 1 220/115/13.8 kV / Balsillas 3 220/115/13.8 kV</t>
  </si>
  <si>
    <t xml:space="preserve">Demanda máxima y media.
Alto transporte de reactivos por los transformadores.
</t>
  </si>
  <si>
    <t xml:space="preserve">Demanda máxima y media.
Baja generación en Oriental.
Sin generación en TermoZipa
</t>
  </si>
  <si>
    <t xml:space="preserve">Programar generación en TermoZipa </t>
  </si>
  <si>
    <t>TermoZipa</t>
  </si>
  <si>
    <t>Ancón Sur - Caldas 110 kV / Ancón Sur - Amagá 110 kV</t>
  </si>
  <si>
    <t>Evaluar la pertinencia de disminuir el número de unidades en línea. Con campos de la subestación redistribuidos en las distintas barras, abrir el interruptor de acople. En caso de requerirse, techar generación en: Jaguas, Guatapé, Playas o Tasajera</t>
  </si>
  <si>
    <t>Jaguas, Guatapé, Playas, La Tasajera</t>
  </si>
  <si>
    <r>
      <t xml:space="preserve">PTRA13496: </t>
    </r>
    <r>
      <rPr>
        <sz val="10"/>
        <color theme="1"/>
        <rFont val="Arial"/>
        <family val="2"/>
      </rPr>
      <t>Enlace Olaya Herrera - Buchelly (Tumaco) 115 kV y segundo corredor Jardinera - Junín - Tumaco 115 kV (horizonte largo plazo)</t>
    </r>
  </si>
  <si>
    <t>Aumentar tensiones en la medida de lo posible en Jamondino 115 kV y Panamericana 115 kV. Reducir las exportaciones hacia Ecuador</t>
  </si>
  <si>
    <t>Entrada de proyectos.</t>
  </si>
  <si>
    <t>gSCaracoli</t>
  </si>
  <si>
    <t>Solar Caracoli</t>
  </si>
  <si>
    <t>"+LrtSabChn51r", "+LrtSabchn52r", "-LinOcaLom511", "+LinChnCop51T", "-LinBolTvj21"</t>
  </si>
  <si>
    <t>Chinú – Sabana 1 + Chinú – Sabana 2 500 kV + Ocaña – La Loma 500 kV + Chinú - El Copey 500 kV + Toluviejo – Bolívar 220 kV</t>
  </si>
  <si>
    <t>"+LrtSabChn51r","+LrtSabchn52r","-LinOcaLom512","+LinChnCop51T", "-LinBolTvj21"</t>
  </si>
  <si>
    <t>Sobrecarga Tebsa 1 220/110 kV</t>
  </si>
  <si>
    <t>Sobrecarga Tebsa 2 220/110 kV</t>
  </si>
  <si>
    <t>Sobrecarga Tebsa 5 220/110 kV</t>
  </si>
  <si>
    <t>"+TrfTbs2146"</t>
  </si>
  <si>
    <t>"+TrfTbs2017"</t>
  </si>
  <si>
    <t>"+TrfTbs215"</t>
  </si>
  <si>
    <t>Mínima generación en los recursos conectados en nodos de 110 kV
Alta demanda al interior de Atlántico</t>
  </si>
  <si>
    <t>• Programar generación en la red de 110 kV. 
  * La transformación Tebsa 220/110 kV cuenta con un ESP ante contingencia de uno de los transformadores, sin embargo, debido a desviaciones de la demanda que se han presentado en la operación en tiempo real, es necesario cuidar este corte en red completa.</t>
  </si>
  <si>
    <t>Demanda máxima y media.
Sin generación solar en las S/E Puerto Gaitán 115 kV y 34,5 kV. 
Sin generación en Campobonito 115 kV.</t>
  </si>
  <si>
    <t>Demanda máxima, media y mínima.
Con generación solar en las S/E Puerto Gaitán 115 kV y 34,5 kV. 
Con generación en Campobonito 115 kV.</t>
  </si>
  <si>
    <t>"+TrfPai2171","-Brk07690"</t>
  </si>
  <si>
    <t>Noroeste - Tenjo 1 115 kV  /  bajas tensiones en S/Es de la  Sabana Norte de Bogotá</t>
  </si>
  <si>
    <t>Bacata - Chia 1 115 kV  / bajas tensiones en S/Es de la  Sabana Norte de Bogotá</t>
  </si>
  <si>
    <t>"+LinSolZip11"</t>
  </si>
  <si>
    <t>"+TrfBal2171","+TrfBal2173"</t>
  </si>
  <si>
    <t>Operar con las barras de Copey 34.5 kV desacopladas (abrir interruptor 5100) y desacoplar el SDL aguas abajo.</t>
  </si>
  <si>
    <t>"+LinAncCal11","-LinAmaAnc11"</t>
  </si>
  <si>
    <t>Termocandelaria - Ternera 1 220 kV / Termocandelaria - Ternera 2 220 kV</t>
  </si>
  <si>
    <t>Termocandelaria - Ternera 2 220 kV / Termocandelaria - Ternera 1 220 kV</t>
  </si>
  <si>
    <t>Termocandelaria - Cartagena 1 220 kV / Termocandelaria - Cartagena 2 220 kV</t>
  </si>
  <si>
    <t>Termocandelaria - Cartagena 2 220 kV / Termocandelaria - Cartagena 1 220 kV</t>
  </si>
  <si>
    <t>Proelectrica - Mamonal 66 kV / Proelectrica - Membrillal 66 kV</t>
  </si>
  <si>
    <t>"-CI0741","-CI1238"</t>
  </si>
  <si>
    <t>Maximo despacho en Proelectrica sin Termocandelaria
En demanda máxima con acople 6030 en Proelectrica 66 kV cerrado.</t>
  </si>
  <si>
    <t>"+LinTcdTer21","+LinTcdTer22"</t>
  </si>
  <si>
    <t>"+LinTcdTer22","+LinTcdTer21"</t>
  </si>
  <si>
    <t>Maximo Despacho en Termocandelaria y Cartagena con los SSSC en Termocandelaria en Bypass</t>
  </si>
  <si>
    <t xml:space="preserve"> Candelaria, Cartagena</t>
  </si>
  <si>
    <t>"-LinCtgTcd21","-LinCtgTcd22"</t>
  </si>
  <si>
    <t>"-LinCtgTcd22","-LinCtgTcd21"</t>
  </si>
  <si>
    <t>Subir la tension en Termocandelaria, poner en modo Bypass los SSSC de Termocandelaria, limitar Termocandelaria o programar generacion en Cartagena</t>
  </si>
  <si>
    <t xml:space="preserve"> Candelaria</t>
  </si>
  <si>
    <t>Cartagena</t>
  </si>
  <si>
    <t>Aumentar perfil de tension en Ternera 66 kV, limitar generación en Proelectrica</t>
  </si>
  <si>
    <t>Operar con los SSSC de Termocandelaria en 3.5 ohm de reactancia inductiva, limitar generacion en Termocandelaria y Cartagena</t>
  </si>
  <si>
    <t>Maximo despacho en Caribe 2 sin Cartagena con los SSSC en Termocandelaria en modo reactancia inductiva</t>
  </si>
  <si>
    <r>
      <rPr>
        <b/>
        <sz val="10"/>
        <rFont val="Arial"/>
        <family val="2"/>
      </rPr>
      <t>PTRA13263:</t>
    </r>
    <r>
      <rPr>
        <sz val="10"/>
        <rFont val="Arial"/>
        <family val="2"/>
      </rPr>
      <t xml:space="preserve"> UPME 02 - 2024 S/E Magangué 500 kV y líneas de transmisión asociadas
</t>
    </r>
    <r>
      <rPr>
        <b/>
        <sz val="10"/>
        <rFont val="Arial"/>
        <family val="2"/>
      </rPr>
      <t>PTRA13265:</t>
    </r>
    <r>
      <rPr>
        <sz val="10"/>
        <rFont val="Arial"/>
        <family val="2"/>
      </rPr>
      <t xml:space="preserve"> Transformadores S/E Magangué 500/110 kV</t>
    </r>
  </si>
  <si>
    <t>Sabana 9 220/115 kV / Sabana 1 220/115 kV</t>
  </si>
  <si>
    <t>"+TrfSab9","+TrfSab1"</t>
  </si>
  <si>
    <t>Mínima generación en Atlantico
Alta demanda al interior de Atlántico</t>
  </si>
  <si>
    <t xml:space="preserve">Programar generación en la red de 110 kV. </t>
  </si>
  <si>
    <t>Nueva Monteria 2 230/110 kV / Nueva Monteria 1 230/110  kV</t>
  </si>
  <si>
    <t>Nueva Monteria 1 230/110 kV / Nueva Monteria 2 230/110  kV</t>
  </si>
  <si>
    <t xml:space="preserve">"+TrfMon212,"+TrfMon211" </t>
  </si>
  <si>
    <t xml:space="preserve">"+TrfMon211,"+TrfMon212" </t>
  </si>
  <si>
    <t>Obras del refuerzo Monteria</t>
  </si>
  <si>
    <t>Hacer uso del capacitor en Montería 110 kV y subir tensiones en Urra 110 kV y Chinú 110 kV para disminuir los Mvar en tránsito.</t>
  </si>
  <si>
    <t>Urrá - Urabá 230 kV / baja tensión en Apartado, Nueva Colonia y Caucheras 110 kV</t>
  </si>
  <si>
    <t>Subir tensiones en Uraba 110 kV y Chinu 220 kV</t>
  </si>
  <si>
    <t xml:space="preserve">Baja tensión en Mompox 110 kV </t>
  </si>
  <si>
    <t xml:space="preserve">Yopal - Aguazul 1 115 kV / San Antonio - Suamox 1 115 kV </t>
  </si>
  <si>
    <t>"-linAguYop11","+LinSAnSmx11"</t>
  </si>
  <si>
    <t>1) Limitar generación en cualquiera de las siguientes plantas: Alta generación en Autog Argos 15MW, Autog Argos Sogamoso Menor Termobolivar y en MYopal 1, Termomechero 4, Termomechero 5, Termomechero 6, Yopal 2, Yopal 3, Yopal 4, Yopal 5.</t>
  </si>
  <si>
    <t xml:space="preserve">Aguazul - Aguaclara 1 115 kV / San Antonio - Suamox 1 115 kV </t>
  </si>
  <si>
    <t>"-linAguAzu11","+LinSAnSmx11"</t>
  </si>
  <si>
    <t>Demanda máxima, media y mínima.
Alta generación en Boyacá - Casanare</t>
  </si>
  <si>
    <t xml:space="preserve">Demanda máxima, media y mínima.
Alta generación en Boyacá - Casanare, exceptuando la generación en Paipa
Baja generación en Tasajero.  </t>
  </si>
  <si>
    <t>Demanda máxima y media.
* Baja Generación en Boyacá - Casanare, exceptuando la generación en Paipa.
* Alta Generación en Paipa 4 y Tasajero.</t>
  </si>
  <si>
    <t xml:space="preserve">Evaluar la capacidad de transporte del circuito, ya que actualmente tiene capacidad de sobrecarga del 100%. </t>
  </si>
  <si>
    <t>Chivor - Agua Clara 115 kV / Bajas tensiones en Aguaclara 115 kV, Aguazul 115 kV, Yopal 115 kV</t>
  </si>
  <si>
    <t>Termoyopal y Paipas</t>
  </si>
  <si>
    <t>Demanda máxima y media en Oriental y Nordeste.
Baja generación en Paipa 1 y 2 115 kV, Yopal y Termomechero.
Baja generación en Oriental.</t>
  </si>
  <si>
    <t>"-Brk10097","-Brk06615"</t>
  </si>
  <si>
    <t>"-Brk10097","+TrfOca5231"</t>
  </si>
  <si>
    <t>Demanda máxima, media y mínima
En operación los dos capacitores en Tibú 115 kV</t>
  </si>
  <si>
    <t xml:space="preserve">Demanda máxima, media y mínima.
Alta generación en el norte del país.
Baja generación en Oriental, Antioquia y Nordeste. </t>
  </si>
  <si>
    <t xml:space="preserve">1. Subir generación en Nordeste, Antioquia y Oriental, preferiblemente en Tasajero, Guavio, San Carlos o Porce III.
2. Disminuir generación en el norte del país. </t>
  </si>
  <si>
    <t>Generación en el norte del país</t>
  </si>
  <si>
    <t>Tasajero1 y 2.
Guavio.
Porce III.
San Carlos.</t>
  </si>
  <si>
    <t>Mesa del Sol - Piedecuesta 1 115k V / baja tensión en Mesa del Sol 115 kV, San Gil 115 kV, Oiba 115 kV</t>
  </si>
  <si>
    <t xml:space="preserve">Demanda máxima. 
Baja generación en Paipa y en las menores conectadas en la S/E San Gil 115 kV y Oiba 115 kV. </t>
  </si>
  <si>
    <t>1. Mejorar el perfil de tensiones en Paipa 115 kV.
2. Programar unidades en Paipa.</t>
  </si>
  <si>
    <t>Paipa</t>
  </si>
  <si>
    <t>Generación en Oriental</t>
  </si>
  <si>
    <t>Demanda máxima en la Sabana Norte
Demanda máxima en la Sabana  Norte y sin los capacitores de la S/E Ubaté 115 kV</t>
  </si>
  <si>
    <t xml:space="preserve">Bajar los taps de los transformadores, buscando bajar la tensión en la S/E Balsillas 115 kV. </t>
  </si>
  <si>
    <t>Puerto Lopez - Puerto Gaitan 1 115 kV / bajas tensiones en Puerto Gaitan 115 kV, Campobonito 115 kV, Puerto Lopez 115 kV, Suria 115 kV</t>
  </si>
  <si>
    <t>Campobonito - Puerto Gaitan 1 115 kV /  bajas tensiones en Puerto Gaitan 115 kV, Campobonito 115 kV, Puerto Lopez 115 kV, Suria 115 kV</t>
  </si>
  <si>
    <t>Puerto Lopez - Campobonito1 115 /  bajas tensiones en Puerto Gaitan 115 kV, Campobonito 115 kV, Puerto Lopez 115 kV, Suria 115 kV</t>
  </si>
  <si>
    <r>
      <rPr>
        <b/>
        <sz val="10"/>
        <rFont val="Arial"/>
        <family val="2"/>
      </rPr>
      <t>Proyectos que eliminan la restricción: PTRA00623:</t>
    </r>
    <r>
      <rPr>
        <sz val="10"/>
        <rFont val="Arial"/>
        <family val="2"/>
      </rPr>
      <t xml:space="preserve"> Etapa 2 Traslado del segundo circuito Suria - Puerto Lopez 115 kV a Santa Helena - Puerto Lopez 115 kV
</t>
    </r>
  </si>
  <si>
    <r>
      <rPr>
        <b/>
        <sz val="10"/>
        <rFont val="Arial"/>
        <family val="2"/>
      </rPr>
      <t>Proyectos que reducen el impacto de la restricción: PTRA00623:</t>
    </r>
    <r>
      <rPr>
        <sz val="10"/>
        <rFont val="Arial"/>
        <family val="2"/>
      </rPr>
      <t xml:space="preserve"> Etapa 2 Traslado del segundo circuito Suria - Puerto Lopez 115 kV a Santa Helena - Puerto Lopez 115 kV</t>
    </r>
  </si>
  <si>
    <t>Puerto Lopez - Suria 1 115 kV / bajas tensiones en Puerto Gaitan 115 kV, Campobonito 115 kV, Puerto Lopez 115 kV</t>
  </si>
  <si>
    <t>Puerto Lopez - Suria 2 115 kV / bajas tensiones en Puerto Gaitan 115 kV, Campobonito 115 kV, Puerto Lopez 115 kV</t>
  </si>
  <si>
    <t xml:space="preserve">Suria - La Reforma 1 220 kV / altas tensiones en las S/E Santa Helena 115 kV, Santa Helena 220 kV, Ocoa 115 kV, Suria 220 kV, Suria 115 kV, Puerto Lopez 115 kV, Campobonito 115 kV y Puerto Gaitán 115 kV. </t>
  </si>
  <si>
    <t>Generación en S/E Puerto Gaitán 115 kV y Generación en Campobonito 115 kV</t>
  </si>
  <si>
    <t xml:space="preserve">Controlar tensiones con los capacitores de la subárea. 
Controlar tensiones con los taps de los transformadores Santa Helena y La Reforma.
Limitar genneración en Campobonito 115 kV y Puerto Gaitán 115 kV. </t>
  </si>
  <si>
    <t xml:space="preserve">Campobonito - Puerto Lopez 1 115 kV / bajas tensiones en Puerto Gaitan 115 kV  Campobonito 115 kV y Puerto Lopez 115 kV. </t>
  </si>
  <si>
    <t>Termoflores 1 220/110 kV / Flores 2 220/110 kV</t>
  </si>
  <si>
    <t>Flores 2 220/110 kV / Termoflores 1 220/110 kV</t>
  </si>
  <si>
    <t>Termoflores II - Oasis 110 kV / Flores 2 220/110 kV</t>
  </si>
  <si>
    <t>Flores 2 220/110 kV /  Termoflores II - Oasis 1 110 kV</t>
  </si>
  <si>
    <t>Cuestecitas 500/230 kV / Alta Tension en Cuestecitas 500  kV</t>
  </si>
  <si>
    <t>Escenarios de media y baja demanda</t>
  </si>
  <si>
    <t>Interruptor 5M200 Primavera 500 kV (Barra 1 a Barra 2) / Primavera 230/500 kV</t>
  </si>
  <si>
    <t>Interruptor S200 Betania 220 kV (Barra 1-Sección 1 a Barra 1-Sección 2) / Betania - Hobo 115 kV</t>
  </si>
  <si>
    <t>San Marcos - Virginia 500 kV / Interruptor S200 Esmeralda 220 kV (Barra 1-Sección 2 a Barra 1-Sección 1)</t>
  </si>
  <si>
    <t>Paipa 1 220/115 180 MVA / Interruptor 1320 Paipa 115 kV (Barra 1-Sección 2 a Barra 1-Sección 1)</t>
  </si>
  <si>
    <t>Interruptor 7020 Chinú 110 kV (Barra 1 a Barra 2) / Chinú 1 500/110 kV</t>
  </si>
  <si>
    <t>Interruptor 5M200 Ocaña 500 kV (Barra 2 a Barra 1) / Interruptor 2B200 Ocaña 220 kV (Barra 2 a Barra 1)</t>
  </si>
  <si>
    <t>Interruptor 5M200 Ocaña 500 kV (Barra 2 a Barra 1) / Ocaña 1 500/230 kV</t>
  </si>
  <si>
    <r>
      <t xml:space="preserve">Aumenta la capacidad de importación
</t>
    </r>
    <r>
      <rPr>
        <b/>
        <sz val="10"/>
        <color theme="1"/>
        <rFont val="Arial"/>
        <family val="2"/>
      </rPr>
      <t xml:space="preserve">PTRA00322 </t>
    </r>
    <r>
      <rPr>
        <sz val="10"/>
        <color theme="1"/>
        <rFont val="Arial"/>
        <family val="2"/>
      </rPr>
      <t xml:space="preserve">Subestación Toluviejo 220 kV
PTRA00482 Circuito Cuestecitas – La Loma 500 kV
</t>
    </r>
    <r>
      <rPr>
        <b/>
        <sz val="10"/>
        <color theme="1"/>
        <rFont val="Arial"/>
        <family val="2"/>
      </rPr>
      <t>PTRA00325</t>
    </r>
    <r>
      <rPr>
        <sz val="10"/>
        <color theme="1"/>
        <rFont val="Arial"/>
        <family val="2"/>
      </rPr>
      <t xml:space="preserve"> UPME 06 - 2017 S/E Colectora 1 500 kV y circuitos asociados
</t>
    </r>
    <r>
      <rPr>
        <b/>
        <sz val="10"/>
        <color theme="1"/>
        <rFont val="Arial"/>
        <family val="2"/>
      </rPr>
      <t xml:space="preserve">PTRA05304 </t>
    </r>
    <r>
      <rPr>
        <sz val="10"/>
        <color theme="1"/>
        <rFont val="Arial"/>
        <family val="2"/>
      </rPr>
      <t xml:space="preserve">Nueva Toluviejo 220/110 kV
</t>
    </r>
    <r>
      <rPr>
        <b/>
        <sz val="10"/>
        <color theme="1"/>
        <rFont val="Arial"/>
        <family val="2"/>
      </rPr>
      <t xml:space="preserve">PTRA01139 </t>
    </r>
    <r>
      <rPr>
        <sz val="10"/>
        <color theme="1"/>
        <rFont val="Arial"/>
        <family val="2"/>
      </rPr>
      <t xml:space="preserve">UPME 06-2021 Subestación Carreto 500 kV y PTRA02158 Carreto 66 kV
</t>
    </r>
  </si>
  <si>
    <t>PTRA00203, 
PTRA00322,
PTRA00482, 
PTRA00325, 
PTRA05304,
PTRA01139,</t>
  </si>
  <si>
    <t>"+lrtCmt3Shn15","+LrtCmtPmv51r","+LinOcaLom512","-LinAntCer51r","-LinAntCer52r"</t>
  </si>
  <si>
    <t>Alta exportación de potencia del área Caribe.</t>
  </si>
  <si>
    <t>• Limitar la generacion en Caribe</t>
  </si>
  <si>
    <t>PTRA00203,
PTRA00322,
PTRA00482, 
PTRA00325, 
PTRA05304,
PTRA01139,</t>
  </si>
  <si>
    <t>Alta importación de potencia del área Caribe 2.</t>
  </si>
  <si>
    <t>"-LrtSabChn51r","-LrtSabchn52r","+LinOcaLom512","-LinChnCop51T", "+LinBolTvj21"</t>
  </si>
  <si>
    <t>Alta exportacion de potencia del área Caribe 2.</t>
  </si>
  <si>
    <t>• Limitar la generacion en Caribe 2</t>
  </si>
  <si>
    <t>"-TrfSlt2141","-TrfSlt2142"</t>
  </si>
  <si>
    <t>Demanda baja con alta generación en las fuentes dispuestas en la subestación El Salto, como Guadaulue III y Troneras. Baja generación en Porce II y Guadalupe IV</t>
  </si>
  <si>
    <t>En orden de impacto:
1. Bajar generación en Guadalupe III
2. Subir generación en Porce II 
3. Bajar generación en PCH San Andrés de Cuerquia</t>
  </si>
  <si>
    <t>No hay obra de expansión definida en el horizonte de mediano plazo</t>
  </si>
  <si>
    <t>Guadalupe III, PCH San Andrés de Cuerquia, Carlos Lleras</t>
  </si>
  <si>
    <t>Porce II, Guaduaupe IV</t>
  </si>
  <si>
    <t>Guachal - San Marcos 1 115 kV / Guachal - San Marcos 2 115 kV</t>
  </si>
  <si>
    <t>"+CI0589","+CI0590"</t>
  </si>
  <si>
    <t>- Dado que la restricción puede activarse por flujo de potencia reactiva, considerar modificar la consigna de tensión en Termovalle.
- Reducir generación en Termovalle, Termoemcali, Betania, Quimbo
- Aumentar la generación en Calima
- Reducir la importación de energía de ECuador</t>
  </si>
  <si>
    <t>Guachal - San Marcos 2 115 kV / Guachal - San Marcos 1 115 kV</t>
  </si>
  <si>
    <t>"+CI0590","+CI0589"</t>
  </si>
  <si>
    <t>Termovalle, Emcali, Betania, Quimbo</t>
  </si>
  <si>
    <t>El Salto 1 110/220 kV / El Salto 2 110/220 kV</t>
  </si>
  <si>
    <t>Sogamoso</t>
  </si>
  <si>
    <t>gSogam1
gSogam2
gSogam3</t>
  </si>
  <si>
    <t xml:space="preserve">En escenarios con demandas mínimas atípicas en Caribe 2 (en el rango entre 1500 y 1600 MW), las cuales pueden presentarse en festividades particulares como semana santa y fin de año, podría ser necesario el despacho de 2 unidades a 2.5 unidades equivalentes para control de tensión. </t>
  </si>
  <si>
    <t>Baja tensión en nodos El Carmen, Calamar, Zambrano, San Jacinto 66 kV y El Carmen 110 kV en red completa y ante contingencia sencilla</t>
  </si>
  <si>
    <t>Belén (Cúcuta) 230/115 kV / bajas tensiones Norte de Santander</t>
  </si>
  <si>
    <t>Bacata - El Sol 115 kV  / bajas tensiones en S/Es de la  Sabana Norte de Bogotá</t>
  </si>
  <si>
    <t>Ocaña - San Mateo 230 kV / bajas tensiones Norte de Santander</t>
  </si>
  <si>
    <t>"+linChvAguc11","+LinSAnSmx11"</t>
  </si>
  <si>
    <t>Termoyopal, Villanueva, Termomechero</t>
  </si>
  <si>
    <t>gbVill</t>
  </si>
  <si>
    <t>Villanueva</t>
  </si>
  <si>
    <t xml:space="preserve">Incrementar generación en Paipa 1 y 2 115 kV, Yopal, Villanueva y Termomechero.
Incrementar generación en Oriental.
Abrir interruptor de acople de Paipa 115 kV. </t>
  </si>
  <si>
    <t>1) Limitar generación en cualquiera de las siguientes plantas: Alta generación en Autog Argos 15MW, Autog Argos Sogamoso Menor Termobolivar y en MYopal 1, Termomechero 4, Termomechero 5, Termomechero 6,, Villanueva, Yopal 2, Yopal 3, Yopal 4, Yopal 5.</t>
  </si>
  <si>
    <t>Subir generación en Termoyopal, Villanueva y Termomechero es la acción mas efectiva
Limitar generación en Paipa 1-4 y Tasajero</t>
  </si>
  <si>
    <t>Subir generación en Termoyopal, Villanueva y Termomechero es la acción mas efectiva
Limitar generación en Paipa 4 y Tasajero</t>
  </si>
  <si>
    <t>Aguaclara - Chivor 1 115 kV / San Antonio - Suamox 1 115 kV</t>
  </si>
  <si>
    <t>Mantener un perfil de tensión en Copey 500 kV menor a 515 kV</t>
  </si>
  <si>
    <t>"-LinMedOcc21"</t>
  </si>
  <si>
    <t>Demanda baja con alta generación en San Carlos, Jaguas, Guatapé, La Tasajera y baja generación en Ituango, Porce III y Urrá</t>
  </si>
  <si>
    <t>Bajar generación en La Tasajera, Guadalupe, Porce II, o subir generación en Ituango o Porce III</t>
  </si>
  <si>
    <t>La Tasajera, Guadalupe, Porce II</t>
  </si>
  <si>
    <t>Ituango, Porce III, Urrá</t>
  </si>
  <si>
    <t>Sobrecarga en red completa Occidente - Heliconia 220 kV</t>
  </si>
  <si>
    <t>Cerromatoso 1 500/110 kV / Cerromatoso 2 500/110 kV + Cerromatoso 4 500/110 kV</t>
  </si>
  <si>
    <t>Cerromatoso 2 500/110 kV / Cerromatoso 1 500/110 kV + Cerromatoso 4 500/110 kV</t>
  </si>
  <si>
    <t>Cerromatoso 4 500/110 kV / Cerromatoso 1 500/110 kV + Cerromatoso 2 500/110 kV</t>
  </si>
  <si>
    <t>+TrfCmt5131,"+TrfCmt5132","+TrfCmt3"</t>
  </si>
  <si>
    <t>Programar generacion en Gecelca III</t>
  </si>
  <si>
    <t>Gecelca III</t>
  </si>
  <si>
    <t>Escenarios de alta demanda con baja generacion aguas debajo de Cerromatoso 110 kV</t>
  </si>
  <si>
    <t>Solar Shangrila 160 MW</t>
  </si>
  <si>
    <t>gSShang1</t>
  </si>
  <si>
    <t>Nva Esperanza 1 500/230/13.8 kV / Nva Esperanza 3 500/115/11.4 kV</t>
  </si>
  <si>
    <t>"+TrfNvE5231","+TrfNvE5171"</t>
  </si>
  <si>
    <t>Incrementar generación al interior de Oriental</t>
  </si>
  <si>
    <t xml:space="preserve">Transformador Nueva Esperanza 3 500/115/11.4 kV </t>
  </si>
  <si>
    <t>Nva Esperanza 3 500/115/11.4 kV</t>
  </si>
  <si>
    <t>"+TrfNvE5171"</t>
  </si>
  <si>
    <t>Bacata 2 500/120 kV  / Bacata 1 500/120 kV</t>
  </si>
  <si>
    <t>"+TrfBac5172","+TrfBac5171"</t>
  </si>
  <si>
    <t>Controlar mediante taps de transformadores Bacatá 500/115 kV y compensación reactiva en la red de 115 kV. Si no es suficiente, incrementar generación al interior del área.</t>
  </si>
  <si>
    <t xml:space="preserve">Guavio, Chivor, Pagua, Zipa </t>
  </si>
  <si>
    <t>"-Brk05478","+TrfBac5172"</t>
  </si>
  <si>
    <t>1020-1120</t>
  </si>
  <si>
    <t>1120-1200</t>
  </si>
  <si>
    <t>1200-1320</t>
  </si>
  <si>
    <t>Cubrir con unidades de Betania, Quimbo, Salvajina y Alto Anchicayá</t>
  </si>
  <si>
    <t>"-PmvBac500","+ExpLne0135"</t>
  </si>
  <si>
    <t>Primavera – Bacatá 500 Kv + 
 La Virginia – Nueva Esperanza 500 kV</t>
  </si>
  <si>
    <t>Incrementar generación en Chivor y Guavio</t>
  </si>
  <si>
    <t>Demanda máxima en el Meta
Baja generación en Chivor y Guavio</t>
  </si>
  <si>
    <t>Primavera - Bacatá 500 kV + La Virginia - Nueva Esperanza 500 kV</t>
  </si>
  <si>
    <t>Acople 5M200 S/E Bacatá 500 kV (Barra 2 a Barra 1) / Bacata 2 500/120 kV</t>
  </si>
  <si>
    <t>Nva Esperanza - Circo 1 230 kV / Nva Esperanza - San Mateo 1 230 kV</t>
  </si>
  <si>
    <t>Nva Esperanza - San Mateo 1 230 kV / Nva Esperanza 3 500/115/11.4 kV</t>
  </si>
  <si>
    <t>Bacata 1 500/120 kV  / Bacata 2 500/120 kV</t>
  </si>
  <si>
    <t>"+TrfBac5171","+TrfBac5172"</t>
  </si>
  <si>
    <t>"+LinNEsSMa21","+TrfNvE5171"</t>
  </si>
  <si>
    <t>Demanda máxima en el Meta
Baja generación en Oriental</t>
  </si>
  <si>
    <t>Incrementar generación al interior de Oriental, siendo las más efectivas Guavio y Chivor</t>
  </si>
  <si>
    <t>San Carlos 2 230/500 kV / San Carlos 3 230/500 kV</t>
  </si>
  <si>
    <t>"-TrfSc55232","-TrfSc55233"</t>
  </si>
  <si>
    <t>Demanda máxima y media. Baja generación en Recursos de generación de Antioquia 500 kV y Caribe, alta generación de recursos de Antioquia 220 kV o inferiores.</t>
  </si>
  <si>
    <t>En orden de impacto:
1. Bajar generación en San Carlos
2. Bajar generación en Termosierra
3. Bajar generación en Porce II
4. Subir generación en Porce III 
5. Subir generación Caribe</t>
  </si>
  <si>
    <t>San Carlos, Termosierra</t>
  </si>
  <si>
    <t>San Carlos 3 230/500 kV / San Carlos 4 230/500 kV</t>
  </si>
  <si>
    <t>"-TrfSc55233","-TrfSc55234"</t>
  </si>
  <si>
    <t>San Carlos 4 230/500 kV / San Carlos 2 230/500 kV</t>
  </si>
  <si>
    <t>"-TrfSc55234","-TrfSc55232"</t>
  </si>
  <si>
    <t>Agotamiento capacidad de cortocircuito de Primavera220 kV</t>
  </si>
  <si>
    <t>Evaluar la pertinencia de disminuir el número de unidades en línea. En caso de requerirse, techar generación en:Termocentro, Termosierra. Merilectrica, San Carlos</t>
  </si>
  <si>
    <t>Termocentro, Termosierra. Merilectrica, San Carlos</t>
  </si>
  <si>
    <t>Agotamiento capacidad de cortocircuito de Central 110 kV</t>
  </si>
  <si>
    <t>Evaluar la pertinencia de disminuir el número de unidades en línea.</t>
  </si>
  <si>
    <r>
      <rPr>
        <b/>
        <sz val="10"/>
        <rFont val="Arial"/>
        <family val="2"/>
      </rPr>
      <t>PTRA13267:</t>
    </r>
    <r>
      <rPr>
        <sz val="10"/>
        <rFont val="Arial"/>
        <family val="2"/>
      </rPr>
      <t xml:space="preserve"> UPME STR 01 - 2024 SVC de 30 MVAr en S/E Cértegui 115 kV. FPO:31/12/2027 (</t>
    </r>
    <r>
      <rPr>
        <sz val="10"/>
        <color rgb="FFFF0000"/>
        <rFont val="Arial"/>
        <family val="2"/>
      </rPr>
      <t>Declarada desierta</t>
    </r>
    <r>
      <rPr>
        <sz val="10"/>
        <rFont val="Arial"/>
        <family val="2"/>
      </rPr>
      <t xml:space="preserve">)
</t>
    </r>
    <r>
      <rPr>
        <b/>
        <sz val="10"/>
        <rFont val="Arial"/>
        <family val="2"/>
      </rPr>
      <t>PTRA00389:</t>
    </r>
    <r>
      <rPr>
        <sz val="10"/>
        <rFont val="Arial"/>
        <family val="2"/>
      </rPr>
      <t xml:space="preserve"> S/E Nuevo Quibdó 115 kV y líneas asociadas. FPO:31/12/2030 (</t>
    </r>
    <r>
      <rPr>
        <sz val="10"/>
        <color rgb="FFFF0000"/>
        <rFont val="Arial"/>
        <family val="2"/>
      </rPr>
      <t>Sin Promoto</t>
    </r>
    <r>
      <rPr>
        <sz val="10"/>
        <rFont val="Arial"/>
        <family val="2"/>
      </rPr>
      <t xml:space="preserve">r).
</t>
    </r>
    <r>
      <rPr>
        <b/>
        <sz val="10"/>
        <rFont val="Arial"/>
        <family val="2"/>
      </rPr>
      <t>PTRA13502:</t>
    </r>
    <r>
      <rPr>
        <sz val="10"/>
        <rFont val="Arial"/>
        <family val="2"/>
      </rPr>
      <t xml:space="preserve"> S/E Nueva Quibdó 220 kV. FPO:31/12/2030 (</t>
    </r>
    <r>
      <rPr>
        <sz val="10"/>
        <color rgb="FFFF0000"/>
        <rFont val="Arial"/>
        <family val="2"/>
      </rPr>
      <t>Sin Promotor</t>
    </r>
    <r>
      <rPr>
        <sz val="10"/>
        <rFont val="Arial"/>
        <family val="2"/>
      </rPr>
      <t>).</t>
    </r>
  </si>
  <si>
    <r>
      <rPr>
        <b/>
        <sz val="10"/>
        <color theme="1"/>
        <rFont val="Arial"/>
        <family val="2"/>
      </rPr>
      <t>PTRA00476:</t>
    </r>
    <r>
      <rPr>
        <sz val="10"/>
        <color theme="1"/>
        <rFont val="Arial"/>
        <family val="2"/>
      </rPr>
      <t xml:space="preserve"> UPME 03-2021 Subestación Carrieles 230 kV (Antes S/E Hispania 230 kV)
</t>
    </r>
    <r>
      <rPr>
        <b/>
        <sz val="10"/>
        <color theme="1"/>
        <rFont val="Arial"/>
        <family val="2"/>
      </rPr>
      <t>PTRA01152:</t>
    </r>
    <r>
      <rPr>
        <sz val="10"/>
        <color theme="1"/>
        <rFont val="Arial"/>
        <family val="2"/>
      </rPr>
      <t xml:space="preserve"> Nueva subestación Carrieles 110 kV. Transformadores de conexión 220/110 - 2 x 180 MVA
</t>
    </r>
    <r>
      <rPr>
        <b/>
        <sz val="10"/>
        <color theme="1"/>
        <rFont val="Arial"/>
        <family val="2"/>
      </rPr>
      <t>PTRA13267:</t>
    </r>
    <r>
      <rPr>
        <sz val="10"/>
        <color theme="1"/>
        <rFont val="Arial"/>
        <family val="2"/>
      </rPr>
      <t xml:space="preserve"> UPME STR 01 - 2024 SVC de 30 MVAr en S/E Cértegui 115 kV. FPO:31/12/2027 (</t>
    </r>
    <r>
      <rPr>
        <sz val="10"/>
        <color rgb="FFFF0000"/>
        <rFont val="Arial"/>
        <family val="2"/>
      </rPr>
      <t>Declarada desierta</t>
    </r>
    <r>
      <rPr>
        <sz val="10"/>
        <color theme="1"/>
        <rFont val="Arial"/>
        <family val="2"/>
      </rPr>
      <t xml:space="preserve">)
</t>
    </r>
    <r>
      <rPr>
        <b/>
        <sz val="10"/>
        <color theme="1"/>
        <rFont val="Arial"/>
        <family val="2"/>
      </rPr>
      <t>PTRA00389:</t>
    </r>
    <r>
      <rPr>
        <sz val="10"/>
        <color theme="1"/>
        <rFont val="Arial"/>
        <family val="2"/>
      </rPr>
      <t xml:space="preserve"> S/E Nuevo Quibdó 115 kV y líneas asociadas. FPO:31/12/2030 (</t>
    </r>
    <r>
      <rPr>
        <sz val="10"/>
        <color rgb="FFFF0000"/>
        <rFont val="Arial"/>
        <family val="2"/>
      </rPr>
      <t>Sin Promotor</t>
    </r>
    <r>
      <rPr>
        <sz val="10"/>
        <color theme="1"/>
        <rFont val="Arial"/>
        <family val="2"/>
      </rPr>
      <t xml:space="preserve">).
</t>
    </r>
    <r>
      <rPr>
        <b/>
        <sz val="10"/>
        <color theme="1"/>
        <rFont val="Arial"/>
        <family val="2"/>
      </rPr>
      <t>PTRA13502:</t>
    </r>
    <r>
      <rPr>
        <sz val="10"/>
        <color theme="1"/>
        <rFont val="Arial"/>
        <family val="2"/>
      </rPr>
      <t xml:space="preserve"> S/E Nueva Quibdó 220 kV. FPO:31/12/2030 (</t>
    </r>
    <r>
      <rPr>
        <sz val="10"/>
        <color rgb="FFFF0000"/>
        <rFont val="Arial"/>
        <family val="2"/>
      </rPr>
      <t>Sin Promotor</t>
    </r>
    <r>
      <rPr>
        <sz val="10"/>
        <color theme="1"/>
        <rFont val="Arial"/>
        <family val="2"/>
      </rPr>
      <t>).</t>
    </r>
  </si>
  <si>
    <t xml:space="preserve">Nueva Montería – Río Sinú 110 kV / Baja tensión en Rio Sinú 110 kV </t>
  </si>
  <si>
    <t>La Virginia - San Marcos 1 500 kV / Virginia 500/230 kV</t>
  </si>
  <si>
    <t>"+LrtSmaVir51r","+TrfVr55231"</t>
  </si>
  <si>
    <t>Demandas máxima y media. Estas restricciones se activan cuando la importación del área es mayor a 650 MW, es decir, en un escenario con baja generación al interior del área suroccidental</t>
  </si>
  <si>
    <t>-Subir la generación al interior del área Suroccidental y Oriental
-Bajar la generación en áreas como Antioquia y Caribe
Solo en caso de ser necesario, considerar abrir el enlace Heliconia - La Virginia 500 kV</t>
  </si>
  <si>
    <t>Alferez - San Marcos 1 500 kV / San Marcos 230/500 kV</t>
  </si>
  <si>
    <t>"+LinAlfSma51","-TrfSm55231"</t>
  </si>
  <si>
    <t>-Bajar la generación al interior del área Suroccidental 
-Subir la generación en las otras áreas del SIN, especialmente Antioquia y Oriental</t>
  </si>
  <si>
    <t>San Marcos - La Virginia 1 500 kV / Virginia 230/500 kV</t>
  </si>
  <si>
    <t>"-LrtSmaVir51r","-TrfVr55231"</t>
  </si>
  <si>
    <t xml:space="preserve">Este escenario puede presentar problemas de estabilidad de tensión debido a la conexión de más de 100 MW entre plantas menores de generación (solar y gas), por lo tanto, la solución más directa corresponde a limitar genneración en Campobonito 115 kV y Puerto Gaitán 115 kV. </t>
  </si>
  <si>
    <t>CAUSA</t>
  </si>
  <si>
    <t>Refuerza restricción existente de Bacata 2 500/120 kV  / Bacata 1 500/120 kV, ya que por la sensibilidad en reactiva puede activarse primero</t>
  </si>
  <si>
    <t>TOMA DE CARGA METRO</t>
  </si>
  <si>
    <t>Salitre - Chicalá 1 115 T1 kV / Colegio - Porvenir 1 115 kV</t>
  </si>
  <si>
    <t>"+CI0982","+LinColPor11"</t>
  </si>
  <si>
    <t xml:space="preserve">Gestión de demanda. Radialidad. </t>
  </si>
  <si>
    <t xml:space="preserve">El crecimiento en la demanda del Meta contribuyó a la identificación de esta contingencia, está muy cercana en sobrecarga a la que impone el límite de Oriental. Se marca debido a la sensibilidad que tiene con los escenarios de demanda. </t>
  </si>
  <si>
    <t xml:space="preserve">Occidente. </t>
  </si>
  <si>
    <t>Noroeste 1 230 kV/115 kV / Balsillas – Mosquera 115 kV</t>
  </si>
  <si>
    <t>"+TrfNor2171", "+CI0033"</t>
  </si>
  <si>
    <t xml:space="preserve">Baja generación en Oriental
Demanda máxima y media
Subir generación en Zipa. </t>
  </si>
  <si>
    <t>Crecimiento de recursos de generación en antioquia en niveles de 220 kV o inferiores</t>
  </si>
  <si>
    <t>El nivel de cortocircuito se encontraba cercano al 100%. Con la entrada del proyecto PTRA03852 – Segundo Transformador Primavera 500/230 kV – 450 MVA (UPME 01 – 2023), se ve superada su capacidad nominal.</t>
  </si>
  <si>
    <t>El nivel de cortocircuito se encontraba cercano al 100%. Con la entrada del proyecto PTRA04454 – SE Industriales 110 kV, se ve superada su capacidad nominal.</t>
  </si>
  <si>
    <t>Agotamiento capacidad de cortocircuito de Nva Esperanza 115 kV</t>
  </si>
  <si>
    <t>Demanda media y baja con alta generación en Termovalle, Termoemcali, Betania, Quimbo, alta importación desde Ecuador y baja generación en Calima</t>
  </si>
  <si>
    <t>Heliconia - La Virginia 500 kV +
La Virginia - San Carlos 500 Kv + 
 La Virginia  - Nueva Esperanza 500 Kv</t>
  </si>
  <si>
    <t>"+LinVirMed51r","-LrtVirSca51r","-ExpLne0135"</t>
  </si>
  <si>
    <t>Demanda media y mínima con alta generación en CHP Incauca, Proenca, Betania, Quimbo y altas importaciones desde Ecuador</t>
  </si>
  <si>
    <t>Todos los escenarios de demanda. Alta generación en Betania 1 y 2 y Baja generación en Betania 3. Alta exportación hacia Ecuador. Baja generación en Quimbo, Termovalle y TermoEmcali.</t>
  </si>
  <si>
    <t>Todos los escenarios de demanda. Alta generación en Betania 3 y Baja generación en Betania 1 y 2. Alta importación desde Ecuador. Alta generación en Quimbo, Termovalle y TermoEmcali.</t>
  </si>
  <si>
    <t xml:space="preserve">Reducir exportaciones a Ecuador
- Aumentar generación en Quimbo
- Disminuir generación en Betania 1 y 2
- Aumentar generación en Betania 3 </t>
  </si>
  <si>
    <t>Reducir importaciones desde Ecuador
- Reducir generación en Quimbo
- Aumentar generación en Betania 1 y 2
- Disminuir generación en Betania 3</t>
  </si>
  <si>
    <t>Interruptor S200 Betania 220 kV (Barra 1-Sección 2 a Barra 1-Sección 1) / Altamira - Hobo 115 kV</t>
  </si>
  <si>
    <t>Betania 3, Quimbo, Termoemcali y Termovalle</t>
  </si>
  <si>
    <t>"-Brk06466","+CI0006"</t>
  </si>
  <si>
    <r>
      <rPr>
        <sz val="10"/>
        <color theme="1"/>
        <rFont val="Arial"/>
        <family val="2"/>
      </rPr>
      <t>Los siguientes proyectos permiten mitigar mas no eliminar la restricción (la nueva generación prevista vuelve a activarla)</t>
    </r>
    <r>
      <rPr>
        <b/>
        <sz val="10"/>
        <color theme="1"/>
        <rFont val="Arial"/>
        <family val="2"/>
      </rPr>
      <t xml:space="preserve">
- PROG08336: Campoalaegre Solar
- PROG05798: Primavera
- PTRA09586 y PTRA03843 (Huila 230/115 kV)</t>
    </r>
  </si>
  <si>
    <r>
      <rPr>
        <sz val="10"/>
        <color theme="1"/>
        <rFont val="Arial"/>
        <family val="2"/>
      </rPr>
      <t>Los siguientes proyectos permiten mitigar mas no eliminar la restricción (la nueva generación prevista vuelve a activarla)</t>
    </r>
    <r>
      <rPr>
        <b/>
        <sz val="10"/>
        <color theme="1"/>
        <rFont val="Arial"/>
        <family val="2"/>
      </rPr>
      <t xml:space="preserve">
- PROG08336: Campoalaegre Solar
- PTRA09586 y PTRA03843 (Huila 230/115 kV)</t>
    </r>
  </si>
  <si>
    <t>Se activa restricción debido al incremento en el límite de importación por la entrada de la S/E Alferez 500 kV</t>
  </si>
  <si>
    <t>Es ante un escenario particular de generación, donde se existe un desbalance en la generación de Betania. Es decir, alta generación en Betania 3 y baja generación en Betania 1 y 2.</t>
  </si>
  <si>
    <t xml:space="preserve">Todos los escenarios de demanda. Alta generación en Betania 3 y Baja generación en Betania 1 y 2. Alta importación desde Ecuador. Alta generación en Quimbo, Termovalle y TermoEmcali. Coordinar la entrada de operasción en Betania. </t>
  </si>
  <si>
    <t>Betania - TSeboruco 1 115 k V / Betania - Sur 1 115 kV</t>
  </si>
  <si>
    <t>"+LinBetSbr11","+LinBetSur11"</t>
  </si>
  <si>
    <t>Betania - El Bote 1 115 k V / Betania - Sur 1 115 kV</t>
  </si>
  <si>
    <t>"+CI0063","+LinBetSur11"</t>
  </si>
  <si>
    <t>Con la repotenciación de la línea Betania - Tseboruco, ahora la restricción de nivel 1 es la que impacta a la línea sin repotencia Betania - Sur 115 kV</t>
  </si>
  <si>
    <t>Betania 2 230/115 kV / Betania 1 230/115 kV</t>
  </si>
  <si>
    <t>"+TrfBet2175","+TrfBet2174"</t>
  </si>
  <si>
    <t>PTRA09586 y PTRA03843 (Huila 230/115 kV)</t>
  </si>
  <si>
    <t>El siguiente proyecto permite mitigar mas no eliminar las restricciones:
- PTRA09586 y PTRA03843 (Huila 230/115 kV)</t>
  </si>
  <si>
    <t>"-LinCirNEs21","+LinNEsSMa21"</t>
  </si>
  <si>
    <t>"-Trf1889"</t>
  </si>
  <si>
    <t>Sobrecarga Valledupar 9 110/34.5 kV (Sentido 34.5 kV a 110 kV)</t>
  </si>
  <si>
    <t>Demanda mínima con alta generación de en los recursos solares conectados en la barra 3 de Valledupar 34.5 kV.</t>
  </si>
  <si>
    <t>Limitar la generación de los recursos solares conectados en la barra 3 de Valledupar 34.5 kV</t>
  </si>
  <si>
    <t>Valledupar 1, Valledupar 2</t>
  </si>
  <si>
    <t xml:space="preserve">Tebsa - Vte Julio 2 110 T2 / Tebsa - Vte Julio 1 110 T2 </t>
  </si>
  <si>
    <t>"+LinTebVte221","+LinTebVte211"</t>
  </si>
  <si>
    <t>Alta demanda en Veinte Julio 110 kV</t>
  </si>
  <si>
    <t>Verificar suficiencia ESP LINEAS TEBSA - VTE JULIO 110 kV</t>
  </si>
  <si>
    <t>Ternera 3 66/13.8/6.9 kV / Ternera 5 66/13.8/6.9 kV</t>
  </si>
  <si>
    <t>Ternera 5 66/13.8/6.9 kV / Ternera 3 66/13.8/6.9 kV</t>
  </si>
  <si>
    <t>No hay proyecto definido, los traslados a Campestre y Turbaco no son suficientes</t>
  </si>
  <si>
    <t>PTRA13477 Urrá - Tierralta 2 110 kV + Tierralta - Río Sinú 2 110 kV (promotor pendiente de asignación)</t>
  </si>
  <si>
    <t xml:space="preserve">Nueva Montería – Río Sinú 110 kV / Urrá - Tierra Alta 1 110 kV </t>
  </si>
  <si>
    <t>Santa Marta 2 220/110/34,5 kV /Santa Marta 1 220/110/34,5 kV + Santa Marta 9 220/110/34,5 kV</t>
  </si>
  <si>
    <t>Santa Marta 9 220/110/34,5 kV /Santa Marta 1 220/110/34,5 kV + Santa Marta 2 220/110/34,5 kV</t>
  </si>
  <si>
    <t>Alta tensión en nodos de la subárea GCM en red completa</t>
  </si>
  <si>
    <t>Realizar gestión con recursos para el control de potencia reactiva, en caso de requerirse abrir uno o dos circuitos Nueva Cuestecitas - El Copey 1 y 2 500 kV</t>
  </si>
  <si>
    <t>Agotamiento capacidad de cortocircuito de Veraguas 57.5 kV</t>
  </si>
  <si>
    <t xml:space="preserve">Tebsa - Vte Julio 1 110 T2 / Tebsa - Vte Julio 2 110 T2 </t>
  </si>
  <si>
    <t>"+LinTebVte211","+LinTebVte221"</t>
  </si>
  <si>
    <t>Solar Guayepo III</t>
  </si>
  <si>
    <t>gSGuaye</t>
  </si>
  <si>
    <t>El Salto 2 110/220 kV / El Salto 1 110/220 kV</t>
  </si>
  <si>
    <t>"-TrfSlt2142","-TrfSlt2141"</t>
  </si>
  <si>
    <t>Primavera - Bacata 1 500 kV  / Bajas tensiones en las 
subestaciones a 115 kV Simijaca, Ubaté, Peldar, Zipaquirá, Sesquilé, Termozipa, Diaco, Gran Sabana, Villeta, Puerto Gaitan  y San José del Guaviare</t>
  </si>
  <si>
    <r>
      <t xml:space="preserve">PTRA18507 </t>
    </r>
    <r>
      <rPr>
        <sz val="10"/>
        <color theme="1"/>
        <rFont val="Arial"/>
        <family val="2"/>
      </rPr>
      <t>Repotenciación Anillo Suamox - San Antonio 115 kV</t>
    </r>
  </si>
  <si>
    <t>"+TrfChn5132","+TrfChn5131","+TrfChn3"</t>
  </si>
  <si>
    <t>"+TrfChn5131","+TrfChn3","+TrfChn5132"</t>
  </si>
  <si>
    <t>Chinú 3 500/110 kV / Chinú 1 500/110 kV + Chinú 2 500/110 kV</t>
  </si>
  <si>
    <t>Chinú 2 500/110 kV / Chinú 1 500/110 kV + Chinú 3 500/110 kV</t>
  </si>
  <si>
    <t>Chinú 1 500/110 kV / Chinú 3 500/110 kV + Chinú 2 500/110 kV</t>
  </si>
  <si>
    <r>
      <rPr>
        <b/>
        <sz val="10"/>
        <color theme="1"/>
        <rFont val="Arial"/>
        <family val="2"/>
      </rPr>
      <t>No hay obra de expansión definida en el horizonte de Mediano Plazo.</t>
    </r>
    <r>
      <rPr>
        <sz val="10"/>
        <color theme="1"/>
        <rFont val="Arial"/>
        <family val="2"/>
      </rPr>
      <t xml:space="preserve"> (PTRA00322 y PTRA05304: Nueva Toluviejo 220/110 kV y obras asociadas mitigan, pero no elimina la restricción).
4 TRF Chinu 500/110 kV elimina
</t>
    </r>
  </si>
  <si>
    <t>San Mateo - Sevilla 115 kV  / bajas tensiones Norte de Santander</t>
  </si>
  <si>
    <t>Betania, Quimbo
Unidades físicas</t>
  </si>
  <si>
    <t>Salvajina, Alto Anchicaya
Unidades físicas</t>
  </si>
  <si>
    <t>San Marcos 500/230 kV / Altas tensiones en San Marcos 500/230 kV, Alférez 500/230 kV, San Bernardino 230 kV, Tesalia 230 kV, Jamondino 230 kV.</t>
  </si>
  <si>
    <t>Demanda mínima con baja generación en el área Suroccidental</t>
  </si>
  <si>
    <t xml:space="preserve">Programar generación en Alto Anchicayá, Salvajina, Quimbo, Betania. </t>
  </si>
  <si>
    <r>
      <t xml:space="preserve">PTRA03848: </t>
    </r>
    <r>
      <rPr>
        <sz val="10"/>
        <rFont val="Arial"/>
        <family val="2"/>
      </rPr>
      <t>Ampliación Subestación San Marcos- Reactor de Barras 500 kV</t>
    </r>
  </si>
  <si>
    <t>"-LinEstPal11","-LinEstPal12"</t>
  </si>
  <si>
    <t xml:space="preserve">Todos los escenarios de demanda.
Alta generación en Termoemcali, Termovalle, Calima, solares y menores conectadas en Palmaseca, Buga, Tulua y Zarzal. 
Baja generación en Betania, Quimbo, Alto Anchicayá. Salvajina y alta exportación a Ecuador.  </t>
  </si>
  <si>
    <t>- Reducir generación en Termoemcali, Termovalle, Calima, solares y menores conectadas en Palmaseca, Buga, Tulua y Zarzal.
- Aumentar generación en Betania, Quimbo, Alto Anchicayá. Salvajina
- Reducir la exportación a Ecuador</t>
  </si>
  <si>
    <t>Termoemcali, Termovalle, Calima, solares y menores conectadas en Palmaseca, Buga, Tulua y Zarzal.</t>
  </si>
  <si>
    <t>Betania, Quimbo, Alto Anchicayá. Salvajina</t>
  </si>
  <si>
    <t>"-LinEstPal12","-LinEstPal11"</t>
  </si>
  <si>
    <t>Buga - San Marcos 115 kV / Buga - Vijes 115 kV</t>
  </si>
  <si>
    <t>"+CI0585","+LinBugVij11"</t>
  </si>
  <si>
    <t>Todos los escenarios de demanda.
Alta generación en subestaciones Buga, Tulua, Calima, Zarzal y en frontera de Valle con CQR.
Baja generación en Termovalle, Termoemcali, Betania, Quimbo, Alto Anchicayá, Salvajina y alta exportación a Ecuador.</t>
  </si>
  <si>
    <t>- Reducir generación en subestaciones Buga, Tulua, Calima, Zarzal y en frontera de Valle con CQR
- Aumentar generación en Termovalle, Termoemcali, Betania, Quimbo, Alto Anchicayá, Salvajina
- Reducir la exportación a Ecuador</t>
  </si>
  <si>
    <t>Calima, solares y menores conectadas en Palmaseca, Buga, Tulua y Zarzal.</t>
  </si>
  <si>
    <t>Termoemcali, Termovalle, Betania, Quimbo, Alto Anchicayá. Salvajina</t>
  </si>
  <si>
    <t xml:space="preserve">Buga - Vijes 115 kV / Buga - San Marcos 115 kV </t>
  </si>
  <si>
    <t>"+LinBugVij11","+CI0585"</t>
  </si>
  <si>
    <t>Todos los escenarios de demanda.
Alta generación en subestaciones Buga, Tulua, Calima, Zarzal y en frontera con CQR, 
Baja generación en Termovalle, Termoemcali, Betania, Quimbo, Alto Anchicayá, Salvajina y alta exportación a Ecuador.</t>
  </si>
  <si>
    <t>La Miel 1 2 y 3</t>
  </si>
  <si>
    <t>Jamondino 2 230/115 kV / Jamondino 1 230/115 kV</t>
  </si>
  <si>
    <t>"+TrfJam2172","+TrfJam2171"</t>
  </si>
  <si>
    <t xml:space="preserve">Palmaseca - Estambul 1 115 kV / Palmaseca  - Estambul 2 115 kV </t>
  </si>
  <si>
    <t>Palmaseca - Estambul 2 115 kV / Palmaseca - Estambul 1 115 kV</t>
  </si>
  <si>
    <t xml:space="preserve">Programar generación en TermoZipa o Pagua para mejorar tensiones en los nodos de la Sabana Norte, Villeta y nodos radiales del Meta. </t>
  </si>
  <si>
    <t xml:space="preserve">Convención - Tibú 115 kV / altas tensiones en Tibú 115 kV  </t>
  </si>
  <si>
    <t>PTRA00073 La virginia - Alferez 500 kV</t>
  </si>
  <si>
    <t xml:space="preserve">Se presenta con SE Esmeralda 220 kV con seccionamiento cerrado en escenarios con excedentes en el área suroccidental. Alta importación de energía de Ecuador, alta generación en Betania, Alto Ancichayá, Salvajina, Quimbo, Termovalle y Termoemcali.  </t>
  </si>
  <si>
    <r>
      <t xml:space="preserve">PTRA00073 </t>
    </r>
    <r>
      <rPr>
        <sz val="10"/>
        <rFont val="Arial"/>
        <family val="2"/>
      </rPr>
      <t xml:space="preserve">Refuerzo suroccidental </t>
    </r>
  </si>
  <si>
    <t>Santa Marta 1 220/110/34,5 kV /Santa Marta 2 220/110/34,5 kV + Santa Marta 9 220/110/34,5 kV</t>
  </si>
  <si>
    <t>"+TrfSmt2132","+TrfSmt2131","+TrfSmt2133"</t>
  </si>
  <si>
    <t>"+TrfSmt2131","+TrfSmt2132","+TrfSmt2133"</t>
  </si>
  <si>
    <t>"+TrfSmt2133","+TrfSmt2131","+TrfSmt2132"</t>
  </si>
  <si>
    <t>Alta demanda en las subestaciones Buchely, Junin, Panamericana y Jardinera o alto intercambio de energía hacia Ecuador a través del transformador Panamericana 115/138 kV</t>
  </si>
  <si>
    <t>Conectar compensación capacitiva en Panamericana para reducir la cargabilidad en el corredor, aumentar tensiones en Jamondino 115 kV</t>
  </si>
  <si>
    <t>- Reducir generación en CHP Incauca
- Reducir importaciones desde Ecuador
- Reducir generación en Betania
- Reducir generación en Quimbo
- Aumentar generación en Salvajina</t>
  </si>
  <si>
    <t>Paipa 1 y 2</t>
  </si>
  <si>
    <t xml:space="preserve">Paipa 3 </t>
  </si>
  <si>
    <t>Sobrecarga en red completa Sincé – Magangué 110 kV</t>
  </si>
  <si>
    <t>"-CI0816"</t>
  </si>
  <si>
    <t>• Hacer uso de los capacitores en Mompox 110 kV y 34.5 kV para controlar el transporte de reactivos a través de la línea.
• De no ser suficiente o posible, deberá evaluarse el realizar desatención de demanda.</t>
  </si>
  <si>
    <t>Sobrecarga en red completa Santa Marta 1 220/110/34.5 kV</t>
  </si>
  <si>
    <t>Sobrecarga en red completa Santa Marta 2 220/110/34.5 kV</t>
  </si>
  <si>
    <t>Sobrecarga en red completa Santa Marta 9 220/110/34.5 kV</t>
  </si>
  <si>
    <t>Sobrecarga en red completa Valledupar 1 220/34.5/13.8 kV</t>
  </si>
  <si>
    <t>Sobrecarga en red completa Valledupar 12 220/34.5/13.8 kV</t>
  </si>
  <si>
    <t>Sobrecarga en red completa Valledupar 3 220/34.5/13.8 kV</t>
  </si>
  <si>
    <t>"+TrfSmt2132"</t>
  </si>
  <si>
    <t>"+TrfSmt2133"</t>
  </si>
  <si>
    <t>"+TrfSmt2131"</t>
  </si>
  <si>
    <t>"+TrfVal2372"</t>
  </si>
  <si>
    <t>"+TrfVal2312"</t>
  </si>
  <si>
    <t>"+TrfVal3"</t>
  </si>
  <si>
    <t>Evaluar realizar desatención de demanda.</t>
  </si>
  <si>
    <t>"+TrfTer675","+TrfTer673"</t>
  </si>
  <si>
    <t>Demanda máxima y media. Alta generación en Antioquia y Nordeste (Sogamoso, Merielectrica y Tasajero), baja generación en Caribe.</t>
  </si>
  <si>
    <t>En orden de impacto:
1. Bajar generación en Termocentro
2. Bajar generación en Merielectrica
3. Bajar generación en Sogamoso
4. Bajar generación en La Sierra
5. Bajar generación en San Carlos
6. Subir Generación en Guavio
7. Subir Generación en Gecelca 32</t>
  </si>
  <si>
    <t>Sogamoso, Merielectrica, Termocentro, Solar, Tasajero, Solar Tamarindo, Sierra, San Carlos, Solar Amber, Porce II</t>
  </si>
  <si>
    <t>Guavio, Gecelca 32, Gecelca III, Guaca, Paraiso, PV SHANGRI-LA, Chivor</t>
  </si>
  <si>
    <t>Agotamiento capacidad de cortocircuito de TermoFlores 220 kV</t>
  </si>
  <si>
    <t>Sobrecarga en red completa Valledupar - Guatapurí 110 kV</t>
  </si>
  <si>
    <t>"-LinGuaVal1"</t>
  </si>
  <si>
    <t>PTRA13494</t>
  </si>
  <si>
    <r>
      <t xml:space="preserve">PTRA13494: </t>
    </r>
    <r>
      <rPr>
        <sz val="10"/>
        <rFont val="Arial"/>
        <family val="2"/>
      </rPr>
      <t>Reconfiguración de la Subestación Sabanalarga 220 Kv - FPO: 2026/11/30</t>
    </r>
  </si>
  <si>
    <t>Depende de la magnitud de carga en Gambote 66 kV</t>
  </si>
  <si>
    <t>Dependiente de la demanda, evaluar suficiencia del ESPS por sobrecarga en esta transformación. 
Tambien se puede generar sobrecarga por el devanado de 110 kV. (No cuenta con ESP)</t>
  </si>
  <si>
    <t>Dependiente de la demanda, evaluar suficiencia del ESPS por sobrecarga en esta transformación.
Tambien se puede generar sobrecarga por el devanado de 110 kV. (No cuenta con ESP)</t>
  </si>
  <si>
    <t>No es controlable con generación. Al evaluar N-1 si la sobrecarga es BT 34,5 kV evaluar la pertinencia de desatención de demanda. Si es del devanado 110 kV, evaluar balance de potencia reactiva en la transformación Santa Marta y Rio Córdoba 220/110 kV o evaluar la pertinencia de desatención de demanda a nivel de 110 kV</t>
  </si>
  <si>
    <t>Puerta de Oro</t>
  </si>
  <si>
    <t>gSPtaO</t>
  </si>
  <si>
    <t>Baja tensión en El Banco 110 kV</t>
  </si>
  <si>
    <t>"+CI0263","+LinJamJar11"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</si>
</sst>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
  </numFmts>
  <fonts count="39" x14ac:knownFonts="1">
    <font>
      <sz val="11"/>
      <color theme="1"/>
      <name val="Calibri"/>
      <family val="2"/>
      <scheme val="minor"/>
    </font>
    <font>
      <sz val="9"/>
      <color theme="1"/>
      <name val="Arial"/>
      <family val="2"/>
    </font>
    <font>
      <sz val="9"/>
      <color rgb="FF000000"/>
      <name val="Arial"/>
      <family val="2"/>
    </font>
    <font>
      <sz val="10"/>
      <color theme="1"/>
      <name val="Arial"/>
      <family val="2"/>
    </font>
    <font>
      <b/>
      <sz val="12"/>
      <color indexed="81"/>
      <name val="Tahoma"/>
      <family val="2"/>
    </font>
    <font>
      <sz val="9"/>
      <color indexed="81"/>
      <name val="Tahoma"/>
      <family val="2"/>
    </font>
    <font>
      <b/>
      <sz val="9"/>
      <color theme="1"/>
      <name val="Tahoma"/>
      <family val="2"/>
    </font>
    <font>
      <b/>
      <sz val="14"/>
      <color theme="1"/>
      <name val="Calibri"/>
      <family val="2"/>
      <scheme val="minor"/>
    </font>
    <font>
      <sz val="14"/>
      <color theme="1"/>
      <name val="Calibri"/>
      <family val="2"/>
      <scheme val="minor"/>
    </font>
    <font>
      <b/>
      <sz val="9"/>
      <color theme="5" tint="0.59999389629810485"/>
      <name val="Tahoma"/>
      <family val="2"/>
    </font>
    <font>
      <b/>
      <sz val="16"/>
      <color theme="1"/>
      <name val="Calibri"/>
      <family val="2"/>
      <scheme val="minor"/>
    </font>
    <font>
      <i/>
      <sz val="14"/>
      <color theme="1"/>
      <name val="Calibri"/>
      <family val="2"/>
      <scheme val="minor"/>
    </font>
    <font>
      <i/>
      <sz val="14"/>
      <color theme="1" tint="0.499984740745262"/>
      <name val="Calibri"/>
      <family val="2"/>
      <scheme val="minor"/>
    </font>
    <font>
      <sz val="11"/>
      <color rgb="FFFF0000"/>
      <name val="Calibri"/>
      <family val="2"/>
      <scheme val="minor"/>
    </font>
    <font>
      <b/>
      <sz val="11"/>
      <color theme="1"/>
      <name val="Calibri"/>
      <family val="2"/>
      <scheme val="minor"/>
    </font>
    <font>
      <b/>
      <sz val="9"/>
      <color indexed="81"/>
      <name val="Tahoma"/>
      <family val="2"/>
    </font>
    <font>
      <sz val="9"/>
      <color theme="1"/>
      <name val="Calibri"/>
      <family val="2"/>
      <scheme val="minor"/>
    </font>
    <font>
      <sz val="11"/>
      <name val="Calibri"/>
      <family val="2"/>
      <scheme val="minor"/>
    </font>
    <font>
      <sz val="12"/>
      <color theme="1" tint="0.34998626667073579"/>
      <name val="Consolas"/>
      <family val="3"/>
    </font>
    <font>
      <sz val="10"/>
      <name val="Arial"/>
      <family val="2"/>
    </font>
    <font>
      <sz val="9"/>
      <color theme="1" tint="0.249977111117893"/>
      <name val="Arial"/>
      <family val="2"/>
    </font>
    <font>
      <sz val="28"/>
      <name val="Calibri"/>
      <family val="2"/>
      <scheme val="minor"/>
    </font>
    <font>
      <sz val="10"/>
      <color rgb="FF404040"/>
      <name val="Arial"/>
      <family val="2"/>
    </font>
    <font>
      <b/>
      <sz val="10"/>
      <color theme="1"/>
      <name val="Arial"/>
      <family val="2"/>
    </font>
    <font>
      <b/>
      <sz val="10"/>
      <name val="Arial"/>
      <family val="2"/>
    </font>
    <font>
      <sz val="10"/>
      <color rgb="FF000000"/>
      <name val="Arial"/>
      <family val="2"/>
    </font>
    <font>
      <b/>
      <sz val="12"/>
      <color theme="1"/>
      <name val="Arial"/>
      <family val="2"/>
    </font>
    <font>
      <b/>
      <sz val="12"/>
      <color theme="0"/>
      <name val="Arial"/>
      <family val="2"/>
    </font>
    <font>
      <sz val="9"/>
      <name val="Arial"/>
      <family val="2"/>
    </font>
    <font>
      <sz val="8"/>
      <name val="Calibri"/>
      <family val="2"/>
      <scheme val="minor"/>
    </font>
    <font>
      <b/>
      <sz val="10"/>
      <color rgb="FFFF6A13"/>
      <name val="Arial"/>
      <family val="2"/>
    </font>
    <font>
      <sz val="10"/>
      <name val="Arial"/>
      <family val="2"/>
    </font>
    <font>
      <sz val="10"/>
      <color theme="1"/>
      <name val="Arial"/>
      <family val="2"/>
    </font>
    <font>
      <b/>
      <sz val="10"/>
      <name val="Arial"/>
      <family val="2"/>
    </font>
    <font>
      <sz val="10"/>
      <color rgb="FF000000"/>
      <name val="Arial"/>
      <family val="2"/>
    </font>
    <font>
      <b/>
      <sz val="10"/>
      <color theme="1"/>
      <name val="Arial"/>
      <family val="2"/>
    </font>
    <font>
      <sz val="10"/>
      <color rgb="FFFF0000"/>
      <name val="Arial"/>
      <family val="2"/>
    </font>
    <font>
      <sz val="11"/>
      <color theme="1"/>
      <name val="Arial"/>
      <family val="2"/>
    </font>
    <font>
      <sz val="11"/>
      <color rgb="FF00B050"/>
      <name val="Calibri"/>
      <family val="2"/>
      <scheme val="minor"/>
    </font>
  </fonts>
  <fills count="15">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rgb="FF4C216D"/>
        <bgColor indexed="64"/>
      </patternFill>
    </fill>
    <fill>
      <patternFill patternType="solid">
        <fgColor theme="5" tint="-0.499984740745262"/>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5" tint="0.79998168889431442"/>
        <bgColor indexed="64"/>
      </patternFill>
    </fill>
    <fill>
      <patternFill patternType="solid">
        <fgColor theme="2"/>
        <bgColor indexed="64"/>
      </patternFill>
    </fill>
    <fill>
      <patternFill patternType="solid">
        <fgColor rgb="FFFFFF00"/>
        <bgColor indexed="64"/>
      </patternFill>
    </fill>
    <fill>
      <patternFill patternType="solid">
        <fgColor theme="7" tint="0.79998168889431442"/>
        <bgColor indexed="64"/>
      </patternFill>
    </fill>
    <fill>
      <patternFill patternType="solid">
        <fgColor rgb="FF440099"/>
        <bgColor indexed="64"/>
      </patternFill>
    </fill>
    <fill>
      <patternFill patternType="solid">
        <fgColor theme="7" tint="0.59999389629810485"/>
        <bgColor indexed="64"/>
      </patternFill>
    </fill>
    <fill>
      <patternFill patternType="solid">
        <fgColor rgb="FFF9E2D7"/>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theme="1"/>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style="thin">
        <color theme="0" tint="-0.14999847407452621"/>
      </right>
      <top style="thin">
        <color theme="0" tint="-0.14999847407452621"/>
      </top>
      <bottom style="thin">
        <color theme="0" tint="-0.14999847407452621"/>
      </bottom>
      <diagonal/>
    </border>
    <border>
      <left style="thin">
        <color theme="0" tint="-0.14999847407452621"/>
      </left>
      <right style="medium">
        <color theme="1"/>
      </right>
      <top style="thin">
        <color theme="0" tint="-0.14999847407452621"/>
      </top>
      <bottom style="thin">
        <color theme="0" tint="-0.14999847407452621"/>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theme="1"/>
      </left>
      <right style="thin">
        <color theme="0" tint="-0.14999847407452621"/>
      </right>
      <top style="medium">
        <color indexed="64"/>
      </top>
      <bottom style="thin">
        <color theme="0" tint="-0.14999847407452621"/>
      </bottom>
      <diagonal/>
    </border>
    <border>
      <left style="thin">
        <color theme="0" tint="-0.14999847407452621"/>
      </left>
      <right style="medium">
        <color theme="1"/>
      </right>
      <top style="medium">
        <color indexed="64"/>
      </top>
      <bottom style="thin">
        <color theme="0" tint="-0.14999847407452621"/>
      </bottom>
      <diagonal/>
    </border>
    <border>
      <left style="medium">
        <color theme="1"/>
      </left>
      <right style="thin">
        <color theme="0" tint="-0.14999847407452621"/>
      </right>
      <top style="thin">
        <color theme="0" tint="-0.14999847407452621"/>
      </top>
      <bottom style="thin">
        <color theme="2" tint="-9.9978637043366805E-2"/>
      </bottom>
      <diagonal/>
    </border>
    <border>
      <left style="thin">
        <color theme="0" tint="-0.14999847407452621"/>
      </left>
      <right style="medium">
        <color theme="1"/>
      </right>
      <top style="thin">
        <color theme="0" tint="-0.14999847407452621"/>
      </top>
      <bottom style="thin">
        <color theme="2" tint="-9.9978637043366805E-2"/>
      </bottom>
      <diagonal/>
    </border>
    <border>
      <left style="medium">
        <color theme="1"/>
      </left>
      <right style="thin">
        <color theme="2" tint="-9.9978637043366805E-2"/>
      </right>
      <top style="thin">
        <color theme="2" tint="-9.9978637043366805E-2"/>
      </top>
      <bottom style="thin">
        <color theme="2" tint="-9.9978637043366805E-2"/>
      </bottom>
      <diagonal/>
    </border>
    <border>
      <left/>
      <right style="medium">
        <color theme="1"/>
      </right>
      <top style="thin">
        <color theme="2" tint="-9.9978637043366805E-2"/>
      </top>
      <bottom style="thin">
        <color theme="2" tint="-9.9978637043366805E-2"/>
      </bottom>
      <diagonal/>
    </border>
    <border>
      <left style="medium">
        <color theme="1"/>
      </left>
      <right style="thin">
        <color theme="2" tint="-9.9978637043366805E-2"/>
      </right>
      <top/>
      <bottom style="medium">
        <color theme="1"/>
      </bottom>
      <diagonal/>
    </border>
    <border>
      <left style="thin">
        <color theme="2" tint="-9.9978637043366805E-2"/>
      </left>
      <right style="medium">
        <color theme="1"/>
      </right>
      <top style="thin">
        <color theme="2" tint="-9.9978637043366805E-2"/>
      </top>
      <bottom style="medium">
        <color theme="1"/>
      </bottom>
      <diagonal/>
    </border>
    <border>
      <left style="thin">
        <color theme="2" tint="-9.9978637043366805E-2"/>
      </left>
      <right style="medium">
        <color theme="1"/>
      </right>
      <top style="thin">
        <color theme="2" tint="-9.9978637043366805E-2"/>
      </top>
      <bottom/>
      <diagonal/>
    </border>
    <border>
      <left style="thin">
        <color indexed="64"/>
      </left>
      <right/>
      <top style="medium">
        <color indexed="64"/>
      </top>
      <bottom style="medium">
        <color indexed="64"/>
      </bottom>
      <diagonal/>
    </border>
    <border>
      <left/>
      <right/>
      <top style="thin">
        <color indexed="64"/>
      </top>
      <bottom style="thin">
        <color indexed="64"/>
      </bottom>
      <diagonal/>
    </border>
    <border>
      <left style="thin">
        <color auto="1"/>
      </left>
      <right/>
      <top style="thin">
        <color auto="1"/>
      </top>
      <bottom/>
      <diagonal/>
    </border>
  </borders>
  <cellStyleXfs count="1">
    <xf numFmtId="0" fontId="0" fillId="0" borderId="0"/>
  </cellStyleXfs>
  <cellXfs count="260">
    <xf numFmtId="0" fontId="0" fillId="0" borderId="0" xfId="0"/>
    <xf numFmtId="0" fontId="1" fillId="0" borderId="1" xfId="0" applyFont="1" applyBorder="1" applyAlignment="1">
      <alignment horizontal="center" vertical="center" wrapText="1"/>
    </xf>
    <xf numFmtId="0" fontId="0" fillId="0" borderId="1" xfId="0" applyBorder="1"/>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horizontal="center"/>
    </xf>
    <xf numFmtId="0" fontId="0" fillId="0" borderId="1" xfId="0" applyBorder="1" applyAlignment="1">
      <alignment horizontal="center"/>
    </xf>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left"/>
    </xf>
    <xf numFmtId="0" fontId="0" fillId="0" borderId="1" xfId="0" applyBorder="1" applyAlignment="1">
      <alignment horizontal="left" vertical="center"/>
    </xf>
    <xf numFmtId="0" fontId="0" fillId="0" borderId="0" xfId="0" applyAlignment="1">
      <alignment horizontal="center" vertical="center"/>
    </xf>
    <xf numFmtId="0" fontId="0" fillId="0" borderId="1" xfId="0" applyBorder="1" applyAlignment="1">
      <alignment horizontal="center" wrapText="1"/>
    </xf>
    <xf numFmtId="0" fontId="0" fillId="0" borderId="2" xfId="0" applyBorder="1" applyAlignment="1">
      <alignment horizontal="center" vertical="center"/>
    </xf>
    <xf numFmtId="0" fontId="0" fillId="0" borderId="1" xfId="0" applyBorder="1" applyAlignment="1">
      <alignment vertical="center"/>
    </xf>
    <xf numFmtId="0" fontId="0" fillId="0" borderId="1" xfId="0" applyBorder="1" applyAlignment="1">
      <alignment wrapText="1"/>
    </xf>
    <xf numFmtId="1" fontId="0" fillId="0" borderId="1" xfId="0" applyNumberFormat="1" applyBorder="1" applyAlignment="1">
      <alignment horizontal="center"/>
    </xf>
    <xf numFmtId="1" fontId="0" fillId="0" borderId="1" xfId="0" applyNumberFormat="1" applyBorder="1" applyAlignment="1">
      <alignment horizontal="center" vertical="center"/>
    </xf>
    <xf numFmtId="1" fontId="0" fillId="0" borderId="1" xfId="0" applyNumberFormat="1" applyBorder="1"/>
    <xf numFmtId="0" fontId="0" fillId="0" borderId="0" xfId="0" applyAlignment="1">
      <alignment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0" fillId="6" borderId="0" xfId="0" applyFill="1"/>
    <xf numFmtId="0" fontId="0" fillId="7" borderId="0" xfId="0" applyFill="1"/>
    <xf numFmtId="0" fontId="0" fillId="0" borderId="10" xfId="0" applyBorder="1"/>
    <xf numFmtId="0" fontId="0" fillId="0" borderId="11" xfId="0" applyBorder="1"/>
    <xf numFmtId="0" fontId="8" fillId="0" borderId="12" xfId="0" applyFont="1" applyBorder="1" applyAlignment="1">
      <alignment vertical="center"/>
    </xf>
    <xf numFmtId="0" fontId="8" fillId="0" borderId="13" xfId="0" applyFont="1" applyBorder="1" applyAlignment="1">
      <alignment vertical="center" wrapText="1"/>
    </xf>
    <xf numFmtId="0" fontId="14" fillId="0" borderId="14" xfId="0" applyFont="1" applyBorder="1" applyAlignment="1">
      <alignment horizontal="center" vertical="center"/>
    </xf>
    <xf numFmtId="0" fontId="14" fillId="0" borderId="14" xfId="0" applyFont="1" applyBorder="1" applyAlignment="1">
      <alignment horizontal="center" vertical="center" wrapText="1"/>
    </xf>
    <xf numFmtId="0" fontId="14" fillId="0" borderId="15" xfId="0" applyFont="1" applyBorder="1" applyAlignment="1">
      <alignment horizontal="center" vertical="center" wrapText="1"/>
    </xf>
    <xf numFmtId="0" fontId="0" fillId="0" borderId="2" xfId="0" applyBorder="1" applyAlignment="1">
      <alignment vertical="center"/>
    </xf>
    <xf numFmtId="0" fontId="0" fillId="0" borderId="16" xfId="0" applyBorder="1" applyAlignment="1">
      <alignment horizontal="center" vertical="center"/>
    </xf>
    <xf numFmtId="0" fontId="14" fillId="0" borderId="1" xfId="0" applyFont="1" applyBorder="1" applyAlignment="1">
      <alignment horizontal="center" vertical="center"/>
    </xf>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13" fillId="0" borderId="0" xfId="0" applyFont="1"/>
    <xf numFmtId="1" fontId="0" fillId="0" borderId="1" xfId="0" applyNumberFormat="1" applyBorder="1" applyAlignment="1">
      <alignment horizontal="center" vertical="center" wrapText="1"/>
    </xf>
    <xf numFmtId="0" fontId="8" fillId="0" borderId="13" xfId="0" applyFont="1" applyBorder="1" applyAlignment="1">
      <alignment wrapText="1"/>
    </xf>
    <xf numFmtId="164" fontId="0" fillId="0" borderId="1" xfId="0" applyNumberFormat="1" applyBorder="1" applyAlignment="1">
      <alignment horizontal="center" wrapText="1"/>
    </xf>
    <xf numFmtId="164" fontId="0" fillId="0" borderId="1" xfId="0" applyNumberFormat="1" applyBorder="1" applyAlignment="1">
      <alignment horizontal="center"/>
    </xf>
    <xf numFmtId="0" fontId="0" fillId="0" borderId="1" xfId="0" applyBorder="1" applyAlignment="1">
      <alignment vertical="center" wrapText="1"/>
    </xf>
    <xf numFmtId="0" fontId="1" fillId="0" borderId="1" xfId="0" applyFont="1" applyBorder="1"/>
    <xf numFmtId="0" fontId="0" fillId="0" borderId="1" xfId="0" applyBorder="1" applyAlignment="1">
      <alignment horizontal="left"/>
    </xf>
    <xf numFmtId="1" fontId="0" fillId="0" borderId="0" xfId="0" applyNumberFormat="1"/>
    <xf numFmtId="164" fontId="17" fillId="0" borderId="1" xfId="0" applyNumberFormat="1" applyFont="1" applyBorder="1" applyAlignment="1">
      <alignment horizontal="center" vertical="center"/>
    </xf>
    <xf numFmtId="0" fontId="17" fillId="0" borderId="1" xfId="0" applyFont="1" applyBorder="1" applyAlignment="1">
      <alignment horizontal="center"/>
    </xf>
    <xf numFmtId="0" fontId="17" fillId="0" borderId="1" xfId="0" applyFont="1" applyBorder="1" applyAlignment="1">
      <alignment horizontal="center" vertical="center"/>
    </xf>
    <xf numFmtId="0" fontId="0" fillId="0" borderId="0" xfId="0" quotePrefix="1"/>
    <xf numFmtId="0" fontId="0" fillId="0" borderId="0" xfId="0" applyAlignment="1">
      <alignment wrapText="1"/>
    </xf>
    <xf numFmtId="0" fontId="1" fillId="0" borderId="0" xfId="0" applyFont="1" applyAlignment="1">
      <alignment horizontal="center"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16" fillId="0" borderId="1" xfId="0" applyFont="1" applyBorder="1" applyAlignment="1">
      <alignment horizontal="center" vertical="center"/>
    </xf>
    <xf numFmtId="0" fontId="3" fillId="0" borderId="1" xfId="0" applyFont="1" applyBorder="1" applyAlignment="1">
      <alignment horizontal="center"/>
    </xf>
    <xf numFmtId="0" fontId="19" fillId="0" borderId="1" xfId="0" applyFont="1" applyBorder="1" applyAlignment="1">
      <alignment horizontal="center"/>
    </xf>
    <xf numFmtId="0" fontId="3" fillId="9" borderId="1" xfId="0" applyFont="1" applyFill="1" applyBorder="1" applyAlignment="1">
      <alignment horizontal="center"/>
    </xf>
    <xf numFmtId="0" fontId="0" fillId="2" borderId="0" xfId="0" applyFill="1" applyAlignment="1">
      <alignment horizontal="center"/>
    </xf>
    <xf numFmtId="0" fontId="3" fillId="2" borderId="1" xfId="0" applyFont="1" applyFill="1" applyBorder="1" applyAlignment="1">
      <alignment horizontal="center"/>
    </xf>
    <xf numFmtId="0" fontId="0" fillId="2" borderId="1" xfId="0" applyFill="1" applyBorder="1" applyAlignment="1">
      <alignment horizontal="center"/>
    </xf>
    <xf numFmtId="0" fontId="6" fillId="2" borderId="25" xfId="0" applyFont="1" applyFill="1" applyBorder="1" applyAlignment="1">
      <alignment horizontal="center" vertical="center" wrapText="1"/>
    </xf>
    <xf numFmtId="0" fontId="20" fillId="0" borderId="1" xfId="0" applyFont="1" applyBorder="1" applyAlignment="1">
      <alignment horizontal="center" vertical="center" wrapText="1"/>
    </xf>
    <xf numFmtId="0" fontId="6" fillId="2" borderId="24" xfId="0" applyFont="1" applyFill="1" applyBorder="1" applyAlignment="1">
      <alignment horizontal="center" vertical="center" wrapText="1"/>
    </xf>
    <xf numFmtId="0" fontId="9" fillId="5" borderId="25" xfId="0" applyFont="1" applyFill="1" applyBorder="1" applyAlignment="1">
      <alignment horizontal="center" vertical="center" wrapText="1"/>
    </xf>
    <xf numFmtId="164" fontId="21" fillId="0" borderId="0" xfId="0" applyNumberFormat="1" applyFont="1" applyAlignment="1">
      <alignment horizontal="left" vertical="center" wrapText="1"/>
    </xf>
    <xf numFmtId="2" fontId="21" fillId="0" borderId="0" xfId="0" applyNumberFormat="1" applyFont="1" applyAlignment="1">
      <alignment horizontal="center" vertical="center" wrapText="1"/>
    </xf>
    <xf numFmtId="164" fontId="21" fillId="0" borderId="0" xfId="0" applyNumberFormat="1" applyFont="1" applyAlignment="1">
      <alignment horizontal="center" vertical="center" wrapText="1"/>
    </xf>
    <xf numFmtId="1" fontId="17" fillId="0" borderId="1" xfId="0" applyNumberFormat="1" applyFont="1" applyBorder="1" applyAlignment="1">
      <alignment horizontal="center" vertical="center"/>
    </xf>
    <xf numFmtId="0" fontId="3" fillId="0" borderId="1" xfId="0" applyFont="1" applyBorder="1" applyAlignment="1">
      <alignment vertical="center" wrapText="1"/>
    </xf>
    <xf numFmtId="0" fontId="3" fillId="0" borderId="0" xfId="0" applyFont="1"/>
    <xf numFmtId="0" fontId="19" fillId="0" borderId="1"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 xfId="0" applyFont="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0" fontId="19" fillId="0" borderId="1" xfId="0" applyFont="1" applyBorder="1" applyAlignment="1">
      <alignment horizontal="left" vertical="center" wrapText="1"/>
    </xf>
    <xf numFmtId="0" fontId="19" fillId="0" borderId="23" xfId="0" applyFont="1" applyBorder="1" applyAlignment="1">
      <alignment horizontal="center" vertical="center" wrapText="1"/>
    </xf>
    <xf numFmtId="0" fontId="19" fillId="0" borderId="1" xfId="0" applyFont="1" applyBorder="1" applyAlignment="1">
      <alignment vertical="center" wrapText="1"/>
    </xf>
    <xf numFmtId="0" fontId="23" fillId="0" borderId="1" xfId="0" applyFont="1" applyBorder="1" applyAlignment="1">
      <alignment horizontal="left" vertical="center" wrapText="1"/>
    </xf>
    <xf numFmtId="0" fontId="24" fillId="0" borderId="1" xfId="0" applyFont="1" applyBorder="1" applyAlignment="1">
      <alignment horizontal="left" vertical="center" wrapText="1"/>
    </xf>
    <xf numFmtId="0" fontId="19" fillId="0" borderId="0" xfId="0" applyFont="1"/>
    <xf numFmtId="0" fontId="25" fillId="0" borderId="1" xfId="0" applyFont="1" applyBorder="1" applyAlignment="1">
      <alignment horizontal="center" vertical="center" wrapText="1"/>
    </xf>
    <xf numFmtId="0" fontId="25" fillId="0" borderId="1" xfId="0" applyFont="1" applyBorder="1" applyAlignment="1">
      <alignment horizontal="left" vertical="center" wrapText="1"/>
    </xf>
    <xf numFmtId="0" fontId="19" fillId="3" borderId="1" xfId="0" applyFont="1" applyFill="1" applyBorder="1" applyAlignment="1">
      <alignment horizontal="center" vertical="center" wrapText="1"/>
    </xf>
    <xf numFmtId="0" fontId="3" fillId="0" borderId="0" xfId="0" applyFont="1" applyAlignment="1">
      <alignment horizontal="center"/>
    </xf>
    <xf numFmtId="0" fontId="19" fillId="0" borderId="2" xfId="0" applyFont="1" applyBorder="1" applyAlignment="1">
      <alignment vertical="center" wrapText="1"/>
    </xf>
    <xf numFmtId="0" fontId="23" fillId="0" borderId="1" xfId="0" applyFont="1" applyBorder="1" applyAlignment="1">
      <alignment horizontal="center" vertical="center" wrapText="1"/>
    </xf>
    <xf numFmtId="0" fontId="3" fillId="0" borderId="0" xfId="0" applyFont="1" applyAlignment="1">
      <alignment horizontal="left"/>
    </xf>
    <xf numFmtId="0" fontId="24" fillId="0" borderId="1" xfId="0" applyFont="1" applyBorder="1" applyAlignment="1">
      <alignment horizontal="center" vertical="center" wrapText="1"/>
    </xf>
    <xf numFmtId="0" fontId="23" fillId="0" borderId="0" xfId="0" applyFont="1" applyAlignment="1">
      <alignment horizontal="center"/>
    </xf>
    <xf numFmtId="0" fontId="26" fillId="2" borderId="22" xfId="0" applyFont="1" applyFill="1" applyBorder="1" applyAlignment="1">
      <alignment horizontal="center" vertical="center" wrapText="1"/>
    </xf>
    <xf numFmtId="0" fontId="26" fillId="2" borderId="6" xfId="0" applyFont="1" applyFill="1" applyBorder="1" applyAlignment="1">
      <alignment horizontal="center" vertical="center" wrapText="1"/>
    </xf>
    <xf numFmtId="0" fontId="26" fillId="2" borderId="25" xfId="0" applyFont="1" applyFill="1" applyBorder="1" applyAlignment="1">
      <alignment horizontal="center" vertical="center" wrapText="1"/>
    </xf>
    <xf numFmtId="0" fontId="27" fillId="4" borderId="6" xfId="0" applyFont="1" applyFill="1" applyBorder="1" applyAlignment="1">
      <alignment horizontal="center" vertical="center" wrapText="1"/>
    </xf>
    <xf numFmtId="0" fontId="27" fillId="4" borderId="7" xfId="0" applyFont="1" applyFill="1" applyBorder="1" applyAlignment="1">
      <alignment horizontal="center" vertical="center" wrapText="1"/>
    </xf>
    <xf numFmtId="0" fontId="22" fillId="0" borderId="1" xfId="0" applyFont="1" applyBorder="1"/>
    <xf numFmtId="0" fontId="19" fillId="10" borderId="1" xfId="0" applyFont="1" applyFill="1" applyBorder="1" applyAlignment="1">
      <alignment horizontal="center" vertical="center" wrapText="1"/>
    </xf>
    <xf numFmtId="0" fontId="19" fillId="10" borderId="23" xfId="0" applyFont="1" applyFill="1" applyBorder="1" applyAlignment="1">
      <alignment horizontal="center" vertical="center" wrapText="1"/>
    </xf>
    <xf numFmtId="0" fontId="19" fillId="0" borderId="17" xfId="0" applyFont="1" applyBorder="1" applyAlignment="1">
      <alignment horizontal="center" vertical="center" wrapText="1"/>
    </xf>
    <xf numFmtId="0" fontId="19" fillId="0" borderId="0" xfId="0" applyFont="1" applyAlignment="1">
      <alignment horizontal="left" vertical="center" wrapText="1"/>
    </xf>
    <xf numFmtId="0" fontId="0" fillId="10" borderId="1" xfId="0" applyFill="1" applyBorder="1" applyAlignment="1">
      <alignment horizontal="left" vertical="center"/>
    </xf>
    <xf numFmtId="0" fontId="0" fillId="10" borderId="0" xfId="0" applyFill="1"/>
    <xf numFmtId="0" fontId="0" fillId="10" borderId="1" xfId="0" applyFill="1" applyBorder="1" applyAlignment="1">
      <alignment horizontal="left"/>
    </xf>
    <xf numFmtId="0" fontId="0" fillId="10" borderId="1" xfId="0" applyFill="1" applyBorder="1"/>
    <xf numFmtId="0" fontId="19" fillId="0" borderId="1" xfId="0" applyFont="1" applyBorder="1" applyAlignment="1">
      <alignment horizontal="center" vertical="center"/>
    </xf>
    <xf numFmtId="0" fontId="28" fillId="10" borderId="1" xfId="0" applyFont="1" applyFill="1" applyBorder="1" applyAlignment="1">
      <alignment horizontal="left" vertical="center"/>
    </xf>
    <xf numFmtId="0" fontId="3" fillId="10" borderId="1" xfId="0" applyFont="1" applyFill="1" applyBorder="1" applyAlignment="1">
      <alignment horizontal="left" vertical="center" wrapText="1"/>
    </xf>
    <xf numFmtId="0" fontId="24" fillId="10" borderId="1" xfId="0" applyFont="1" applyFill="1" applyBorder="1" applyAlignment="1">
      <alignment horizontal="left" vertical="center" wrapText="1"/>
    </xf>
    <xf numFmtId="0" fontId="24" fillId="10"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19" fillId="10" borderId="17" xfId="0" applyFont="1" applyFill="1" applyBorder="1" applyAlignment="1">
      <alignment horizontal="center" vertical="center" wrapText="1"/>
    </xf>
    <xf numFmtId="0" fontId="19" fillId="11" borderId="1" xfId="0" applyFont="1" applyFill="1" applyBorder="1" applyAlignment="1">
      <alignment horizontal="center" vertical="center" wrapText="1"/>
    </xf>
    <xf numFmtId="0" fontId="19" fillId="11"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24" fillId="11"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24" fillId="11" borderId="1" xfId="0" applyFont="1" applyFill="1" applyBorder="1" applyAlignment="1">
      <alignment horizontal="left" vertical="center" wrapText="1"/>
    </xf>
    <xf numFmtId="0" fontId="28" fillId="10" borderId="1" xfId="0" applyFont="1" applyFill="1" applyBorder="1" applyAlignment="1">
      <alignment horizontal="center" vertical="center"/>
    </xf>
    <xf numFmtId="0" fontId="23" fillId="11" borderId="1" xfId="0" applyFont="1" applyFill="1" applyBorder="1" applyAlignment="1">
      <alignment horizontal="center" vertical="center" wrapText="1"/>
    </xf>
    <xf numFmtId="0" fontId="3" fillId="10" borderId="0" xfId="0" applyFont="1" applyFill="1"/>
    <xf numFmtId="0" fontId="23" fillId="10" borderId="0" xfId="0" applyFont="1" applyFill="1" applyAlignment="1">
      <alignment horizontal="center"/>
    </xf>
    <xf numFmtId="0" fontId="10" fillId="2" borderId="8" xfId="0" applyFont="1" applyFill="1" applyBorder="1" applyAlignment="1">
      <alignment horizontal="center"/>
    </xf>
    <xf numFmtId="0" fontId="10" fillId="2" borderId="9" xfId="0" applyFont="1" applyFill="1" applyBorder="1" applyAlignment="1">
      <alignment horizontal="center"/>
    </xf>
    <xf numFmtId="0" fontId="8" fillId="8" borderId="26" xfId="0" applyFont="1" applyFill="1" applyBorder="1" applyAlignment="1">
      <alignment vertical="center"/>
    </xf>
    <xf numFmtId="0" fontId="8" fillId="0" borderId="27" xfId="0" applyFont="1" applyBorder="1" applyAlignment="1">
      <alignment vertical="center"/>
    </xf>
    <xf numFmtId="0" fontId="8" fillId="0" borderId="28" xfId="0" applyFont="1" applyBorder="1" applyAlignment="1">
      <alignment vertical="center"/>
    </xf>
    <xf numFmtId="0" fontId="8" fillId="0" borderId="29" xfId="0" applyFont="1" applyBorder="1" applyAlignment="1">
      <alignment vertical="center" wrapText="1"/>
    </xf>
    <xf numFmtId="0" fontId="8" fillId="0" borderId="30" xfId="0" applyFont="1" applyBorder="1" applyAlignment="1">
      <alignment vertical="center"/>
    </xf>
    <xf numFmtId="0" fontId="8" fillId="0" borderId="31" xfId="0" applyFont="1" applyBorder="1" applyAlignment="1">
      <alignment vertical="center" wrapText="1"/>
    </xf>
    <xf numFmtId="0" fontId="8" fillId="0" borderId="32" xfId="0" applyFont="1" applyBorder="1" applyAlignment="1">
      <alignment vertical="center"/>
    </xf>
    <xf numFmtId="0" fontId="8" fillId="0" borderId="34" xfId="0" applyFont="1" applyBorder="1" applyAlignment="1">
      <alignment vertical="center" wrapText="1"/>
    </xf>
    <xf numFmtId="0" fontId="8" fillId="0" borderId="33" xfId="0" applyFont="1" applyBorder="1" applyAlignment="1">
      <alignment vertical="center" wrapText="1"/>
    </xf>
    <xf numFmtId="0" fontId="27" fillId="4" borderId="35" xfId="0" applyFont="1" applyFill="1" applyBorder="1" applyAlignment="1">
      <alignment horizontal="center" vertical="center" wrapText="1"/>
    </xf>
    <xf numFmtId="0" fontId="19" fillId="8" borderId="1" xfId="0" applyFont="1" applyFill="1" applyBorder="1" applyAlignment="1">
      <alignment horizontal="center" vertical="center" wrapText="1"/>
    </xf>
    <xf numFmtId="0" fontId="19" fillId="8"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23" fillId="8" borderId="1" xfId="0" applyFont="1" applyFill="1" applyBorder="1" applyAlignment="1">
      <alignment horizontal="center" vertical="center" wrapText="1"/>
    </xf>
    <xf numFmtId="0" fontId="19" fillId="8" borderId="1" xfId="0" applyFont="1" applyFill="1" applyBorder="1" applyAlignment="1">
      <alignment vertical="center" wrapText="1"/>
    </xf>
    <xf numFmtId="0" fontId="19" fillId="0" borderId="3" xfId="0" applyFont="1" applyBorder="1" applyAlignment="1">
      <alignment horizontal="center" vertical="center" wrapText="1"/>
    </xf>
    <xf numFmtId="0" fontId="19" fillId="3" borderId="17" xfId="0" applyFont="1" applyFill="1" applyBorder="1" applyAlignment="1">
      <alignment horizontal="center" vertical="center" wrapText="1"/>
    </xf>
    <xf numFmtId="0" fontId="0" fillId="13" borderId="1" xfId="0" applyFill="1" applyBorder="1" applyAlignment="1">
      <alignment horizontal="left" vertical="center"/>
    </xf>
    <xf numFmtId="0" fontId="10" fillId="0" borderId="0" xfId="0" applyFont="1"/>
    <xf numFmtId="0" fontId="14" fillId="0" borderId="0" xfId="0" applyFont="1" applyAlignment="1">
      <alignment vertical="center"/>
    </xf>
    <xf numFmtId="0" fontId="22" fillId="14" borderId="0" xfId="0" applyFont="1" applyFill="1" applyAlignment="1">
      <alignment vertical="center" wrapText="1"/>
    </xf>
    <xf numFmtId="0" fontId="22" fillId="14" borderId="0" xfId="0" applyFont="1" applyFill="1" applyAlignment="1">
      <alignment horizontal="justify" vertical="center" wrapText="1"/>
    </xf>
    <xf numFmtId="0" fontId="19" fillId="0" borderId="20" xfId="0" applyFont="1" applyBorder="1" applyAlignment="1">
      <alignment horizontal="center" vertical="center" wrapText="1"/>
    </xf>
    <xf numFmtId="0" fontId="0" fillId="0" borderId="19" xfId="0" applyBorder="1" applyAlignment="1">
      <alignment horizontal="center" vertical="center"/>
    </xf>
    <xf numFmtId="0" fontId="19" fillId="0" borderId="16" xfId="0" applyFont="1" applyBorder="1" applyAlignment="1">
      <alignment horizontal="center" vertical="center" wrapText="1"/>
    </xf>
    <xf numFmtId="0" fontId="27" fillId="4"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2" fillId="0" borderId="1" xfId="0" applyFont="1" applyBorder="1" applyAlignment="1">
      <alignment vertical="center" wrapText="1"/>
    </xf>
    <xf numFmtId="0" fontId="30" fillId="12" borderId="1" xfId="0" applyFont="1" applyFill="1" applyBorder="1" applyAlignment="1">
      <alignment horizontal="center" vertical="center" wrapText="1"/>
    </xf>
    <xf numFmtId="0" fontId="3" fillId="0" borderId="1" xfId="0" applyFont="1" applyBorder="1" applyAlignment="1">
      <alignment wrapText="1"/>
    </xf>
    <xf numFmtId="1" fontId="17" fillId="0" borderId="1" xfId="0" applyNumberFormat="1" applyFont="1" applyBorder="1" applyAlignment="1">
      <alignment horizontal="center"/>
    </xf>
    <xf numFmtId="165" fontId="0" fillId="0" borderId="0" xfId="0" applyNumberFormat="1"/>
    <xf numFmtId="0" fontId="6" fillId="2" borderId="21" xfId="0" applyFont="1" applyFill="1" applyBorder="1" applyAlignment="1">
      <alignment horizontal="center" vertical="center" wrapText="1"/>
    </xf>
    <xf numFmtId="164" fontId="0" fillId="0" borderId="1" xfId="0" applyNumberFormat="1" applyBorder="1"/>
    <xf numFmtId="0" fontId="6" fillId="2" borderId="1" xfId="0" applyFont="1" applyFill="1" applyBorder="1" applyAlignment="1">
      <alignment horizontal="center" vertical="center" wrapText="1"/>
    </xf>
    <xf numFmtId="0" fontId="17" fillId="0" borderId="0" xfId="0" applyFont="1"/>
    <xf numFmtId="166" fontId="17" fillId="0" borderId="0" xfId="0" applyNumberFormat="1" applyFont="1"/>
    <xf numFmtId="0" fontId="28" fillId="0" borderId="1" xfId="0" applyFont="1" applyBorder="1" applyAlignment="1">
      <alignment horizontal="left" vertical="center"/>
    </xf>
    <xf numFmtId="0" fontId="28" fillId="0" borderId="1" xfId="0" applyFont="1" applyBorder="1" applyAlignment="1">
      <alignment horizontal="center" vertical="center"/>
    </xf>
    <xf numFmtId="0" fontId="19" fillId="0" borderId="3" xfId="0" applyFont="1" applyBorder="1" applyAlignment="1">
      <alignment vertical="center" wrapText="1"/>
    </xf>
    <xf numFmtId="2" fontId="0" fillId="0" borderId="1" xfId="0" applyNumberFormat="1" applyBorder="1" applyAlignment="1">
      <alignment horizontal="center" vertical="center"/>
    </xf>
    <xf numFmtId="0" fontId="6" fillId="2" borderId="6" xfId="0" quotePrefix="1" applyFont="1" applyFill="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xf numFmtId="0" fontId="3" fillId="0" borderId="1" xfId="0" quotePrefix="1" applyFont="1" applyBorder="1" applyAlignment="1">
      <alignment horizontal="left" vertical="center" wrapText="1"/>
    </xf>
    <xf numFmtId="0" fontId="3" fillId="0" borderId="2" xfId="0" quotePrefix="1" applyFont="1" applyBorder="1" applyAlignment="1">
      <alignment horizontal="left" vertical="center" wrapText="1"/>
    </xf>
    <xf numFmtId="0" fontId="23" fillId="0" borderId="2" xfId="0" applyFont="1" applyBorder="1" applyAlignment="1">
      <alignment horizontal="left" vertical="center" wrapText="1"/>
    </xf>
    <xf numFmtId="0" fontId="3" fillId="0" borderId="1" xfId="0" applyFont="1" applyBorder="1" applyAlignment="1">
      <alignment vertical="center"/>
    </xf>
    <xf numFmtId="0" fontId="23" fillId="0" borderId="1" xfId="0" applyFont="1" applyBorder="1" applyAlignment="1">
      <alignment vertical="center" wrapText="1"/>
    </xf>
    <xf numFmtId="0" fontId="23" fillId="0" borderId="1" xfId="0" applyFont="1" applyBorder="1" applyAlignment="1">
      <alignment horizontal="center" vertical="center"/>
    </xf>
    <xf numFmtId="0" fontId="3" fillId="0" borderId="1" xfId="0" quotePrefix="1" applyFont="1" applyBorder="1" applyAlignment="1">
      <alignment vertical="center" wrapText="1"/>
    </xf>
    <xf numFmtId="0" fontId="3" fillId="0" borderId="3" xfId="0" applyFont="1" applyBorder="1" applyAlignment="1">
      <alignment horizontal="left" vertical="center" wrapText="1"/>
    </xf>
    <xf numFmtId="0" fontId="23" fillId="3" borderId="1" xfId="0" applyFont="1" applyFill="1" applyBorder="1" applyAlignment="1">
      <alignment horizontal="left" vertical="center" wrapText="1"/>
    </xf>
    <xf numFmtId="0" fontId="28" fillId="0" borderId="1" xfId="0" applyFont="1" applyBorder="1" applyAlignment="1">
      <alignment horizontal="left" vertical="center" wrapText="1"/>
    </xf>
    <xf numFmtId="0" fontId="3" fillId="0" borderId="0" xfId="0" applyFont="1" applyAlignment="1">
      <alignment wrapText="1"/>
    </xf>
    <xf numFmtId="0" fontId="19" fillId="10" borderId="1" xfId="0" applyFont="1" applyFill="1" applyBorder="1" applyAlignment="1">
      <alignment vertical="center" wrapText="1"/>
    </xf>
    <xf numFmtId="0" fontId="31" fillId="0" borderId="23" xfId="0" applyFont="1" applyBorder="1" applyAlignment="1">
      <alignment horizontal="center" vertical="center" wrapText="1"/>
    </xf>
    <xf numFmtId="0" fontId="32" fillId="0" borderId="1" xfId="0" applyFont="1" applyBorder="1" applyAlignment="1">
      <alignment horizontal="center" vertical="center" wrapText="1"/>
    </xf>
    <xf numFmtId="0" fontId="31" fillId="0" borderId="1" xfId="0" applyFont="1" applyBorder="1" applyAlignment="1">
      <alignment vertical="center" wrapText="1"/>
    </xf>
    <xf numFmtId="0" fontId="32" fillId="0" borderId="1" xfId="0" applyFont="1" applyBorder="1" applyAlignment="1">
      <alignment horizontal="left" vertical="center" wrapText="1"/>
    </xf>
    <xf numFmtId="0" fontId="33" fillId="0" borderId="1" xfId="0" applyFont="1" applyBorder="1" applyAlignment="1">
      <alignment horizontal="center" vertical="center" wrapText="1"/>
    </xf>
    <xf numFmtId="0" fontId="32" fillId="0" borderId="23" xfId="0" applyFont="1" applyBorder="1" applyAlignment="1">
      <alignment horizontal="center" vertical="center" wrapText="1"/>
    </xf>
    <xf numFmtId="0" fontId="32" fillId="0" borderId="1" xfId="0" applyFont="1" applyBorder="1" applyAlignment="1">
      <alignment vertical="center" wrapText="1"/>
    </xf>
    <xf numFmtId="0" fontId="31" fillId="0" borderId="1" xfId="0" applyFont="1" applyBorder="1" applyAlignment="1">
      <alignment horizontal="left" vertical="center" wrapText="1"/>
    </xf>
    <xf numFmtId="0" fontId="31" fillId="10" borderId="1" xfId="0" applyFont="1" applyFill="1" applyBorder="1" applyAlignment="1">
      <alignment vertical="center" wrapText="1"/>
    </xf>
    <xf numFmtId="0" fontId="31" fillId="0" borderId="17" xfId="0" applyFont="1" applyBorder="1" applyAlignment="1">
      <alignment horizontal="center" vertical="center" wrapText="1"/>
    </xf>
    <xf numFmtId="0" fontId="35"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4" fillId="0" borderId="1" xfId="0" applyFont="1" applyBorder="1" applyAlignment="1">
      <alignment horizontal="left" vertical="center" wrapText="1"/>
    </xf>
    <xf numFmtId="0" fontId="3" fillId="0" borderId="3" xfId="0" applyFont="1" applyBorder="1" applyAlignment="1">
      <alignment vertical="center" wrapText="1"/>
    </xf>
    <xf numFmtId="0" fontId="3" fillId="0" borderId="3" xfId="0" quotePrefix="1" applyFont="1" applyBorder="1" applyAlignment="1">
      <alignment vertical="center" wrapText="1"/>
    </xf>
    <xf numFmtId="0" fontId="31" fillId="3" borderId="1" xfId="0" applyFont="1" applyFill="1" applyBorder="1" applyAlignment="1">
      <alignment horizontal="center" vertical="center" wrapText="1"/>
    </xf>
    <xf numFmtId="0" fontId="32" fillId="0" borderId="0" xfId="0" applyFont="1"/>
    <xf numFmtId="0" fontId="35" fillId="0" borderId="1" xfId="0" applyFont="1" applyBorder="1" applyAlignment="1">
      <alignment horizontal="left" vertical="center" wrapText="1"/>
    </xf>
    <xf numFmtId="0" fontId="31" fillId="0" borderId="1" xfId="0" applyFont="1" applyBorder="1" applyAlignment="1">
      <alignment horizontal="center" vertical="center"/>
    </xf>
    <xf numFmtId="0" fontId="31" fillId="10" borderId="1" xfId="0" applyFont="1" applyFill="1" applyBorder="1" applyAlignment="1">
      <alignment horizontal="left" vertical="center" wrapText="1"/>
    </xf>
    <xf numFmtId="0" fontId="23" fillId="0" borderId="3" xfId="0" applyFont="1" applyBorder="1" applyAlignment="1">
      <alignment horizontal="center" vertical="center" wrapText="1"/>
    </xf>
    <xf numFmtId="0" fontId="25" fillId="0" borderId="3" xfId="0" applyFont="1" applyBorder="1" applyAlignment="1">
      <alignment horizontal="center" vertical="center" wrapText="1"/>
    </xf>
    <xf numFmtId="0" fontId="19" fillId="0" borderId="37" xfId="0" applyFont="1" applyBorder="1" applyAlignment="1">
      <alignment horizontal="center" vertical="center" wrapText="1"/>
    </xf>
    <xf numFmtId="0" fontId="23" fillId="3" borderId="2" xfId="0" applyFont="1" applyFill="1" applyBorder="1" applyAlignment="1">
      <alignment horizontal="left" vertical="center" wrapText="1"/>
    </xf>
    <xf numFmtId="0" fontId="3" fillId="0" borderId="4" xfId="0" applyFont="1" applyBorder="1" applyAlignment="1">
      <alignment horizontal="left" vertical="center" wrapText="1"/>
    </xf>
    <xf numFmtId="0" fontId="25" fillId="0" borderId="3" xfId="0" applyFont="1" applyBorder="1" applyAlignment="1">
      <alignment horizontal="left" vertical="center" wrapText="1"/>
    </xf>
    <xf numFmtId="0" fontId="23" fillId="0" borderId="4" xfId="0" applyFont="1" applyBorder="1" applyAlignment="1">
      <alignment horizontal="left" vertical="center" wrapText="1"/>
    </xf>
    <xf numFmtId="0" fontId="19" fillId="0" borderId="0" xfId="0" applyFont="1" applyAlignment="1">
      <alignment vertical="center" wrapText="1"/>
    </xf>
    <xf numFmtId="0" fontId="3" fillId="0" borderId="3" xfId="0" applyFont="1" applyBorder="1" applyAlignment="1">
      <alignment horizontal="center" vertical="center" wrapText="1"/>
    </xf>
    <xf numFmtId="0" fontId="37" fillId="0" borderId="1" xfId="0" applyFont="1" applyBorder="1" applyAlignment="1">
      <alignment horizontal="center" vertical="center"/>
    </xf>
    <xf numFmtId="0" fontId="3" fillId="0" borderId="2"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19" fillId="0" borderId="1" xfId="0" quotePrefix="1" applyFont="1" applyBorder="1" applyAlignment="1">
      <alignment horizontal="left" vertical="center" wrapText="1"/>
    </xf>
    <xf numFmtId="0" fontId="38" fillId="0" borderId="0" xfId="0" applyFont="1"/>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2" fillId="0" borderId="0" xfId="0" applyFont="1" applyAlignment="1">
      <alignment horizontal="center" vertical="center" wrapText="1"/>
    </xf>
    <xf numFmtId="0" fontId="23" fillId="0" borderId="1" xfId="0" applyFont="1" applyBorder="1" applyAlignment="1">
      <alignment horizontal="left" vertical="center" wrapText="1"/>
    </xf>
    <xf numFmtId="0" fontId="19" fillId="0" borderId="3" xfId="0" applyFont="1" applyBorder="1" applyAlignment="1">
      <alignment horizontal="left" vertical="center" wrapText="1"/>
    </xf>
    <xf numFmtId="0" fontId="19" fillId="0" borderId="1" xfId="0" applyFont="1" applyBorder="1" applyAlignment="1">
      <alignment horizontal="left" vertical="center" wrapText="1"/>
    </xf>
    <xf numFmtId="0" fontId="3" fillId="0" borderId="1" xfId="0" applyFont="1" applyBorder="1" applyAlignment="1">
      <alignment horizontal="center" vertical="center" wrapText="1"/>
    </xf>
    <xf numFmtId="0" fontId="25" fillId="0" borderId="3" xfId="0" applyFont="1" applyBorder="1" applyAlignment="1">
      <alignment horizontal="center" vertical="center" wrapText="1"/>
    </xf>
    <xf numFmtId="0" fontId="3" fillId="0" borderId="3" xfId="0" quotePrefix="1" applyFont="1" applyBorder="1" applyAlignment="1">
      <alignment horizontal="center" vertical="center" wrapText="1"/>
    </xf>
    <xf numFmtId="0" fontId="3" fillId="0" borderId="3" xfId="0" quotePrefix="1" applyFont="1" applyBorder="1" applyAlignment="1">
      <alignment horizontal="left" vertical="center" wrapText="1"/>
    </xf>
    <xf numFmtId="0" fontId="3" fillId="0" borderId="1" xfId="0" applyFont="1" applyBorder="1" applyAlignment="1">
      <alignment horizontal="left" vertical="center" wrapText="1"/>
    </xf>
    <xf numFmtId="0" fontId="25" fillId="0" borderId="1" xfId="0" applyFont="1" applyBorder="1" applyAlignment="1">
      <alignment horizontal="left" vertical="center" wrapText="1"/>
    </xf>
    <xf numFmtId="0" fontId="25"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37" xfId="0" applyFont="1" applyBorder="1" applyAlignment="1">
      <alignment horizontal="center" vertical="center" wrapText="1"/>
    </xf>
    <xf numFmtId="0" fontId="19" fillId="0" borderId="1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2" xfId="0" quotePrefix="1" applyFont="1" applyBorder="1" applyAlignment="1">
      <alignment horizontal="center" vertical="center" wrapText="1"/>
    </xf>
    <xf numFmtId="0" fontId="24" fillId="0" borderId="3" xfId="0" applyFont="1" applyBorder="1" applyAlignment="1">
      <alignment horizontal="center" vertical="center" wrapText="1"/>
    </xf>
    <xf numFmtId="0" fontId="24"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0" fillId="0" borderId="1" xfId="0" applyBorder="1" applyAlignment="1">
      <alignment horizontal="center" vertical="center" wrapText="1"/>
    </xf>
    <xf numFmtId="0" fontId="22" fillId="14" borderId="0" xfId="0" applyFont="1" applyFill="1" applyAlignment="1">
      <alignment horizontal="center" vertical="center" wrapText="1"/>
    </xf>
    <xf numFmtId="0" fontId="14" fillId="0" borderId="36" xfId="0" applyFont="1" applyBorder="1" applyAlignment="1">
      <alignment horizontal="center" vertical="center"/>
    </xf>
    <xf numFmtId="0" fontId="14" fillId="0" borderId="23" xfId="0" applyFon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19" xfId="0" applyBorder="1" applyAlignment="1">
      <alignment horizontal="center" vertical="center"/>
    </xf>
    <xf numFmtId="0" fontId="3" fillId="0" borderId="23" xfId="0" applyFont="1" applyBorder="1" applyAlignment="1">
      <alignment horizontal="center" vertical="center" wrapText="1"/>
    </xf>
    <xf numFmtId="0" fontId="19" fillId="0" borderId="1" xfId="0" quotePrefix="1" applyFont="1" applyBorder="1" applyAlignment="1">
      <alignment horizontal="center" vertical="center" wrapText="1"/>
    </xf>
    <xf numFmtId="0" fontId="3" fillId="0" borderId="3" xfId="0" applyFont="1" applyBorder="1" applyAlignment="1">
      <alignment horizontal="left" vertical="center" wrapText="1"/>
    </xf>
    <xf numFmtId="0" fontId="3" fillId="0" borderId="1" xfId="0" applyFont="1" applyBorder="1" applyAlignment="1">
      <alignment horizontal="left" vertical="center"/>
    </xf>
    <xf numFmtId="0" fontId="19" fillId="10" borderId="2" xfId="0" applyFont="1" applyFill="1" applyBorder="1" applyAlignment="1">
      <alignment vertical="center" wrapText="1"/>
    </xf>
  </cellXfs>
  <cellStyles count="1">
    <cellStyle name="Normal"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B9D0"/>
      <color rgb="FF75787B"/>
      <color rgb="FF2AD2C9"/>
      <color rgb="FFFF6A13"/>
      <color rgb="FF440099"/>
      <color rgb="FF92D050"/>
      <color rgb="FFF3F3F3"/>
      <color rgb="FF4C21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294203623089759E-2"/>
          <c:y val="2.6944300233608467E-2"/>
          <c:w val="0.87130819258457404"/>
          <c:h val="0.52057963241058558"/>
        </c:manualLayout>
      </c:layout>
      <c:barChart>
        <c:barDir val="col"/>
        <c:grouping val="stacked"/>
        <c:varyColors val="0"/>
        <c:ser>
          <c:idx val="4"/>
          <c:order val="0"/>
          <c:tx>
            <c:strRef>
              <c:f>Graficas!$E$1</c:f>
              <c:strCache>
                <c:ptCount val="1"/>
                <c:pt idx="0">
                  <c:v>Restricciones en estado Normal</c:v>
                </c:pt>
              </c:strCache>
            </c:strRef>
          </c:tx>
          <c:spPr>
            <a:solidFill>
              <a:srgbClr val="2AD2C9"/>
            </a:solidFill>
            <a:ln>
              <a:noFill/>
            </a:ln>
            <a:effectLst/>
          </c:spPr>
          <c:invertIfNegative val="0"/>
          <c:dLbls>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F7B-4820-9AF9-5B2A12BF6271}"/>
                </c:ext>
              </c:extLst>
            </c:dLbl>
            <c:dLbl>
              <c:idx val="9"/>
              <c:delete val="1"/>
              <c:extLst>
                <c:ext xmlns:c15="http://schemas.microsoft.com/office/drawing/2012/chart" uri="{CE6537A1-D6FC-4f65-9D91-7224C49458BB}"/>
                <c:ext xmlns:c16="http://schemas.microsoft.com/office/drawing/2014/chart" uri="{C3380CC4-5D6E-409C-BE32-E72D297353CC}">
                  <c16:uniqueId val="{0000001A-F6A8-45FF-94DE-63F2296AF71F}"/>
                </c:ext>
              </c:extLst>
            </c:dLbl>
            <c:dLbl>
              <c:idx val="1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F6A8-45FF-94DE-63F2296AF71F}"/>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Aptos Narrow" panose="020B0004020202020204" pitchFamily="34" charset="0"/>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Graficas!$A$2:$B$18</c:f>
              <c:multiLvlStrCache>
                <c:ptCount val="17"/>
                <c:lvl>
                  <c:pt idx="0">
                    <c:v>Antioquia</c:v>
                  </c:pt>
                  <c:pt idx="1">
                    <c:v>Atlántico</c:v>
                  </c:pt>
                  <c:pt idx="2">
                    <c:v>Bolívar</c:v>
                  </c:pt>
                  <c:pt idx="3">
                    <c:v>Cerromatoso</c:v>
                  </c:pt>
                  <c:pt idx="4">
                    <c:v>Córdoba-Sucre</c:v>
                  </c:pt>
                  <c:pt idx="5">
                    <c:v>GCM</c:v>
                  </c:pt>
                  <c:pt idx="6">
                    <c:v>Boyaca-Casanare</c:v>
                  </c:pt>
                  <c:pt idx="7">
                    <c:v>Norte de Santander</c:v>
                  </c:pt>
                  <c:pt idx="8">
                    <c:v>Santander</c:v>
                  </c:pt>
                  <c:pt idx="9">
                    <c:v>Arauca</c:v>
                  </c:pt>
                  <c:pt idx="10">
                    <c:v>Bogotá</c:v>
                  </c:pt>
                  <c:pt idx="11">
                    <c:v>Meta</c:v>
                  </c:pt>
                  <c:pt idx="12">
                    <c:v>Cauca-Nariño</c:v>
                  </c:pt>
                  <c:pt idx="13">
                    <c:v>Valle</c:v>
                  </c:pt>
                  <c:pt idx="14">
                    <c:v>Huila-Tolima</c:v>
                  </c:pt>
                  <c:pt idx="15">
                    <c:v>Caquetá</c:v>
                  </c:pt>
                  <c:pt idx="16">
                    <c:v>Suroccidente</c:v>
                  </c:pt>
                </c:lvl>
                <c:lvl>
                  <c:pt idx="0">
                    <c:v>Antioquia</c:v>
                  </c:pt>
                  <c:pt idx="1">
                    <c:v>Caribe</c:v>
                  </c:pt>
                  <c:pt idx="6">
                    <c:v>Nordeste</c:v>
                  </c:pt>
                  <c:pt idx="10">
                    <c:v>Oriental</c:v>
                  </c:pt>
                  <c:pt idx="12">
                    <c:v>Suroccidental</c:v>
                  </c:pt>
                </c:lvl>
              </c:multiLvlStrCache>
            </c:multiLvlStrRef>
          </c:cat>
          <c:val>
            <c:numRef>
              <c:f>Graficas!$E$2:$E$18</c:f>
              <c:numCache>
                <c:formatCode>General</c:formatCode>
                <c:ptCount val="17"/>
                <c:pt idx="0">
                  <c:v>12</c:v>
                </c:pt>
                <c:pt idx="1">
                  <c:v>9</c:v>
                </c:pt>
                <c:pt idx="2">
                  <c:v>4</c:v>
                </c:pt>
                <c:pt idx="3">
                  <c:v>0</c:v>
                </c:pt>
                <c:pt idx="4">
                  <c:v>3</c:v>
                </c:pt>
                <c:pt idx="5">
                  <c:v>4</c:v>
                </c:pt>
                <c:pt idx="6">
                  <c:v>10</c:v>
                </c:pt>
                <c:pt idx="7">
                  <c:v>5</c:v>
                </c:pt>
                <c:pt idx="8">
                  <c:v>1</c:v>
                </c:pt>
                <c:pt idx="9">
                  <c:v>0</c:v>
                </c:pt>
                <c:pt idx="10">
                  <c:v>25</c:v>
                </c:pt>
                <c:pt idx="11">
                  <c:v>2</c:v>
                </c:pt>
                <c:pt idx="12">
                  <c:v>5</c:v>
                </c:pt>
                <c:pt idx="13">
                  <c:v>8</c:v>
                </c:pt>
                <c:pt idx="14">
                  <c:v>3</c:v>
                </c:pt>
                <c:pt idx="15">
                  <c:v>2</c:v>
                </c:pt>
                <c:pt idx="16">
                  <c:v>5</c:v>
                </c:pt>
              </c:numCache>
            </c:numRef>
          </c:val>
          <c:extLst>
            <c:ext xmlns:c16="http://schemas.microsoft.com/office/drawing/2014/chart" uri="{C3380CC4-5D6E-409C-BE32-E72D297353CC}">
              <c16:uniqueId val="{00000001-D910-4646-B108-6C9B9E4874EC}"/>
            </c:ext>
          </c:extLst>
        </c:ser>
        <c:ser>
          <c:idx val="0"/>
          <c:order val="1"/>
          <c:tx>
            <c:strRef>
              <c:f>Graficas!$C$1</c:f>
              <c:strCache>
                <c:ptCount val="1"/>
                <c:pt idx="0">
                  <c:v>Restricciones en Alerta</c:v>
                </c:pt>
              </c:strCache>
            </c:strRef>
          </c:tx>
          <c:spPr>
            <a:solidFill>
              <a:srgbClr val="440099"/>
            </a:solidFill>
            <a:ln>
              <a:noFill/>
            </a:ln>
            <a:effectLst/>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01-4F7B-4820-9AF9-5B2A12BF6271}"/>
                </c:ext>
              </c:extLst>
            </c:dLbl>
            <c:dLbl>
              <c:idx val="6"/>
              <c:delete val="1"/>
              <c:extLst>
                <c:ext xmlns:c15="http://schemas.microsoft.com/office/drawing/2012/chart" uri="{CE6537A1-D6FC-4f65-9D91-7224C49458BB}"/>
                <c:ext xmlns:c16="http://schemas.microsoft.com/office/drawing/2014/chart" uri="{C3380CC4-5D6E-409C-BE32-E72D297353CC}">
                  <c16:uniqueId val="{00000022-F6A8-45FF-94DE-63F2296AF71F}"/>
                </c:ext>
              </c:extLst>
            </c:dLbl>
            <c:dLbl>
              <c:idx val="8"/>
              <c:delete val="1"/>
              <c:extLst>
                <c:ext xmlns:c15="http://schemas.microsoft.com/office/drawing/2012/chart" uri="{CE6537A1-D6FC-4f65-9D91-7224C49458BB}"/>
                <c:ext xmlns:c16="http://schemas.microsoft.com/office/drawing/2014/chart" uri="{C3380CC4-5D6E-409C-BE32-E72D297353CC}">
                  <c16:uniqueId val="{00000003-1AC8-40FA-9EC3-2A5EDAE376EB}"/>
                </c:ext>
              </c:extLst>
            </c:dLbl>
            <c:dLbl>
              <c:idx val="9"/>
              <c:delete val="1"/>
              <c:extLst>
                <c:ext xmlns:c15="http://schemas.microsoft.com/office/drawing/2012/chart" uri="{CE6537A1-D6FC-4f65-9D91-7224C49458BB}"/>
                <c:ext xmlns:c16="http://schemas.microsoft.com/office/drawing/2014/chart" uri="{C3380CC4-5D6E-409C-BE32-E72D297353CC}">
                  <c16:uniqueId val="{0000000E-1AC8-40FA-9EC3-2A5EDAE376EB}"/>
                </c:ext>
              </c:extLst>
            </c:dLbl>
            <c:dLbl>
              <c:idx val="13"/>
              <c:delete val="1"/>
              <c:extLst>
                <c:ext xmlns:c15="http://schemas.microsoft.com/office/drawing/2012/chart" uri="{CE6537A1-D6FC-4f65-9D91-7224C49458BB}"/>
                <c:ext xmlns:c16="http://schemas.microsoft.com/office/drawing/2014/chart" uri="{C3380CC4-5D6E-409C-BE32-E72D297353CC}">
                  <c16:uniqueId val="{00000000-98A6-468D-BE1C-3E6A1FDE9D0B}"/>
                </c:ext>
              </c:extLst>
            </c:dLbl>
            <c:dLbl>
              <c:idx val="14"/>
              <c:delete val="1"/>
              <c:extLst>
                <c:ext xmlns:c15="http://schemas.microsoft.com/office/drawing/2012/chart" uri="{CE6537A1-D6FC-4f65-9D91-7224C49458BB}"/>
                <c:ext xmlns:c16="http://schemas.microsoft.com/office/drawing/2014/chart" uri="{C3380CC4-5D6E-409C-BE32-E72D297353CC}">
                  <c16:uniqueId val="{00000005-49AA-466C-81F1-1A3DE868C6EE}"/>
                </c:ext>
              </c:extLst>
            </c:dLbl>
            <c:dLbl>
              <c:idx val="15"/>
              <c:delete val="1"/>
              <c:extLst>
                <c:ext xmlns:c15="http://schemas.microsoft.com/office/drawing/2012/chart" uri="{CE6537A1-D6FC-4f65-9D91-7224C49458BB}"/>
                <c:ext xmlns:c16="http://schemas.microsoft.com/office/drawing/2014/chart" uri="{C3380CC4-5D6E-409C-BE32-E72D297353CC}">
                  <c16:uniqueId val="{00000001-49AA-466C-81F1-1A3DE868C6EE}"/>
                </c:ext>
              </c:extLst>
            </c:dLbl>
            <c:dLbl>
              <c:idx val="16"/>
              <c:delete val="1"/>
              <c:extLst>
                <c:ext xmlns:c15="http://schemas.microsoft.com/office/drawing/2012/chart" uri="{CE6537A1-D6FC-4f65-9D91-7224C49458BB}"/>
                <c:ext xmlns:c16="http://schemas.microsoft.com/office/drawing/2014/chart" uri="{C3380CC4-5D6E-409C-BE32-E72D297353CC}">
                  <c16:uniqueId val="{00000000-49AA-466C-81F1-1A3DE868C6EE}"/>
                </c:ext>
              </c:extLst>
            </c:dLbl>
            <c:dLbl>
              <c:idx val="17"/>
              <c:delete val="1"/>
              <c:extLst>
                <c:ext xmlns:c15="http://schemas.microsoft.com/office/drawing/2012/chart" uri="{CE6537A1-D6FC-4f65-9D91-7224C49458BB}"/>
                <c:ext xmlns:c16="http://schemas.microsoft.com/office/drawing/2014/chart" uri="{C3380CC4-5D6E-409C-BE32-E72D297353CC}">
                  <c16:uniqueId val="{00000005-1AC8-40FA-9EC3-2A5EDAE376EB}"/>
                </c:ext>
              </c:extLst>
            </c:dLbl>
            <c:dLbl>
              <c:idx val="18"/>
              <c:delete val="1"/>
              <c:extLst>
                <c:ext xmlns:c15="http://schemas.microsoft.com/office/drawing/2012/chart" uri="{CE6537A1-D6FC-4f65-9D91-7224C49458BB}"/>
                <c:ext xmlns:c16="http://schemas.microsoft.com/office/drawing/2014/chart" uri="{C3380CC4-5D6E-409C-BE32-E72D297353CC}">
                  <c16:uniqueId val="{0000000D-1AC8-40FA-9EC3-2A5EDAE376E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Nunito" pitchFamily="2" charset="0"/>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Graficas!$A$2:$B$18</c:f>
              <c:multiLvlStrCache>
                <c:ptCount val="17"/>
                <c:lvl>
                  <c:pt idx="0">
                    <c:v>Antioquia</c:v>
                  </c:pt>
                  <c:pt idx="1">
                    <c:v>Atlántico</c:v>
                  </c:pt>
                  <c:pt idx="2">
                    <c:v>Bolívar</c:v>
                  </c:pt>
                  <c:pt idx="3">
                    <c:v>Cerromatoso</c:v>
                  </c:pt>
                  <c:pt idx="4">
                    <c:v>Córdoba-Sucre</c:v>
                  </c:pt>
                  <c:pt idx="5">
                    <c:v>GCM</c:v>
                  </c:pt>
                  <c:pt idx="6">
                    <c:v>Boyaca-Casanare</c:v>
                  </c:pt>
                  <c:pt idx="7">
                    <c:v>Norte de Santander</c:v>
                  </c:pt>
                  <c:pt idx="8">
                    <c:v>Santander</c:v>
                  </c:pt>
                  <c:pt idx="9">
                    <c:v>Arauca</c:v>
                  </c:pt>
                  <c:pt idx="10">
                    <c:v>Bogotá</c:v>
                  </c:pt>
                  <c:pt idx="11">
                    <c:v>Meta</c:v>
                  </c:pt>
                  <c:pt idx="12">
                    <c:v>Cauca-Nariño</c:v>
                  </c:pt>
                  <c:pt idx="13">
                    <c:v>Valle</c:v>
                  </c:pt>
                  <c:pt idx="14">
                    <c:v>Huila-Tolima</c:v>
                  </c:pt>
                  <c:pt idx="15">
                    <c:v>Caquetá</c:v>
                  </c:pt>
                  <c:pt idx="16">
                    <c:v>Suroccidente</c:v>
                  </c:pt>
                </c:lvl>
                <c:lvl>
                  <c:pt idx="0">
                    <c:v>Antioquia</c:v>
                  </c:pt>
                  <c:pt idx="1">
                    <c:v>Caribe</c:v>
                  </c:pt>
                  <c:pt idx="6">
                    <c:v>Nordeste</c:v>
                  </c:pt>
                  <c:pt idx="10">
                    <c:v>Oriental</c:v>
                  </c:pt>
                  <c:pt idx="12">
                    <c:v>Suroccidental</c:v>
                  </c:pt>
                </c:lvl>
              </c:multiLvlStrCache>
            </c:multiLvlStrRef>
          </c:cat>
          <c:val>
            <c:numRef>
              <c:f>Graficas!$C$2:$C$18</c:f>
              <c:numCache>
                <c:formatCode>General</c:formatCode>
                <c:ptCount val="17"/>
                <c:pt idx="0">
                  <c:v>7</c:v>
                </c:pt>
                <c:pt idx="1">
                  <c:v>6</c:v>
                </c:pt>
                <c:pt idx="2">
                  <c:v>3</c:v>
                </c:pt>
                <c:pt idx="3">
                  <c:v>3</c:v>
                </c:pt>
                <c:pt idx="4">
                  <c:v>11</c:v>
                </c:pt>
                <c:pt idx="5">
                  <c:v>4</c:v>
                </c:pt>
                <c:pt idx="6">
                  <c:v>0</c:v>
                </c:pt>
                <c:pt idx="7">
                  <c:v>2</c:v>
                </c:pt>
                <c:pt idx="8">
                  <c:v>0</c:v>
                </c:pt>
                <c:pt idx="9">
                  <c:v>0</c:v>
                </c:pt>
                <c:pt idx="10">
                  <c:v>4</c:v>
                </c:pt>
                <c:pt idx="11">
                  <c:v>5</c:v>
                </c:pt>
                <c:pt idx="12">
                  <c:v>2</c:v>
                </c:pt>
                <c:pt idx="13">
                  <c:v>0</c:v>
                </c:pt>
                <c:pt idx="14">
                  <c:v>0</c:v>
                </c:pt>
                <c:pt idx="15">
                  <c:v>0</c:v>
                </c:pt>
                <c:pt idx="16">
                  <c:v>0</c:v>
                </c:pt>
              </c:numCache>
            </c:numRef>
          </c:val>
          <c:extLst>
            <c:ext xmlns:c16="http://schemas.microsoft.com/office/drawing/2014/chart" uri="{C3380CC4-5D6E-409C-BE32-E72D297353CC}">
              <c16:uniqueId val="{00000000-A19A-4FE6-B860-14482AC53A7B}"/>
            </c:ext>
          </c:extLst>
        </c:ser>
        <c:ser>
          <c:idx val="1"/>
          <c:order val="2"/>
          <c:tx>
            <c:strRef>
              <c:f>Graficas!$D$1</c:f>
              <c:strCache>
                <c:ptCount val="1"/>
                <c:pt idx="0">
                  <c:v>Restricciones en Emergencia</c:v>
                </c:pt>
              </c:strCache>
            </c:strRef>
          </c:tx>
          <c:spPr>
            <a:solidFill>
              <a:srgbClr val="FF6A13"/>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D-4F7B-4820-9AF9-5B2A12BF6271}"/>
                </c:ext>
              </c:extLst>
            </c:dLbl>
            <c:dLbl>
              <c:idx val="3"/>
              <c:delete val="1"/>
              <c:extLst>
                <c:ext xmlns:c15="http://schemas.microsoft.com/office/drawing/2012/chart" uri="{CE6537A1-D6FC-4f65-9D91-7224C49458BB}"/>
                <c:ext xmlns:c16="http://schemas.microsoft.com/office/drawing/2014/chart" uri="{C3380CC4-5D6E-409C-BE32-E72D297353CC}">
                  <c16:uniqueId val="{0000000C-4F7B-4820-9AF9-5B2A12BF6271}"/>
                </c:ext>
              </c:extLst>
            </c:dLbl>
            <c:dLbl>
              <c:idx val="6"/>
              <c:delete val="1"/>
              <c:extLst>
                <c:ext xmlns:c15="http://schemas.microsoft.com/office/drawing/2012/chart" uri="{CE6537A1-D6FC-4f65-9D91-7224C49458BB}"/>
                <c:ext xmlns:c16="http://schemas.microsoft.com/office/drawing/2014/chart" uri="{C3380CC4-5D6E-409C-BE32-E72D297353CC}">
                  <c16:uniqueId val="{0000000B-4F7B-4820-9AF9-5B2A12BF6271}"/>
                </c:ext>
              </c:extLst>
            </c:dLbl>
            <c:dLbl>
              <c:idx val="7"/>
              <c:delete val="1"/>
              <c:extLst>
                <c:ext xmlns:c15="http://schemas.microsoft.com/office/drawing/2012/chart" uri="{CE6537A1-D6FC-4f65-9D91-7224C49458BB}">
                  <c15:layout>
                    <c:manualLayout>
                      <c:w val="6.2605168070721126E-2"/>
                      <c:h val="0.11597621193766666"/>
                    </c:manualLayout>
                  </c15:layout>
                </c:ext>
                <c:ext xmlns:c16="http://schemas.microsoft.com/office/drawing/2014/chart" uri="{C3380CC4-5D6E-409C-BE32-E72D297353CC}">
                  <c16:uniqueId val="{00000001-1AC8-40FA-9EC3-2A5EDAE376EB}"/>
                </c:ext>
              </c:extLst>
            </c:dLbl>
            <c:dLbl>
              <c:idx val="8"/>
              <c:delete val="1"/>
              <c:extLst>
                <c:ext xmlns:c15="http://schemas.microsoft.com/office/drawing/2012/chart" uri="{CE6537A1-D6FC-4f65-9D91-7224C49458BB}"/>
                <c:ext xmlns:c16="http://schemas.microsoft.com/office/drawing/2014/chart" uri="{C3380CC4-5D6E-409C-BE32-E72D297353CC}">
                  <c16:uniqueId val="{00000001-9EB7-43D4-A693-CB2DA15C2BA6}"/>
                </c:ext>
              </c:extLst>
            </c:dLbl>
            <c:dLbl>
              <c:idx val="9"/>
              <c:delete val="1"/>
              <c:extLst>
                <c:ext xmlns:c15="http://schemas.microsoft.com/office/drawing/2012/chart" uri="{CE6537A1-D6FC-4f65-9D91-7224C49458BB}"/>
                <c:ext xmlns:c16="http://schemas.microsoft.com/office/drawing/2014/chart" uri="{C3380CC4-5D6E-409C-BE32-E72D297353CC}">
                  <c16:uniqueId val="{00000003-4F7B-4820-9AF9-5B2A12BF6271}"/>
                </c:ext>
              </c:extLst>
            </c:dLbl>
            <c:dLbl>
              <c:idx val="1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F7B-4820-9AF9-5B2A12BF6271}"/>
                </c:ext>
              </c:extLst>
            </c:dLbl>
            <c:dLbl>
              <c:idx val="12"/>
              <c:delete val="1"/>
              <c:extLst>
                <c:ext xmlns:c15="http://schemas.microsoft.com/office/drawing/2012/chart" uri="{CE6537A1-D6FC-4f65-9D91-7224C49458BB}"/>
                <c:ext xmlns:c16="http://schemas.microsoft.com/office/drawing/2014/chart" uri="{C3380CC4-5D6E-409C-BE32-E72D297353CC}">
                  <c16:uniqueId val="{00000001-98A6-468D-BE1C-3E6A1FDE9D0B}"/>
                </c:ext>
              </c:extLst>
            </c:dLbl>
            <c:dLbl>
              <c:idx val="13"/>
              <c:delete val="1"/>
              <c:extLst>
                <c:ext xmlns:c15="http://schemas.microsoft.com/office/drawing/2012/chart" uri="{CE6537A1-D6FC-4f65-9D91-7224C49458BB}"/>
                <c:ext xmlns:c16="http://schemas.microsoft.com/office/drawing/2014/chart" uri="{C3380CC4-5D6E-409C-BE32-E72D297353CC}">
                  <c16:uniqueId val="{00000006-4F7B-4820-9AF9-5B2A12BF6271}"/>
                </c:ext>
              </c:extLst>
            </c:dLbl>
            <c:dLbl>
              <c:idx val="14"/>
              <c:delete val="1"/>
              <c:extLst>
                <c:ext xmlns:c15="http://schemas.microsoft.com/office/drawing/2012/chart" uri="{CE6537A1-D6FC-4f65-9D91-7224C49458BB}"/>
                <c:ext xmlns:c16="http://schemas.microsoft.com/office/drawing/2014/chart" uri="{C3380CC4-5D6E-409C-BE32-E72D297353CC}">
                  <c16:uniqueId val="{00000009-4F7B-4820-9AF9-5B2A12BF6271}"/>
                </c:ext>
              </c:extLst>
            </c:dLbl>
            <c:dLbl>
              <c:idx val="15"/>
              <c:delete val="1"/>
              <c:extLst>
                <c:ext xmlns:c15="http://schemas.microsoft.com/office/drawing/2012/chart" uri="{CE6537A1-D6FC-4f65-9D91-7224C49458BB}"/>
                <c:ext xmlns:c16="http://schemas.microsoft.com/office/drawing/2014/chart" uri="{C3380CC4-5D6E-409C-BE32-E72D297353CC}">
                  <c16:uniqueId val="{00000007-4F7B-4820-9AF9-5B2A12BF6271}"/>
                </c:ext>
              </c:extLst>
            </c:dLbl>
            <c:dLbl>
              <c:idx val="16"/>
              <c:delete val="1"/>
              <c:extLst>
                <c:ext xmlns:c15="http://schemas.microsoft.com/office/drawing/2012/chart" uri="{CE6537A1-D6FC-4f65-9D91-7224C49458BB}"/>
                <c:ext xmlns:c16="http://schemas.microsoft.com/office/drawing/2014/chart" uri="{C3380CC4-5D6E-409C-BE32-E72D297353CC}">
                  <c16:uniqueId val="{00000008-4F7B-4820-9AF9-5B2A12BF6271}"/>
                </c:ext>
              </c:extLst>
            </c:dLbl>
            <c:dLbl>
              <c:idx val="17"/>
              <c:delete val="1"/>
              <c:extLst>
                <c:ext xmlns:c15="http://schemas.microsoft.com/office/drawing/2012/chart" uri="{CE6537A1-D6FC-4f65-9D91-7224C49458BB}"/>
                <c:ext xmlns:c16="http://schemas.microsoft.com/office/drawing/2014/chart" uri="{C3380CC4-5D6E-409C-BE32-E72D297353CC}">
                  <c16:uniqueId val="{00000001-4E44-4BAD-826C-2095F2A2B671}"/>
                </c:ext>
              </c:extLst>
            </c:dLbl>
            <c:dLbl>
              <c:idx val="18"/>
              <c:delete val="1"/>
              <c:extLst>
                <c:ext xmlns:c15="http://schemas.microsoft.com/office/drawing/2012/chart" uri="{CE6537A1-D6FC-4f65-9D91-7224C49458BB}"/>
                <c:ext xmlns:c16="http://schemas.microsoft.com/office/drawing/2014/chart" uri="{C3380CC4-5D6E-409C-BE32-E72D297353CC}">
                  <c16:uniqueId val="{0000000C-1AC8-40FA-9EC3-2A5EDAE376EB}"/>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Aptos Narrow" panose="020B0004020202020204" pitchFamily="34" charset="0"/>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Graficas!$A$2:$B$18</c:f>
              <c:multiLvlStrCache>
                <c:ptCount val="17"/>
                <c:lvl>
                  <c:pt idx="0">
                    <c:v>Antioquia</c:v>
                  </c:pt>
                  <c:pt idx="1">
                    <c:v>Atlántico</c:v>
                  </c:pt>
                  <c:pt idx="2">
                    <c:v>Bolívar</c:v>
                  </c:pt>
                  <c:pt idx="3">
                    <c:v>Cerromatoso</c:v>
                  </c:pt>
                  <c:pt idx="4">
                    <c:v>Córdoba-Sucre</c:v>
                  </c:pt>
                  <c:pt idx="5">
                    <c:v>GCM</c:v>
                  </c:pt>
                  <c:pt idx="6">
                    <c:v>Boyaca-Casanare</c:v>
                  </c:pt>
                  <c:pt idx="7">
                    <c:v>Norte de Santander</c:v>
                  </c:pt>
                  <c:pt idx="8">
                    <c:v>Santander</c:v>
                  </c:pt>
                  <c:pt idx="9">
                    <c:v>Arauca</c:v>
                  </c:pt>
                  <c:pt idx="10">
                    <c:v>Bogotá</c:v>
                  </c:pt>
                  <c:pt idx="11">
                    <c:v>Meta</c:v>
                  </c:pt>
                  <c:pt idx="12">
                    <c:v>Cauca-Nariño</c:v>
                  </c:pt>
                  <c:pt idx="13">
                    <c:v>Valle</c:v>
                  </c:pt>
                  <c:pt idx="14">
                    <c:v>Huila-Tolima</c:v>
                  </c:pt>
                  <c:pt idx="15">
                    <c:v>Caquetá</c:v>
                  </c:pt>
                  <c:pt idx="16">
                    <c:v>Suroccidente</c:v>
                  </c:pt>
                </c:lvl>
                <c:lvl>
                  <c:pt idx="0">
                    <c:v>Antioquia</c:v>
                  </c:pt>
                  <c:pt idx="1">
                    <c:v>Caribe</c:v>
                  </c:pt>
                  <c:pt idx="6">
                    <c:v>Nordeste</c:v>
                  </c:pt>
                  <c:pt idx="10">
                    <c:v>Oriental</c:v>
                  </c:pt>
                  <c:pt idx="12">
                    <c:v>Suroccidental</c:v>
                  </c:pt>
                </c:lvl>
              </c:multiLvlStrCache>
            </c:multiLvlStrRef>
          </c:cat>
          <c:val>
            <c:numRef>
              <c:f>Graficas!$D$2:$D$18</c:f>
              <c:numCache>
                <c:formatCode>General</c:formatCode>
                <c:ptCount val="17"/>
                <c:pt idx="0">
                  <c:v>0</c:v>
                </c:pt>
                <c:pt idx="1">
                  <c:v>3</c:v>
                </c:pt>
                <c:pt idx="2">
                  <c:v>1</c:v>
                </c:pt>
                <c:pt idx="3">
                  <c:v>0</c:v>
                </c:pt>
                <c:pt idx="4">
                  <c:v>7</c:v>
                </c:pt>
                <c:pt idx="5">
                  <c:v>10</c:v>
                </c:pt>
                <c:pt idx="6">
                  <c:v>0</c:v>
                </c:pt>
                <c:pt idx="7">
                  <c:v>0</c:v>
                </c:pt>
                <c:pt idx="8">
                  <c:v>0</c:v>
                </c:pt>
                <c:pt idx="9">
                  <c:v>0</c:v>
                </c:pt>
                <c:pt idx="10">
                  <c:v>1</c:v>
                </c:pt>
                <c:pt idx="11">
                  <c:v>1</c:v>
                </c:pt>
                <c:pt idx="12">
                  <c:v>0</c:v>
                </c:pt>
                <c:pt idx="13">
                  <c:v>0</c:v>
                </c:pt>
                <c:pt idx="14">
                  <c:v>0</c:v>
                </c:pt>
                <c:pt idx="15">
                  <c:v>0</c:v>
                </c:pt>
                <c:pt idx="16">
                  <c:v>0</c:v>
                </c:pt>
              </c:numCache>
            </c:numRef>
          </c:val>
          <c:extLst>
            <c:ext xmlns:c16="http://schemas.microsoft.com/office/drawing/2014/chart" uri="{C3380CC4-5D6E-409C-BE32-E72D297353CC}">
              <c16:uniqueId val="{00000001-A19A-4FE6-B860-14482AC53A7B}"/>
            </c:ext>
          </c:extLst>
        </c:ser>
        <c:ser>
          <c:idx val="3"/>
          <c:order val="3"/>
          <c:tx>
            <c:strRef>
              <c:f>Graficas!$F$1</c:f>
              <c:strCache>
                <c:ptCount val="1"/>
                <c:pt idx="0">
                  <c:v>S/E Corto circuito &gt; 99%</c:v>
                </c:pt>
              </c:strCache>
            </c:strRef>
          </c:tx>
          <c:spPr>
            <a:solidFill>
              <a:schemeClr val="accent4"/>
            </a:solidFill>
            <a:ln>
              <a:noFill/>
            </a:ln>
            <a:effectLst/>
          </c:spPr>
          <c:invertIfNegative val="0"/>
          <c:dLbls>
            <c:dLbl>
              <c:idx val="5"/>
              <c:delete val="1"/>
              <c:extLst>
                <c:ext xmlns:c15="http://schemas.microsoft.com/office/drawing/2012/chart" uri="{CE6537A1-D6FC-4f65-9D91-7224C49458BB}"/>
                <c:ext xmlns:c16="http://schemas.microsoft.com/office/drawing/2014/chart" uri="{C3380CC4-5D6E-409C-BE32-E72D297353CC}">
                  <c16:uniqueId val="{00000010-F6A8-45FF-94DE-63F2296AF71F}"/>
                </c:ext>
              </c:extLst>
            </c:dLbl>
            <c:dLbl>
              <c:idx val="6"/>
              <c:delete val="1"/>
              <c:extLst>
                <c:ext xmlns:c15="http://schemas.microsoft.com/office/drawing/2012/chart" uri="{CE6537A1-D6FC-4f65-9D91-7224C49458BB}"/>
                <c:ext xmlns:c16="http://schemas.microsoft.com/office/drawing/2014/chart" uri="{C3380CC4-5D6E-409C-BE32-E72D297353CC}">
                  <c16:uniqueId val="{00000011-F6A8-45FF-94DE-63F2296AF71F}"/>
                </c:ext>
              </c:extLst>
            </c:dLbl>
            <c:dLbl>
              <c:idx val="7"/>
              <c:delete val="1"/>
              <c:extLst>
                <c:ext xmlns:c15="http://schemas.microsoft.com/office/drawing/2012/chart" uri="{CE6537A1-D6FC-4f65-9D91-7224C49458BB}">
                  <c15:layout>
                    <c:manualLayout>
                      <c:w val="2.5581667678352738E-3"/>
                      <c:h val="7.873092403303035E-3"/>
                    </c:manualLayout>
                  </c15:layout>
                </c:ext>
                <c:ext xmlns:c16="http://schemas.microsoft.com/office/drawing/2014/chart" uri="{C3380CC4-5D6E-409C-BE32-E72D297353CC}">
                  <c16:uniqueId val="{00000000-1AC8-40FA-9EC3-2A5EDAE376EB}"/>
                </c:ext>
              </c:extLst>
            </c:dLbl>
            <c:dLbl>
              <c:idx val="8"/>
              <c:delete val="1"/>
              <c:extLst>
                <c:ext xmlns:c15="http://schemas.microsoft.com/office/drawing/2012/chart" uri="{CE6537A1-D6FC-4f65-9D91-7224C49458BB}"/>
                <c:ext xmlns:c16="http://schemas.microsoft.com/office/drawing/2014/chart" uri="{C3380CC4-5D6E-409C-BE32-E72D297353CC}">
                  <c16:uniqueId val="{00000015-F6A8-45FF-94DE-63F2296AF71F}"/>
                </c:ext>
              </c:extLst>
            </c:dLbl>
            <c:dLbl>
              <c:idx val="9"/>
              <c:delete val="1"/>
              <c:extLst>
                <c:ext xmlns:c15="http://schemas.microsoft.com/office/drawing/2012/chart" uri="{CE6537A1-D6FC-4f65-9D91-7224C49458BB}"/>
                <c:ext xmlns:c16="http://schemas.microsoft.com/office/drawing/2014/chart" uri="{C3380CC4-5D6E-409C-BE32-E72D297353CC}">
                  <c16:uniqueId val="{00000017-F6A8-45FF-94DE-63F2296AF71F}"/>
                </c:ext>
              </c:extLst>
            </c:dLbl>
            <c:dLbl>
              <c:idx val="11"/>
              <c:delete val="1"/>
              <c:extLst>
                <c:ext xmlns:c15="http://schemas.microsoft.com/office/drawing/2012/chart" uri="{CE6537A1-D6FC-4f65-9D91-7224C49458BB}"/>
                <c:ext xmlns:c16="http://schemas.microsoft.com/office/drawing/2014/chart" uri="{C3380CC4-5D6E-409C-BE32-E72D297353CC}">
                  <c16:uniqueId val="{00000000-9EB7-43D4-A693-CB2DA15C2BA6}"/>
                </c:ext>
              </c:extLst>
            </c:dLbl>
            <c:dLbl>
              <c:idx val="12"/>
              <c:delete val="1"/>
              <c:extLst>
                <c:ext xmlns:c15="http://schemas.microsoft.com/office/drawing/2012/chart" uri="{CE6537A1-D6FC-4f65-9D91-7224C49458BB}"/>
                <c:ext xmlns:c16="http://schemas.microsoft.com/office/drawing/2014/chart" uri="{C3380CC4-5D6E-409C-BE32-E72D297353CC}">
                  <c16:uniqueId val="{00000004-49AA-466C-81F1-1A3DE868C6EE}"/>
                </c:ext>
              </c:extLst>
            </c:dLbl>
            <c:dLbl>
              <c:idx val="1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6A8-45FF-94DE-63F2296AF71F}"/>
                </c:ext>
              </c:extLst>
            </c:dLbl>
            <c:dLbl>
              <c:idx val="14"/>
              <c:delete val="1"/>
              <c:extLst>
                <c:ext xmlns:c15="http://schemas.microsoft.com/office/drawing/2012/chart" uri="{CE6537A1-D6FC-4f65-9D91-7224C49458BB}"/>
                <c:ext xmlns:c16="http://schemas.microsoft.com/office/drawing/2014/chart" uri="{C3380CC4-5D6E-409C-BE32-E72D297353CC}">
                  <c16:uniqueId val="{00000001-AB6B-42CC-8A4C-B5CBBB5AB8DF}"/>
                </c:ext>
              </c:extLst>
            </c:dLbl>
            <c:dLbl>
              <c:idx val="15"/>
              <c:delete val="1"/>
              <c:extLst>
                <c:ext xmlns:c15="http://schemas.microsoft.com/office/drawing/2012/chart" uri="{CE6537A1-D6FC-4f65-9D91-7224C49458BB}"/>
                <c:ext xmlns:c16="http://schemas.microsoft.com/office/drawing/2014/chart" uri="{C3380CC4-5D6E-409C-BE32-E72D297353CC}">
                  <c16:uniqueId val="{00000004-F6A8-45FF-94DE-63F2296AF71F}"/>
                </c:ext>
              </c:extLst>
            </c:dLbl>
            <c:dLbl>
              <c:idx val="16"/>
              <c:delete val="1"/>
              <c:extLst>
                <c:ext xmlns:c15="http://schemas.microsoft.com/office/drawing/2012/chart" uri="{CE6537A1-D6FC-4f65-9D91-7224C49458BB}"/>
                <c:ext xmlns:c16="http://schemas.microsoft.com/office/drawing/2014/chart" uri="{C3380CC4-5D6E-409C-BE32-E72D297353CC}">
                  <c16:uniqueId val="{00000000-F6A8-45FF-94DE-63F2296AF71F}"/>
                </c:ext>
              </c:extLst>
            </c:dLbl>
            <c:dLbl>
              <c:idx val="17"/>
              <c:delete val="1"/>
              <c:extLst>
                <c:ext xmlns:c15="http://schemas.microsoft.com/office/drawing/2012/chart" uri="{CE6537A1-D6FC-4f65-9D91-7224C49458BB}"/>
                <c:ext xmlns:c16="http://schemas.microsoft.com/office/drawing/2014/chart" uri="{C3380CC4-5D6E-409C-BE32-E72D297353CC}">
                  <c16:uniqueId val="{00000000-4E44-4BAD-826C-2095F2A2B671}"/>
                </c:ext>
              </c:extLst>
            </c:dLbl>
            <c:dLbl>
              <c:idx val="18"/>
              <c:delete val="1"/>
              <c:extLst>
                <c:ext xmlns:c15="http://schemas.microsoft.com/office/drawing/2012/chart" uri="{CE6537A1-D6FC-4f65-9D91-7224C49458BB}"/>
                <c:ext xmlns:c16="http://schemas.microsoft.com/office/drawing/2014/chart" uri="{C3380CC4-5D6E-409C-BE32-E72D297353CC}">
                  <c16:uniqueId val="{0000000B-1AC8-40FA-9EC3-2A5EDAE376EB}"/>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Aptos Narrow" panose="020B0004020202020204" pitchFamily="34" charset="0"/>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Graficas!$A$2:$B$18</c:f>
              <c:multiLvlStrCache>
                <c:ptCount val="17"/>
                <c:lvl>
                  <c:pt idx="0">
                    <c:v>Antioquia</c:v>
                  </c:pt>
                  <c:pt idx="1">
                    <c:v>Atlántico</c:v>
                  </c:pt>
                  <c:pt idx="2">
                    <c:v>Bolívar</c:v>
                  </c:pt>
                  <c:pt idx="3">
                    <c:v>Cerromatoso</c:v>
                  </c:pt>
                  <c:pt idx="4">
                    <c:v>Córdoba-Sucre</c:v>
                  </c:pt>
                  <c:pt idx="5">
                    <c:v>GCM</c:v>
                  </c:pt>
                  <c:pt idx="6">
                    <c:v>Boyaca-Casanare</c:v>
                  </c:pt>
                  <c:pt idx="7">
                    <c:v>Norte de Santander</c:v>
                  </c:pt>
                  <c:pt idx="8">
                    <c:v>Santander</c:v>
                  </c:pt>
                  <c:pt idx="9">
                    <c:v>Arauca</c:v>
                  </c:pt>
                  <c:pt idx="10">
                    <c:v>Bogotá</c:v>
                  </c:pt>
                  <c:pt idx="11">
                    <c:v>Meta</c:v>
                  </c:pt>
                  <c:pt idx="12">
                    <c:v>Cauca-Nariño</c:v>
                  </c:pt>
                  <c:pt idx="13">
                    <c:v>Valle</c:v>
                  </c:pt>
                  <c:pt idx="14">
                    <c:v>Huila-Tolima</c:v>
                  </c:pt>
                  <c:pt idx="15">
                    <c:v>Caquetá</c:v>
                  </c:pt>
                  <c:pt idx="16">
                    <c:v>Suroccidente</c:v>
                  </c:pt>
                </c:lvl>
                <c:lvl>
                  <c:pt idx="0">
                    <c:v>Antioquia</c:v>
                  </c:pt>
                  <c:pt idx="1">
                    <c:v>Caribe</c:v>
                  </c:pt>
                  <c:pt idx="6">
                    <c:v>Nordeste</c:v>
                  </c:pt>
                  <c:pt idx="10">
                    <c:v>Oriental</c:v>
                  </c:pt>
                  <c:pt idx="12">
                    <c:v>Suroccidental</c:v>
                  </c:pt>
                </c:lvl>
              </c:multiLvlStrCache>
            </c:multiLvlStrRef>
          </c:cat>
          <c:val>
            <c:numRef>
              <c:f>Graficas!$F$2:$F$18</c:f>
              <c:numCache>
                <c:formatCode>General</c:formatCode>
                <c:ptCount val="17"/>
                <c:pt idx="0">
                  <c:v>1</c:v>
                </c:pt>
                <c:pt idx="1">
                  <c:v>13</c:v>
                </c:pt>
                <c:pt idx="2">
                  <c:v>3</c:v>
                </c:pt>
                <c:pt idx="3">
                  <c:v>1</c:v>
                </c:pt>
                <c:pt idx="4">
                  <c:v>1</c:v>
                </c:pt>
                <c:pt idx="5">
                  <c:v>0</c:v>
                </c:pt>
                <c:pt idx="6">
                  <c:v>0</c:v>
                </c:pt>
                <c:pt idx="7">
                  <c:v>0</c:v>
                </c:pt>
                <c:pt idx="8">
                  <c:v>0</c:v>
                </c:pt>
                <c:pt idx="9">
                  <c:v>0</c:v>
                </c:pt>
                <c:pt idx="10">
                  <c:v>8</c:v>
                </c:pt>
                <c:pt idx="11">
                  <c:v>0</c:v>
                </c:pt>
                <c:pt idx="12">
                  <c:v>0</c:v>
                </c:pt>
                <c:pt idx="13">
                  <c:v>0</c:v>
                </c:pt>
                <c:pt idx="14">
                  <c:v>0</c:v>
                </c:pt>
                <c:pt idx="15">
                  <c:v>0</c:v>
                </c:pt>
                <c:pt idx="16">
                  <c:v>0</c:v>
                </c:pt>
              </c:numCache>
            </c:numRef>
          </c:val>
          <c:extLst>
            <c:ext xmlns:c16="http://schemas.microsoft.com/office/drawing/2014/chart" uri="{C3380CC4-5D6E-409C-BE32-E72D297353CC}">
              <c16:uniqueId val="{00000000-C6D8-4226-9FA2-566257B07B1C}"/>
            </c:ext>
          </c:extLst>
        </c:ser>
        <c:dLbls>
          <c:dLblPos val="ctr"/>
          <c:showLegendKey val="0"/>
          <c:showVal val="1"/>
          <c:showCatName val="0"/>
          <c:showSerName val="0"/>
          <c:showPercent val="0"/>
          <c:showBubbleSize val="0"/>
        </c:dLbls>
        <c:gapWidth val="150"/>
        <c:overlap val="100"/>
        <c:axId val="1333731087"/>
        <c:axId val="900438543"/>
      </c:barChart>
      <c:catAx>
        <c:axId val="133373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solidFill>
                <a:latin typeface="Aptos Narrow" panose="020B0004020202020204" pitchFamily="34" charset="0"/>
                <a:ea typeface="+mn-ea"/>
                <a:cs typeface="+mn-cs"/>
              </a:defRPr>
            </a:pPr>
            <a:endParaRPr lang="es-CO"/>
          </a:p>
        </c:txPr>
        <c:crossAx val="900438543"/>
        <c:crosses val="autoZero"/>
        <c:auto val="1"/>
        <c:lblAlgn val="ctr"/>
        <c:lblOffset val="100"/>
        <c:noMultiLvlLbl val="0"/>
      </c:catAx>
      <c:valAx>
        <c:axId val="900438543"/>
        <c:scaling>
          <c:orientation val="minMax"/>
          <c:max val="4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400" b="0" i="0" u="none" strike="noStrike" kern="1200" baseline="0">
                    <a:solidFill>
                      <a:schemeClr val="tx1"/>
                    </a:solidFill>
                    <a:latin typeface="Aptos Narrow" panose="020B0004020202020204" pitchFamily="34" charset="0"/>
                    <a:ea typeface="+mn-ea"/>
                    <a:cs typeface="+mn-cs"/>
                  </a:defRPr>
                </a:pPr>
                <a:r>
                  <a:rPr lang="es-CO" sz="2400"/>
                  <a:t>Número de Restricciones</a:t>
                </a:r>
              </a:p>
            </c:rich>
          </c:tx>
          <c:layout>
            <c:manualLayout>
              <c:xMode val="edge"/>
              <c:yMode val="edge"/>
              <c:x val="1.3184013153286068E-2"/>
              <c:y val="0.12466645670050547"/>
            </c:manualLayout>
          </c:layout>
          <c:overlay val="0"/>
          <c:spPr>
            <a:noFill/>
            <a:ln>
              <a:noFill/>
            </a:ln>
            <a:effectLst/>
          </c:spPr>
          <c:txPr>
            <a:bodyPr rot="-5400000" spcFirstLastPara="1" vertOverflow="ellipsis" vert="horz" wrap="square" anchor="ctr" anchorCtr="1"/>
            <a:lstStyle/>
            <a:p>
              <a:pPr>
                <a:defRPr sz="2400" b="0" i="0" u="none" strike="noStrike" kern="1200" baseline="0">
                  <a:solidFill>
                    <a:schemeClr val="tx1"/>
                  </a:solidFill>
                  <a:latin typeface="Aptos Narrow" panose="020B0004020202020204" pitchFamily="34" charset="0"/>
                  <a:ea typeface="+mn-ea"/>
                  <a:cs typeface="+mn-cs"/>
                </a:defRPr>
              </a:pPr>
              <a:endParaRPr lang="es-C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solidFill>
                <a:latin typeface="Aptos Narrow" panose="020B0004020202020204" pitchFamily="34" charset="0"/>
                <a:ea typeface="+mn-ea"/>
                <a:cs typeface="+mn-cs"/>
              </a:defRPr>
            </a:pPr>
            <a:endParaRPr lang="es-CO"/>
          </a:p>
        </c:txPr>
        <c:crossAx val="1333731087"/>
        <c:crosses val="autoZero"/>
        <c:crossBetween val="between"/>
        <c:majorUnit val="10"/>
      </c:valAx>
      <c:spPr>
        <a:noFill/>
        <a:ln>
          <a:noFill/>
        </a:ln>
        <a:effectLst/>
      </c:spPr>
    </c:plotArea>
    <c:legend>
      <c:legendPos val="b"/>
      <c:layout>
        <c:manualLayout>
          <c:xMode val="edge"/>
          <c:yMode val="edge"/>
          <c:x val="0.25017766472260489"/>
          <c:y val="0.87250457219449196"/>
          <c:w val="0.5474263995896943"/>
          <c:h val="0.1034701940769286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Aptos Narrow" panose="020B0004020202020204" pitchFamily="34" charset="0"/>
              <a:ea typeface="+mn-ea"/>
              <a:cs typeface="+mn-cs"/>
            </a:defRPr>
          </a:pPr>
          <a:endParaRPr lang="es-CO"/>
        </a:p>
      </c:txPr>
    </c:legend>
    <c:plotVisOnly val="1"/>
    <c:dispBlanksAs val="gap"/>
    <c:showDLblsOverMax val="0"/>
    <c:extLst/>
  </c:chart>
  <c:spPr>
    <a:solidFill>
      <a:schemeClr val="bg1"/>
    </a:solidFill>
    <a:ln w="9525" cap="flat" cmpd="sng" algn="ctr">
      <a:noFill/>
      <a:round/>
    </a:ln>
    <a:effectLst/>
  </c:spPr>
  <c:txPr>
    <a:bodyPr/>
    <a:lstStyle/>
    <a:p>
      <a:pPr>
        <a:defRPr sz="1200">
          <a:solidFill>
            <a:schemeClr val="tx1"/>
          </a:solidFill>
          <a:latin typeface="Aptos Narrow" panose="020B0004020202020204" pitchFamily="34" charset="0"/>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svg"/><Relationship Id="rId12" Type="http://schemas.openxmlformats.org/officeDocument/2006/relationships/image" Target="../media/image12.jpe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5A2F4270"/></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344714</xdr:colOff>
      <xdr:row>3</xdr:row>
      <xdr:rowOff>56876</xdr:rowOff>
    </xdr:from>
    <xdr:to>
      <xdr:col>10</xdr:col>
      <xdr:colOff>529318</xdr:colOff>
      <xdr:row>19</xdr:row>
      <xdr:rowOff>91040</xdr:rowOff>
    </xdr:to>
    <xdr:pic>
      <xdr:nvPicPr>
        <xdr:cNvPr id="8" name="Gráfico 7">
          <a:extLst>
            <a:ext uri="{FF2B5EF4-FFF2-40B4-BE49-F238E27FC236}">
              <a16:creationId xmlns:a16="http://schemas.microsoft.com/office/drawing/2014/main" id="{5AA7B5CB-53D6-075F-EAEE-F310451F4F3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bwMode="auto">
        <a:xfrm>
          <a:off x="344714" y="700947"/>
          <a:ext cx="7804604" cy="4043736"/>
        </a:xfrm>
        <a:prstGeom prst="rect">
          <a:avLst/>
        </a:prstGeom>
      </xdr:spPr>
    </xdr:pic>
    <xdr:clientData/>
  </xdr:twoCellAnchor>
  <xdr:twoCellAnchor>
    <xdr:from>
      <xdr:col>0</xdr:col>
      <xdr:colOff>0</xdr:colOff>
      <xdr:row>21</xdr:row>
      <xdr:rowOff>26708</xdr:rowOff>
    </xdr:from>
    <xdr:to>
      <xdr:col>11</xdr:col>
      <xdr:colOff>94424</xdr:colOff>
      <xdr:row>39</xdr:row>
      <xdr:rowOff>33618</xdr:rowOff>
    </xdr:to>
    <xdr:pic>
      <xdr:nvPicPr>
        <xdr:cNvPr id="10" name="Imagen 6">
          <a:extLst>
            <a:ext uri="{FF2B5EF4-FFF2-40B4-BE49-F238E27FC236}">
              <a16:creationId xmlns:a16="http://schemas.microsoft.com/office/drawing/2014/main" id="{842FE0B1-1F30-1DE0-9E57-F36E2EA3331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4184090"/>
          <a:ext cx="8476424" cy="39962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315568</xdr:colOff>
      <xdr:row>23</xdr:row>
      <xdr:rowOff>353545</xdr:rowOff>
    </xdr:from>
    <xdr:to>
      <xdr:col>2</xdr:col>
      <xdr:colOff>350558</xdr:colOff>
      <xdr:row>36</xdr:row>
      <xdr:rowOff>171263</xdr:rowOff>
    </xdr:to>
    <xdr:pic>
      <xdr:nvPicPr>
        <xdr:cNvPr id="5" name="Rectángulo 7">
          <a:extLst>
            <a:ext uri="{FF2B5EF4-FFF2-40B4-BE49-F238E27FC236}">
              <a16:creationId xmlns:a16="http://schemas.microsoft.com/office/drawing/2014/main" id="{9C22E86A-E7EA-B795-7FD8-6A004C1D6CAF}"/>
            </a:ext>
          </a:extLst>
        </xdr:cNvPr>
        <xdr:cNvPicPr>
          <a:picLocks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15568" y="4869516"/>
          <a:ext cx="1558990" cy="29105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23</xdr:row>
      <xdr:rowOff>0</xdr:rowOff>
    </xdr:from>
    <xdr:to>
      <xdr:col>12</xdr:col>
      <xdr:colOff>361950</xdr:colOff>
      <xdr:row>23</xdr:row>
      <xdr:rowOff>361950</xdr:rowOff>
    </xdr:to>
    <xdr:pic>
      <xdr:nvPicPr>
        <xdr:cNvPr id="6" name="Gráfico 1600330024" descr="Información">
          <a:extLst>
            <a:ext uri="{FF2B5EF4-FFF2-40B4-BE49-F238E27FC236}">
              <a16:creationId xmlns:a16="http://schemas.microsoft.com/office/drawing/2014/main" id="{6BA57800-1946-7D2D-D66F-38CDBAE8A75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144000" y="4457700"/>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165652</xdr:colOff>
      <xdr:row>39</xdr:row>
      <xdr:rowOff>132521</xdr:rowOff>
    </xdr:from>
    <xdr:to>
      <xdr:col>0</xdr:col>
      <xdr:colOff>524427</xdr:colOff>
      <xdr:row>39</xdr:row>
      <xdr:rowOff>491296</xdr:rowOff>
    </xdr:to>
    <xdr:pic>
      <xdr:nvPicPr>
        <xdr:cNvPr id="13" name="Gráfico 1067414004" descr="Información">
          <a:extLst>
            <a:ext uri="{FF2B5EF4-FFF2-40B4-BE49-F238E27FC236}">
              <a16:creationId xmlns:a16="http://schemas.microsoft.com/office/drawing/2014/main" id="{E4CD847A-A974-42BF-BAD9-6C27E8490CD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65652" y="8390282"/>
          <a:ext cx="358775" cy="358775"/>
        </a:xfrm>
        <a:prstGeom prst="rect">
          <a:avLst/>
        </a:prstGeom>
      </xdr:spPr>
    </xdr:pic>
    <xdr:clientData/>
  </xdr:twoCellAnchor>
  <xdr:twoCellAnchor>
    <xdr:from>
      <xdr:col>12</xdr:col>
      <xdr:colOff>0</xdr:colOff>
      <xdr:row>33</xdr:row>
      <xdr:rowOff>0</xdr:rowOff>
    </xdr:from>
    <xdr:to>
      <xdr:col>12</xdr:col>
      <xdr:colOff>358775</xdr:colOff>
      <xdr:row>33</xdr:row>
      <xdr:rowOff>358775</xdr:rowOff>
    </xdr:to>
    <xdr:pic>
      <xdr:nvPicPr>
        <xdr:cNvPr id="14" name="Gráfico 1727834844" descr="Información">
          <a:extLst>
            <a:ext uri="{FF2B5EF4-FFF2-40B4-BE49-F238E27FC236}">
              <a16:creationId xmlns:a16="http://schemas.microsoft.com/office/drawing/2014/main" id="{B9B6E2E1-67A3-9C02-9A52-7EC4BDBEB1B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0" y="0"/>
          <a:ext cx="358775" cy="358775"/>
        </a:xfrm>
        <a:prstGeom prst="rect">
          <a:avLst/>
        </a:prstGeom>
      </xdr:spPr>
    </xdr:pic>
    <xdr:clientData/>
  </xdr:twoCellAnchor>
  <xdr:twoCellAnchor>
    <xdr:from>
      <xdr:col>0</xdr:col>
      <xdr:colOff>734259</xdr:colOff>
      <xdr:row>6</xdr:row>
      <xdr:rowOff>312</xdr:rowOff>
    </xdr:from>
    <xdr:to>
      <xdr:col>2</xdr:col>
      <xdr:colOff>505814</xdr:colOff>
      <xdr:row>16</xdr:row>
      <xdr:rowOff>1086</xdr:rowOff>
    </xdr:to>
    <xdr:pic>
      <xdr:nvPicPr>
        <xdr:cNvPr id="3" name="Rectángulo 6">
          <a:extLst>
            <a:ext uri="{FF2B5EF4-FFF2-40B4-BE49-F238E27FC236}">
              <a16:creationId xmlns:a16="http://schemas.microsoft.com/office/drawing/2014/main" id="{7ABF4C66-A222-D638-8644-472EB606C860}"/>
            </a:ext>
          </a:extLst>
        </xdr:cNvPr>
        <xdr:cNvPicPr>
          <a:picLocks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34259" y="2191062"/>
          <a:ext cx="1295555" cy="1905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4</xdr:row>
      <xdr:rowOff>0</xdr:rowOff>
    </xdr:from>
    <xdr:to>
      <xdr:col>12</xdr:col>
      <xdr:colOff>361950</xdr:colOff>
      <xdr:row>4</xdr:row>
      <xdr:rowOff>361950</xdr:rowOff>
    </xdr:to>
    <xdr:pic>
      <xdr:nvPicPr>
        <xdr:cNvPr id="2" name="Gráfico 1600330024" descr="Información">
          <a:extLst>
            <a:ext uri="{FF2B5EF4-FFF2-40B4-BE49-F238E27FC236}">
              <a16:creationId xmlns:a16="http://schemas.microsoft.com/office/drawing/2014/main" id="{4B232E14-253D-4D40-98DD-89BD4602D9A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144000" y="4213412"/>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37234</xdr:colOff>
      <xdr:row>45</xdr:row>
      <xdr:rowOff>136525</xdr:rowOff>
    </xdr:from>
    <xdr:to>
      <xdr:col>13</xdr:col>
      <xdr:colOff>4948959</xdr:colOff>
      <xdr:row>68</xdr:row>
      <xdr:rowOff>42717</xdr:rowOff>
    </xdr:to>
    <xdr:pic>
      <xdr:nvPicPr>
        <xdr:cNvPr id="4" name="Imagen 3">
          <a:extLst>
            <a:ext uri="{FF2B5EF4-FFF2-40B4-BE49-F238E27FC236}">
              <a16:creationId xmlns:a16="http://schemas.microsoft.com/office/drawing/2014/main" id="{6F99E079-3199-4516-9847-AC09C8A33BA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181234" y="10336934"/>
          <a:ext cx="5673725" cy="3889374"/>
        </a:xfrm>
        <a:prstGeom prst="rect">
          <a:avLst/>
        </a:prstGeom>
        <a:noFill/>
        <a:ln>
          <a:noFill/>
        </a:ln>
      </xdr:spPr>
    </xdr:pic>
    <xdr:clientData/>
  </xdr:twoCellAnchor>
  <xdr:twoCellAnchor editAs="oneCell">
    <xdr:from>
      <xdr:col>12</xdr:col>
      <xdr:colOff>144195</xdr:colOff>
      <xdr:row>75</xdr:row>
      <xdr:rowOff>151556</xdr:rowOff>
    </xdr:from>
    <xdr:to>
      <xdr:col>16</xdr:col>
      <xdr:colOff>506214</xdr:colOff>
      <xdr:row>89</xdr:row>
      <xdr:rowOff>118885</xdr:rowOff>
    </xdr:to>
    <xdr:pic>
      <xdr:nvPicPr>
        <xdr:cNvPr id="11" name="Imagen 10">
          <a:extLst>
            <a:ext uri="{FF2B5EF4-FFF2-40B4-BE49-F238E27FC236}">
              <a16:creationId xmlns:a16="http://schemas.microsoft.com/office/drawing/2014/main" id="{C1129306-5228-494E-8DEE-B6E067C8F5B5}"/>
            </a:ext>
          </a:extLst>
        </xdr:cNvPr>
        <xdr:cNvPicPr>
          <a:picLocks noChangeAspect="1"/>
        </xdr:cNvPicPr>
      </xdr:nvPicPr>
      <xdr:blipFill>
        <a:blip xmlns:r="http://schemas.openxmlformats.org/officeDocument/2006/relationships" r:embed="rId10"/>
        <a:stretch>
          <a:fillRect/>
        </a:stretch>
      </xdr:blipFill>
      <xdr:spPr>
        <a:xfrm>
          <a:off x="9288195" y="15547420"/>
          <a:ext cx="9852383" cy="2391874"/>
        </a:xfrm>
        <a:prstGeom prst="rect">
          <a:avLst/>
        </a:prstGeom>
      </xdr:spPr>
    </xdr:pic>
    <xdr:clientData/>
  </xdr:twoCellAnchor>
  <xdr:twoCellAnchor editAs="oneCell">
    <xdr:from>
      <xdr:col>12</xdr:col>
      <xdr:colOff>159409</xdr:colOff>
      <xdr:row>69</xdr:row>
      <xdr:rowOff>84116</xdr:rowOff>
    </xdr:from>
    <xdr:to>
      <xdr:col>13</xdr:col>
      <xdr:colOff>6548506</xdr:colOff>
      <xdr:row>74</xdr:row>
      <xdr:rowOff>46411</xdr:rowOff>
    </xdr:to>
    <xdr:pic>
      <xdr:nvPicPr>
        <xdr:cNvPr id="17" name="Imagen 16">
          <a:extLst>
            <a:ext uri="{FF2B5EF4-FFF2-40B4-BE49-F238E27FC236}">
              <a16:creationId xmlns:a16="http://schemas.microsoft.com/office/drawing/2014/main" id="{02CAD190-A34D-4208-817F-17FC72005F12}"/>
            </a:ext>
          </a:extLst>
        </xdr:cNvPr>
        <xdr:cNvPicPr>
          <a:picLocks noChangeAspect="1"/>
        </xdr:cNvPicPr>
      </xdr:nvPicPr>
      <xdr:blipFill>
        <a:blip xmlns:r="http://schemas.openxmlformats.org/officeDocument/2006/relationships" r:embed="rId11"/>
        <a:stretch>
          <a:fillRect/>
        </a:stretch>
      </xdr:blipFill>
      <xdr:spPr>
        <a:xfrm>
          <a:off x="9303409" y="14440889"/>
          <a:ext cx="7151097" cy="828204"/>
        </a:xfrm>
        <a:prstGeom prst="rect">
          <a:avLst/>
        </a:prstGeom>
      </xdr:spPr>
    </xdr:pic>
    <xdr:clientData/>
  </xdr:twoCellAnchor>
  <xdr:twoCellAnchor editAs="oneCell">
    <xdr:from>
      <xdr:col>0</xdr:col>
      <xdr:colOff>86590</xdr:colOff>
      <xdr:row>43</xdr:row>
      <xdr:rowOff>69272</xdr:rowOff>
    </xdr:from>
    <xdr:to>
      <xdr:col>11</xdr:col>
      <xdr:colOff>744681</xdr:colOff>
      <xdr:row>76</xdr:row>
      <xdr:rowOff>20435</xdr:rowOff>
    </xdr:to>
    <xdr:pic>
      <xdr:nvPicPr>
        <xdr:cNvPr id="7" name="Imagen 6">
          <a:extLst>
            <a:ext uri="{FF2B5EF4-FFF2-40B4-BE49-F238E27FC236}">
              <a16:creationId xmlns:a16="http://schemas.microsoft.com/office/drawing/2014/main" id="{0E4FABE0-CD98-CCFE-30D3-21D7C639E46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86590" y="10581408"/>
          <a:ext cx="9040091" cy="6237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643822</xdr:colOff>
      <xdr:row>3</xdr:row>
      <xdr:rowOff>102466</xdr:rowOff>
    </xdr:from>
    <xdr:to>
      <xdr:col>28</xdr:col>
      <xdr:colOff>208394</xdr:colOff>
      <xdr:row>48</xdr:row>
      <xdr:rowOff>77478</xdr:rowOff>
    </xdr:to>
    <xdr:graphicFrame macro="">
      <xdr:nvGraphicFramePr>
        <xdr:cNvPr id="27" name="Gráfico 1">
          <a:extLst>
            <a:ext uri="{FF2B5EF4-FFF2-40B4-BE49-F238E27FC236}">
              <a16:creationId xmlns:a16="http://schemas.microsoft.com/office/drawing/2014/main" id="{A20F6D3B-B6E9-4329-8A22-4FA16ADEF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C7375-F9FA-4115-AE21-E65A1AE16BF6}">
  <sheetPr codeName="Hoja1">
    <tabColor theme="5"/>
  </sheetPr>
  <dimension ref="A1:E32"/>
  <sheetViews>
    <sheetView showGridLines="0" zoomScale="85" zoomScaleNormal="85" workbookViewId="0">
      <selection activeCell="C15" sqref="C15"/>
    </sheetView>
  </sheetViews>
  <sheetFormatPr defaultColWidth="0" defaultRowHeight="15" zeroHeight="1" x14ac:dyDescent="0.25"/>
  <cols>
    <col min="1" max="1" width="1.5703125" style="25" customWidth="1"/>
    <col min="2" max="2" width="33.28515625" customWidth="1"/>
    <col min="3" max="3" width="103.28515625" customWidth="1"/>
    <col min="4" max="4" width="1.5703125" customWidth="1"/>
    <col min="5" max="5" width="0" hidden="1" customWidth="1"/>
    <col min="6" max="16384" width="10.7109375" hidden="1"/>
  </cols>
  <sheetData>
    <row r="1" spans="2:3" s="26" customFormat="1" ht="15.75" thickBot="1" x14ac:dyDescent="0.3"/>
    <row r="2" spans="2:3" s="26" customFormat="1" ht="14.65" customHeight="1" x14ac:dyDescent="0.25">
      <c r="B2" s="221" t="s">
        <v>0</v>
      </c>
      <c r="C2" s="222"/>
    </row>
    <row r="3" spans="2:3" s="26" customFormat="1" ht="14.65" customHeight="1" x14ac:dyDescent="0.25">
      <c r="B3" s="223"/>
      <c r="C3" s="224"/>
    </row>
    <row r="4" spans="2:3" s="26" customFormat="1" ht="14.65" customHeight="1" x14ac:dyDescent="0.25">
      <c r="B4" s="223"/>
      <c r="C4" s="224"/>
    </row>
    <row r="5" spans="2:3" s="26" customFormat="1" ht="14.65" customHeight="1" x14ac:dyDescent="0.25">
      <c r="B5" s="223"/>
      <c r="C5" s="224"/>
    </row>
    <row r="6" spans="2:3" s="26" customFormat="1" ht="14.65" customHeight="1" x14ac:dyDescent="0.25">
      <c r="B6" s="223"/>
      <c r="C6" s="224"/>
    </row>
    <row r="7" spans="2:3" s="26" customFormat="1" ht="14.65" customHeight="1" x14ac:dyDescent="0.25">
      <c r="B7" s="223"/>
      <c r="C7" s="224"/>
    </row>
    <row r="8" spans="2:3" s="26" customFormat="1" ht="14.65" customHeight="1" x14ac:dyDescent="0.25">
      <c r="B8" s="223"/>
      <c r="C8" s="224"/>
    </row>
    <row r="9" spans="2:3" s="26" customFormat="1" ht="18.600000000000001" customHeight="1" x14ac:dyDescent="0.25">
      <c r="B9" s="223"/>
      <c r="C9" s="224"/>
    </row>
    <row r="10" spans="2:3" s="26" customFormat="1" ht="18.600000000000001" customHeight="1" x14ac:dyDescent="0.25">
      <c r="B10" s="223"/>
      <c r="C10" s="224"/>
    </row>
    <row r="11" spans="2:3" s="26" customFormat="1" ht="29.1" customHeight="1" x14ac:dyDescent="0.25">
      <c r="B11" s="219"/>
      <c r="C11" s="220"/>
    </row>
    <row r="12" spans="2:3" s="26" customFormat="1" ht="5.0999999999999996" customHeight="1" thickBot="1" x14ac:dyDescent="0.3">
      <c r="B12" s="27"/>
      <c r="C12" s="28"/>
    </row>
    <row r="13" spans="2:3" s="26" customFormat="1" ht="21.75" thickBot="1" x14ac:dyDescent="0.4">
      <c r="B13" s="125" t="s">
        <v>1</v>
      </c>
      <c r="C13" s="126" t="s">
        <v>2</v>
      </c>
    </row>
    <row r="14" spans="2:3" s="26" customFormat="1" ht="18.75" x14ac:dyDescent="0.25">
      <c r="B14" s="127" t="s">
        <v>3</v>
      </c>
      <c r="C14" s="128" t="s">
        <v>4</v>
      </c>
    </row>
    <row r="15" spans="2:3" s="26" customFormat="1" ht="181.15" customHeight="1" x14ac:dyDescent="0.25">
      <c r="B15" s="29" t="s">
        <v>5</v>
      </c>
      <c r="C15" s="30" t="s">
        <v>6</v>
      </c>
    </row>
    <row r="16" spans="2:3" s="26" customFormat="1" ht="131.25" x14ac:dyDescent="0.25">
      <c r="B16" s="29" t="s">
        <v>7</v>
      </c>
      <c r="C16" s="30" t="s">
        <v>8</v>
      </c>
    </row>
    <row r="17" spans="2:3" s="26" customFormat="1" ht="75" x14ac:dyDescent="0.25">
      <c r="B17" s="29" t="s">
        <v>727</v>
      </c>
      <c r="C17" s="30" t="s">
        <v>728</v>
      </c>
    </row>
    <row r="18" spans="2:3" s="26" customFormat="1" ht="117.6" customHeight="1" x14ac:dyDescent="0.25">
      <c r="B18" s="29" t="s">
        <v>9</v>
      </c>
      <c r="C18" s="30" t="s">
        <v>10</v>
      </c>
    </row>
    <row r="19" spans="2:3" s="26" customFormat="1" ht="37.5" x14ac:dyDescent="0.25">
      <c r="B19" s="29" t="s">
        <v>11</v>
      </c>
      <c r="C19" s="30" t="s">
        <v>12</v>
      </c>
    </row>
    <row r="20" spans="2:3" s="26" customFormat="1" ht="45.6" customHeight="1" x14ac:dyDescent="0.25">
      <c r="B20" s="29" t="s">
        <v>13</v>
      </c>
      <c r="C20" s="30" t="s">
        <v>14</v>
      </c>
    </row>
    <row r="21" spans="2:3" s="26" customFormat="1" ht="166.5" customHeight="1" x14ac:dyDescent="0.25">
      <c r="B21" s="29" t="s">
        <v>723</v>
      </c>
      <c r="C21" s="30" t="s">
        <v>724</v>
      </c>
    </row>
    <row r="22" spans="2:3" s="26" customFormat="1" ht="75" x14ac:dyDescent="0.25">
      <c r="B22" s="29" t="s">
        <v>725</v>
      </c>
      <c r="C22" s="30" t="s">
        <v>726</v>
      </c>
    </row>
    <row r="23" spans="2:3" s="26" customFormat="1" ht="64.150000000000006" customHeight="1" x14ac:dyDescent="0.25">
      <c r="B23" s="29" t="s">
        <v>15</v>
      </c>
      <c r="C23" s="30" t="s">
        <v>16</v>
      </c>
    </row>
    <row r="24" spans="2:3" s="26" customFormat="1" ht="123.6" customHeight="1" x14ac:dyDescent="0.25">
      <c r="B24" s="29" t="s">
        <v>17</v>
      </c>
      <c r="C24" s="30" t="s">
        <v>18</v>
      </c>
    </row>
    <row r="25" spans="2:3" s="26" customFormat="1" ht="124.15" customHeight="1" x14ac:dyDescent="0.25">
      <c r="B25" s="29" t="s">
        <v>19</v>
      </c>
      <c r="C25" s="30" t="s">
        <v>20</v>
      </c>
    </row>
    <row r="26" spans="2:3" s="26" customFormat="1" ht="139.5" customHeight="1" x14ac:dyDescent="0.3">
      <c r="B26" s="29" t="s">
        <v>21</v>
      </c>
      <c r="C26" s="41" t="s">
        <v>22</v>
      </c>
    </row>
    <row r="27" spans="2:3" s="26" customFormat="1" ht="318.75" x14ac:dyDescent="0.25">
      <c r="B27" s="129" t="s">
        <v>23</v>
      </c>
      <c r="C27" s="130" t="s">
        <v>24</v>
      </c>
    </row>
    <row r="28" spans="2:3" s="26" customFormat="1" ht="56.25" x14ac:dyDescent="0.25">
      <c r="B28" s="131" t="s">
        <v>729</v>
      </c>
      <c r="C28" s="132" t="s">
        <v>730</v>
      </c>
    </row>
    <row r="29" spans="2:3" s="26" customFormat="1" ht="37.5" x14ac:dyDescent="0.25">
      <c r="B29" s="131" t="s">
        <v>731</v>
      </c>
      <c r="C29" s="134" t="s">
        <v>732</v>
      </c>
    </row>
    <row r="30" spans="2:3" s="26" customFormat="1" ht="38.25" thickBot="1" x14ac:dyDescent="0.3">
      <c r="B30" s="133" t="s">
        <v>25</v>
      </c>
      <c r="C30" s="135" t="s">
        <v>26</v>
      </c>
    </row>
    <row r="31" spans="2:3" s="26" customFormat="1" ht="51" customHeight="1" x14ac:dyDescent="0.25">
      <c r="B31" s="225" t="s">
        <v>27</v>
      </c>
      <c r="C31" s="225"/>
    </row>
    <row r="32" spans="2:3" s="26" customFormat="1" x14ac:dyDescent="0.25"/>
  </sheetData>
  <sheetProtection algorithmName="SHA-512" hashValue="ZCXDRCjrmFUg+COihLTMtk/lKsaYPJz+Echmoal8LnVjUul/1gCg+PI1h2+ZuaGPPpw1Q98slyrIiXKSFf9QLQ==" saltValue="rojYb3FcZz1Qqnfzi2iCiA==" spinCount="100000" sheet="1" formatCells="0" formatColumns="0" formatRows="0" insertColumns="0" insertRows="0" insertHyperlinks="0" deleteColumns="0" deleteRows="0" sort="0" autoFilter="0" pivotTables="0"/>
  <mergeCells count="3">
    <mergeCell ref="B11:C11"/>
    <mergeCell ref="B2:C10"/>
    <mergeCell ref="B31:C31"/>
  </mergeCells>
  <pageMargins left="0.7" right="0.7" top="0.75" bottom="0.75" header="0.3" footer="0.3"/>
  <pageSetup orientation="portrait" horizontalDpi="4294967295" verticalDpi="4294967295" r:id="rId1"/>
  <headerFooter>
    <oddFooter xml:space="preserve">&amp;L_x000D_&amp;1#&amp;"Aptos"&amp;12&amp;K000000 Información Pública.        Todos los derechos reservados para XM S.A E.S.P.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1539F-DCB8-438A-B308-F8EB201C6F99}">
  <sheetPr codeName="Hoja2"/>
  <dimension ref="A1:H18"/>
  <sheetViews>
    <sheetView zoomScale="130" zoomScaleNormal="130" workbookViewId="0">
      <selection activeCell="C10" sqref="C10"/>
    </sheetView>
  </sheetViews>
  <sheetFormatPr defaultColWidth="11.28515625" defaultRowHeight="15" x14ac:dyDescent="0.25"/>
  <cols>
    <col min="1" max="1" width="22.7109375" customWidth="1"/>
    <col min="2" max="2" width="37.7109375" customWidth="1"/>
    <col min="3" max="3" width="29.85546875" customWidth="1"/>
    <col min="4" max="4" width="22.7109375" customWidth="1"/>
    <col min="5" max="5" width="39.28515625" customWidth="1"/>
  </cols>
  <sheetData>
    <row r="1" spans="1:8" ht="23.65" customHeight="1" thickBot="1" x14ac:dyDescent="0.3">
      <c r="A1" s="22" t="s">
        <v>28</v>
      </c>
      <c r="B1" s="23" t="s">
        <v>29</v>
      </c>
      <c r="C1" s="23" t="s">
        <v>30</v>
      </c>
      <c r="D1" s="23" t="s">
        <v>31</v>
      </c>
    </row>
    <row r="2" spans="1:8" ht="72.599999999999994" customHeight="1" x14ac:dyDescent="0.25">
      <c r="A2" s="16" t="s">
        <v>32</v>
      </c>
      <c r="B2" s="17" t="s">
        <v>33</v>
      </c>
      <c r="C2" s="17" t="s">
        <v>34</v>
      </c>
      <c r="D2" s="10">
        <v>2000</v>
      </c>
    </row>
    <row r="3" spans="1:8" ht="30" x14ac:dyDescent="0.25">
      <c r="A3" s="16" t="s">
        <v>35</v>
      </c>
      <c r="B3" s="17" t="s">
        <v>1294</v>
      </c>
      <c r="C3" s="2" t="s">
        <v>1293</v>
      </c>
      <c r="D3" s="10">
        <v>1320</v>
      </c>
    </row>
    <row r="4" spans="1:8" x14ac:dyDescent="0.25">
      <c r="A4" s="16" t="s">
        <v>36</v>
      </c>
      <c r="B4" s="17"/>
      <c r="C4" s="44"/>
      <c r="D4" s="10"/>
    </row>
    <row r="5" spans="1:8" s="21" customFormat="1" ht="45" x14ac:dyDescent="0.25">
      <c r="A5" s="16" t="s">
        <v>37</v>
      </c>
      <c r="B5" s="17" t="s">
        <v>1349</v>
      </c>
      <c r="C5" s="44" t="s">
        <v>1350</v>
      </c>
      <c r="D5" s="10">
        <v>650</v>
      </c>
    </row>
    <row r="6" spans="1:8" x14ac:dyDescent="0.25">
      <c r="A6" s="16" t="s">
        <v>38</v>
      </c>
      <c r="B6" s="2"/>
      <c r="C6" s="2"/>
      <c r="D6" s="2"/>
    </row>
    <row r="9" spans="1:8" x14ac:dyDescent="0.25">
      <c r="D9" s="51"/>
      <c r="E9" s="52"/>
      <c r="H9" s="52"/>
    </row>
    <row r="10" spans="1:8" x14ac:dyDescent="0.25">
      <c r="D10" s="51"/>
      <c r="E10" s="52"/>
    </row>
    <row r="11" spans="1:8" x14ac:dyDescent="0.25">
      <c r="D11" s="51"/>
      <c r="E11" s="52"/>
    </row>
    <row r="12" spans="1:8" x14ac:dyDescent="0.25">
      <c r="D12" s="51"/>
      <c r="E12" s="52"/>
    </row>
    <row r="13" spans="1:8" x14ac:dyDescent="0.25">
      <c r="D13" s="51"/>
      <c r="E13" s="52"/>
    </row>
    <row r="14" spans="1:8" x14ac:dyDescent="0.25">
      <c r="D14" s="51"/>
      <c r="E14" s="52"/>
    </row>
    <row r="15" spans="1:8" x14ac:dyDescent="0.25">
      <c r="D15" s="51"/>
      <c r="E15" s="52"/>
    </row>
    <row r="16" spans="1:8" x14ac:dyDescent="0.25">
      <c r="D16" s="51"/>
      <c r="E16" s="52"/>
    </row>
    <row r="17" spans="4:5" x14ac:dyDescent="0.25">
      <c r="D17" s="51"/>
      <c r="E17" s="52"/>
    </row>
    <row r="18" spans="4:5" x14ac:dyDescent="0.25">
      <c r="D18" s="51"/>
      <c r="E18" s="52"/>
    </row>
  </sheetData>
  <sheetProtection algorithmName="SHA-512" hashValue="9gQ31i0AKVdPOzNIGqvNh9KeVcs8drULEAewxpHcGrWY/FsU/P8/osWTa4v1kJa8OV8Tw/Guiob1M5PJiXrmLQ==" saltValue="gaj1MN11mD5YShC+XEj2sg==" spinCount="100000" sheet="1" formatCells="0" formatColumns="0" formatRows="0" insertColumns="0" insertRows="0" insertHyperlinks="0" deleteColumns="0" deleteRows="0" pivotTables="0"/>
  <pageMargins left="0.7" right="0.7" top="0.75" bottom="0.75" header="0.3" footer="0.3"/>
  <pageSetup orientation="portrait" horizontalDpi="4294967295" verticalDpi="4294967295" r:id="rId1"/>
  <headerFooter>
    <oddFooter xml:space="preserve">&amp;L_x000D_&amp;1#&amp;"Aptos"&amp;12&amp;K000000 Información Pública.        Todos los derechos reservados para XM S.A E.S.P.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66200-D752-4225-8403-46A91A2B1DD9}">
  <dimension ref="A1:Q200"/>
  <sheetViews>
    <sheetView tabSelected="1" zoomScaleNormal="100" workbookViewId="0">
      <pane ySplit="1" topLeftCell="A13" activePane="bottomLeft" state="frozen"/>
      <selection activeCell="J1" sqref="J1"/>
      <selection pane="bottomLeft" activeCell="D15" sqref="D15"/>
    </sheetView>
  </sheetViews>
  <sheetFormatPr defaultColWidth="11.28515625" defaultRowHeight="12.75" x14ac:dyDescent="0.2"/>
  <cols>
    <col min="1" max="1" width="13.28515625" style="72" customWidth="1"/>
    <col min="2" max="2" width="16.28515625" style="88" customWidth="1"/>
    <col min="3" max="3" width="11.28515625" style="72" customWidth="1"/>
    <col min="4" max="4" width="50.140625" style="91" customWidth="1"/>
    <col min="5" max="5" width="31.28515625" style="72" customWidth="1"/>
    <col min="6" max="7" width="11.28515625" style="72" customWidth="1"/>
    <col min="8" max="8" width="67.7109375" style="72" customWidth="1"/>
    <col min="9" max="9" width="89.28515625" style="72" customWidth="1"/>
    <col min="10" max="10" width="92.5703125" style="72" customWidth="1"/>
    <col min="11" max="11" width="19.5703125" style="93" customWidth="1"/>
    <col min="12" max="12" width="44.5703125" style="72" customWidth="1"/>
    <col min="13" max="14" width="17.28515625" style="72" customWidth="1"/>
    <col min="15" max="16" width="17.28515625" style="88" customWidth="1"/>
    <col min="17" max="16384" width="11.28515625" style="72"/>
  </cols>
  <sheetData>
    <row r="1" spans="1:17" ht="47.25" customHeight="1" thickBot="1" x14ac:dyDescent="0.25">
      <c r="A1" s="94" t="s">
        <v>28</v>
      </c>
      <c r="B1" s="94" t="s">
        <v>499</v>
      </c>
      <c r="C1" s="95" t="s">
        <v>40</v>
      </c>
      <c r="D1" s="95" t="s">
        <v>41</v>
      </c>
      <c r="E1" s="95" t="s">
        <v>30</v>
      </c>
      <c r="F1" s="95" t="s">
        <v>42</v>
      </c>
      <c r="G1" s="95" t="s">
        <v>43</v>
      </c>
      <c r="H1" s="95" t="s">
        <v>44</v>
      </c>
      <c r="I1" s="95" t="s">
        <v>45</v>
      </c>
      <c r="J1" s="96" t="s">
        <v>46</v>
      </c>
      <c r="K1" s="96" t="s">
        <v>47</v>
      </c>
      <c r="L1" s="95" t="s">
        <v>48</v>
      </c>
      <c r="M1" s="97" t="s">
        <v>49</v>
      </c>
      <c r="N1" s="97" t="s">
        <v>50</v>
      </c>
      <c r="O1" s="136" t="s">
        <v>51</v>
      </c>
      <c r="P1" s="153" t="s">
        <v>52</v>
      </c>
    </row>
    <row r="2" spans="1:17" ht="114.75" x14ac:dyDescent="0.2">
      <c r="A2" s="73" t="s">
        <v>32</v>
      </c>
      <c r="B2" s="74" t="s">
        <v>32</v>
      </c>
      <c r="C2" s="75">
        <v>1</v>
      </c>
      <c r="D2" s="259" t="s">
        <v>53</v>
      </c>
      <c r="E2" s="75" t="s">
        <v>54</v>
      </c>
      <c r="F2" s="76">
        <v>2000</v>
      </c>
      <c r="G2" s="76" t="s">
        <v>55</v>
      </c>
      <c r="H2" s="77" t="s">
        <v>56</v>
      </c>
      <c r="I2" s="77" t="s">
        <v>57</v>
      </c>
      <c r="J2" s="78" t="s">
        <v>1223</v>
      </c>
      <c r="K2" s="90" t="s">
        <v>1224</v>
      </c>
      <c r="L2" s="77"/>
      <c r="M2" s="76" t="s">
        <v>58</v>
      </c>
      <c r="N2" s="76" t="s">
        <v>59</v>
      </c>
      <c r="O2" s="152">
        <v>3</v>
      </c>
      <c r="P2" s="73">
        <v>0</v>
      </c>
    </row>
    <row r="3" spans="1:17" ht="114.75" x14ac:dyDescent="0.2">
      <c r="A3" s="73" t="s">
        <v>32</v>
      </c>
      <c r="B3" s="74" t="s">
        <v>32</v>
      </c>
      <c r="C3" s="75">
        <v>2</v>
      </c>
      <c r="D3" s="259" t="s">
        <v>53</v>
      </c>
      <c r="E3" s="75" t="s">
        <v>1225</v>
      </c>
      <c r="F3" s="76">
        <v>2800</v>
      </c>
      <c r="G3" s="76" t="s">
        <v>55</v>
      </c>
      <c r="H3" s="77" t="s">
        <v>1226</v>
      </c>
      <c r="I3" s="77" t="s">
        <v>1227</v>
      </c>
      <c r="J3" s="78" t="s">
        <v>1223</v>
      </c>
      <c r="K3" s="90" t="s">
        <v>1228</v>
      </c>
      <c r="L3" s="77"/>
      <c r="M3" s="76" t="s">
        <v>59</v>
      </c>
      <c r="N3" s="4" t="s">
        <v>58</v>
      </c>
      <c r="O3" s="152">
        <v>3</v>
      </c>
      <c r="P3" s="73">
        <v>0</v>
      </c>
    </row>
    <row r="4" spans="1:17" ht="114.75" x14ac:dyDescent="0.2">
      <c r="A4" s="73" t="s">
        <v>32</v>
      </c>
      <c r="B4" s="80" t="s">
        <v>326</v>
      </c>
      <c r="C4" s="73">
        <v>1</v>
      </c>
      <c r="D4" s="183" t="s">
        <v>1121</v>
      </c>
      <c r="E4" s="73" t="s">
        <v>1122</v>
      </c>
      <c r="F4" s="4">
        <v>1400</v>
      </c>
      <c r="G4" s="4" t="s">
        <v>55</v>
      </c>
      <c r="H4" s="78" t="s">
        <v>1229</v>
      </c>
      <c r="I4" s="78" t="s">
        <v>60</v>
      </c>
      <c r="J4" s="78" t="s">
        <v>1223</v>
      </c>
      <c r="K4" s="90" t="s">
        <v>1228</v>
      </c>
      <c r="L4" s="78"/>
      <c r="M4" s="4" t="s">
        <v>58</v>
      </c>
      <c r="N4" s="4" t="s">
        <v>59</v>
      </c>
      <c r="O4" s="102">
        <v>3</v>
      </c>
      <c r="P4" s="73">
        <v>0</v>
      </c>
    </row>
    <row r="5" spans="1:17" ht="114.75" x14ac:dyDescent="0.2">
      <c r="A5" s="73" t="s">
        <v>32</v>
      </c>
      <c r="B5" s="80" t="s">
        <v>326</v>
      </c>
      <c r="C5" s="73">
        <v>2</v>
      </c>
      <c r="D5" s="183" t="s">
        <v>1121</v>
      </c>
      <c r="E5" s="73" t="s">
        <v>1230</v>
      </c>
      <c r="F5" s="4">
        <v>2200</v>
      </c>
      <c r="G5" s="4" t="s">
        <v>55</v>
      </c>
      <c r="H5" s="78" t="s">
        <v>1231</v>
      </c>
      <c r="I5" s="77" t="s">
        <v>1232</v>
      </c>
      <c r="J5" s="78" t="s">
        <v>1223</v>
      </c>
      <c r="K5" s="90" t="s">
        <v>1228</v>
      </c>
      <c r="L5" s="78"/>
      <c r="M5" s="4" t="s">
        <v>59</v>
      </c>
      <c r="N5" s="4" t="s">
        <v>58</v>
      </c>
      <c r="O5" s="102">
        <v>3</v>
      </c>
      <c r="P5" s="73">
        <v>0</v>
      </c>
    </row>
    <row r="6" spans="1:17" ht="51" x14ac:dyDescent="0.2">
      <c r="A6" s="73" t="s">
        <v>32</v>
      </c>
      <c r="B6" s="80" t="s">
        <v>61</v>
      </c>
      <c r="C6" s="73">
        <v>1</v>
      </c>
      <c r="D6" s="79" t="s">
        <v>62</v>
      </c>
      <c r="E6" s="73"/>
      <c r="F6" s="4"/>
      <c r="G6" s="4"/>
      <c r="H6" s="78" t="s">
        <v>63</v>
      </c>
      <c r="I6" s="78" t="s">
        <v>64</v>
      </c>
      <c r="J6" s="82" t="s">
        <v>664</v>
      </c>
      <c r="K6" s="90"/>
      <c r="L6" s="78"/>
      <c r="M6" s="4" t="s">
        <v>58</v>
      </c>
      <c r="N6" s="4" t="s">
        <v>65</v>
      </c>
      <c r="O6" s="102">
        <v>3</v>
      </c>
      <c r="P6" s="73">
        <v>0</v>
      </c>
      <c r="Q6" s="103"/>
    </row>
    <row r="7" spans="1:17" ht="54" customHeight="1" x14ac:dyDescent="0.2">
      <c r="A7" s="73" t="s">
        <v>32</v>
      </c>
      <c r="B7" s="80" t="s">
        <v>61</v>
      </c>
      <c r="C7" s="73">
        <v>2</v>
      </c>
      <c r="D7" s="79" t="s">
        <v>66</v>
      </c>
      <c r="E7" s="73" t="s">
        <v>67</v>
      </c>
      <c r="F7" s="73">
        <v>220</v>
      </c>
      <c r="G7" s="73" t="s">
        <v>68</v>
      </c>
      <c r="H7" s="78" t="s">
        <v>69</v>
      </c>
      <c r="I7" s="78" t="s">
        <v>70</v>
      </c>
      <c r="J7" s="78" t="s">
        <v>659</v>
      </c>
      <c r="K7" s="90" t="s">
        <v>85</v>
      </c>
      <c r="L7" s="78"/>
      <c r="M7" s="4" t="s">
        <v>71</v>
      </c>
      <c r="N7" s="4" t="s">
        <v>72</v>
      </c>
      <c r="O7" s="102">
        <v>0</v>
      </c>
      <c r="P7" s="73">
        <v>0</v>
      </c>
      <c r="Q7" s="103"/>
    </row>
    <row r="8" spans="1:17" ht="54" customHeight="1" x14ac:dyDescent="0.2">
      <c r="A8" s="73" t="s">
        <v>32</v>
      </c>
      <c r="B8" s="80" t="s">
        <v>61</v>
      </c>
      <c r="C8" s="73">
        <v>3</v>
      </c>
      <c r="D8" s="79" t="s">
        <v>73</v>
      </c>
      <c r="E8" s="73" t="s">
        <v>74</v>
      </c>
      <c r="F8" s="73">
        <v>220</v>
      </c>
      <c r="G8" s="73" t="s">
        <v>68</v>
      </c>
      <c r="H8" s="78" t="s">
        <v>69</v>
      </c>
      <c r="I8" s="78" t="s">
        <v>70</v>
      </c>
      <c r="J8" s="78" t="s">
        <v>663</v>
      </c>
      <c r="K8" s="90" t="s">
        <v>85</v>
      </c>
      <c r="L8" s="78"/>
      <c r="M8" s="4" t="s">
        <v>71</v>
      </c>
      <c r="N8" s="4" t="s">
        <v>72</v>
      </c>
      <c r="O8" s="102">
        <v>0</v>
      </c>
      <c r="P8" s="73">
        <v>0</v>
      </c>
      <c r="Q8" s="103"/>
    </row>
    <row r="9" spans="1:17" ht="54" customHeight="1" x14ac:dyDescent="0.2">
      <c r="A9" s="73" t="s">
        <v>32</v>
      </c>
      <c r="B9" s="80" t="s">
        <v>61</v>
      </c>
      <c r="C9" s="73">
        <v>4</v>
      </c>
      <c r="D9" s="79" t="s">
        <v>75</v>
      </c>
      <c r="E9" s="73" t="s">
        <v>76</v>
      </c>
      <c r="F9" s="73">
        <v>230</v>
      </c>
      <c r="G9" s="73" t="s">
        <v>68</v>
      </c>
      <c r="H9" s="78" t="s">
        <v>69</v>
      </c>
      <c r="I9" s="78" t="s">
        <v>70</v>
      </c>
      <c r="J9" s="78" t="s">
        <v>659</v>
      </c>
      <c r="K9" s="90" t="s">
        <v>85</v>
      </c>
      <c r="L9" s="78"/>
      <c r="M9" s="4" t="s">
        <v>71</v>
      </c>
      <c r="N9" s="4" t="s">
        <v>72</v>
      </c>
      <c r="O9" s="102">
        <v>0</v>
      </c>
      <c r="P9" s="73">
        <v>0</v>
      </c>
      <c r="Q9" s="103"/>
    </row>
    <row r="10" spans="1:17" ht="54.6" customHeight="1" x14ac:dyDescent="0.2">
      <c r="A10" s="73" t="s">
        <v>32</v>
      </c>
      <c r="B10" s="80" t="s">
        <v>61</v>
      </c>
      <c r="C10" s="73">
        <v>5</v>
      </c>
      <c r="D10" s="79" t="s">
        <v>1210</v>
      </c>
      <c r="E10" s="73" t="s">
        <v>77</v>
      </c>
      <c r="F10" s="73">
        <v>220</v>
      </c>
      <c r="G10" s="73" t="s">
        <v>55</v>
      </c>
      <c r="H10" s="78" t="s">
        <v>78</v>
      </c>
      <c r="I10" s="78" t="s">
        <v>79</v>
      </c>
      <c r="J10" s="82" t="s">
        <v>80</v>
      </c>
      <c r="K10" s="90" t="s">
        <v>85</v>
      </c>
      <c r="L10" s="78"/>
      <c r="M10" s="4" t="s">
        <v>81</v>
      </c>
      <c r="N10" s="4" t="s">
        <v>82</v>
      </c>
      <c r="O10" s="102">
        <v>3</v>
      </c>
      <c r="P10" s="73">
        <v>0</v>
      </c>
      <c r="Q10" s="103"/>
    </row>
    <row r="11" spans="1:17" ht="54.6" customHeight="1" x14ac:dyDescent="0.2">
      <c r="A11" s="73" t="s">
        <v>32</v>
      </c>
      <c r="B11" s="80" t="s">
        <v>61</v>
      </c>
      <c r="C11" s="73">
        <v>6</v>
      </c>
      <c r="D11" s="79" t="s">
        <v>1211</v>
      </c>
      <c r="E11" s="73" t="s">
        <v>83</v>
      </c>
      <c r="F11" s="73">
        <v>215</v>
      </c>
      <c r="G11" s="73" t="s">
        <v>55</v>
      </c>
      <c r="H11" s="78" t="s">
        <v>78</v>
      </c>
      <c r="I11" s="78" t="s">
        <v>79</v>
      </c>
      <c r="J11" s="78" t="s">
        <v>84</v>
      </c>
      <c r="K11" s="90" t="s">
        <v>85</v>
      </c>
      <c r="L11" s="78"/>
      <c r="M11" s="4" t="s">
        <v>81</v>
      </c>
      <c r="N11" s="4" t="s">
        <v>82</v>
      </c>
      <c r="O11" s="102">
        <v>3</v>
      </c>
      <c r="P11" s="73">
        <v>0</v>
      </c>
      <c r="Q11" s="103"/>
    </row>
    <row r="12" spans="1:17" ht="54.6" customHeight="1" x14ac:dyDescent="0.2">
      <c r="A12" s="73" t="s">
        <v>32</v>
      </c>
      <c r="B12" s="80" t="s">
        <v>61</v>
      </c>
      <c r="C12" s="73">
        <v>7</v>
      </c>
      <c r="D12" s="79" t="s">
        <v>1212</v>
      </c>
      <c r="E12" s="73" t="s">
        <v>86</v>
      </c>
      <c r="F12" s="73">
        <v>220</v>
      </c>
      <c r="G12" s="73" t="s">
        <v>55</v>
      </c>
      <c r="H12" s="78" t="s">
        <v>87</v>
      </c>
      <c r="I12" s="78" t="s">
        <v>88</v>
      </c>
      <c r="J12" s="78" t="s">
        <v>659</v>
      </c>
      <c r="K12" s="90" t="s">
        <v>85</v>
      </c>
      <c r="L12" s="78"/>
      <c r="M12" s="4" t="s">
        <v>89</v>
      </c>
      <c r="N12" s="4" t="s">
        <v>90</v>
      </c>
      <c r="O12" s="102">
        <v>3</v>
      </c>
      <c r="P12" s="73">
        <v>0</v>
      </c>
      <c r="Q12" s="103"/>
    </row>
    <row r="13" spans="1:17" ht="54.6" customHeight="1" x14ac:dyDescent="0.2">
      <c r="A13" s="73" t="s">
        <v>32</v>
      </c>
      <c r="B13" s="80" t="s">
        <v>61</v>
      </c>
      <c r="C13" s="73">
        <v>8</v>
      </c>
      <c r="D13" s="79" t="s">
        <v>1213</v>
      </c>
      <c r="E13" s="73" t="s">
        <v>94</v>
      </c>
      <c r="F13" s="73">
        <v>200</v>
      </c>
      <c r="G13" s="73" t="s">
        <v>68</v>
      </c>
      <c r="H13" s="78" t="s">
        <v>95</v>
      </c>
      <c r="I13" s="78" t="s">
        <v>96</v>
      </c>
      <c r="J13" s="78" t="s">
        <v>660</v>
      </c>
      <c r="K13" s="90"/>
      <c r="L13" s="78"/>
      <c r="M13" s="4" t="s">
        <v>89</v>
      </c>
      <c r="N13" s="4" t="s">
        <v>97</v>
      </c>
      <c r="O13" s="102">
        <v>0</v>
      </c>
      <c r="P13" s="73">
        <v>0</v>
      </c>
      <c r="Q13" s="103"/>
    </row>
    <row r="14" spans="1:17" ht="47.65" customHeight="1" x14ac:dyDescent="0.2">
      <c r="A14" s="73" t="s">
        <v>32</v>
      </c>
      <c r="B14" s="73" t="s">
        <v>61</v>
      </c>
      <c r="C14" s="73">
        <v>9</v>
      </c>
      <c r="D14" s="79" t="s">
        <v>716</v>
      </c>
      <c r="E14" s="73" t="s">
        <v>715</v>
      </c>
      <c r="F14" s="73">
        <v>160</v>
      </c>
      <c r="G14" s="73" t="s">
        <v>68</v>
      </c>
      <c r="H14" s="78" t="s">
        <v>98</v>
      </c>
      <c r="I14" s="78" t="s">
        <v>667</v>
      </c>
      <c r="J14" s="83" t="s">
        <v>649</v>
      </c>
      <c r="K14" s="92"/>
      <c r="L14" s="78" t="s">
        <v>708</v>
      </c>
      <c r="M14" s="4" t="s">
        <v>92</v>
      </c>
      <c r="N14" s="4" t="s">
        <v>93</v>
      </c>
      <c r="O14" s="102">
        <v>3</v>
      </c>
      <c r="P14" s="73">
        <v>1</v>
      </c>
      <c r="Q14" s="103"/>
    </row>
    <row r="15" spans="1:17" ht="45" customHeight="1" x14ac:dyDescent="0.2">
      <c r="A15" s="73" t="s">
        <v>32</v>
      </c>
      <c r="B15" s="73" t="s">
        <v>61</v>
      </c>
      <c r="C15" s="73">
        <v>10</v>
      </c>
      <c r="D15" s="79" t="s">
        <v>709</v>
      </c>
      <c r="E15" s="73" t="s">
        <v>800</v>
      </c>
      <c r="F15" s="73">
        <v>140</v>
      </c>
      <c r="G15" s="73" t="s">
        <v>68</v>
      </c>
      <c r="H15" s="78" t="s">
        <v>98</v>
      </c>
      <c r="I15" s="78" t="s">
        <v>667</v>
      </c>
      <c r="J15" s="83" t="s">
        <v>665</v>
      </c>
      <c r="K15" s="90"/>
      <c r="L15" s="78" t="s">
        <v>666</v>
      </c>
      <c r="M15" s="4" t="s">
        <v>92</v>
      </c>
      <c r="N15" s="4" t="s">
        <v>93</v>
      </c>
      <c r="O15" s="102">
        <v>3</v>
      </c>
      <c r="P15" s="73">
        <v>0</v>
      </c>
      <c r="Q15" s="103"/>
    </row>
    <row r="16" spans="1:17" ht="45" customHeight="1" x14ac:dyDescent="0.2">
      <c r="A16" s="73" t="s">
        <v>32</v>
      </c>
      <c r="B16" s="73" t="s">
        <v>61</v>
      </c>
      <c r="C16" s="73">
        <v>11</v>
      </c>
      <c r="D16" s="79" t="s">
        <v>799</v>
      </c>
      <c r="E16" s="73" t="s">
        <v>801</v>
      </c>
      <c r="F16" s="73">
        <v>130</v>
      </c>
      <c r="G16" s="73" t="s">
        <v>68</v>
      </c>
      <c r="H16" s="78" t="s">
        <v>98</v>
      </c>
      <c r="I16" s="78" t="s">
        <v>667</v>
      </c>
      <c r="J16" s="83" t="s">
        <v>665</v>
      </c>
      <c r="K16" s="90"/>
      <c r="L16" s="78"/>
      <c r="M16" s="4" t="s">
        <v>92</v>
      </c>
      <c r="N16" s="4" t="s">
        <v>93</v>
      </c>
      <c r="O16" s="102">
        <v>3</v>
      </c>
      <c r="P16" s="73">
        <v>0</v>
      </c>
      <c r="Q16" s="103"/>
    </row>
    <row r="17" spans="1:17" ht="47.65" customHeight="1" x14ac:dyDescent="0.2">
      <c r="A17" s="73" t="s">
        <v>32</v>
      </c>
      <c r="B17" s="73" t="s">
        <v>61</v>
      </c>
      <c r="C17" s="73">
        <v>12</v>
      </c>
      <c r="D17" s="79" t="s">
        <v>1095</v>
      </c>
      <c r="E17" s="73" t="s">
        <v>1096</v>
      </c>
      <c r="F17" s="73">
        <v>432</v>
      </c>
      <c r="G17" s="73" t="s">
        <v>55</v>
      </c>
      <c r="H17" s="78" t="s">
        <v>1097</v>
      </c>
      <c r="I17" s="179" t="s">
        <v>1098</v>
      </c>
      <c r="J17" s="83" t="s">
        <v>649</v>
      </c>
      <c r="K17" s="90" t="s">
        <v>85</v>
      </c>
      <c r="L17" s="78"/>
      <c r="M17" s="4" t="s">
        <v>93</v>
      </c>
      <c r="N17" s="4" t="s">
        <v>92</v>
      </c>
      <c r="O17" s="102">
        <v>3</v>
      </c>
      <c r="P17" s="73">
        <v>0</v>
      </c>
      <c r="Q17" s="103"/>
    </row>
    <row r="18" spans="1:17" ht="56.1" customHeight="1" x14ac:dyDescent="0.2">
      <c r="A18" s="73" t="s">
        <v>32</v>
      </c>
      <c r="B18" s="73" t="s">
        <v>61</v>
      </c>
      <c r="C18" s="73">
        <v>13</v>
      </c>
      <c r="D18" s="79" t="s">
        <v>1123</v>
      </c>
      <c r="E18" s="73" t="s">
        <v>1126</v>
      </c>
      <c r="F18" s="73">
        <v>93</v>
      </c>
      <c r="G18" s="73" t="s">
        <v>55</v>
      </c>
      <c r="H18" s="78" t="s">
        <v>1129</v>
      </c>
      <c r="I18" s="179" t="s">
        <v>1130</v>
      </c>
      <c r="J18" s="78" t="s">
        <v>659</v>
      </c>
      <c r="K18" s="90" t="s">
        <v>85</v>
      </c>
      <c r="L18" s="78"/>
      <c r="M18" s="4" t="s">
        <v>71</v>
      </c>
      <c r="N18" s="4" t="s">
        <v>72</v>
      </c>
      <c r="O18" s="102">
        <v>1</v>
      </c>
      <c r="P18" s="73">
        <v>1</v>
      </c>
      <c r="Q18" s="103"/>
    </row>
    <row r="19" spans="1:17" ht="60.6" customHeight="1" x14ac:dyDescent="0.2">
      <c r="A19" s="73" t="s">
        <v>32</v>
      </c>
      <c r="B19" s="73" t="s">
        <v>61</v>
      </c>
      <c r="C19" s="73">
        <v>14</v>
      </c>
      <c r="D19" s="79" t="s">
        <v>1124</v>
      </c>
      <c r="E19" s="73" t="s">
        <v>1127</v>
      </c>
      <c r="F19" s="73">
        <v>93</v>
      </c>
      <c r="G19" s="73" t="s">
        <v>55</v>
      </c>
      <c r="H19" s="78" t="s">
        <v>1129</v>
      </c>
      <c r="I19" s="179" t="s">
        <v>1130</v>
      </c>
      <c r="J19" s="78" t="s">
        <v>659</v>
      </c>
      <c r="K19" s="90" t="s">
        <v>85</v>
      </c>
      <c r="L19" s="78"/>
      <c r="M19" s="4" t="s">
        <v>71</v>
      </c>
      <c r="N19" s="4" t="s">
        <v>72</v>
      </c>
      <c r="O19" s="102">
        <v>1</v>
      </c>
      <c r="P19" s="73">
        <v>1</v>
      </c>
      <c r="Q19" s="103"/>
    </row>
    <row r="20" spans="1:17" ht="60" customHeight="1" x14ac:dyDescent="0.2">
      <c r="A20" s="73" t="s">
        <v>32</v>
      </c>
      <c r="B20" s="73" t="s">
        <v>61</v>
      </c>
      <c r="C20" s="73">
        <v>15</v>
      </c>
      <c r="D20" s="79" t="s">
        <v>1125</v>
      </c>
      <c r="E20" s="73" t="s">
        <v>1128</v>
      </c>
      <c r="F20" s="73">
        <v>93</v>
      </c>
      <c r="G20" s="73" t="s">
        <v>55</v>
      </c>
      <c r="H20" s="78" t="s">
        <v>1129</v>
      </c>
      <c r="I20" s="179" t="s">
        <v>1130</v>
      </c>
      <c r="J20" s="78" t="s">
        <v>659</v>
      </c>
      <c r="K20" s="90" t="s">
        <v>85</v>
      </c>
      <c r="L20" s="78"/>
      <c r="M20" s="4" t="s">
        <v>71</v>
      </c>
      <c r="N20" s="4" t="s">
        <v>72</v>
      </c>
      <c r="O20" s="102">
        <v>1</v>
      </c>
      <c r="P20" s="73">
        <v>1</v>
      </c>
      <c r="Q20" s="103"/>
    </row>
    <row r="21" spans="1:17" ht="60" customHeight="1" x14ac:dyDescent="0.2">
      <c r="A21" s="73" t="s">
        <v>32</v>
      </c>
      <c r="B21" s="73" t="s">
        <v>61</v>
      </c>
      <c r="C21" s="73">
        <v>16</v>
      </c>
      <c r="D21" s="79" t="s">
        <v>1160</v>
      </c>
      <c r="E21" s="73" t="s">
        <v>1161</v>
      </c>
      <c r="F21" s="73">
        <v>90</v>
      </c>
      <c r="G21" s="73" t="s">
        <v>55</v>
      </c>
      <c r="H21" s="78" t="s">
        <v>1162</v>
      </c>
      <c r="I21" s="179" t="s">
        <v>1163</v>
      </c>
      <c r="J21" s="78" t="s">
        <v>659</v>
      </c>
      <c r="K21" s="90" t="s">
        <v>85</v>
      </c>
      <c r="L21" s="78"/>
      <c r="M21" s="4" t="s">
        <v>58</v>
      </c>
      <c r="N21" s="4" t="s">
        <v>72</v>
      </c>
      <c r="O21" s="102">
        <v>3</v>
      </c>
      <c r="P21" s="73">
        <v>0</v>
      </c>
      <c r="Q21" s="103"/>
    </row>
    <row r="22" spans="1:17" ht="60" customHeight="1" x14ac:dyDescent="0.2">
      <c r="A22" s="73" t="s">
        <v>32</v>
      </c>
      <c r="B22" s="73" t="s">
        <v>61</v>
      </c>
      <c r="C22" s="73">
        <v>17</v>
      </c>
      <c r="D22" s="79" t="s">
        <v>1379</v>
      </c>
      <c r="E22" s="73" t="s">
        <v>1380</v>
      </c>
      <c r="F22" s="73">
        <v>148</v>
      </c>
      <c r="G22" s="73" t="s">
        <v>68</v>
      </c>
      <c r="H22" s="78" t="s">
        <v>1381</v>
      </c>
      <c r="I22" s="179" t="s">
        <v>1382</v>
      </c>
      <c r="J22" s="83" t="s">
        <v>649</v>
      </c>
      <c r="K22" s="90"/>
      <c r="L22" s="78"/>
      <c r="M22" s="4" t="s">
        <v>58</v>
      </c>
      <c r="N22" s="4" t="s">
        <v>58</v>
      </c>
      <c r="O22" s="102">
        <v>0</v>
      </c>
      <c r="P22" s="73">
        <v>0</v>
      </c>
      <c r="Q22" s="103"/>
    </row>
    <row r="23" spans="1:17" ht="60" customHeight="1" x14ac:dyDescent="0.2">
      <c r="A23" s="73" t="s">
        <v>32</v>
      </c>
      <c r="B23" s="73" t="s">
        <v>61</v>
      </c>
      <c r="C23" s="73">
        <v>18</v>
      </c>
      <c r="D23" s="79" t="s">
        <v>1393</v>
      </c>
      <c r="E23" s="73" t="s">
        <v>1394</v>
      </c>
      <c r="F23" s="73">
        <v>148</v>
      </c>
      <c r="G23" s="73" t="s">
        <v>68</v>
      </c>
      <c r="H23" s="78" t="s">
        <v>1381</v>
      </c>
      <c r="I23" s="179" t="s">
        <v>1382</v>
      </c>
      <c r="J23" s="83" t="s">
        <v>649</v>
      </c>
      <c r="K23" s="90"/>
      <c r="L23" s="78"/>
      <c r="M23" s="4" t="s">
        <v>58</v>
      </c>
      <c r="N23" s="4" t="s">
        <v>58</v>
      </c>
      <c r="O23" s="102">
        <v>0</v>
      </c>
      <c r="P23" s="73">
        <v>0</v>
      </c>
      <c r="Q23" s="103"/>
    </row>
    <row r="24" spans="1:17" ht="25.5" customHeight="1" x14ac:dyDescent="0.2">
      <c r="A24" s="73" t="s">
        <v>32</v>
      </c>
      <c r="B24" s="73" t="s">
        <v>61</v>
      </c>
      <c r="C24" s="73">
        <v>19</v>
      </c>
      <c r="D24" s="79" t="s">
        <v>130</v>
      </c>
      <c r="E24" s="79"/>
      <c r="F24" s="79"/>
      <c r="G24" s="73" t="s">
        <v>55</v>
      </c>
      <c r="H24" s="79" t="s">
        <v>648</v>
      </c>
      <c r="I24" s="227" t="s">
        <v>882</v>
      </c>
      <c r="J24" s="227" t="s">
        <v>880</v>
      </c>
      <c r="K24" s="92"/>
      <c r="L24" s="78"/>
      <c r="M24" s="4"/>
      <c r="N24" s="4"/>
      <c r="O24" s="102">
        <v>2</v>
      </c>
      <c r="P24" s="73">
        <v>1</v>
      </c>
      <c r="Q24" s="103"/>
    </row>
    <row r="25" spans="1:17" ht="25.5" customHeight="1" x14ac:dyDescent="0.2">
      <c r="A25" s="73" t="s">
        <v>32</v>
      </c>
      <c r="B25" s="73" t="s">
        <v>61</v>
      </c>
      <c r="C25" s="73">
        <v>20</v>
      </c>
      <c r="D25" s="79" t="s">
        <v>645</v>
      </c>
      <c r="E25" s="79"/>
      <c r="F25" s="79"/>
      <c r="G25" s="73" t="s">
        <v>55</v>
      </c>
      <c r="H25" s="79" t="s">
        <v>648</v>
      </c>
      <c r="I25" s="227"/>
      <c r="J25" s="227"/>
      <c r="K25" s="92"/>
      <c r="L25" s="78"/>
      <c r="M25" s="4"/>
      <c r="N25" s="4"/>
      <c r="O25" s="102">
        <v>2</v>
      </c>
      <c r="P25" s="73">
        <v>1</v>
      </c>
      <c r="Q25" s="103"/>
    </row>
    <row r="26" spans="1:17" ht="25.5" customHeight="1" x14ac:dyDescent="0.2">
      <c r="A26" s="73" t="s">
        <v>32</v>
      </c>
      <c r="B26" s="73" t="s">
        <v>61</v>
      </c>
      <c r="C26" s="73">
        <v>21</v>
      </c>
      <c r="D26" s="79" t="s">
        <v>646</v>
      </c>
      <c r="E26" s="79"/>
      <c r="F26" s="79"/>
      <c r="G26" s="73" t="s">
        <v>55</v>
      </c>
      <c r="H26" s="79" t="s">
        <v>648</v>
      </c>
      <c r="I26" s="227"/>
      <c r="J26" s="83" t="s">
        <v>649</v>
      </c>
      <c r="K26" s="92"/>
      <c r="L26" s="78"/>
      <c r="M26" s="4"/>
      <c r="N26" s="4"/>
      <c r="O26" s="102">
        <v>2</v>
      </c>
      <c r="P26" s="73">
        <v>1</v>
      </c>
      <c r="Q26" s="103"/>
    </row>
    <row r="27" spans="1:17" ht="25.5" customHeight="1" x14ac:dyDescent="0.2">
      <c r="A27" s="73" t="s">
        <v>32</v>
      </c>
      <c r="B27" s="73" t="s">
        <v>61</v>
      </c>
      <c r="C27" s="73">
        <v>22</v>
      </c>
      <c r="D27" s="79" t="s">
        <v>871</v>
      </c>
      <c r="E27" s="79"/>
      <c r="F27" s="79"/>
      <c r="G27" s="73" t="s">
        <v>55</v>
      </c>
      <c r="H27" s="79" t="s">
        <v>648</v>
      </c>
      <c r="I27" s="227"/>
      <c r="J27" s="83" t="s">
        <v>649</v>
      </c>
      <c r="K27" s="92"/>
      <c r="L27" s="78"/>
      <c r="M27" s="4"/>
      <c r="N27" s="4"/>
      <c r="O27" s="102">
        <v>2</v>
      </c>
      <c r="P27" s="73">
        <v>1</v>
      </c>
      <c r="Q27" s="103"/>
    </row>
    <row r="28" spans="1:17" ht="25.5" customHeight="1" x14ac:dyDescent="0.2">
      <c r="A28" s="73" t="s">
        <v>32</v>
      </c>
      <c r="B28" s="73" t="s">
        <v>61</v>
      </c>
      <c r="C28" s="73">
        <v>23</v>
      </c>
      <c r="D28" s="79" t="s">
        <v>872</v>
      </c>
      <c r="E28" s="79"/>
      <c r="F28" s="79"/>
      <c r="G28" s="73" t="s">
        <v>55</v>
      </c>
      <c r="H28" s="79" t="s">
        <v>648</v>
      </c>
      <c r="I28" s="227"/>
      <c r="J28" s="83" t="s">
        <v>649</v>
      </c>
      <c r="K28" s="92"/>
      <c r="L28" s="78"/>
      <c r="M28" s="4"/>
      <c r="N28" s="4"/>
      <c r="O28" s="102">
        <v>2</v>
      </c>
      <c r="P28" s="73">
        <v>1</v>
      </c>
      <c r="Q28" s="103"/>
    </row>
    <row r="29" spans="1:17" ht="25.5" customHeight="1" x14ac:dyDescent="0.2">
      <c r="A29" s="73" t="s">
        <v>32</v>
      </c>
      <c r="B29" s="73" t="s">
        <v>61</v>
      </c>
      <c r="C29" s="73">
        <v>24</v>
      </c>
      <c r="D29" s="79" t="s">
        <v>873</v>
      </c>
      <c r="E29" s="79"/>
      <c r="F29" s="79"/>
      <c r="G29" s="73" t="s">
        <v>55</v>
      </c>
      <c r="H29" s="79" t="s">
        <v>648</v>
      </c>
      <c r="I29" s="227"/>
      <c r="J29" s="83" t="s">
        <v>649</v>
      </c>
      <c r="K29" s="92"/>
      <c r="L29" s="78"/>
      <c r="M29" s="4"/>
      <c r="N29" s="4"/>
      <c r="O29" s="102">
        <v>2</v>
      </c>
      <c r="P29" s="73">
        <v>1</v>
      </c>
      <c r="Q29" s="103"/>
    </row>
    <row r="30" spans="1:17" ht="25.5" customHeight="1" x14ac:dyDescent="0.2">
      <c r="A30" s="73" t="s">
        <v>32</v>
      </c>
      <c r="B30" s="73" t="s">
        <v>61</v>
      </c>
      <c r="C30" s="73">
        <v>25</v>
      </c>
      <c r="D30" s="79" t="s">
        <v>874</v>
      </c>
      <c r="E30" s="79"/>
      <c r="F30" s="79"/>
      <c r="G30" s="73" t="s">
        <v>55</v>
      </c>
      <c r="H30" s="79" t="s">
        <v>648</v>
      </c>
      <c r="I30" s="227"/>
      <c r="J30" s="83" t="s">
        <v>649</v>
      </c>
      <c r="K30" s="92"/>
      <c r="L30" s="78"/>
      <c r="M30" s="4"/>
      <c r="N30" s="4"/>
      <c r="O30" s="102">
        <v>2</v>
      </c>
      <c r="P30" s="73">
        <v>1</v>
      </c>
      <c r="Q30" s="103"/>
    </row>
    <row r="31" spans="1:17" ht="25.5" customHeight="1" x14ac:dyDescent="0.2">
      <c r="A31" s="73" t="s">
        <v>32</v>
      </c>
      <c r="B31" s="73" t="s">
        <v>61</v>
      </c>
      <c r="C31" s="73">
        <v>26</v>
      </c>
      <c r="D31" s="79" t="s">
        <v>875</v>
      </c>
      <c r="E31" s="79"/>
      <c r="F31" s="79"/>
      <c r="G31" s="73" t="s">
        <v>55</v>
      </c>
      <c r="H31" s="79" t="s">
        <v>648</v>
      </c>
      <c r="I31" s="227"/>
      <c r="J31" s="83" t="s">
        <v>649</v>
      </c>
      <c r="K31" s="92"/>
      <c r="L31" s="78"/>
      <c r="M31" s="4"/>
      <c r="N31" s="4"/>
      <c r="O31" s="102">
        <v>2</v>
      </c>
      <c r="P31" s="73">
        <v>1</v>
      </c>
      <c r="Q31" s="103"/>
    </row>
    <row r="32" spans="1:17" ht="25.5" customHeight="1" x14ac:dyDescent="0.2">
      <c r="A32" s="73" t="s">
        <v>32</v>
      </c>
      <c r="B32" s="73" t="s">
        <v>61</v>
      </c>
      <c r="C32" s="73">
        <v>27</v>
      </c>
      <c r="D32" s="79" t="s">
        <v>876</v>
      </c>
      <c r="E32" s="79"/>
      <c r="F32" s="79"/>
      <c r="G32" s="73" t="s">
        <v>55</v>
      </c>
      <c r="H32" s="79" t="s">
        <v>648</v>
      </c>
      <c r="I32" s="227"/>
      <c r="J32" s="83" t="s">
        <v>649</v>
      </c>
      <c r="K32" s="92"/>
      <c r="L32" s="78"/>
      <c r="M32" s="4"/>
      <c r="N32" s="4"/>
      <c r="O32" s="102">
        <v>2</v>
      </c>
      <c r="P32" s="73">
        <v>1</v>
      </c>
      <c r="Q32" s="103"/>
    </row>
    <row r="33" spans="1:17" ht="25.5" customHeight="1" x14ac:dyDescent="0.2">
      <c r="A33" s="73" t="s">
        <v>32</v>
      </c>
      <c r="B33" s="73" t="s">
        <v>61</v>
      </c>
      <c r="C33" s="73">
        <v>28</v>
      </c>
      <c r="D33" s="79" t="s">
        <v>643</v>
      </c>
      <c r="E33" s="79"/>
      <c r="F33" s="79"/>
      <c r="G33" s="73" t="s">
        <v>55</v>
      </c>
      <c r="H33" s="79" t="s">
        <v>648</v>
      </c>
      <c r="I33" s="228" t="s">
        <v>881</v>
      </c>
      <c r="J33" s="83" t="s">
        <v>649</v>
      </c>
      <c r="K33" s="92"/>
      <c r="L33" s="78"/>
      <c r="M33" s="4"/>
      <c r="N33" s="4"/>
      <c r="O33" s="102">
        <v>2</v>
      </c>
      <c r="P33" s="73">
        <v>1</v>
      </c>
      <c r="Q33" s="103"/>
    </row>
    <row r="34" spans="1:17" ht="25.5" customHeight="1" x14ac:dyDescent="0.2">
      <c r="A34" s="73" t="s">
        <v>32</v>
      </c>
      <c r="B34" s="73" t="s">
        <v>61</v>
      </c>
      <c r="C34" s="73">
        <v>29</v>
      </c>
      <c r="D34" s="79" t="s">
        <v>644</v>
      </c>
      <c r="E34" s="79"/>
      <c r="F34" s="79"/>
      <c r="G34" s="73" t="s">
        <v>55</v>
      </c>
      <c r="H34" s="79" t="s">
        <v>648</v>
      </c>
      <c r="I34" s="228"/>
      <c r="J34" s="83" t="s">
        <v>1473</v>
      </c>
      <c r="K34" s="92" t="s">
        <v>1472</v>
      </c>
      <c r="L34" s="78"/>
      <c r="M34" s="4"/>
      <c r="N34" s="4"/>
      <c r="O34" s="102">
        <v>2</v>
      </c>
      <c r="P34" s="73">
        <v>1</v>
      </c>
      <c r="Q34" s="103"/>
    </row>
    <row r="35" spans="1:17" ht="25.5" customHeight="1" x14ac:dyDescent="0.2">
      <c r="A35" s="73" t="s">
        <v>32</v>
      </c>
      <c r="B35" s="73" t="s">
        <v>61</v>
      </c>
      <c r="C35" s="73">
        <v>30</v>
      </c>
      <c r="D35" s="79" t="s">
        <v>1469</v>
      </c>
      <c r="E35" s="79"/>
      <c r="F35" s="79"/>
      <c r="G35" s="73" t="s">
        <v>55</v>
      </c>
      <c r="H35" s="79" t="s">
        <v>648</v>
      </c>
      <c r="I35" s="228"/>
      <c r="J35" s="83" t="s">
        <v>649</v>
      </c>
      <c r="K35" s="92"/>
      <c r="L35" s="78"/>
      <c r="M35" s="4"/>
      <c r="N35" s="4"/>
      <c r="O35" s="102">
        <v>2</v>
      </c>
      <c r="P35" s="73">
        <v>1</v>
      </c>
      <c r="Q35" s="103"/>
    </row>
    <row r="36" spans="1:17" ht="25.5" customHeight="1" x14ac:dyDescent="0.2">
      <c r="A36" s="73" t="s">
        <v>32</v>
      </c>
      <c r="B36" s="73" t="s">
        <v>61</v>
      </c>
      <c r="C36" s="73">
        <v>31</v>
      </c>
      <c r="D36" s="79" t="s">
        <v>647</v>
      </c>
      <c r="E36" s="79"/>
      <c r="F36" s="79"/>
      <c r="G36" s="73" t="s">
        <v>55</v>
      </c>
      <c r="H36" s="79" t="s">
        <v>648</v>
      </c>
      <c r="I36" s="228"/>
      <c r="J36" s="83" t="s">
        <v>649</v>
      </c>
      <c r="K36" s="92"/>
      <c r="L36" s="78"/>
      <c r="M36" s="4"/>
      <c r="N36" s="4"/>
      <c r="O36" s="102">
        <v>2</v>
      </c>
      <c r="P36" s="73">
        <v>1</v>
      </c>
      <c r="Q36" s="103"/>
    </row>
    <row r="37" spans="1:17" ht="25.5" x14ac:dyDescent="0.2">
      <c r="A37" s="73" t="s">
        <v>32</v>
      </c>
      <c r="B37" s="80" t="s">
        <v>131</v>
      </c>
      <c r="C37" s="73">
        <v>1</v>
      </c>
      <c r="D37" s="79" t="s">
        <v>132</v>
      </c>
      <c r="E37" s="73" t="s">
        <v>133</v>
      </c>
      <c r="F37" s="4">
        <v>64</v>
      </c>
      <c r="G37" s="73" t="s">
        <v>68</v>
      </c>
      <c r="H37" s="78" t="s">
        <v>134</v>
      </c>
      <c r="I37" s="78" t="s">
        <v>135</v>
      </c>
      <c r="J37" s="78" t="s">
        <v>798</v>
      </c>
      <c r="K37" s="90"/>
      <c r="L37" s="78"/>
      <c r="M37" s="4" t="s">
        <v>58</v>
      </c>
      <c r="N37" s="4" t="s">
        <v>58</v>
      </c>
      <c r="O37" s="102">
        <v>0</v>
      </c>
      <c r="P37" s="73">
        <v>0</v>
      </c>
    </row>
    <row r="38" spans="1:17" ht="25.5" x14ac:dyDescent="0.2">
      <c r="A38" s="73" t="s">
        <v>32</v>
      </c>
      <c r="B38" s="80" t="s">
        <v>131</v>
      </c>
      <c r="C38" s="73">
        <v>2</v>
      </c>
      <c r="D38" s="79" t="s">
        <v>136</v>
      </c>
      <c r="E38" s="73" t="s">
        <v>137</v>
      </c>
      <c r="F38" s="4">
        <v>64</v>
      </c>
      <c r="G38" s="73" t="s">
        <v>68</v>
      </c>
      <c r="H38" s="78" t="s">
        <v>134</v>
      </c>
      <c r="I38" s="78" t="s">
        <v>135</v>
      </c>
      <c r="J38" s="78" t="s">
        <v>798</v>
      </c>
      <c r="K38" s="90"/>
      <c r="L38" s="78"/>
      <c r="M38" s="4" t="s">
        <v>58</v>
      </c>
      <c r="N38" s="4" t="s">
        <v>58</v>
      </c>
      <c r="O38" s="102">
        <v>0</v>
      </c>
      <c r="P38" s="73">
        <v>0</v>
      </c>
    </row>
    <row r="39" spans="1:17" ht="25.5" x14ac:dyDescent="0.2">
      <c r="A39" s="73" t="s">
        <v>32</v>
      </c>
      <c r="B39" s="80" t="s">
        <v>131</v>
      </c>
      <c r="C39" s="73">
        <v>3</v>
      </c>
      <c r="D39" s="79" t="s">
        <v>155</v>
      </c>
      <c r="E39" s="73" t="s">
        <v>156</v>
      </c>
      <c r="F39" s="4">
        <v>26</v>
      </c>
      <c r="G39" s="73" t="s">
        <v>55</v>
      </c>
      <c r="H39" s="78" t="s">
        <v>1474</v>
      </c>
      <c r="I39" s="78" t="s">
        <v>157</v>
      </c>
      <c r="J39" s="79" t="s">
        <v>158</v>
      </c>
      <c r="K39" s="90" t="s">
        <v>159</v>
      </c>
      <c r="L39" s="79" t="s">
        <v>144</v>
      </c>
      <c r="M39" s="4" t="s">
        <v>58</v>
      </c>
      <c r="N39" s="4" t="s">
        <v>58</v>
      </c>
      <c r="O39" s="102">
        <v>1</v>
      </c>
      <c r="P39" s="73">
        <v>1</v>
      </c>
    </row>
    <row r="40" spans="1:17" ht="26.1" customHeight="1" x14ac:dyDescent="0.2">
      <c r="A40" s="73" t="s">
        <v>32</v>
      </c>
      <c r="B40" s="80" t="s">
        <v>131</v>
      </c>
      <c r="C40" s="73">
        <v>4</v>
      </c>
      <c r="D40" s="79" t="s">
        <v>1144</v>
      </c>
      <c r="E40" s="73" t="s">
        <v>1145</v>
      </c>
      <c r="F40" s="4">
        <v>94</v>
      </c>
      <c r="G40" s="73" t="s">
        <v>55</v>
      </c>
      <c r="H40" s="78" t="s">
        <v>1146</v>
      </c>
      <c r="I40" s="78" t="s">
        <v>1156</v>
      </c>
      <c r="J40" s="83" t="s">
        <v>649</v>
      </c>
      <c r="K40" s="90"/>
      <c r="L40" s="79"/>
      <c r="M40" s="4" t="s">
        <v>385</v>
      </c>
      <c r="N40" s="4" t="s">
        <v>374</v>
      </c>
      <c r="O40" s="102">
        <v>0</v>
      </c>
      <c r="P40" s="73">
        <v>0</v>
      </c>
    </row>
    <row r="41" spans="1:17" ht="25.5" x14ac:dyDescent="0.2">
      <c r="A41" s="73" t="s">
        <v>32</v>
      </c>
      <c r="B41" s="80" t="s">
        <v>131</v>
      </c>
      <c r="C41" s="73">
        <v>5</v>
      </c>
      <c r="D41" s="79" t="s">
        <v>1140</v>
      </c>
      <c r="E41" s="73" t="s">
        <v>1147</v>
      </c>
      <c r="F41" s="4">
        <v>318</v>
      </c>
      <c r="G41" s="73" t="s">
        <v>55</v>
      </c>
      <c r="H41" s="78" t="s">
        <v>1149</v>
      </c>
      <c r="I41" s="78" t="s">
        <v>1157</v>
      </c>
      <c r="J41" s="83" t="s">
        <v>649</v>
      </c>
      <c r="K41" s="90"/>
      <c r="L41" s="79"/>
      <c r="M41" s="4" t="s">
        <v>1150</v>
      </c>
      <c r="N41" s="4" t="s">
        <v>58</v>
      </c>
      <c r="O41" s="102">
        <v>3</v>
      </c>
      <c r="P41" s="73">
        <v>0</v>
      </c>
    </row>
    <row r="42" spans="1:17" ht="25.5" x14ac:dyDescent="0.2">
      <c r="A42" s="73" t="s">
        <v>32</v>
      </c>
      <c r="B42" s="80" t="s">
        <v>131</v>
      </c>
      <c r="C42" s="73">
        <v>6</v>
      </c>
      <c r="D42" s="79" t="s">
        <v>1141</v>
      </c>
      <c r="E42" s="73" t="s">
        <v>1148</v>
      </c>
      <c r="F42" s="4">
        <v>318</v>
      </c>
      <c r="G42" s="73" t="s">
        <v>55</v>
      </c>
      <c r="H42" s="78" t="s">
        <v>1149</v>
      </c>
      <c r="I42" s="78" t="s">
        <v>1157</v>
      </c>
      <c r="J42" s="83" t="s">
        <v>649</v>
      </c>
      <c r="K42" s="90"/>
      <c r="L42" s="79"/>
      <c r="M42" s="4" t="s">
        <v>1150</v>
      </c>
      <c r="N42" s="4" t="s">
        <v>58</v>
      </c>
      <c r="O42" s="102">
        <v>3</v>
      </c>
      <c r="P42" s="73">
        <v>0</v>
      </c>
    </row>
    <row r="43" spans="1:17" ht="25.5" x14ac:dyDescent="0.2">
      <c r="A43" s="73" t="s">
        <v>32</v>
      </c>
      <c r="B43" s="80" t="s">
        <v>131</v>
      </c>
      <c r="C43" s="73">
        <v>7</v>
      </c>
      <c r="D43" s="79" t="s">
        <v>1142</v>
      </c>
      <c r="E43" s="73" t="s">
        <v>1151</v>
      </c>
      <c r="F43" s="4">
        <v>280</v>
      </c>
      <c r="G43" s="73" t="s">
        <v>55</v>
      </c>
      <c r="H43" s="78" t="s">
        <v>1158</v>
      </c>
      <c r="I43" s="78" t="s">
        <v>1153</v>
      </c>
      <c r="J43" s="83" t="s">
        <v>649</v>
      </c>
      <c r="K43" s="90"/>
      <c r="L43" s="79"/>
      <c r="M43" s="4" t="s">
        <v>1154</v>
      </c>
      <c r="N43" s="4" t="s">
        <v>1155</v>
      </c>
      <c r="O43" s="102">
        <v>3</v>
      </c>
      <c r="P43" s="73">
        <v>0</v>
      </c>
    </row>
    <row r="44" spans="1:17" ht="25.5" x14ac:dyDescent="0.2">
      <c r="A44" s="73" t="s">
        <v>32</v>
      </c>
      <c r="B44" s="80" t="s">
        <v>131</v>
      </c>
      <c r="C44" s="73">
        <v>8</v>
      </c>
      <c r="D44" s="79" t="s">
        <v>1143</v>
      </c>
      <c r="E44" s="73" t="s">
        <v>1152</v>
      </c>
      <c r="F44" s="4">
        <v>280</v>
      </c>
      <c r="G44" s="73" t="s">
        <v>55</v>
      </c>
      <c r="H44" s="78" t="s">
        <v>1158</v>
      </c>
      <c r="I44" s="78" t="s">
        <v>1153</v>
      </c>
      <c r="J44" s="83" t="s">
        <v>649</v>
      </c>
      <c r="K44" s="90"/>
      <c r="L44" s="79"/>
      <c r="M44" s="4" t="s">
        <v>1154</v>
      </c>
      <c r="N44" s="4" t="s">
        <v>1155</v>
      </c>
      <c r="O44" s="102">
        <v>3</v>
      </c>
      <c r="P44" s="73">
        <v>0</v>
      </c>
    </row>
    <row r="45" spans="1:17" ht="18.600000000000001" customHeight="1" x14ac:dyDescent="0.2">
      <c r="A45" s="73" t="s">
        <v>32</v>
      </c>
      <c r="B45" s="80" t="s">
        <v>131</v>
      </c>
      <c r="C45" s="73">
        <v>9</v>
      </c>
      <c r="D45" s="79" t="s">
        <v>650</v>
      </c>
      <c r="E45" s="73"/>
      <c r="F45" s="4"/>
      <c r="G45" s="73" t="s">
        <v>55</v>
      </c>
      <c r="H45" s="78" t="s">
        <v>648</v>
      </c>
      <c r="I45" s="78"/>
      <c r="J45" s="83" t="s">
        <v>649</v>
      </c>
      <c r="K45" s="90"/>
      <c r="L45" s="79"/>
      <c r="M45" s="4"/>
      <c r="N45" s="4"/>
      <c r="O45" s="102">
        <v>2</v>
      </c>
      <c r="P45" s="73">
        <v>1</v>
      </c>
    </row>
    <row r="46" spans="1:17" ht="18.600000000000001" customHeight="1" x14ac:dyDescent="0.2">
      <c r="A46" s="73" t="s">
        <v>32</v>
      </c>
      <c r="B46" s="80" t="s">
        <v>131</v>
      </c>
      <c r="C46" s="73">
        <v>10</v>
      </c>
      <c r="D46" s="79" t="s">
        <v>651</v>
      </c>
      <c r="E46" s="73"/>
      <c r="F46" s="4"/>
      <c r="G46" s="73" t="s">
        <v>55</v>
      </c>
      <c r="H46" s="78" t="s">
        <v>648</v>
      </c>
      <c r="I46" s="78"/>
      <c r="J46" s="83" t="s">
        <v>649</v>
      </c>
      <c r="K46" s="90"/>
      <c r="L46" s="79"/>
      <c r="M46" s="4"/>
      <c r="N46" s="4"/>
      <c r="O46" s="102">
        <v>2</v>
      </c>
      <c r="P46" s="73">
        <v>1</v>
      </c>
    </row>
    <row r="47" spans="1:17" ht="18.600000000000001" customHeight="1" x14ac:dyDescent="0.2">
      <c r="A47" s="73" t="s">
        <v>32</v>
      </c>
      <c r="B47" s="80" t="s">
        <v>131</v>
      </c>
      <c r="C47" s="73">
        <v>11</v>
      </c>
      <c r="D47" s="79" t="s">
        <v>878</v>
      </c>
      <c r="E47" s="73"/>
      <c r="F47" s="4"/>
      <c r="G47" s="73" t="s">
        <v>55</v>
      </c>
      <c r="H47" s="78" t="s">
        <v>648</v>
      </c>
      <c r="J47" s="83" t="s">
        <v>649</v>
      </c>
      <c r="K47" s="90"/>
      <c r="L47" s="79"/>
      <c r="M47" s="4"/>
      <c r="N47" s="4"/>
      <c r="O47" s="102">
        <v>2</v>
      </c>
      <c r="P47" s="73">
        <v>1</v>
      </c>
    </row>
    <row r="48" spans="1:17" ht="38.25" x14ac:dyDescent="0.2">
      <c r="A48" s="73" t="s">
        <v>32</v>
      </c>
      <c r="B48" s="80" t="s">
        <v>883</v>
      </c>
      <c r="C48" s="73">
        <v>1</v>
      </c>
      <c r="D48" s="79" t="s">
        <v>161</v>
      </c>
      <c r="E48" s="73" t="s">
        <v>162</v>
      </c>
      <c r="F48" s="4">
        <v>105</v>
      </c>
      <c r="G48" s="73" t="s">
        <v>68</v>
      </c>
      <c r="H48" s="78" t="s">
        <v>163</v>
      </c>
      <c r="I48" s="78" t="s">
        <v>164</v>
      </c>
      <c r="J48" s="78" t="s">
        <v>165</v>
      </c>
      <c r="K48" s="90" t="s">
        <v>166</v>
      </c>
      <c r="L48" s="78"/>
      <c r="M48" s="4" t="s">
        <v>58</v>
      </c>
      <c r="N48" s="4" t="s">
        <v>167</v>
      </c>
      <c r="O48" s="102">
        <v>0</v>
      </c>
      <c r="P48" s="73">
        <v>0</v>
      </c>
    </row>
    <row r="49" spans="1:16" ht="38.25" x14ac:dyDescent="0.2">
      <c r="A49" s="73" t="s">
        <v>32</v>
      </c>
      <c r="B49" s="80" t="s">
        <v>883</v>
      </c>
      <c r="C49" s="73">
        <v>2</v>
      </c>
      <c r="D49" s="79" t="s">
        <v>168</v>
      </c>
      <c r="E49" s="73" t="s">
        <v>169</v>
      </c>
      <c r="F49" s="4">
        <v>135</v>
      </c>
      <c r="G49" s="73" t="s">
        <v>68</v>
      </c>
      <c r="H49" s="78" t="s">
        <v>163</v>
      </c>
      <c r="I49" s="78" t="s">
        <v>170</v>
      </c>
      <c r="J49" s="78" t="s">
        <v>165</v>
      </c>
      <c r="K49" s="90" t="s">
        <v>166</v>
      </c>
      <c r="L49" s="78"/>
      <c r="M49" s="4" t="s">
        <v>58</v>
      </c>
      <c r="N49" s="4" t="s">
        <v>167</v>
      </c>
      <c r="O49" s="102">
        <v>0</v>
      </c>
      <c r="P49" s="73">
        <v>0</v>
      </c>
    </row>
    <row r="50" spans="1:16" ht="38.25" x14ac:dyDescent="0.2">
      <c r="A50" s="73" t="s">
        <v>32</v>
      </c>
      <c r="B50" s="80" t="s">
        <v>883</v>
      </c>
      <c r="C50" s="73">
        <v>3</v>
      </c>
      <c r="D50" s="79" t="s">
        <v>171</v>
      </c>
      <c r="E50" s="73" t="s">
        <v>172</v>
      </c>
      <c r="F50" s="4">
        <v>150</v>
      </c>
      <c r="G50" s="73" t="s">
        <v>68</v>
      </c>
      <c r="H50" s="78" t="s">
        <v>163</v>
      </c>
      <c r="I50" s="78" t="s">
        <v>173</v>
      </c>
      <c r="J50" s="78" t="s">
        <v>165</v>
      </c>
      <c r="K50" s="90" t="s">
        <v>166</v>
      </c>
      <c r="L50" s="78"/>
      <c r="M50" s="4" t="s">
        <v>58</v>
      </c>
      <c r="N50" s="4" t="s">
        <v>167</v>
      </c>
      <c r="O50" s="102">
        <v>0</v>
      </c>
      <c r="P50" s="73">
        <v>0</v>
      </c>
    </row>
    <row r="51" spans="1:16" ht="38.25" x14ac:dyDescent="0.2">
      <c r="A51" s="73" t="s">
        <v>32</v>
      </c>
      <c r="B51" s="80" t="s">
        <v>883</v>
      </c>
      <c r="C51" s="73">
        <v>4</v>
      </c>
      <c r="D51" s="79" t="s">
        <v>1172</v>
      </c>
      <c r="E51" s="4"/>
      <c r="F51" s="4"/>
      <c r="G51" s="73" t="s">
        <v>55</v>
      </c>
      <c r="H51" s="78" t="s">
        <v>163</v>
      </c>
      <c r="I51" s="78" t="s">
        <v>174</v>
      </c>
      <c r="J51" s="78" t="s">
        <v>175</v>
      </c>
      <c r="K51" s="90"/>
      <c r="L51" s="79" t="s">
        <v>144</v>
      </c>
      <c r="M51" s="4" t="s">
        <v>58</v>
      </c>
      <c r="N51" s="4" t="s">
        <v>58</v>
      </c>
      <c r="O51" s="102">
        <v>1</v>
      </c>
      <c r="P51" s="73">
        <v>1</v>
      </c>
    </row>
    <row r="52" spans="1:16" ht="51" x14ac:dyDescent="0.2">
      <c r="A52" s="73" t="s">
        <v>32</v>
      </c>
      <c r="B52" s="80" t="s">
        <v>883</v>
      </c>
      <c r="C52" s="73">
        <v>5</v>
      </c>
      <c r="D52" s="79" t="s">
        <v>1403</v>
      </c>
      <c r="E52" s="73" t="s">
        <v>176</v>
      </c>
      <c r="F52" s="4">
        <v>290</v>
      </c>
      <c r="G52" s="73" t="s">
        <v>68</v>
      </c>
      <c r="H52" s="78" t="s">
        <v>163</v>
      </c>
      <c r="I52" s="78" t="s">
        <v>177</v>
      </c>
      <c r="J52" s="78" t="s">
        <v>1406</v>
      </c>
      <c r="K52" s="90"/>
      <c r="L52" s="78"/>
      <c r="M52" s="4" t="s">
        <v>58</v>
      </c>
      <c r="N52" s="4" t="s">
        <v>58</v>
      </c>
      <c r="O52" s="102">
        <v>0</v>
      </c>
      <c r="P52" s="73">
        <v>0</v>
      </c>
    </row>
    <row r="53" spans="1:16" ht="51" x14ac:dyDescent="0.2">
      <c r="A53" s="73" t="s">
        <v>32</v>
      </c>
      <c r="B53" s="80" t="s">
        <v>883</v>
      </c>
      <c r="C53" s="73">
        <v>6</v>
      </c>
      <c r="D53" s="79" t="s">
        <v>1404</v>
      </c>
      <c r="E53" s="73" t="s">
        <v>1401</v>
      </c>
      <c r="F53" s="4">
        <v>290</v>
      </c>
      <c r="G53" s="73" t="s">
        <v>68</v>
      </c>
      <c r="H53" s="78" t="s">
        <v>163</v>
      </c>
      <c r="I53" s="78" t="s">
        <v>177</v>
      </c>
      <c r="J53" s="78" t="s">
        <v>1406</v>
      </c>
      <c r="K53" s="90"/>
      <c r="L53" s="78"/>
      <c r="M53" s="4" t="s">
        <v>58</v>
      </c>
      <c r="N53" s="4" t="s">
        <v>58</v>
      </c>
      <c r="O53" s="102">
        <v>0</v>
      </c>
      <c r="P53" s="73">
        <v>0</v>
      </c>
    </row>
    <row r="54" spans="1:16" ht="51" x14ac:dyDescent="0.2">
      <c r="A54" s="73" t="s">
        <v>32</v>
      </c>
      <c r="B54" s="80" t="s">
        <v>883</v>
      </c>
      <c r="C54" s="73">
        <v>7</v>
      </c>
      <c r="D54" s="79" t="s">
        <v>1405</v>
      </c>
      <c r="E54" s="73" t="s">
        <v>1402</v>
      </c>
      <c r="F54" s="4">
        <v>290</v>
      </c>
      <c r="G54" s="73" t="s">
        <v>68</v>
      </c>
      <c r="H54" s="78" t="s">
        <v>163</v>
      </c>
      <c r="I54" s="78" t="s">
        <v>177</v>
      </c>
      <c r="J54" s="78" t="s">
        <v>1406</v>
      </c>
      <c r="K54" s="90"/>
      <c r="L54" s="78"/>
      <c r="M54" s="4" t="s">
        <v>58</v>
      </c>
      <c r="N54" s="4" t="s">
        <v>58</v>
      </c>
      <c r="O54" s="102">
        <v>0</v>
      </c>
      <c r="P54" s="73">
        <v>0</v>
      </c>
    </row>
    <row r="55" spans="1:16" ht="38.25" x14ac:dyDescent="0.2">
      <c r="A55" s="73" t="s">
        <v>32</v>
      </c>
      <c r="B55" s="80" t="s">
        <v>883</v>
      </c>
      <c r="C55" s="73">
        <v>8</v>
      </c>
      <c r="D55" s="79" t="s">
        <v>1220</v>
      </c>
      <c r="E55" s="73" t="s">
        <v>178</v>
      </c>
      <c r="F55" s="4">
        <v>150</v>
      </c>
      <c r="G55" s="73" t="s">
        <v>68</v>
      </c>
      <c r="H55" s="78" t="s">
        <v>179</v>
      </c>
      <c r="I55" s="78" t="s">
        <v>177</v>
      </c>
      <c r="J55" s="78" t="s">
        <v>165</v>
      </c>
      <c r="K55" s="90" t="s">
        <v>166</v>
      </c>
      <c r="L55" s="78"/>
      <c r="M55" s="4" t="s">
        <v>58</v>
      </c>
      <c r="N55" s="4" t="s">
        <v>58</v>
      </c>
      <c r="O55" s="102">
        <v>0</v>
      </c>
      <c r="P55" s="73">
        <v>0</v>
      </c>
    </row>
    <row r="56" spans="1:16" ht="38.25" x14ac:dyDescent="0.2">
      <c r="A56" s="73" t="s">
        <v>32</v>
      </c>
      <c r="B56" s="80" t="s">
        <v>883</v>
      </c>
      <c r="C56" s="73">
        <v>9</v>
      </c>
      <c r="D56" s="79" t="s">
        <v>1322</v>
      </c>
      <c r="E56" s="4"/>
      <c r="F56" s="4"/>
      <c r="G56" s="73"/>
      <c r="H56" s="78" t="s">
        <v>180</v>
      </c>
      <c r="I56" s="78" t="s">
        <v>181</v>
      </c>
      <c r="J56" s="78" t="s">
        <v>1386</v>
      </c>
      <c r="K56" s="90"/>
      <c r="L56" s="78"/>
      <c r="M56" s="4" t="s">
        <v>58</v>
      </c>
      <c r="N56" s="4" t="s">
        <v>58</v>
      </c>
      <c r="O56" s="102">
        <v>1</v>
      </c>
      <c r="P56" s="73">
        <v>0</v>
      </c>
    </row>
    <row r="57" spans="1:16" ht="25.5" x14ac:dyDescent="0.2">
      <c r="A57" s="73" t="s">
        <v>32</v>
      </c>
      <c r="B57" s="80" t="s">
        <v>883</v>
      </c>
      <c r="C57" s="73">
        <v>10</v>
      </c>
      <c r="D57" s="79" t="s">
        <v>1387</v>
      </c>
      <c r="E57" s="4" t="s">
        <v>823</v>
      </c>
      <c r="F57" s="4">
        <v>75</v>
      </c>
      <c r="G57" s="73" t="s">
        <v>68</v>
      </c>
      <c r="H57" s="78" t="s">
        <v>824</v>
      </c>
      <c r="I57" s="78" t="s">
        <v>825</v>
      </c>
      <c r="J57" s="78" t="s">
        <v>1386</v>
      </c>
      <c r="K57" s="90"/>
      <c r="L57" s="78"/>
      <c r="M57" s="4" t="s">
        <v>58</v>
      </c>
      <c r="N57" s="4" t="s">
        <v>58</v>
      </c>
      <c r="O57" s="102">
        <v>0</v>
      </c>
      <c r="P57" s="73">
        <v>0</v>
      </c>
    </row>
    <row r="58" spans="1:16" ht="45.6" customHeight="1" x14ac:dyDescent="0.2">
      <c r="A58" s="73" t="s">
        <v>32</v>
      </c>
      <c r="B58" s="80" t="s">
        <v>883</v>
      </c>
      <c r="C58" s="73">
        <v>11</v>
      </c>
      <c r="D58" s="79" t="s">
        <v>182</v>
      </c>
      <c r="E58" s="4"/>
      <c r="F58" s="4"/>
      <c r="G58" s="73" t="s">
        <v>55</v>
      </c>
      <c r="H58" s="78" t="s">
        <v>183</v>
      </c>
      <c r="I58" s="78" t="s">
        <v>184</v>
      </c>
      <c r="J58" s="82" t="s">
        <v>185</v>
      </c>
      <c r="K58" s="90"/>
      <c r="L58" s="78"/>
      <c r="M58" s="4" t="s">
        <v>58</v>
      </c>
      <c r="N58" s="4" t="s">
        <v>58</v>
      </c>
      <c r="O58" s="102">
        <v>3</v>
      </c>
      <c r="P58" s="73">
        <v>0</v>
      </c>
    </row>
    <row r="59" spans="1:16" ht="45.6" customHeight="1" x14ac:dyDescent="0.2">
      <c r="A59" s="73" t="s">
        <v>32</v>
      </c>
      <c r="B59" s="80" t="s">
        <v>883</v>
      </c>
      <c r="C59" s="73">
        <v>12</v>
      </c>
      <c r="D59" s="79" t="s">
        <v>826</v>
      </c>
      <c r="E59" s="4" t="s">
        <v>827</v>
      </c>
      <c r="F59" s="4">
        <v>240</v>
      </c>
      <c r="G59" s="73" t="s">
        <v>68</v>
      </c>
      <c r="H59" s="78" t="s">
        <v>828</v>
      </c>
      <c r="I59" s="78" t="s">
        <v>829</v>
      </c>
      <c r="J59" s="82" t="s">
        <v>185</v>
      </c>
      <c r="K59" s="90"/>
      <c r="L59" s="78"/>
      <c r="M59" s="4" t="s">
        <v>830</v>
      </c>
      <c r="N59" s="4" t="s">
        <v>58</v>
      </c>
      <c r="O59" s="102">
        <v>0</v>
      </c>
      <c r="P59" s="73">
        <v>0</v>
      </c>
    </row>
    <row r="60" spans="1:16" ht="51" x14ac:dyDescent="0.2">
      <c r="A60" s="73" t="s">
        <v>32</v>
      </c>
      <c r="B60" s="80" t="s">
        <v>883</v>
      </c>
      <c r="C60" s="73">
        <v>13</v>
      </c>
      <c r="D60" s="79" t="s">
        <v>145</v>
      </c>
      <c r="E60" s="73"/>
      <c r="F60" s="4"/>
      <c r="G60" s="73"/>
      <c r="H60" s="78" t="s">
        <v>146</v>
      </c>
      <c r="I60" s="78" t="s">
        <v>147</v>
      </c>
      <c r="J60" s="79" t="s">
        <v>148</v>
      </c>
      <c r="K60" s="92" t="s">
        <v>149</v>
      </c>
      <c r="L60" s="78"/>
      <c r="M60" s="4" t="s">
        <v>58</v>
      </c>
      <c r="N60" s="4" t="s">
        <v>58</v>
      </c>
      <c r="O60" s="102">
        <v>3</v>
      </c>
      <c r="P60" s="73">
        <v>0</v>
      </c>
    </row>
    <row r="61" spans="1:16" ht="51" x14ac:dyDescent="0.2">
      <c r="A61" s="73" t="s">
        <v>32</v>
      </c>
      <c r="B61" s="80" t="s">
        <v>883</v>
      </c>
      <c r="C61" s="73">
        <v>14</v>
      </c>
      <c r="D61" s="79" t="s">
        <v>1249</v>
      </c>
      <c r="E61" s="73"/>
      <c r="F61" s="4"/>
      <c r="G61" s="73"/>
      <c r="H61" s="78" t="s">
        <v>150</v>
      </c>
      <c r="I61" s="78" t="s">
        <v>151</v>
      </c>
      <c r="J61" s="79" t="s">
        <v>148</v>
      </c>
      <c r="K61" s="92" t="s">
        <v>149</v>
      </c>
      <c r="L61" s="78"/>
      <c r="M61" s="4" t="s">
        <v>58</v>
      </c>
      <c r="N61" s="4" t="s">
        <v>58</v>
      </c>
      <c r="O61" s="102">
        <v>1</v>
      </c>
      <c r="P61" s="73">
        <v>0</v>
      </c>
    </row>
    <row r="62" spans="1:16" ht="25.5" x14ac:dyDescent="0.2">
      <c r="A62" s="73" t="s">
        <v>32</v>
      </c>
      <c r="B62" s="80" t="s">
        <v>883</v>
      </c>
      <c r="C62" s="73">
        <v>15</v>
      </c>
      <c r="D62" s="79" t="s">
        <v>886</v>
      </c>
      <c r="E62" s="73" t="s">
        <v>889</v>
      </c>
      <c r="F62" s="4">
        <v>130</v>
      </c>
      <c r="G62" s="73" t="s">
        <v>68</v>
      </c>
      <c r="H62" s="78" t="s">
        <v>892</v>
      </c>
      <c r="I62" s="78" t="s">
        <v>894</v>
      </c>
      <c r="J62" s="79" t="s">
        <v>893</v>
      </c>
      <c r="K62" s="90" t="s">
        <v>166</v>
      </c>
      <c r="L62" s="78"/>
      <c r="M62" s="4" t="s">
        <v>58</v>
      </c>
      <c r="N62" s="4" t="s">
        <v>58</v>
      </c>
      <c r="O62" s="102">
        <v>1</v>
      </c>
      <c r="P62" s="73">
        <v>1</v>
      </c>
    </row>
    <row r="63" spans="1:16" ht="25.5" x14ac:dyDescent="0.2">
      <c r="A63" s="73" t="s">
        <v>32</v>
      </c>
      <c r="B63" s="80" t="s">
        <v>883</v>
      </c>
      <c r="C63" s="73">
        <v>16</v>
      </c>
      <c r="D63" s="79" t="s">
        <v>890</v>
      </c>
      <c r="E63" s="73" t="s">
        <v>888</v>
      </c>
      <c r="F63" s="4">
        <v>130</v>
      </c>
      <c r="G63" s="73" t="s">
        <v>68</v>
      </c>
      <c r="H63" s="78" t="s">
        <v>892</v>
      </c>
      <c r="I63" s="78" t="s">
        <v>894</v>
      </c>
      <c r="J63" s="79" t="s">
        <v>893</v>
      </c>
      <c r="K63" s="90" t="s">
        <v>166</v>
      </c>
      <c r="L63" s="78"/>
      <c r="M63" s="4" t="s">
        <v>58</v>
      </c>
      <c r="N63" s="4" t="s">
        <v>58</v>
      </c>
      <c r="O63" s="102">
        <v>1</v>
      </c>
      <c r="P63" s="73">
        <v>1</v>
      </c>
    </row>
    <row r="64" spans="1:16" ht="25.5" x14ac:dyDescent="0.2">
      <c r="A64" s="73" t="s">
        <v>32</v>
      </c>
      <c r="B64" s="80" t="s">
        <v>883</v>
      </c>
      <c r="C64" s="73">
        <v>17</v>
      </c>
      <c r="D64" s="79" t="s">
        <v>891</v>
      </c>
      <c r="E64" s="73" t="s">
        <v>887</v>
      </c>
      <c r="F64" s="4">
        <v>130</v>
      </c>
      <c r="G64" s="73" t="s">
        <v>68</v>
      </c>
      <c r="H64" s="78" t="s">
        <v>892</v>
      </c>
      <c r="I64" s="78" t="s">
        <v>894</v>
      </c>
      <c r="J64" s="79" t="s">
        <v>893</v>
      </c>
      <c r="K64" s="90" t="s">
        <v>166</v>
      </c>
      <c r="L64" s="78"/>
      <c r="M64" s="4" t="s">
        <v>58</v>
      </c>
      <c r="N64" s="4" t="s">
        <v>58</v>
      </c>
      <c r="O64" s="102">
        <v>1</v>
      </c>
      <c r="P64" s="73">
        <v>1</v>
      </c>
    </row>
    <row r="65" spans="1:16" ht="25.5" x14ac:dyDescent="0.2">
      <c r="A65" s="73" t="s">
        <v>32</v>
      </c>
      <c r="B65" s="80" t="s">
        <v>883</v>
      </c>
      <c r="C65" s="73">
        <v>18</v>
      </c>
      <c r="D65" s="79" t="s">
        <v>1165</v>
      </c>
      <c r="E65" s="73" t="s">
        <v>1167</v>
      </c>
      <c r="F65" s="4">
        <v>113</v>
      </c>
      <c r="G65" s="73" t="s">
        <v>68</v>
      </c>
      <c r="H65" s="78" t="s">
        <v>892</v>
      </c>
      <c r="I65" s="78" t="s">
        <v>1169</v>
      </c>
      <c r="J65" s="79" t="s">
        <v>1168</v>
      </c>
      <c r="K65" s="90"/>
      <c r="L65" s="78"/>
      <c r="M65" s="4" t="s">
        <v>58</v>
      </c>
      <c r="N65" s="4" t="s">
        <v>58</v>
      </c>
      <c r="O65" s="102">
        <v>0</v>
      </c>
      <c r="P65" s="73">
        <v>0</v>
      </c>
    </row>
    <row r="66" spans="1:16" ht="25.5" x14ac:dyDescent="0.2">
      <c r="A66" s="73" t="s">
        <v>32</v>
      </c>
      <c r="B66" s="80" t="s">
        <v>883</v>
      </c>
      <c r="C66" s="73">
        <v>19</v>
      </c>
      <c r="D66" s="79" t="s">
        <v>1164</v>
      </c>
      <c r="E66" s="73" t="s">
        <v>1166</v>
      </c>
      <c r="F66" s="4">
        <v>113</v>
      </c>
      <c r="G66" s="73" t="s">
        <v>68</v>
      </c>
      <c r="H66" s="78" t="s">
        <v>892</v>
      </c>
      <c r="I66" s="78" t="s">
        <v>1169</v>
      </c>
      <c r="J66" s="79" t="s">
        <v>1168</v>
      </c>
      <c r="K66" s="90"/>
      <c r="L66" s="78"/>
      <c r="M66" s="4" t="s">
        <v>58</v>
      </c>
      <c r="N66" s="4" t="s">
        <v>58</v>
      </c>
      <c r="O66" s="102">
        <v>0</v>
      </c>
      <c r="P66" s="73">
        <v>0</v>
      </c>
    </row>
    <row r="67" spans="1:16" ht="25.5" x14ac:dyDescent="0.2">
      <c r="A67" s="73" t="s">
        <v>32</v>
      </c>
      <c r="B67" s="80" t="s">
        <v>883</v>
      </c>
      <c r="C67" s="73">
        <v>20</v>
      </c>
      <c r="D67" s="79" t="s">
        <v>1170</v>
      </c>
      <c r="E67" s="73"/>
      <c r="F67" s="4"/>
      <c r="G67" s="73"/>
      <c r="H67" s="78" t="s">
        <v>892</v>
      </c>
      <c r="I67" s="78" t="s">
        <v>1171</v>
      </c>
      <c r="J67" s="79" t="s">
        <v>1168</v>
      </c>
      <c r="K67" s="90"/>
      <c r="L67" s="78"/>
      <c r="M67" s="4" t="s">
        <v>58</v>
      </c>
      <c r="N67" s="4" t="s">
        <v>58</v>
      </c>
      <c r="O67" s="102">
        <v>3</v>
      </c>
      <c r="P67" s="73">
        <v>0</v>
      </c>
    </row>
    <row r="68" spans="1:16" ht="38.25" x14ac:dyDescent="0.2">
      <c r="A68" s="73" t="s">
        <v>32</v>
      </c>
      <c r="B68" s="80" t="s">
        <v>883</v>
      </c>
      <c r="C68" s="73">
        <v>21</v>
      </c>
      <c r="D68" s="79" t="s">
        <v>1448</v>
      </c>
      <c r="E68" s="73" t="s">
        <v>1449</v>
      </c>
      <c r="F68" s="4">
        <v>73</v>
      </c>
      <c r="G68" s="73" t="s">
        <v>55</v>
      </c>
      <c r="H68" s="78" t="s">
        <v>892</v>
      </c>
      <c r="I68" s="78" t="s">
        <v>1450</v>
      </c>
      <c r="J68" s="82" t="s">
        <v>185</v>
      </c>
      <c r="K68" s="90"/>
      <c r="L68" s="78"/>
      <c r="M68" s="4" t="s">
        <v>58</v>
      </c>
      <c r="N68" s="4" t="s">
        <v>58</v>
      </c>
      <c r="O68" s="102">
        <v>1</v>
      </c>
      <c r="P68" s="73">
        <v>1</v>
      </c>
    </row>
    <row r="69" spans="1:16" s="84" customFormat="1" x14ac:dyDescent="0.2">
      <c r="A69" s="73" t="s">
        <v>32</v>
      </c>
      <c r="B69" s="80" t="s">
        <v>883</v>
      </c>
      <c r="C69" s="73">
        <v>22</v>
      </c>
      <c r="D69" s="79" t="s">
        <v>879</v>
      </c>
      <c r="E69" s="73"/>
      <c r="F69" s="73"/>
      <c r="G69" s="73" t="s">
        <v>55</v>
      </c>
      <c r="H69" s="79" t="s">
        <v>187</v>
      </c>
      <c r="I69" s="79"/>
      <c r="J69" s="83" t="s">
        <v>652</v>
      </c>
      <c r="K69" s="92"/>
      <c r="L69" s="79"/>
      <c r="M69" s="4"/>
      <c r="N69" s="4"/>
      <c r="O69" s="102">
        <v>2</v>
      </c>
      <c r="P69" s="73">
        <v>1</v>
      </c>
    </row>
    <row r="70" spans="1:16" ht="25.5" x14ac:dyDescent="0.2">
      <c r="A70" s="73" t="s">
        <v>32</v>
      </c>
      <c r="B70" s="80" t="s">
        <v>192</v>
      </c>
      <c r="C70" s="73">
        <v>1</v>
      </c>
      <c r="D70" s="79" t="s">
        <v>1480</v>
      </c>
      <c r="E70" s="73"/>
      <c r="F70" s="4"/>
      <c r="G70" s="73" t="s">
        <v>68</v>
      </c>
      <c r="H70" s="78" t="s">
        <v>106</v>
      </c>
      <c r="I70" s="78"/>
      <c r="J70" s="79" t="s">
        <v>1159</v>
      </c>
      <c r="K70" s="90"/>
      <c r="L70" s="78"/>
      <c r="M70" s="4" t="s">
        <v>58</v>
      </c>
      <c r="N70" s="4" t="s">
        <v>58</v>
      </c>
      <c r="O70" s="102">
        <v>1</v>
      </c>
      <c r="P70" s="73">
        <v>0</v>
      </c>
    </row>
    <row r="71" spans="1:16" ht="25.5" x14ac:dyDescent="0.2">
      <c r="A71" s="73" t="s">
        <v>32</v>
      </c>
      <c r="B71" s="150" t="s">
        <v>192</v>
      </c>
      <c r="C71" s="73">
        <v>2</v>
      </c>
      <c r="D71" s="79" t="s">
        <v>196</v>
      </c>
      <c r="E71" s="73" t="s">
        <v>718</v>
      </c>
      <c r="F71" s="4">
        <v>52</v>
      </c>
      <c r="G71" s="73" t="s">
        <v>68</v>
      </c>
      <c r="H71" s="78" t="s">
        <v>197</v>
      </c>
      <c r="I71" s="78" t="s">
        <v>198</v>
      </c>
      <c r="J71" s="78" t="s">
        <v>721</v>
      </c>
      <c r="K71" s="90" t="s">
        <v>722</v>
      </c>
      <c r="L71" s="78"/>
      <c r="M71" s="4" t="s">
        <v>58</v>
      </c>
      <c r="N71" s="4" t="s">
        <v>58</v>
      </c>
      <c r="O71" s="102">
        <v>1</v>
      </c>
      <c r="P71" s="73">
        <v>0</v>
      </c>
    </row>
    <row r="72" spans="1:16" x14ac:dyDescent="0.2">
      <c r="A72" s="73" t="s">
        <v>32</v>
      </c>
      <c r="B72" s="150" t="s">
        <v>192</v>
      </c>
      <c r="C72" s="73">
        <v>3</v>
      </c>
      <c r="D72" s="165" t="s">
        <v>199</v>
      </c>
      <c r="E72" s="73" t="s">
        <v>719</v>
      </c>
      <c r="F72" s="4">
        <v>48</v>
      </c>
      <c r="G72" s="73" t="s">
        <v>68</v>
      </c>
      <c r="H72" s="78" t="s">
        <v>197</v>
      </c>
      <c r="I72" s="78" t="s">
        <v>198</v>
      </c>
      <c r="J72" s="78" t="s">
        <v>721</v>
      </c>
      <c r="K72" s="90" t="s">
        <v>722</v>
      </c>
      <c r="L72" s="78"/>
      <c r="M72" s="4" t="s">
        <v>58</v>
      </c>
      <c r="N72" s="4" t="s">
        <v>58</v>
      </c>
      <c r="O72" s="102">
        <v>1</v>
      </c>
      <c r="P72" s="73">
        <v>0</v>
      </c>
    </row>
    <row r="73" spans="1:16" ht="51" x14ac:dyDescent="0.2">
      <c r="A73" s="73" t="s">
        <v>32</v>
      </c>
      <c r="B73" s="80" t="s">
        <v>192</v>
      </c>
      <c r="C73" s="73">
        <v>4</v>
      </c>
      <c r="D73" s="79" t="s">
        <v>1439</v>
      </c>
      <c r="E73" s="73" t="s">
        <v>1441</v>
      </c>
      <c r="F73" s="4">
        <v>155</v>
      </c>
      <c r="G73" s="73" t="s">
        <v>68</v>
      </c>
      <c r="H73" s="78" t="s">
        <v>1475</v>
      </c>
      <c r="I73" s="79" t="s">
        <v>1477</v>
      </c>
      <c r="J73" s="78" t="s">
        <v>202</v>
      </c>
      <c r="K73" s="90" t="s">
        <v>203</v>
      </c>
      <c r="L73" s="78"/>
      <c r="M73" s="4" t="s">
        <v>58</v>
      </c>
      <c r="N73" s="4" t="s">
        <v>58</v>
      </c>
      <c r="O73" s="102">
        <v>0</v>
      </c>
      <c r="P73" s="73">
        <v>0</v>
      </c>
    </row>
    <row r="74" spans="1:16" ht="51" x14ac:dyDescent="0.2">
      <c r="A74" s="73" t="s">
        <v>32</v>
      </c>
      <c r="B74" s="80" t="s">
        <v>192</v>
      </c>
      <c r="C74" s="73">
        <v>5</v>
      </c>
      <c r="D74" s="79" t="s">
        <v>1388</v>
      </c>
      <c r="E74" s="73" t="s">
        <v>1440</v>
      </c>
      <c r="F74" s="4">
        <v>155</v>
      </c>
      <c r="G74" s="73" t="s">
        <v>68</v>
      </c>
      <c r="H74" s="78" t="s">
        <v>1476</v>
      </c>
      <c r="I74" s="79" t="s">
        <v>1477</v>
      </c>
      <c r="J74" s="78" t="s">
        <v>202</v>
      </c>
      <c r="K74" s="90" t="s">
        <v>203</v>
      </c>
      <c r="L74" s="78"/>
      <c r="M74" s="4" t="s">
        <v>58</v>
      </c>
      <c r="N74" s="4" t="s">
        <v>58</v>
      </c>
      <c r="O74" s="102">
        <v>0</v>
      </c>
      <c r="P74" s="73">
        <v>0</v>
      </c>
    </row>
    <row r="75" spans="1:16" ht="51" x14ac:dyDescent="0.2">
      <c r="A75" s="73" t="s">
        <v>32</v>
      </c>
      <c r="B75" s="80" t="s">
        <v>192</v>
      </c>
      <c r="C75" s="73">
        <v>6</v>
      </c>
      <c r="D75" s="79" t="s">
        <v>1389</v>
      </c>
      <c r="E75" s="73" t="s">
        <v>1442</v>
      </c>
      <c r="F75" s="4">
        <v>155</v>
      </c>
      <c r="G75" s="73" t="s">
        <v>68</v>
      </c>
      <c r="H75" s="78" t="s">
        <v>1476</v>
      </c>
      <c r="I75" s="79" t="s">
        <v>1477</v>
      </c>
      <c r="J75" s="78" t="s">
        <v>202</v>
      </c>
      <c r="K75" s="90" t="s">
        <v>203</v>
      </c>
      <c r="L75" s="78"/>
      <c r="M75" s="4" t="s">
        <v>58</v>
      </c>
      <c r="N75" s="4" t="s">
        <v>58</v>
      </c>
      <c r="O75" s="102">
        <v>0</v>
      </c>
      <c r="P75" s="73">
        <v>0</v>
      </c>
    </row>
    <row r="76" spans="1:16" ht="25.5" x14ac:dyDescent="0.2">
      <c r="A76" s="73" t="s">
        <v>32</v>
      </c>
      <c r="B76" s="80" t="s">
        <v>192</v>
      </c>
      <c r="C76" s="73">
        <v>7</v>
      </c>
      <c r="D76" s="165" t="s">
        <v>687</v>
      </c>
      <c r="E76" s="4" t="s">
        <v>744</v>
      </c>
      <c r="F76" s="166">
        <v>270</v>
      </c>
      <c r="G76" s="166" t="s">
        <v>55</v>
      </c>
      <c r="H76" s="78" t="s">
        <v>689</v>
      </c>
      <c r="I76" s="78" t="s">
        <v>694</v>
      </c>
      <c r="J76" s="78" t="s">
        <v>692</v>
      </c>
      <c r="K76" s="90" t="s">
        <v>691</v>
      </c>
      <c r="L76" s="78" t="s">
        <v>693</v>
      </c>
      <c r="M76" s="4" t="s">
        <v>690</v>
      </c>
      <c r="N76" s="4" t="s">
        <v>195</v>
      </c>
      <c r="O76" s="102">
        <v>3</v>
      </c>
      <c r="P76" s="73">
        <v>0</v>
      </c>
    </row>
    <row r="77" spans="1:16" ht="25.5" x14ac:dyDescent="0.2">
      <c r="A77" s="73" t="s">
        <v>32</v>
      </c>
      <c r="B77" s="80" t="s">
        <v>192</v>
      </c>
      <c r="C77" s="73">
        <v>8</v>
      </c>
      <c r="D77" s="165" t="s">
        <v>688</v>
      </c>
      <c r="E77" s="4" t="s">
        <v>745</v>
      </c>
      <c r="F77" s="166">
        <v>320</v>
      </c>
      <c r="G77" s="166" t="s">
        <v>55</v>
      </c>
      <c r="H77" s="78" t="s">
        <v>689</v>
      </c>
      <c r="I77" s="78" t="s">
        <v>694</v>
      </c>
      <c r="J77" s="78" t="s">
        <v>692</v>
      </c>
      <c r="K77" s="90" t="s">
        <v>691</v>
      </c>
      <c r="L77" s="78" t="s">
        <v>693</v>
      </c>
      <c r="M77" s="4" t="s">
        <v>690</v>
      </c>
      <c r="N77" s="4" t="s">
        <v>195</v>
      </c>
      <c r="O77" s="102">
        <v>3</v>
      </c>
      <c r="P77" s="73">
        <v>0</v>
      </c>
    </row>
    <row r="78" spans="1:16" ht="42.95" customHeight="1" x14ac:dyDescent="0.2">
      <c r="A78" s="73" t="s">
        <v>32</v>
      </c>
      <c r="B78" s="80" t="s">
        <v>192</v>
      </c>
      <c r="C78" s="73">
        <v>9</v>
      </c>
      <c r="D78" s="165" t="s">
        <v>1099</v>
      </c>
      <c r="E78" s="73" t="s">
        <v>1100</v>
      </c>
      <c r="F78" s="166">
        <v>30</v>
      </c>
      <c r="G78" s="166" t="s">
        <v>68</v>
      </c>
      <c r="H78" s="78" t="s">
        <v>1101</v>
      </c>
      <c r="I78" s="78" t="s">
        <v>1138</v>
      </c>
      <c r="J78" s="83" t="s">
        <v>652</v>
      </c>
      <c r="K78" s="90"/>
      <c r="L78" s="78"/>
      <c r="M78" s="4"/>
      <c r="N78" s="4"/>
      <c r="O78" s="102">
        <v>0</v>
      </c>
      <c r="P78" s="73">
        <v>0</v>
      </c>
    </row>
    <row r="79" spans="1:16" ht="42.95" customHeight="1" x14ac:dyDescent="0.2">
      <c r="A79" s="73" t="s">
        <v>32</v>
      </c>
      <c r="B79" s="80" t="s">
        <v>192</v>
      </c>
      <c r="C79" s="73">
        <v>10</v>
      </c>
      <c r="D79" s="165" t="s">
        <v>1214</v>
      </c>
      <c r="E79" s="73"/>
      <c r="F79" s="166"/>
      <c r="G79" s="166" t="s">
        <v>68</v>
      </c>
      <c r="H79" s="78" t="s">
        <v>1215</v>
      </c>
      <c r="I79" s="78" t="s">
        <v>1262</v>
      </c>
      <c r="K79" s="90"/>
      <c r="L79" s="78"/>
      <c r="M79" s="4" t="s">
        <v>58</v>
      </c>
      <c r="N79" s="4" t="s">
        <v>58</v>
      </c>
      <c r="O79" s="102">
        <v>3</v>
      </c>
      <c r="P79" s="73">
        <v>0</v>
      </c>
    </row>
    <row r="80" spans="1:16" ht="42.95" customHeight="1" x14ac:dyDescent="0.2">
      <c r="A80" s="7" t="s">
        <v>32</v>
      </c>
      <c r="B80" s="7" t="s">
        <v>192</v>
      </c>
      <c r="C80" s="73">
        <v>11</v>
      </c>
      <c r="D80" s="175" t="s">
        <v>1390</v>
      </c>
      <c r="E80" s="108"/>
      <c r="F80" s="7" t="s">
        <v>215</v>
      </c>
      <c r="G80" s="4" t="s">
        <v>675</v>
      </c>
      <c r="H80" s="78" t="s">
        <v>1215</v>
      </c>
      <c r="I80" s="78" t="s">
        <v>1391</v>
      </c>
      <c r="J80" s="83" t="s">
        <v>652</v>
      </c>
      <c r="K80" s="90"/>
      <c r="L80" s="78"/>
      <c r="M80" s="4" t="s">
        <v>58</v>
      </c>
      <c r="N80" s="4" t="s">
        <v>58</v>
      </c>
      <c r="O80" s="102">
        <v>3</v>
      </c>
      <c r="P80" s="73">
        <v>1</v>
      </c>
    </row>
    <row r="81" spans="1:16" ht="42.95" customHeight="1" x14ac:dyDescent="0.2">
      <c r="A81" s="73" t="s">
        <v>32</v>
      </c>
      <c r="B81" s="80" t="s">
        <v>192</v>
      </c>
      <c r="C81" s="73">
        <v>12</v>
      </c>
      <c r="D81" s="165" t="s">
        <v>1451</v>
      </c>
      <c r="E81" s="73" t="s">
        <v>1459</v>
      </c>
      <c r="F81" s="4">
        <v>65</v>
      </c>
      <c r="G81" s="73" t="s">
        <v>55</v>
      </c>
      <c r="H81" s="78" t="s">
        <v>892</v>
      </c>
      <c r="I81" s="78" t="s">
        <v>1463</v>
      </c>
      <c r="J81" s="78" t="s">
        <v>202</v>
      </c>
      <c r="K81" s="90" t="s">
        <v>203</v>
      </c>
      <c r="L81" s="78"/>
      <c r="M81" s="4" t="s">
        <v>58</v>
      </c>
      <c r="N81" s="4" t="s">
        <v>58</v>
      </c>
      <c r="O81" s="102">
        <v>1</v>
      </c>
      <c r="P81" s="73">
        <v>1</v>
      </c>
    </row>
    <row r="82" spans="1:16" ht="42.95" customHeight="1" x14ac:dyDescent="0.2">
      <c r="A82" s="73" t="s">
        <v>32</v>
      </c>
      <c r="B82" s="80" t="s">
        <v>192</v>
      </c>
      <c r="C82" s="73">
        <v>13</v>
      </c>
      <c r="D82" s="165" t="s">
        <v>1452</v>
      </c>
      <c r="E82" s="73" t="s">
        <v>1457</v>
      </c>
      <c r="F82" s="4">
        <v>65</v>
      </c>
      <c r="G82" s="73" t="s">
        <v>55</v>
      </c>
      <c r="H82" s="78" t="s">
        <v>892</v>
      </c>
      <c r="I82" s="78" t="s">
        <v>1463</v>
      </c>
      <c r="J82" s="78" t="s">
        <v>202</v>
      </c>
      <c r="K82" s="90" t="s">
        <v>203</v>
      </c>
      <c r="L82" s="78"/>
      <c r="M82" s="4" t="s">
        <v>58</v>
      </c>
      <c r="N82" s="4" t="s">
        <v>58</v>
      </c>
      <c r="O82" s="102">
        <v>1</v>
      </c>
      <c r="P82" s="73">
        <v>1</v>
      </c>
    </row>
    <row r="83" spans="1:16" ht="42.95" customHeight="1" x14ac:dyDescent="0.2">
      <c r="A83" s="73" t="s">
        <v>32</v>
      </c>
      <c r="B83" s="80" t="s">
        <v>192</v>
      </c>
      <c r="C83" s="73">
        <v>14</v>
      </c>
      <c r="D83" s="165" t="s">
        <v>1453</v>
      </c>
      <c r="E83" s="73" t="s">
        <v>1458</v>
      </c>
      <c r="F83" s="4">
        <v>65</v>
      </c>
      <c r="G83" s="73" t="s">
        <v>55</v>
      </c>
      <c r="H83" s="78" t="s">
        <v>892</v>
      </c>
      <c r="I83" s="78" t="s">
        <v>1463</v>
      </c>
      <c r="J83" s="78" t="s">
        <v>202</v>
      </c>
      <c r="K83" s="90" t="s">
        <v>203</v>
      </c>
      <c r="L83" s="78"/>
      <c r="M83" s="4" t="s">
        <v>58</v>
      </c>
      <c r="N83" s="4" t="s">
        <v>58</v>
      </c>
      <c r="O83" s="102">
        <v>1</v>
      </c>
      <c r="P83" s="73">
        <v>1</v>
      </c>
    </row>
    <row r="84" spans="1:16" ht="42.95" customHeight="1" x14ac:dyDescent="0.2">
      <c r="A84" s="73" t="s">
        <v>32</v>
      </c>
      <c r="B84" s="80" t="s">
        <v>192</v>
      </c>
      <c r="C84" s="73">
        <v>15</v>
      </c>
      <c r="D84" s="165" t="s">
        <v>1454</v>
      </c>
      <c r="E84" s="73" t="s">
        <v>1460</v>
      </c>
      <c r="F84" s="4">
        <v>45</v>
      </c>
      <c r="G84" s="73" t="s">
        <v>55</v>
      </c>
      <c r="H84" s="78" t="s">
        <v>892</v>
      </c>
      <c r="I84" s="78" t="s">
        <v>1463</v>
      </c>
      <c r="J84" s="83" t="s">
        <v>652</v>
      </c>
      <c r="K84" s="90"/>
      <c r="L84" s="78"/>
      <c r="M84" s="4" t="s">
        <v>58</v>
      </c>
      <c r="N84" s="4" t="s">
        <v>58</v>
      </c>
      <c r="O84" s="102">
        <v>1</v>
      </c>
      <c r="P84" s="73">
        <v>1</v>
      </c>
    </row>
    <row r="85" spans="1:16" ht="42.95" customHeight="1" x14ac:dyDescent="0.2">
      <c r="A85" s="73" t="s">
        <v>32</v>
      </c>
      <c r="B85" s="80" t="s">
        <v>192</v>
      </c>
      <c r="C85" s="73">
        <v>16</v>
      </c>
      <c r="D85" s="165" t="s">
        <v>1455</v>
      </c>
      <c r="E85" s="73" t="s">
        <v>1461</v>
      </c>
      <c r="F85" s="4">
        <v>45</v>
      </c>
      <c r="G85" s="73" t="s">
        <v>55</v>
      </c>
      <c r="H85" s="78" t="s">
        <v>892</v>
      </c>
      <c r="I85" s="78" t="s">
        <v>1463</v>
      </c>
      <c r="J85" s="83" t="s">
        <v>652</v>
      </c>
      <c r="K85" s="90"/>
      <c r="L85" s="78"/>
      <c r="M85" s="4" t="s">
        <v>58</v>
      </c>
      <c r="N85" s="4" t="s">
        <v>58</v>
      </c>
      <c r="O85" s="102">
        <v>1</v>
      </c>
      <c r="P85" s="73">
        <v>1</v>
      </c>
    </row>
    <row r="86" spans="1:16" ht="42.95" customHeight="1" x14ac:dyDescent="0.2">
      <c r="A86" s="73" t="s">
        <v>32</v>
      </c>
      <c r="B86" s="80" t="s">
        <v>192</v>
      </c>
      <c r="C86" s="73">
        <v>17</v>
      </c>
      <c r="D86" s="165" t="s">
        <v>1456</v>
      </c>
      <c r="E86" s="73" t="s">
        <v>1462</v>
      </c>
      <c r="F86" s="4">
        <v>45</v>
      </c>
      <c r="G86" s="73" t="s">
        <v>55</v>
      </c>
      <c r="H86" s="78" t="s">
        <v>892</v>
      </c>
      <c r="I86" s="78" t="s">
        <v>1463</v>
      </c>
      <c r="J86" s="83" t="s">
        <v>652</v>
      </c>
      <c r="K86" s="90"/>
      <c r="L86" s="78"/>
      <c r="M86" s="4" t="s">
        <v>58</v>
      </c>
      <c r="N86" s="4" t="s">
        <v>58</v>
      </c>
      <c r="O86" s="102">
        <v>1</v>
      </c>
      <c r="P86" s="73">
        <v>1</v>
      </c>
    </row>
    <row r="87" spans="1:16" ht="42.95" customHeight="1" x14ac:dyDescent="0.2">
      <c r="A87" s="73" t="s">
        <v>32</v>
      </c>
      <c r="B87" s="80" t="s">
        <v>192</v>
      </c>
      <c r="C87" s="73">
        <v>18</v>
      </c>
      <c r="D87" s="165" t="s">
        <v>1470</v>
      </c>
      <c r="E87" s="73" t="s">
        <v>1471</v>
      </c>
      <c r="F87" s="4">
        <v>80</v>
      </c>
      <c r="G87" s="73" t="s">
        <v>55</v>
      </c>
      <c r="H87" s="78" t="s">
        <v>892</v>
      </c>
      <c r="I87" s="78" t="s">
        <v>1463</v>
      </c>
      <c r="J87" s="78" t="s">
        <v>721</v>
      </c>
      <c r="K87" s="90"/>
      <c r="L87" s="78"/>
      <c r="M87" s="4" t="s">
        <v>58</v>
      </c>
      <c r="N87" s="4" t="s">
        <v>58</v>
      </c>
      <c r="O87" s="102">
        <v>1</v>
      </c>
      <c r="P87" s="73">
        <v>1</v>
      </c>
    </row>
    <row r="88" spans="1:16" ht="42.95" customHeight="1" x14ac:dyDescent="0.2">
      <c r="A88" s="73" t="s">
        <v>32</v>
      </c>
      <c r="B88" s="80" t="s">
        <v>547</v>
      </c>
      <c r="C88" s="73">
        <v>1</v>
      </c>
      <c r="D88" s="181" t="s">
        <v>1269</v>
      </c>
      <c r="E88" s="73" t="s">
        <v>1272</v>
      </c>
      <c r="F88" s="166">
        <v>290</v>
      </c>
      <c r="G88" s="166" t="s">
        <v>55</v>
      </c>
      <c r="H88" s="78" t="s">
        <v>1275</v>
      </c>
      <c r="I88" s="78" t="s">
        <v>1273</v>
      </c>
      <c r="J88" s="78" t="s">
        <v>902</v>
      </c>
      <c r="K88" s="90"/>
      <c r="L88" s="78"/>
      <c r="M88" s="4" t="s">
        <v>58</v>
      </c>
      <c r="N88" s="4" t="s">
        <v>1274</v>
      </c>
      <c r="O88" s="102">
        <v>0</v>
      </c>
      <c r="P88" s="73">
        <v>0</v>
      </c>
    </row>
    <row r="89" spans="1:16" ht="42.95" customHeight="1" x14ac:dyDescent="0.2">
      <c r="A89" s="73" t="s">
        <v>32</v>
      </c>
      <c r="B89" s="80" t="s">
        <v>547</v>
      </c>
      <c r="C89" s="73">
        <v>2</v>
      </c>
      <c r="D89" s="181" t="s">
        <v>1270</v>
      </c>
      <c r="E89" s="73" t="s">
        <v>1272</v>
      </c>
      <c r="F89" s="166">
        <v>290</v>
      </c>
      <c r="G89" s="166" t="s">
        <v>55</v>
      </c>
      <c r="H89" s="78" t="s">
        <v>1275</v>
      </c>
      <c r="I89" s="78" t="s">
        <v>1273</v>
      </c>
      <c r="J89" s="78" t="s">
        <v>902</v>
      </c>
      <c r="K89" s="90"/>
      <c r="L89" s="78"/>
      <c r="M89" s="4" t="s">
        <v>58</v>
      </c>
      <c r="N89" s="4" t="s">
        <v>1274</v>
      </c>
      <c r="O89" s="102">
        <v>0</v>
      </c>
      <c r="P89" s="73">
        <v>0</v>
      </c>
    </row>
    <row r="90" spans="1:16" ht="42.95" customHeight="1" x14ac:dyDescent="0.2">
      <c r="A90" s="73" t="s">
        <v>32</v>
      </c>
      <c r="B90" s="80" t="s">
        <v>547</v>
      </c>
      <c r="C90" s="73">
        <v>3</v>
      </c>
      <c r="D90" s="181" t="s">
        <v>1271</v>
      </c>
      <c r="E90" s="73" t="s">
        <v>1272</v>
      </c>
      <c r="F90" s="166">
        <v>290</v>
      </c>
      <c r="G90" s="166" t="s">
        <v>55</v>
      </c>
      <c r="H90" s="78" t="s">
        <v>1275</v>
      </c>
      <c r="I90" s="78" t="s">
        <v>1273</v>
      </c>
      <c r="J90" s="78" t="s">
        <v>902</v>
      </c>
      <c r="K90" s="90"/>
      <c r="L90" s="78"/>
      <c r="M90" s="4" t="s">
        <v>58</v>
      </c>
      <c r="N90" s="4" t="s">
        <v>1274</v>
      </c>
      <c r="O90" s="102">
        <v>0</v>
      </c>
      <c r="P90" s="73">
        <v>0</v>
      </c>
    </row>
    <row r="91" spans="1:16" ht="51" x14ac:dyDescent="0.2">
      <c r="A91" s="73" t="s">
        <v>32</v>
      </c>
      <c r="B91" s="80" t="s">
        <v>547</v>
      </c>
      <c r="C91" s="73">
        <v>4</v>
      </c>
      <c r="D91" s="79" t="s">
        <v>186</v>
      </c>
      <c r="E91" s="73"/>
      <c r="F91" s="73"/>
      <c r="G91" s="73" t="s">
        <v>55</v>
      </c>
      <c r="H91" s="79" t="s">
        <v>187</v>
      </c>
      <c r="I91" s="79" t="s">
        <v>188</v>
      </c>
      <c r="J91" s="79" t="s">
        <v>877</v>
      </c>
      <c r="K91" s="92"/>
      <c r="L91" s="79"/>
      <c r="M91" s="4"/>
      <c r="N91" s="4"/>
      <c r="O91" s="102">
        <v>2</v>
      </c>
      <c r="P91" s="73">
        <v>1</v>
      </c>
    </row>
    <row r="92" spans="1:16" ht="38.25" x14ac:dyDescent="0.2">
      <c r="A92" s="73" t="s">
        <v>38</v>
      </c>
      <c r="B92" s="80" t="s">
        <v>38</v>
      </c>
      <c r="C92" s="73">
        <v>1</v>
      </c>
      <c r="D92" s="81" t="s">
        <v>209</v>
      </c>
      <c r="E92" s="73" t="s">
        <v>1090</v>
      </c>
      <c r="F92" s="85">
        <v>417</v>
      </c>
      <c r="G92" s="85" t="s">
        <v>55</v>
      </c>
      <c r="H92" s="86" t="s">
        <v>210</v>
      </c>
      <c r="I92" s="78" t="s">
        <v>211</v>
      </c>
      <c r="J92" s="78" t="s">
        <v>902</v>
      </c>
      <c r="K92" s="90"/>
      <c r="L92" s="78"/>
      <c r="M92" s="85" t="s">
        <v>212</v>
      </c>
      <c r="N92" s="85" t="s">
        <v>213</v>
      </c>
      <c r="O92" s="73">
        <v>3</v>
      </c>
      <c r="P92" s="73">
        <v>0</v>
      </c>
    </row>
    <row r="93" spans="1:16" ht="17.45" customHeight="1" x14ac:dyDescent="0.2">
      <c r="A93" s="73" t="s">
        <v>38</v>
      </c>
      <c r="B93" s="80" t="s">
        <v>38</v>
      </c>
      <c r="C93" s="73">
        <v>2</v>
      </c>
      <c r="D93" s="81" t="s">
        <v>214</v>
      </c>
      <c r="E93" s="4"/>
      <c r="F93" s="4" t="s">
        <v>215</v>
      </c>
      <c r="G93" s="4"/>
      <c r="H93" s="78" t="s">
        <v>758</v>
      </c>
      <c r="I93" s="257" t="s">
        <v>903</v>
      </c>
      <c r="J93" s="228" t="s">
        <v>1320</v>
      </c>
      <c r="K93" s="92"/>
      <c r="L93" s="4"/>
      <c r="M93" s="85" t="s">
        <v>58</v>
      </c>
      <c r="N93" s="4" t="s">
        <v>216</v>
      </c>
      <c r="O93" s="73">
        <v>0</v>
      </c>
      <c r="P93" s="73">
        <v>0</v>
      </c>
    </row>
    <row r="94" spans="1:16" ht="17.45" customHeight="1" x14ac:dyDescent="0.2">
      <c r="A94" s="73" t="s">
        <v>38</v>
      </c>
      <c r="B94" s="80" t="s">
        <v>38</v>
      </c>
      <c r="C94" s="73">
        <v>3</v>
      </c>
      <c r="D94" s="81" t="s">
        <v>217</v>
      </c>
      <c r="E94" s="4"/>
      <c r="F94" s="4" t="s">
        <v>215</v>
      </c>
      <c r="G94" s="4"/>
      <c r="H94" s="78" t="s">
        <v>218</v>
      </c>
      <c r="I94" s="257"/>
      <c r="J94" s="228"/>
      <c r="K94" s="92"/>
      <c r="L94" s="4"/>
      <c r="M94" s="85" t="s">
        <v>58</v>
      </c>
      <c r="N94" s="4" t="s">
        <v>216</v>
      </c>
      <c r="O94" s="73">
        <v>0</v>
      </c>
      <c r="P94" s="73">
        <v>0</v>
      </c>
    </row>
    <row r="95" spans="1:16" ht="17.45" customHeight="1" x14ac:dyDescent="0.2">
      <c r="A95" s="73" t="s">
        <v>38</v>
      </c>
      <c r="B95" s="80" t="s">
        <v>38</v>
      </c>
      <c r="C95" s="73">
        <v>4</v>
      </c>
      <c r="D95" s="81" t="s">
        <v>219</v>
      </c>
      <c r="E95" s="4"/>
      <c r="F95" s="4" t="s">
        <v>215</v>
      </c>
      <c r="G95" s="4"/>
      <c r="H95" s="78" t="s">
        <v>218</v>
      </c>
      <c r="I95" s="257"/>
      <c r="J95" s="228"/>
      <c r="K95" s="92"/>
      <c r="L95" s="4"/>
      <c r="M95" s="85" t="s">
        <v>58</v>
      </c>
      <c r="N95" s="4" t="s">
        <v>216</v>
      </c>
      <c r="O95" s="73">
        <v>0</v>
      </c>
      <c r="P95" s="73">
        <v>0</v>
      </c>
    </row>
    <row r="96" spans="1:16" ht="17.45" customHeight="1" x14ac:dyDescent="0.2">
      <c r="A96" s="73" t="s">
        <v>38</v>
      </c>
      <c r="B96" s="80" t="s">
        <v>38</v>
      </c>
      <c r="C96" s="73">
        <v>5</v>
      </c>
      <c r="D96" s="81" t="s">
        <v>759</v>
      </c>
      <c r="E96" s="4"/>
      <c r="F96" s="4" t="s">
        <v>215</v>
      </c>
      <c r="G96" s="4"/>
      <c r="H96" s="78" t="s">
        <v>218</v>
      </c>
      <c r="I96" s="257"/>
      <c r="J96" s="228"/>
      <c r="K96" s="92"/>
      <c r="L96" s="4"/>
      <c r="M96" s="85" t="s">
        <v>58</v>
      </c>
      <c r="N96" s="4" t="s">
        <v>216</v>
      </c>
      <c r="O96" s="73">
        <v>0</v>
      </c>
      <c r="P96" s="73">
        <v>0</v>
      </c>
    </row>
    <row r="97" spans="1:16" ht="25.5" x14ac:dyDescent="0.2">
      <c r="A97" s="73" t="s">
        <v>38</v>
      </c>
      <c r="B97" s="80" t="s">
        <v>38</v>
      </c>
      <c r="C97" s="73">
        <v>6</v>
      </c>
      <c r="D97" s="81" t="s">
        <v>760</v>
      </c>
      <c r="E97" s="4"/>
      <c r="F97" s="4" t="s">
        <v>215</v>
      </c>
      <c r="G97" s="4"/>
      <c r="H97" s="78" t="s">
        <v>761</v>
      </c>
      <c r="I97" s="257"/>
      <c r="J97" s="228"/>
      <c r="K97" s="92"/>
      <c r="L97" s="4"/>
      <c r="M97" s="85" t="s">
        <v>58</v>
      </c>
      <c r="N97" s="4" t="s">
        <v>216</v>
      </c>
      <c r="O97" s="73">
        <v>0</v>
      </c>
      <c r="P97" s="73">
        <v>0</v>
      </c>
    </row>
    <row r="98" spans="1:16" ht="34.5" customHeight="1" x14ac:dyDescent="0.2">
      <c r="A98" s="73" t="s">
        <v>38</v>
      </c>
      <c r="B98" s="73" t="s">
        <v>38</v>
      </c>
      <c r="C98" s="73">
        <v>7</v>
      </c>
      <c r="D98" s="81" t="s">
        <v>802</v>
      </c>
      <c r="E98" s="81"/>
      <c r="F98" s="73" t="s">
        <v>215</v>
      </c>
      <c r="G98" s="7" t="s">
        <v>55</v>
      </c>
      <c r="H98" s="258" t="s">
        <v>803</v>
      </c>
      <c r="I98" s="257" t="s">
        <v>903</v>
      </c>
      <c r="J98" s="233" t="s">
        <v>1321</v>
      </c>
      <c r="K98" s="7"/>
      <c r="L98" s="7"/>
      <c r="M98" s="85" t="s">
        <v>58</v>
      </c>
      <c r="N98" s="4" t="s">
        <v>216</v>
      </c>
      <c r="O98" s="7">
        <v>0</v>
      </c>
      <c r="P98" s="7">
        <v>0</v>
      </c>
    </row>
    <row r="99" spans="1:16" ht="34.5" customHeight="1" x14ac:dyDescent="0.2">
      <c r="A99" s="73" t="s">
        <v>38</v>
      </c>
      <c r="B99" s="73" t="s">
        <v>38</v>
      </c>
      <c r="C99" s="73">
        <v>8</v>
      </c>
      <c r="D99" s="81" t="s">
        <v>804</v>
      </c>
      <c r="E99" s="81"/>
      <c r="F99" s="73" t="s">
        <v>215</v>
      </c>
      <c r="G99" s="7" t="s">
        <v>55</v>
      </c>
      <c r="H99" s="258"/>
      <c r="I99" s="257"/>
      <c r="J99" s="233"/>
      <c r="K99" s="7"/>
      <c r="L99" s="7"/>
      <c r="M99" s="85" t="s">
        <v>58</v>
      </c>
      <c r="N99" s="4" t="s">
        <v>216</v>
      </c>
      <c r="O99" s="7">
        <v>0</v>
      </c>
      <c r="P99" s="7">
        <v>0</v>
      </c>
    </row>
    <row r="100" spans="1:16" x14ac:dyDescent="0.2">
      <c r="A100" s="73" t="s">
        <v>38</v>
      </c>
      <c r="B100" s="80" t="s">
        <v>38</v>
      </c>
      <c r="C100" s="73">
        <v>9</v>
      </c>
      <c r="D100" s="81" t="s">
        <v>220</v>
      </c>
      <c r="E100" s="73" t="s">
        <v>221</v>
      </c>
      <c r="F100" s="4">
        <v>95</v>
      </c>
      <c r="G100" s="4" t="s">
        <v>55</v>
      </c>
      <c r="H100" s="81" t="s">
        <v>222</v>
      </c>
      <c r="I100" s="81" t="s">
        <v>223</v>
      </c>
      <c r="J100" s="78" t="s">
        <v>902</v>
      </c>
      <c r="K100" s="92"/>
      <c r="L100" s="4"/>
      <c r="M100" s="85" t="s">
        <v>58</v>
      </c>
      <c r="N100" s="4" t="s">
        <v>224</v>
      </c>
      <c r="O100" s="73">
        <v>3</v>
      </c>
      <c r="P100" s="73">
        <v>1</v>
      </c>
    </row>
    <row r="101" spans="1:16" ht="71.45" customHeight="1" x14ac:dyDescent="0.2">
      <c r="A101" s="73" t="s">
        <v>38</v>
      </c>
      <c r="B101" s="80" t="s">
        <v>38</v>
      </c>
      <c r="C101" s="73">
        <v>10</v>
      </c>
      <c r="D101" s="81" t="s">
        <v>776</v>
      </c>
      <c r="E101" s="256" t="s">
        <v>771</v>
      </c>
      <c r="F101" s="73">
        <v>660</v>
      </c>
      <c r="G101" s="73" t="s">
        <v>55</v>
      </c>
      <c r="H101" s="79" t="s">
        <v>772</v>
      </c>
      <c r="I101" s="81" t="s">
        <v>773</v>
      </c>
      <c r="J101" s="78" t="s">
        <v>902</v>
      </c>
      <c r="K101" s="90"/>
      <c r="L101" s="79"/>
      <c r="M101" s="4" t="s">
        <v>774</v>
      </c>
      <c r="N101" s="4" t="s">
        <v>775</v>
      </c>
      <c r="O101" s="73">
        <v>3</v>
      </c>
      <c r="P101" s="73">
        <v>0</v>
      </c>
    </row>
    <row r="102" spans="1:16" ht="71.45" customHeight="1" x14ac:dyDescent="0.2">
      <c r="A102" s="73" t="s">
        <v>38</v>
      </c>
      <c r="B102" s="80" t="s">
        <v>38</v>
      </c>
      <c r="C102" s="73">
        <v>11</v>
      </c>
      <c r="D102" s="81" t="s">
        <v>911</v>
      </c>
      <c r="E102" s="256" t="s">
        <v>912</v>
      </c>
      <c r="F102" s="73">
        <v>660</v>
      </c>
      <c r="G102" s="73" t="s">
        <v>55</v>
      </c>
      <c r="H102" s="79" t="s">
        <v>772</v>
      </c>
      <c r="I102" s="81" t="s">
        <v>773</v>
      </c>
      <c r="J102" s="78" t="s">
        <v>902</v>
      </c>
      <c r="K102" s="90"/>
      <c r="L102" s="79"/>
      <c r="M102" s="4" t="s">
        <v>774</v>
      </c>
      <c r="N102" s="4" t="s">
        <v>775</v>
      </c>
      <c r="O102" s="73">
        <v>3</v>
      </c>
      <c r="P102" s="73">
        <v>0</v>
      </c>
    </row>
    <row r="103" spans="1:16" ht="112.5" customHeight="1" x14ac:dyDescent="0.2">
      <c r="A103" s="73" t="s">
        <v>38</v>
      </c>
      <c r="B103" s="80" t="s">
        <v>38</v>
      </c>
      <c r="C103" s="73">
        <v>12</v>
      </c>
      <c r="D103" s="81" t="s">
        <v>1216</v>
      </c>
      <c r="E103" s="256" t="s">
        <v>1071</v>
      </c>
      <c r="F103" s="73">
        <v>1025</v>
      </c>
      <c r="G103" s="73" t="s">
        <v>55</v>
      </c>
      <c r="H103" s="79" t="s">
        <v>1465</v>
      </c>
      <c r="I103" s="81" t="s">
        <v>1466</v>
      </c>
      <c r="J103" s="78" t="s">
        <v>1236</v>
      </c>
      <c r="K103" s="90"/>
      <c r="L103" s="79"/>
      <c r="M103" s="4" t="s">
        <v>1467</v>
      </c>
      <c r="N103" s="4" t="s">
        <v>1468</v>
      </c>
      <c r="O103" s="73">
        <v>3</v>
      </c>
      <c r="P103" s="73">
        <v>0</v>
      </c>
    </row>
    <row r="104" spans="1:16" ht="59.1" customHeight="1" x14ac:dyDescent="0.2">
      <c r="A104" s="73" t="s">
        <v>38</v>
      </c>
      <c r="B104" s="80" t="s">
        <v>38</v>
      </c>
      <c r="C104" s="73">
        <v>13</v>
      </c>
      <c r="D104" s="81" t="s">
        <v>1112</v>
      </c>
      <c r="E104" s="73" t="s">
        <v>1139</v>
      </c>
      <c r="F104" s="4">
        <v>74</v>
      </c>
      <c r="G104" s="4" t="s">
        <v>55</v>
      </c>
      <c r="H104" s="81" t="s">
        <v>1072</v>
      </c>
      <c r="I104" s="81" t="s">
        <v>1073</v>
      </c>
      <c r="J104" s="78" t="s">
        <v>1236</v>
      </c>
      <c r="K104" s="92"/>
      <c r="L104" s="4"/>
      <c r="M104" s="85"/>
      <c r="N104" s="4" t="s">
        <v>1074</v>
      </c>
      <c r="O104" s="73">
        <v>3</v>
      </c>
      <c r="P104" s="73">
        <v>0</v>
      </c>
    </row>
    <row r="105" spans="1:16" ht="59.1" customHeight="1" x14ac:dyDescent="0.2">
      <c r="A105" s="73" t="s">
        <v>38</v>
      </c>
      <c r="B105" s="80" t="s">
        <v>38</v>
      </c>
      <c r="C105" s="73">
        <v>14</v>
      </c>
      <c r="D105" s="81" t="s">
        <v>1245</v>
      </c>
      <c r="E105" s="73" t="s">
        <v>1233</v>
      </c>
      <c r="F105" s="4">
        <v>250</v>
      </c>
      <c r="G105" s="4" t="s">
        <v>55</v>
      </c>
      <c r="H105" s="81" t="s">
        <v>1234</v>
      </c>
      <c r="I105" s="81" t="s">
        <v>1235</v>
      </c>
      <c r="J105" s="78" t="s">
        <v>1236</v>
      </c>
      <c r="K105" s="92"/>
      <c r="L105" s="4"/>
      <c r="M105" s="85" t="s">
        <v>1237</v>
      </c>
      <c r="N105" s="4" t="s">
        <v>1238</v>
      </c>
      <c r="O105" s="73">
        <v>3</v>
      </c>
      <c r="P105" s="73">
        <v>0</v>
      </c>
    </row>
    <row r="106" spans="1:16" ht="59.1" customHeight="1" x14ac:dyDescent="0.2">
      <c r="A106" s="73" t="s">
        <v>38</v>
      </c>
      <c r="B106" s="80" t="s">
        <v>38</v>
      </c>
      <c r="C106" s="73">
        <v>15</v>
      </c>
      <c r="D106" s="81" t="s">
        <v>1397</v>
      </c>
      <c r="E106" s="73" t="s">
        <v>1398</v>
      </c>
      <c r="F106" s="4">
        <v>250</v>
      </c>
      <c r="G106" s="4" t="s">
        <v>55</v>
      </c>
      <c r="H106" s="81" t="s">
        <v>1234</v>
      </c>
      <c r="I106" s="81" t="s">
        <v>1235</v>
      </c>
      <c r="J106" s="78" t="s">
        <v>1236</v>
      </c>
      <c r="K106" s="92"/>
      <c r="L106" s="4"/>
      <c r="M106" s="85" t="s">
        <v>1237</v>
      </c>
      <c r="N106" s="4" t="s">
        <v>1238</v>
      </c>
      <c r="O106" s="73">
        <v>3</v>
      </c>
      <c r="P106" s="73">
        <v>0</v>
      </c>
    </row>
    <row r="107" spans="1:16" ht="59.1" customHeight="1" x14ac:dyDescent="0.2">
      <c r="A107" s="4" t="s">
        <v>38</v>
      </c>
      <c r="B107" s="255" t="s">
        <v>38</v>
      </c>
      <c r="C107" s="73">
        <v>16</v>
      </c>
      <c r="D107" s="81" t="s">
        <v>1268</v>
      </c>
      <c r="E107" s="4" t="s">
        <v>1263</v>
      </c>
      <c r="F107" s="4">
        <v>276</v>
      </c>
      <c r="G107" s="4" t="s">
        <v>55</v>
      </c>
      <c r="H107" s="71" t="s">
        <v>1264</v>
      </c>
      <c r="I107" s="71" t="s">
        <v>1265</v>
      </c>
      <c r="J107" s="78" t="s">
        <v>1236</v>
      </c>
      <c r="K107" s="90"/>
      <c r="L107" s="4"/>
      <c r="M107" s="4" t="s">
        <v>1266</v>
      </c>
      <c r="N107" s="4" t="s">
        <v>1267</v>
      </c>
      <c r="O107" s="4">
        <v>3</v>
      </c>
      <c r="P107" s="4">
        <v>1</v>
      </c>
    </row>
    <row r="108" spans="1:16" ht="79.5" customHeight="1" x14ac:dyDescent="0.2">
      <c r="A108" s="4" t="s">
        <v>38</v>
      </c>
      <c r="B108" s="255" t="s">
        <v>38</v>
      </c>
      <c r="C108" s="73">
        <v>17</v>
      </c>
      <c r="D108" s="81" t="s">
        <v>1306</v>
      </c>
      <c r="E108" s="4" t="s">
        <v>1307</v>
      </c>
      <c r="F108" s="4">
        <v>650</v>
      </c>
      <c r="G108" s="4" t="s">
        <v>55</v>
      </c>
      <c r="H108" s="86" t="s">
        <v>1308</v>
      </c>
      <c r="I108" s="71" t="s">
        <v>1309</v>
      </c>
      <c r="J108" s="78" t="s">
        <v>1236</v>
      </c>
      <c r="K108" s="90"/>
      <c r="L108" s="4"/>
      <c r="M108" s="4" t="s">
        <v>1310</v>
      </c>
      <c r="N108" s="4" t="s">
        <v>1267</v>
      </c>
      <c r="O108" s="73">
        <v>3</v>
      </c>
      <c r="P108" s="73">
        <v>0</v>
      </c>
    </row>
    <row r="109" spans="1:16" ht="79.5" customHeight="1" x14ac:dyDescent="0.2">
      <c r="A109" s="4" t="s">
        <v>38</v>
      </c>
      <c r="B109" s="255" t="s">
        <v>38</v>
      </c>
      <c r="C109" s="73">
        <v>18</v>
      </c>
      <c r="D109" s="81" t="s">
        <v>1311</v>
      </c>
      <c r="E109" s="4" t="s">
        <v>1312</v>
      </c>
      <c r="F109" s="4">
        <v>650</v>
      </c>
      <c r="G109" s="4" t="s">
        <v>55</v>
      </c>
      <c r="H109" s="86" t="s">
        <v>1308</v>
      </c>
      <c r="I109" s="71" t="s">
        <v>1309</v>
      </c>
      <c r="J109" s="78" t="s">
        <v>1236</v>
      </c>
      <c r="K109" s="90"/>
      <c r="L109" s="4"/>
      <c r="M109" s="4" t="s">
        <v>1310</v>
      </c>
      <c r="N109" s="4" t="s">
        <v>1267</v>
      </c>
      <c r="O109" s="73">
        <v>3</v>
      </c>
      <c r="P109" s="73">
        <v>0</v>
      </c>
    </row>
    <row r="110" spans="1:16" ht="79.5" customHeight="1" x14ac:dyDescent="0.2">
      <c r="A110" s="4" t="s">
        <v>38</v>
      </c>
      <c r="B110" s="255" t="s">
        <v>38</v>
      </c>
      <c r="C110" s="73">
        <v>19</v>
      </c>
      <c r="D110" s="81" t="s">
        <v>1313</v>
      </c>
      <c r="E110" s="4" t="s">
        <v>1314</v>
      </c>
      <c r="F110" s="4">
        <v>650</v>
      </c>
      <c r="G110" s="4" t="s">
        <v>55</v>
      </c>
      <c r="H110" s="86" t="s">
        <v>1308</v>
      </c>
      <c r="I110" s="71" t="s">
        <v>1309</v>
      </c>
      <c r="J110" s="78" t="s">
        <v>1236</v>
      </c>
      <c r="K110" s="90"/>
      <c r="L110" s="4"/>
      <c r="M110" s="4" t="s">
        <v>1310</v>
      </c>
      <c r="N110" s="4" t="s">
        <v>1267</v>
      </c>
      <c r="O110" s="73">
        <v>3</v>
      </c>
      <c r="P110" s="73">
        <v>0</v>
      </c>
    </row>
    <row r="111" spans="1:16" ht="38.25" x14ac:dyDescent="0.2">
      <c r="A111" s="73" t="s">
        <v>38</v>
      </c>
      <c r="B111" s="80" t="s">
        <v>38</v>
      </c>
      <c r="C111" s="73">
        <v>20</v>
      </c>
      <c r="D111" s="81" t="s">
        <v>884</v>
      </c>
      <c r="E111" s="73"/>
      <c r="F111" s="73"/>
      <c r="G111" s="73" t="s">
        <v>55</v>
      </c>
      <c r="H111" s="79" t="s">
        <v>187</v>
      </c>
      <c r="I111" s="81" t="s">
        <v>1113</v>
      </c>
      <c r="J111" s="78" t="s">
        <v>902</v>
      </c>
      <c r="K111" s="90"/>
      <c r="L111" s="79"/>
      <c r="M111" s="4" t="s">
        <v>1114</v>
      </c>
      <c r="N111" s="4"/>
      <c r="O111" s="73">
        <v>2</v>
      </c>
      <c r="P111" s="73">
        <v>1</v>
      </c>
    </row>
    <row r="112" spans="1:16" ht="102" x14ac:dyDescent="0.2">
      <c r="A112" s="73" t="s">
        <v>37</v>
      </c>
      <c r="B112" s="80" t="s">
        <v>225</v>
      </c>
      <c r="C112" s="73">
        <v>1</v>
      </c>
      <c r="D112" s="81" t="s">
        <v>1323</v>
      </c>
      <c r="E112" s="73" t="s">
        <v>1324</v>
      </c>
      <c r="F112" s="4">
        <v>650</v>
      </c>
      <c r="G112" s="4" t="s">
        <v>55</v>
      </c>
      <c r="H112" s="197" t="s">
        <v>1325</v>
      </c>
      <c r="I112" s="198" t="s">
        <v>1326</v>
      </c>
      <c r="J112" s="78" t="s">
        <v>1436</v>
      </c>
      <c r="K112" s="171"/>
      <c r="L112" s="90"/>
      <c r="M112" s="85" t="s">
        <v>58</v>
      </c>
      <c r="N112" s="85" t="s">
        <v>227</v>
      </c>
      <c r="O112" s="73">
        <v>3</v>
      </c>
      <c r="P112" s="102">
        <v>0</v>
      </c>
    </row>
    <row r="113" spans="1:16" ht="51" customHeight="1" x14ac:dyDescent="0.2">
      <c r="A113" s="73" t="s">
        <v>37</v>
      </c>
      <c r="B113" s="80" t="s">
        <v>225</v>
      </c>
      <c r="C113" s="73">
        <v>2</v>
      </c>
      <c r="D113" s="81" t="s">
        <v>1327</v>
      </c>
      <c r="E113" s="73" t="s">
        <v>1328</v>
      </c>
      <c r="F113" s="4">
        <v>530</v>
      </c>
      <c r="G113" s="212" t="s">
        <v>55</v>
      </c>
      <c r="H113" s="197" t="s">
        <v>904</v>
      </c>
      <c r="I113" s="198" t="s">
        <v>1329</v>
      </c>
      <c r="J113" s="78" t="s">
        <v>1436</v>
      </c>
      <c r="K113" s="215"/>
      <c r="L113" s="197"/>
      <c r="M113" s="205" t="s">
        <v>227</v>
      </c>
      <c r="N113" s="205" t="s">
        <v>58</v>
      </c>
      <c r="O113" s="143">
        <v>3</v>
      </c>
      <c r="P113" s="206">
        <v>0</v>
      </c>
    </row>
    <row r="114" spans="1:16" ht="51" customHeight="1" x14ac:dyDescent="0.2">
      <c r="A114" s="73" t="s">
        <v>37</v>
      </c>
      <c r="B114" s="80" t="s">
        <v>225</v>
      </c>
      <c r="C114" s="73">
        <v>3</v>
      </c>
      <c r="D114" s="81" t="s">
        <v>1330</v>
      </c>
      <c r="E114" s="73" t="s">
        <v>1331</v>
      </c>
      <c r="F114" s="4">
        <v>680</v>
      </c>
      <c r="G114" s="212" t="s">
        <v>55</v>
      </c>
      <c r="H114" s="197" t="s">
        <v>904</v>
      </c>
      <c r="I114" s="198" t="s">
        <v>1329</v>
      </c>
      <c r="J114" s="78" t="s">
        <v>1436</v>
      </c>
      <c r="K114" s="216"/>
      <c r="L114" s="214"/>
      <c r="M114" s="205" t="s">
        <v>227</v>
      </c>
      <c r="N114" s="205" t="s">
        <v>58</v>
      </c>
      <c r="O114" s="143">
        <v>3</v>
      </c>
      <c r="P114" s="206">
        <v>0</v>
      </c>
    </row>
    <row r="115" spans="1:16" ht="63.75" x14ac:dyDescent="0.2">
      <c r="A115" s="73" t="s">
        <v>37</v>
      </c>
      <c r="B115" s="80" t="s">
        <v>225</v>
      </c>
      <c r="C115" s="73">
        <v>4</v>
      </c>
      <c r="D115" s="81" t="s">
        <v>1218</v>
      </c>
      <c r="E115" s="73" t="s">
        <v>1075</v>
      </c>
      <c r="F115" s="4">
        <v>600</v>
      </c>
      <c r="G115" s="4" t="s">
        <v>55</v>
      </c>
      <c r="H115" s="78" t="s">
        <v>1437</v>
      </c>
      <c r="I115" s="78" t="s">
        <v>905</v>
      </c>
      <c r="J115" s="83" t="s">
        <v>1438</v>
      </c>
      <c r="K115" s="90"/>
      <c r="L115" s="4"/>
      <c r="M115" s="85" t="s">
        <v>906</v>
      </c>
      <c r="N115" s="85" t="s">
        <v>432</v>
      </c>
      <c r="O115" s="73">
        <v>3</v>
      </c>
      <c r="P115" s="102">
        <v>0</v>
      </c>
    </row>
    <row r="116" spans="1:16" ht="63.75" x14ac:dyDescent="0.2">
      <c r="A116" s="73" t="s">
        <v>37</v>
      </c>
      <c r="B116" s="80" t="s">
        <v>225</v>
      </c>
      <c r="C116" s="73">
        <v>5</v>
      </c>
      <c r="D116" s="81" t="s">
        <v>1410</v>
      </c>
      <c r="E116" s="73"/>
      <c r="F116" s="4"/>
      <c r="G116" s="4" t="s">
        <v>55</v>
      </c>
      <c r="H116" s="78" t="s">
        <v>1411</v>
      </c>
      <c r="I116" s="78" t="s">
        <v>1412</v>
      </c>
      <c r="J116" s="83" t="s">
        <v>1413</v>
      </c>
      <c r="K116" s="90"/>
      <c r="L116" s="4"/>
      <c r="M116" s="85" t="s">
        <v>58</v>
      </c>
      <c r="N116" s="85" t="s">
        <v>906</v>
      </c>
      <c r="O116" s="73">
        <v>3</v>
      </c>
      <c r="P116" s="102">
        <v>0</v>
      </c>
    </row>
    <row r="117" spans="1:16" ht="50.1" customHeight="1" x14ac:dyDescent="0.2">
      <c r="A117" s="73" t="s">
        <v>37</v>
      </c>
      <c r="B117" s="80" t="s">
        <v>228</v>
      </c>
      <c r="C117" s="73">
        <v>1</v>
      </c>
      <c r="D117" s="81" t="s">
        <v>232</v>
      </c>
      <c r="E117" s="73" t="s">
        <v>233</v>
      </c>
      <c r="F117" s="4">
        <v>110</v>
      </c>
      <c r="G117" s="4" t="s">
        <v>68</v>
      </c>
      <c r="H117" s="71" t="s">
        <v>229</v>
      </c>
      <c r="I117" s="86" t="s">
        <v>907</v>
      </c>
      <c r="J117" s="83" t="s">
        <v>902</v>
      </c>
      <c r="K117" s="4"/>
      <c r="L117" s="4"/>
      <c r="M117" s="4" t="s">
        <v>230</v>
      </c>
      <c r="N117" s="4" t="s">
        <v>231</v>
      </c>
      <c r="O117" s="73">
        <v>3</v>
      </c>
      <c r="P117" s="102">
        <v>0</v>
      </c>
    </row>
    <row r="118" spans="1:16" ht="50.1" customHeight="1" x14ac:dyDescent="0.2">
      <c r="A118" s="73" t="s">
        <v>37</v>
      </c>
      <c r="B118" s="80" t="s">
        <v>228</v>
      </c>
      <c r="C118" s="73">
        <v>2</v>
      </c>
      <c r="D118" s="71" t="s">
        <v>234</v>
      </c>
      <c r="E118" s="73" t="s">
        <v>235</v>
      </c>
      <c r="F118" s="73">
        <v>180</v>
      </c>
      <c r="G118" s="73" t="s">
        <v>55</v>
      </c>
      <c r="H118" s="71" t="s">
        <v>229</v>
      </c>
      <c r="I118" s="86" t="s">
        <v>236</v>
      </c>
      <c r="J118" s="83" t="s">
        <v>902</v>
      </c>
      <c r="K118" s="90"/>
      <c r="L118" s="73"/>
      <c r="M118" s="73" t="s">
        <v>237</v>
      </c>
      <c r="N118" s="73" t="s">
        <v>238</v>
      </c>
      <c r="O118" s="73">
        <v>3</v>
      </c>
      <c r="P118" s="102">
        <v>0</v>
      </c>
    </row>
    <row r="119" spans="1:16" ht="50.1" customHeight="1" x14ac:dyDescent="0.2">
      <c r="A119" s="73" t="s">
        <v>37</v>
      </c>
      <c r="B119" s="80" t="s">
        <v>228</v>
      </c>
      <c r="C119" s="75">
        <v>3</v>
      </c>
      <c r="D119" s="89" t="s">
        <v>805</v>
      </c>
      <c r="E119" s="75"/>
      <c r="F119" s="76"/>
      <c r="G119" s="76" t="s">
        <v>68</v>
      </c>
      <c r="H119" s="78" t="s">
        <v>1076</v>
      </c>
      <c r="I119" s="172" t="s">
        <v>806</v>
      </c>
      <c r="J119" s="180" t="s">
        <v>1115</v>
      </c>
      <c r="K119" s="90"/>
      <c r="L119" s="77"/>
      <c r="M119" s="76" t="s">
        <v>58</v>
      </c>
      <c r="N119" s="76" t="s">
        <v>58</v>
      </c>
      <c r="O119" s="75">
        <v>0</v>
      </c>
      <c r="P119" s="102">
        <v>0</v>
      </c>
    </row>
    <row r="120" spans="1:16" ht="38.25" x14ac:dyDescent="0.2">
      <c r="A120" s="73" t="s">
        <v>37</v>
      </c>
      <c r="B120" s="80" t="s">
        <v>228</v>
      </c>
      <c r="C120" s="75">
        <v>4</v>
      </c>
      <c r="D120" s="89" t="s">
        <v>807</v>
      </c>
      <c r="E120" s="75" t="s">
        <v>1481</v>
      </c>
      <c r="F120" s="76">
        <v>60</v>
      </c>
      <c r="G120" s="76" t="s">
        <v>55</v>
      </c>
      <c r="H120" s="77" t="s">
        <v>1443</v>
      </c>
      <c r="I120" s="173" t="s">
        <v>1444</v>
      </c>
      <c r="J120" s="82" t="s">
        <v>902</v>
      </c>
      <c r="K120" s="90"/>
      <c r="L120" s="77"/>
      <c r="M120" s="76" t="s">
        <v>58</v>
      </c>
      <c r="N120" s="76" t="s">
        <v>58</v>
      </c>
      <c r="O120" s="75">
        <v>0</v>
      </c>
      <c r="P120" s="102">
        <v>0</v>
      </c>
    </row>
    <row r="121" spans="1:16" ht="80.099999999999994" customHeight="1" x14ac:dyDescent="0.2">
      <c r="A121" s="73" t="s">
        <v>37</v>
      </c>
      <c r="B121" s="80" t="s">
        <v>228</v>
      </c>
      <c r="C121" s="73">
        <v>5</v>
      </c>
      <c r="D121" s="81" t="s">
        <v>1091</v>
      </c>
      <c r="E121" s="73" t="s">
        <v>1077</v>
      </c>
      <c r="F121" s="4">
        <v>200</v>
      </c>
      <c r="G121" s="4" t="s">
        <v>55</v>
      </c>
      <c r="H121" s="78" t="s">
        <v>1351</v>
      </c>
      <c r="I121" s="172" t="s">
        <v>1445</v>
      </c>
      <c r="J121" s="82" t="s">
        <v>902</v>
      </c>
      <c r="K121" s="90"/>
      <c r="L121" s="77"/>
      <c r="M121" s="76" t="s">
        <v>1078</v>
      </c>
      <c r="N121" s="76" t="s">
        <v>1079</v>
      </c>
      <c r="O121" s="75">
        <v>3</v>
      </c>
      <c r="P121" s="102">
        <v>0</v>
      </c>
    </row>
    <row r="122" spans="1:16" ht="27.95" customHeight="1" x14ac:dyDescent="0.2">
      <c r="A122" s="75" t="s">
        <v>37</v>
      </c>
      <c r="B122" s="74" t="s">
        <v>228</v>
      </c>
      <c r="C122" s="75">
        <v>6</v>
      </c>
      <c r="D122" s="89" t="s">
        <v>1085</v>
      </c>
      <c r="E122" s="75"/>
      <c r="F122" s="76"/>
      <c r="G122" s="76" t="s">
        <v>55</v>
      </c>
      <c r="H122" s="77" t="s">
        <v>1084</v>
      </c>
      <c r="I122" s="172" t="s">
        <v>1116</v>
      </c>
      <c r="J122" s="82" t="s">
        <v>902</v>
      </c>
      <c r="K122" s="90"/>
      <c r="L122" s="77"/>
      <c r="M122" s="76" t="s">
        <v>58</v>
      </c>
      <c r="N122" s="76" t="s">
        <v>58</v>
      </c>
      <c r="O122" s="75">
        <v>3</v>
      </c>
      <c r="P122" s="102">
        <v>0</v>
      </c>
    </row>
    <row r="123" spans="1:16" ht="59.1" customHeight="1" x14ac:dyDescent="0.2">
      <c r="A123" s="73" t="s">
        <v>37</v>
      </c>
      <c r="B123" s="80" t="s">
        <v>228</v>
      </c>
      <c r="C123" s="73">
        <v>7</v>
      </c>
      <c r="D123" s="81" t="s">
        <v>1430</v>
      </c>
      <c r="E123" s="73" t="s">
        <v>1431</v>
      </c>
      <c r="F123" s="7">
        <v>180</v>
      </c>
      <c r="G123" s="76" t="s">
        <v>55</v>
      </c>
      <c r="H123" s="71" t="s">
        <v>229</v>
      </c>
      <c r="I123" s="86" t="s">
        <v>236</v>
      </c>
      <c r="J123" s="83" t="s">
        <v>902</v>
      </c>
      <c r="K123" s="90"/>
      <c r="L123" s="77"/>
      <c r="M123" s="73" t="s">
        <v>237</v>
      </c>
      <c r="N123" s="73" t="s">
        <v>238</v>
      </c>
      <c r="O123" s="73">
        <v>3</v>
      </c>
      <c r="P123" s="102">
        <v>0</v>
      </c>
    </row>
    <row r="124" spans="1:16" ht="52.5" customHeight="1" x14ac:dyDescent="0.2">
      <c r="A124" s="73" t="s">
        <v>37</v>
      </c>
      <c r="B124" s="80" t="s">
        <v>239</v>
      </c>
      <c r="C124" s="73">
        <v>1</v>
      </c>
      <c r="D124" s="89" t="s">
        <v>1369</v>
      </c>
      <c r="E124" s="75" t="s">
        <v>1370</v>
      </c>
      <c r="F124" s="76">
        <v>185</v>
      </c>
      <c r="G124" s="76" t="s">
        <v>55</v>
      </c>
      <c r="H124" s="229" t="s">
        <v>779</v>
      </c>
      <c r="I124" s="230" t="s">
        <v>240</v>
      </c>
      <c r="J124" s="82" t="s">
        <v>1371</v>
      </c>
      <c r="K124" s="90"/>
      <c r="L124" s="77"/>
      <c r="M124" s="85" t="s">
        <v>230</v>
      </c>
      <c r="N124" s="85" t="s">
        <v>241</v>
      </c>
      <c r="O124" s="75">
        <v>3</v>
      </c>
      <c r="P124" s="102">
        <v>0</v>
      </c>
    </row>
    <row r="125" spans="1:16" ht="24.95" customHeight="1" x14ac:dyDescent="0.2">
      <c r="A125" s="73" t="s">
        <v>37</v>
      </c>
      <c r="B125" s="80" t="s">
        <v>239</v>
      </c>
      <c r="C125" s="73">
        <v>2</v>
      </c>
      <c r="D125" s="81" t="s">
        <v>1364</v>
      </c>
      <c r="E125" s="73" t="s">
        <v>1365</v>
      </c>
      <c r="F125" s="85">
        <v>135</v>
      </c>
      <c r="G125" s="73" t="s">
        <v>55</v>
      </c>
      <c r="H125" s="229"/>
      <c r="I125" s="230"/>
      <c r="J125" s="226" t="s">
        <v>1372</v>
      </c>
      <c r="K125" s="90"/>
      <c r="L125" s="85"/>
      <c r="M125" s="85" t="s">
        <v>230</v>
      </c>
      <c r="N125" s="85" t="s">
        <v>241</v>
      </c>
      <c r="O125" s="73">
        <v>3</v>
      </c>
      <c r="P125" s="102">
        <v>0</v>
      </c>
    </row>
    <row r="126" spans="1:16" ht="33" customHeight="1" x14ac:dyDescent="0.2">
      <c r="A126" s="73" t="s">
        <v>37</v>
      </c>
      <c r="B126" s="80" t="s">
        <v>239</v>
      </c>
      <c r="C126" s="73">
        <v>3</v>
      </c>
      <c r="D126" s="81" t="s">
        <v>1366</v>
      </c>
      <c r="E126" s="73" t="s">
        <v>1367</v>
      </c>
      <c r="F126" s="85">
        <v>130</v>
      </c>
      <c r="G126" s="73" t="s">
        <v>55</v>
      </c>
      <c r="H126" s="229"/>
      <c r="I126" s="230"/>
      <c r="J126" s="226"/>
      <c r="K126" s="90"/>
      <c r="L126" s="85"/>
      <c r="M126" s="85" t="s">
        <v>230</v>
      </c>
      <c r="N126" s="85" t="s">
        <v>241</v>
      </c>
      <c r="O126" s="73">
        <v>3</v>
      </c>
      <c r="P126" s="102">
        <v>0</v>
      </c>
    </row>
    <row r="127" spans="1:16" ht="63.75" x14ac:dyDescent="0.2">
      <c r="A127" s="73" t="s">
        <v>37</v>
      </c>
      <c r="B127" s="80" t="s">
        <v>620</v>
      </c>
      <c r="C127" s="73">
        <v>1</v>
      </c>
      <c r="D127" s="81" t="s">
        <v>1217</v>
      </c>
      <c r="E127" s="73" t="s">
        <v>1080</v>
      </c>
      <c r="F127" s="85">
        <v>258</v>
      </c>
      <c r="G127" s="85" t="s">
        <v>55</v>
      </c>
      <c r="H127" s="77" t="s">
        <v>1352</v>
      </c>
      <c r="I127" s="86" t="s">
        <v>1354</v>
      </c>
      <c r="J127" s="207" t="s">
        <v>1359</v>
      </c>
      <c r="K127" s="90"/>
      <c r="L127" s="85"/>
      <c r="M127" s="85" t="s">
        <v>418</v>
      </c>
      <c r="N127" s="85" t="s">
        <v>1357</v>
      </c>
      <c r="O127" s="73">
        <v>3</v>
      </c>
      <c r="P127" s="102">
        <v>0</v>
      </c>
    </row>
    <row r="128" spans="1:16" ht="51" x14ac:dyDescent="0.2">
      <c r="A128" s="73" t="s">
        <v>37</v>
      </c>
      <c r="B128" s="80" t="s">
        <v>620</v>
      </c>
      <c r="C128" s="73">
        <v>2</v>
      </c>
      <c r="D128" s="81" t="s">
        <v>1356</v>
      </c>
      <c r="E128" s="73" t="s">
        <v>1358</v>
      </c>
      <c r="F128" s="85">
        <v>270</v>
      </c>
      <c r="G128" s="85" t="s">
        <v>55</v>
      </c>
      <c r="H128" s="77" t="s">
        <v>1353</v>
      </c>
      <c r="I128" s="86" t="s">
        <v>1355</v>
      </c>
      <c r="J128" s="174" t="s">
        <v>1360</v>
      </c>
      <c r="K128" s="90"/>
      <c r="L128" s="85"/>
      <c r="M128" s="85" t="s">
        <v>1357</v>
      </c>
      <c r="N128" s="85" t="s">
        <v>418</v>
      </c>
      <c r="O128" s="73">
        <v>3</v>
      </c>
      <c r="P128" s="102">
        <v>0</v>
      </c>
    </row>
    <row r="129" spans="1:16" ht="63.75" customHeight="1" x14ac:dyDescent="0.2">
      <c r="A129" s="175" t="s">
        <v>37</v>
      </c>
      <c r="B129" s="7" t="s">
        <v>242</v>
      </c>
      <c r="C129" s="73">
        <v>1</v>
      </c>
      <c r="D129" s="170" t="s">
        <v>808</v>
      </c>
      <c r="E129" s="7" t="s">
        <v>885</v>
      </c>
      <c r="F129" s="7">
        <v>120</v>
      </c>
      <c r="G129" s="7" t="s">
        <v>55</v>
      </c>
      <c r="H129" s="71" t="s">
        <v>812</v>
      </c>
      <c r="I129" s="71" t="s">
        <v>809</v>
      </c>
      <c r="J129" s="176" t="s">
        <v>902</v>
      </c>
      <c r="K129" s="177"/>
      <c r="L129" s="175"/>
      <c r="M129" s="4" t="s">
        <v>810</v>
      </c>
      <c r="N129" s="4" t="s">
        <v>811</v>
      </c>
      <c r="O129" s="7">
        <v>3</v>
      </c>
      <c r="P129" s="7">
        <v>0</v>
      </c>
    </row>
    <row r="130" spans="1:16" ht="63.75" customHeight="1" x14ac:dyDescent="0.2">
      <c r="A130" s="175" t="s">
        <v>37</v>
      </c>
      <c r="B130" s="7" t="s">
        <v>242</v>
      </c>
      <c r="C130" s="73">
        <v>2</v>
      </c>
      <c r="D130" s="170" t="s">
        <v>1092</v>
      </c>
      <c r="E130" s="7" t="s">
        <v>1086</v>
      </c>
      <c r="F130" s="7">
        <v>120</v>
      </c>
      <c r="G130" s="7" t="s">
        <v>55</v>
      </c>
      <c r="H130" s="71" t="s">
        <v>1087</v>
      </c>
      <c r="I130" s="178" t="s">
        <v>1088</v>
      </c>
      <c r="J130" s="176" t="s">
        <v>902</v>
      </c>
      <c r="K130" s="177"/>
      <c r="L130" s="175"/>
      <c r="M130" s="4" t="s">
        <v>1089</v>
      </c>
      <c r="N130" s="4"/>
      <c r="O130" s="7">
        <v>3</v>
      </c>
      <c r="P130" s="7">
        <v>0</v>
      </c>
    </row>
    <row r="131" spans="1:16" ht="62.45" customHeight="1" x14ac:dyDescent="0.2">
      <c r="A131" s="175" t="s">
        <v>37</v>
      </c>
      <c r="B131" s="7" t="s">
        <v>242</v>
      </c>
      <c r="C131" s="73">
        <v>3</v>
      </c>
      <c r="D131" s="170" t="s">
        <v>1239</v>
      </c>
      <c r="E131" s="7" t="s">
        <v>1240</v>
      </c>
      <c r="F131" s="7">
        <v>182</v>
      </c>
      <c r="G131" s="7" t="s">
        <v>55</v>
      </c>
      <c r="H131" s="231" t="s">
        <v>1348</v>
      </c>
      <c r="I131" s="232" t="s">
        <v>1241</v>
      </c>
      <c r="J131" s="176" t="s">
        <v>902</v>
      </c>
      <c r="K131" s="177"/>
      <c r="L131" s="175"/>
      <c r="M131" s="4" t="s">
        <v>1244</v>
      </c>
      <c r="N131" s="4" t="s">
        <v>811</v>
      </c>
      <c r="O131" s="7">
        <v>3</v>
      </c>
      <c r="P131" s="7">
        <v>0</v>
      </c>
    </row>
    <row r="132" spans="1:16" ht="46.5" customHeight="1" x14ac:dyDescent="0.2">
      <c r="A132" s="175" t="s">
        <v>37</v>
      </c>
      <c r="B132" s="7" t="s">
        <v>242</v>
      </c>
      <c r="C132" s="73">
        <v>4</v>
      </c>
      <c r="D132" s="170" t="s">
        <v>1242</v>
      </c>
      <c r="E132" s="7" t="s">
        <v>1243</v>
      </c>
      <c r="F132" s="7">
        <v>182</v>
      </c>
      <c r="G132" s="7" t="s">
        <v>55</v>
      </c>
      <c r="H132" s="231"/>
      <c r="I132" s="232"/>
      <c r="J132" s="176" t="s">
        <v>902</v>
      </c>
      <c r="K132" s="177"/>
      <c r="L132" s="175"/>
      <c r="M132" s="4" t="s">
        <v>1244</v>
      </c>
      <c r="N132" s="4" t="s">
        <v>811</v>
      </c>
      <c r="O132" s="7">
        <v>3</v>
      </c>
      <c r="P132" s="7">
        <v>0</v>
      </c>
    </row>
    <row r="133" spans="1:16" ht="72.95" customHeight="1" x14ac:dyDescent="0.2">
      <c r="A133" s="175" t="s">
        <v>37</v>
      </c>
      <c r="B133" s="7" t="s">
        <v>242</v>
      </c>
      <c r="C133" s="73">
        <v>5</v>
      </c>
      <c r="D133" s="81" t="s">
        <v>1432</v>
      </c>
      <c r="E133" s="73" t="s">
        <v>1414</v>
      </c>
      <c r="F133" s="7">
        <v>120</v>
      </c>
      <c r="G133" s="108" t="s">
        <v>55</v>
      </c>
      <c r="H133" s="79" t="s">
        <v>1415</v>
      </c>
      <c r="I133" s="217" t="s">
        <v>1416</v>
      </c>
      <c r="J133" s="82" t="s">
        <v>185</v>
      </c>
      <c r="K133" s="92"/>
      <c r="L133" s="79"/>
      <c r="M133" s="87" t="s">
        <v>1417</v>
      </c>
      <c r="N133" s="87" t="s">
        <v>1418</v>
      </c>
      <c r="O133" s="102">
        <v>3</v>
      </c>
      <c r="P133" s="73">
        <v>0</v>
      </c>
    </row>
    <row r="134" spans="1:16" ht="67.5" customHeight="1" x14ac:dyDescent="0.2">
      <c r="A134" s="175" t="s">
        <v>37</v>
      </c>
      <c r="B134" s="7" t="s">
        <v>242</v>
      </c>
      <c r="C134" s="73">
        <v>6</v>
      </c>
      <c r="D134" s="81" t="s">
        <v>1433</v>
      </c>
      <c r="E134" s="73" t="s">
        <v>1419</v>
      </c>
      <c r="F134" s="7">
        <v>120</v>
      </c>
      <c r="G134" s="108" t="s">
        <v>55</v>
      </c>
      <c r="H134" s="79" t="s">
        <v>1415</v>
      </c>
      <c r="I134" s="217" t="s">
        <v>1416</v>
      </c>
      <c r="J134" s="82" t="s">
        <v>185</v>
      </c>
      <c r="K134" s="92"/>
      <c r="L134" s="79"/>
      <c r="M134" s="87" t="s">
        <v>1417</v>
      </c>
      <c r="N134" s="87" t="s">
        <v>1418</v>
      </c>
      <c r="O134" s="102">
        <v>3</v>
      </c>
      <c r="P134" s="73">
        <v>0</v>
      </c>
    </row>
    <row r="135" spans="1:16" ht="64.5" customHeight="1" x14ac:dyDescent="0.2">
      <c r="A135" s="175" t="s">
        <v>37</v>
      </c>
      <c r="B135" s="7" t="s">
        <v>242</v>
      </c>
      <c r="C135" s="73">
        <v>7</v>
      </c>
      <c r="D135" s="170" t="s">
        <v>1420</v>
      </c>
      <c r="E135" s="73" t="s">
        <v>1421</v>
      </c>
      <c r="F135" s="7">
        <v>115</v>
      </c>
      <c r="G135" s="108" t="s">
        <v>55</v>
      </c>
      <c r="H135" s="79" t="s">
        <v>1422</v>
      </c>
      <c r="I135" s="217" t="s">
        <v>1423</v>
      </c>
      <c r="J135" s="82" t="s">
        <v>185</v>
      </c>
      <c r="K135" s="92"/>
      <c r="L135" s="79"/>
      <c r="M135" s="87" t="s">
        <v>1424</v>
      </c>
      <c r="N135" s="87" t="s">
        <v>1425</v>
      </c>
      <c r="O135" s="102">
        <v>3</v>
      </c>
      <c r="P135" s="73">
        <v>0</v>
      </c>
    </row>
    <row r="136" spans="1:16" ht="52.5" customHeight="1" x14ac:dyDescent="0.2">
      <c r="A136" s="175" t="s">
        <v>37</v>
      </c>
      <c r="B136" s="7" t="s">
        <v>242</v>
      </c>
      <c r="C136" s="73">
        <v>8</v>
      </c>
      <c r="D136" s="170" t="s">
        <v>1426</v>
      </c>
      <c r="E136" s="73" t="s">
        <v>1427</v>
      </c>
      <c r="F136" s="7">
        <v>115</v>
      </c>
      <c r="G136" s="108" t="s">
        <v>55</v>
      </c>
      <c r="H136" s="79" t="s">
        <v>1428</v>
      </c>
      <c r="I136" s="217" t="s">
        <v>1423</v>
      </c>
      <c r="J136" s="82" t="s">
        <v>185</v>
      </c>
      <c r="K136" s="92"/>
      <c r="L136" s="79"/>
      <c r="M136" s="87" t="s">
        <v>1424</v>
      </c>
      <c r="N136" s="87" t="s">
        <v>1425</v>
      </c>
      <c r="O136" s="102">
        <v>3</v>
      </c>
      <c r="P136" s="73">
        <v>0</v>
      </c>
    </row>
    <row r="137" spans="1:16" ht="51" x14ac:dyDescent="0.2">
      <c r="A137" s="73" t="s">
        <v>35</v>
      </c>
      <c r="B137" s="73" t="s">
        <v>243</v>
      </c>
      <c r="C137" s="213">
        <v>1</v>
      </c>
      <c r="D137" s="79" t="s">
        <v>1399</v>
      </c>
      <c r="E137" s="73"/>
      <c r="F137" s="73"/>
      <c r="G137" s="108" t="s">
        <v>55</v>
      </c>
      <c r="H137" s="86" t="s">
        <v>1109</v>
      </c>
      <c r="I137" s="79" t="s">
        <v>1434</v>
      </c>
      <c r="J137" s="82" t="s">
        <v>245</v>
      </c>
      <c r="K137" s="92"/>
      <c r="L137" s="86"/>
      <c r="M137" s="73" t="s">
        <v>58</v>
      </c>
      <c r="N137" s="73" t="s">
        <v>1196</v>
      </c>
      <c r="O137" s="102">
        <v>0</v>
      </c>
      <c r="P137" s="73">
        <v>0</v>
      </c>
    </row>
    <row r="138" spans="1:16" ht="51" x14ac:dyDescent="0.2">
      <c r="A138" s="73" t="s">
        <v>35</v>
      </c>
      <c r="B138" s="73" t="s">
        <v>243</v>
      </c>
      <c r="C138" s="213">
        <v>2</v>
      </c>
      <c r="D138" s="81" t="s">
        <v>247</v>
      </c>
      <c r="E138" s="73" t="s">
        <v>248</v>
      </c>
      <c r="F138" s="73">
        <v>560</v>
      </c>
      <c r="G138" s="73" t="s">
        <v>55</v>
      </c>
      <c r="H138" s="78" t="s">
        <v>249</v>
      </c>
      <c r="I138" s="78" t="s">
        <v>864</v>
      </c>
      <c r="J138" s="82" t="s">
        <v>245</v>
      </c>
      <c r="K138" s="90"/>
      <c r="L138" s="78"/>
      <c r="M138" s="4" t="s">
        <v>250</v>
      </c>
      <c r="N138" s="4" t="s">
        <v>251</v>
      </c>
      <c r="O138" s="102">
        <v>3</v>
      </c>
      <c r="P138" s="73">
        <v>0</v>
      </c>
    </row>
    <row r="139" spans="1:16" ht="51" x14ac:dyDescent="0.2">
      <c r="A139" s="73" t="s">
        <v>35</v>
      </c>
      <c r="B139" s="73" t="s">
        <v>243</v>
      </c>
      <c r="C139" s="213">
        <v>3</v>
      </c>
      <c r="D139" s="81" t="s">
        <v>252</v>
      </c>
      <c r="E139" s="73" t="s">
        <v>253</v>
      </c>
      <c r="F139" s="73">
        <v>560</v>
      </c>
      <c r="G139" s="73" t="s">
        <v>55</v>
      </c>
      <c r="H139" s="78" t="s">
        <v>249</v>
      </c>
      <c r="I139" s="78" t="s">
        <v>864</v>
      </c>
      <c r="J139" s="82" t="s">
        <v>245</v>
      </c>
      <c r="K139" s="90"/>
      <c r="L139" s="78"/>
      <c r="M139" s="4" t="s">
        <v>250</v>
      </c>
      <c r="N139" s="4" t="s">
        <v>251</v>
      </c>
      <c r="O139" s="102">
        <v>3</v>
      </c>
      <c r="P139" s="73">
        <v>0</v>
      </c>
    </row>
    <row r="140" spans="1:16" ht="51" x14ac:dyDescent="0.2">
      <c r="A140" s="73" t="s">
        <v>35</v>
      </c>
      <c r="B140" s="73" t="s">
        <v>243</v>
      </c>
      <c r="C140" s="213">
        <v>4</v>
      </c>
      <c r="D140" s="81" t="s">
        <v>255</v>
      </c>
      <c r="E140" s="73" t="s">
        <v>256</v>
      </c>
      <c r="F140" s="73">
        <v>490</v>
      </c>
      <c r="G140" s="73" t="s">
        <v>55</v>
      </c>
      <c r="H140" s="78" t="s">
        <v>257</v>
      </c>
      <c r="I140" s="78" t="s">
        <v>258</v>
      </c>
      <c r="J140" s="82" t="s">
        <v>245</v>
      </c>
      <c r="K140" s="90"/>
      <c r="L140" s="78"/>
      <c r="M140" s="4" t="s">
        <v>259</v>
      </c>
      <c r="N140" s="4" t="s">
        <v>260</v>
      </c>
      <c r="O140" s="102">
        <v>3</v>
      </c>
      <c r="P140" s="73">
        <v>0</v>
      </c>
    </row>
    <row r="141" spans="1:16" ht="51" x14ac:dyDescent="0.2">
      <c r="A141" s="4" t="s">
        <v>35</v>
      </c>
      <c r="B141" s="4" t="s">
        <v>243</v>
      </c>
      <c r="C141" s="213">
        <v>5</v>
      </c>
      <c r="D141" s="71" t="s">
        <v>261</v>
      </c>
      <c r="E141" s="4" t="s">
        <v>262</v>
      </c>
      <c r="F141" s="4">
        <v>490</v>
      </c>
      <c r="G141" s="4" t="s">
        <v>55</v>
      </c>
      <c r="H141" s="78" t="s">
        <v>257</v>
      </c>
      <c r="I141" s="78" t="s">
        <v>861</v>
      </c>
      <c r="J141" s="82" t="s">
        <v>245</v>
      </c>
      <c r="K141" s="90"/>
      <c r="L141" s="78"/>
      <c r="M141" s="4" t="s">
        <v>259</v>
      </c>
      <c r="N141" s="4" t="s">
        <v>260</v>
      </c>
      <c r="O141" s="102">
        <v>3</v>
      </c>
      <c r="P141" s="73">
        <v>0</v>
      </c>
    </row>
    <row r="142" spans="1:16" ht="63.75" x14ac:dyDescent="0.2">
      <c r="A142" s="73" t="s">
        <v>35</v>
      </c>
      <c r="B142" s="73" t="s">
        <v>243</v>
      </c>
      <c r="C142" s="213">
        <v>6</v>
      </c>
      <c r="D142" s="81" t="s">
        <v>263</v>
      </c>
      <c r="E142" s="73" t="s">
        <v>264</v>
      </c>
      <c r="F142" s="85">
        <v>460</v>
      </c>
      <c r="G142" s="85" t="s">
        <v>55</v>
      </c>
      <c r="H142" s="86" t="s">
        <v>898</v>
      </c>
      <c r="I142" s="86" t="s">
        <v>862</v>
      </c>
      <c r="J142" s="83" t="s">
        <v>245</v>
      </c>
      <c r="K142" s="92"/>
      <c r="L142" s="86"/>
      <c r="M142" s="85" t="s">
        <v>265</v>
      </c>
      <c r="N142" s="85" t="s">
        <v>266</v>
      </c>
      <c r="O142" s="102">
        <v>3</v>
      </c>
      <c r="P142" s="73">
        <v>0</v>
      </c>
    </row>
    <row r="143" spans="1:16" ht="63.75" x14ac:dyDescent="0.2">
      <c r="A143" s="73" t="s">
        <v>35</v>
      </c>
      <c r="B143" s="73" t="s">
        <v>243</v>
      </c>
      <c r="C143" s="213">
        <v>7</v>
      </c>
      <c r="D143" s="81" t="s">
        <v>267</v>
      </c>
      <c r="E143" s="73" t="s">
        <v>268</v>
      </c>
      <c r="F143" s="85">
        <v>460</v>
      </c>
      <c r="G143" s="85" t="s">
        <v>55</v>
      </c>
      <c r="H143" s="86" t="s">
        <v>898</v>
      </c>
      <c r="I143" s="86" t="s">
        <v>862</v>
      </c>
      <c r="J143" s="83" t="s">
        <v>245</v>
      </c>
      <c r="K143" s="92"/>
      <c r="L143" s="86"/>
      <c r="M143" s="85" t="s">
        <v>265</v>
      </c>
      <c r="N143" s="85" t="s">
        <v>266</v>
      </c>
      <c r="O143" s="102">
        <v>3</v>
      </c>
      <c r="P143" s="73">
        <v>0</v>
      </c>
    </row>
    <row r="144" spans="1:16" ht="51" x14ac:dyDescent="0.2">
      <c r="A144" s="73" t="s">
        <v>35</v>
      </c>
      <c r="B144" s="73" t="s">
        <v>243</v>
      </c>
      <c r="C144" s="213">
        <v>8</v>
      </c>
      <c r="D144" s="81" t="s">
        <v>833</v>
      </c>
      <c r="E144" s="73" t="s">
        <v>269</v>
      </c>
      <c r="F144" s="85">
        <v>550</v>
      </c>
      <c r="G144" s="85" t="s">
        <v>55</v>
      </c>
      <c r="H144" s="86" t="s">
        <v>270</v>
      </c>
      <c r="I144" s="86" t="s">
        <v>863</v>
      </c>
      <c r="J144" s="83" t="s">
        <v>245</v>
      </c>
      <c r="K144" s="92"/>
      <c r="L144" s="86"/>
      <c r="M144" s="85" t="s">
        <v>271</v>
      </c>
      <c r="N144" s="85" t="s">
        <v>272</v>
      </c>
      <c r="O144" s="102">
        <v>3</v>
      </c>
      <c r="P144" s="73">
        <v>0</v>
      </c>
    </row>
    <row r="145" spans="1:16" ht="114.75" x14ac:dyDescent="0.2">
      <c r="A145" s="143" t="s">
        <v>35</v>
      </c>
      <c r="B145" s="143" t="s">
        <v>243</v>
      </c>
      <c r="C145" s="213">
        <v>9</v>
      </c>
      <c r="D145" s="167" t="s">
        <v>277</v>
      </c>
      <c r="E145" s="143" t="s">
        <v>278</v>
      </c>
      <c r="F145" s="4">
        <v>80</v>
      </c>
      <c r="G145" s="4" t="s">
        <v>68</v>
      </c>
      <c r="H145" s="78" t="s">
        <v>279</v>
      </c>
      <c r="I145" s="78" t="s">
        <v>865</v>
      </c>
      <c r="J145" s="82" t="s">
        <v>245</v>
      </c>
      <c r="K145" s="90"/>
      <c r="L145" s="78"/>
      <c r="M145" s="4" t="s">
        <v>280</v>
      </c>
      <c r="N145" s="4" t="s">
        <v>777</v>
      </c>
      <c r="O145" s="102">
        <v>3</v>
      </c>
      <c r="P145" s="73">
        <v>0</v>
      </c>
    </row>
    <row r="146" spans="1:16" ht="114.75" x14ac:dyDescent="0.2">
      <c r="A146" s="143" t="s">
        <v>35</v>
      </c>
      <c r="B146" s="143" t="s">
        <v>243</v>
      </c>
      <c r="C146" s="213">
        <v>10</v>
      </c>
      <c r="D146" s="167" t="s">
        <v>282</v>
      </c>
      <c r="E146" s="143" t="s">
        <v>283</v>
      </c>
      <c r="F146" s="73">
        <v>80</v>
      </c>
      <c r="G146" s="4" t="s">
        <v>68</v>
      </c>
      <c r="H146" s="78" t="s">
        <v>284</v>
      </c>
      <c r="I146" s="78" t="s">
        <v>865</v>
      </c>
      <c r="J146" s="82" t="s">
        <v>245</v>
      </c>
      <c r="K146" s="90"/>
      <c r="L146" s="78"/>
      <c r="M146" s="4" t="s">
        <v>280</v>
      </c>
      <c r="N146" s="4" t="s">
        <v>777</v>
      </c>
      <c r="O146" s="102">
        <v>3</v>
      </c>
      <c r="P146" s="73">
        <v>0</v>
      </c>
    </row>
    <row r="147" spans="1:16" ht="76.5" x14ac:dyDescent="0.2">
      <c r="A147" s="73" t="s">
        <v>35</v>
      </c>
      <c r="B147" s="73" t="s">
        <v>243</v>
      </c>
      <c r="C147" s="213">
        <v>11</v>
      </c>
      <c r="D147" s="79" t="s">
        <v>285</v>
      </c>
      <c r="E147" s="73" t="s">
        <v>286</v>
      </c>
      <c r="F147" s="85">
        <v>65</v>
      </c>
      <c r="G147" s="85" t="s">
        <v>55</v>
      </c>
      <c r="H147" s="86" t="s">
        <v>287</v>
      </c>
      <c r="I147" s="86" t="s">
        <v>866</v>
      </c>
      <c r="J147" s="83" t="s">
        <v>245</v>
      </c>
      <c r="K147" s="92"/>
      <c r="L147" s="86"/>
      <c r="M147" s="85" t="s">
        <v>288</v>
      </c>
      <c r="N147" s="85" t="s">
        <v>289</v>
      </c>
      <c r="O147" s="102">
        <v>3</v>
      </c>
      <c r="P147" s="73">
        <v>1</v>
      </c>
    </row>
    <row r="148" spans="1:16" ht="76.5" x14ac:dyDescent="0.2">
      <c r="A148" s="73" t="s">
        <v>35</v>
      </c>
      <c r="B148" s="73" t="s">
        <v>243</v>
      </c>
      <c r="C148" s="213">
        <v>12</v>
      </c>
      <c r="D148" s="79" t="s">
        <v>290</v>
      </c>
      <c r="E148" s="73" t="s">
        <v>291</v>
      </c>
      <c r="F148" s="85">
        <v>115</v>
      </c>
      <c r="G148" s="85" t="s">
        <v>55</v>
      </c>
      <c r="H148" s="86" t="s">
        <v>287</v>
      </c>
      <c r="I148" s="86" t="s">
        <v>866</v>
      </c>
      <c r="J148" s="83" t="s">
        <v>245</v>
      </c>
      <c r="K148" s="92"/>
      <c r="L148" s="86"/>
      <c r="M148" s="85" t="s">
        <v>288</v>
      </c>
      <c r="N148" s="85" t="s">
        <v>289</v>
      </c>
      <c r="O148" s="102">
        <v>3</v>
      </c>
      <c r="P148" s="73">
        <v>0</v>
      </c>
    </row>
    <row r="149" spans="1:16" ht="63.75" x14ac:dyDescent="0.2">
      <c r="A149" s="73" t="s">
        <v>35</v>
      </c>
      <c r="B149" s="73" t="s">
        <v>243</v>
      </c>
      <c r="C149" s="213">
        <v>13</v>
      </c>
      <c r="D149" s="79" t="s">
        <v>292</v>
      </c>
      <c r="E149" s="73" t="s">
        <v>293</v>
      </c>
      <c r="F149" s="85">
        <v>60</v>
      </c>
      <c r="G149" s="85" t="s">
        <v>55</v>
      </c>
      <c r="H149" s="86" t="s">
        <v>294</v>
      </c>
      <c r="I149" s="86" t="s">
        <v>868</v>
      </c>
      <c r="J149" s="83" t="s">
        <v>245</v>
      </c>
      <c r="K149" s="92"/>
      <c r="L149" s="86"/>
      <c r="M149" s="85" t="s">
        <v>295</v>
      </c>
      <c r="N149" s="85" t="s">
        <v>254</v>
      </c>
      <c r="O149" s="102">
        <v>3</v>
      </c>
      <c r="P149" s="73">
        <v>1</v>
      </c>
    </row>
    <row r="150" spans="1:16" ht="63.75" x14ac:dyDescent="0.2">
      <c r="A150" s="73" t="s">
        <v>35</v>
      </c>
      <c r="B150" s="73" t="s">
        <v>243</v>
      </c>
      <c r="C150" s="213">
        <v>14</v>
      </c>
      <c r="D150" s="79" t="s">
        <v>296</v>
      </c>
      <c r="E150" s="73" t="s">
        <v>297</v>
      </c>
      <c r="F150" s="85">
        <v>145</v>
      </c>
      <c r="G150" s="85" t="s">
        <v>55</v>
      </c>
      <c r="H150" s="86" t="s">
        <v>294</v>
      </c>
      <c r="I150" s="86" t="s">
        <v>869</v>
      </c>
      <c r="J150" s="83" t="s">
        <v>245</v>
      </c>
      <c r="K150" s="92"/>
      <c r="L150" s="86"/>
      <c r="M150" s="85" t="s">
        <v>295</v>
      </c>
      <c r="N150" s="85" t="s">
        <v>254</v>
      </c>
      <c r="O150" s="102">
        <v>3</v>
      </c>
      <c r="P150" s="73">
        <v>0</v>
      </c>
    </row>
    <row r="151" spans="1:16" ht="63.75" x14ac:dyDescent="0.2">
      <c r="A151" s="73" t="s">
        <v>35</v>
      </c>
      <c r="B151" s="73" t="s">
        <v>243</v>
      </c>
      <c r="C151" s="213">
        <v>15</v>
      </c>
      <c r="D151" s="79" t="s">
        <v>298</v>
      </c>
      <c r="E151" s="73" t="s">
        <v>299</v>
      </c>
      <c r="F151" s="85">
        <v>65</v>
      </c>
      <c r="G151" s="85" t="s">
        <v>55</v>
      </c>
      <c r="H151" s="86" t="s">
        <v>300</v>
      </c>
      <c r="I151" s="86" t="s">
        <v>867</v>
      </c>
      <c r="J151" s="83" t="s">
        <v>245</v>
      </c>
      <c r="K151" s="92"/>
      <c r="L151" s="86"/>
      <c r="M151" s="85" t="s">
        <v>280</v>
      </c>
      <c r="N151" s="85" t="s">
        <v>281</v>
      </c>
      <c r="O151" s="102">
        <v>3</v>
      </c>
      <c r="P151" s="73">
        <v>0</v>
      </c>
    </row>
    <row r="152" spans="1:16" ht="63.75" x14ac:dyDescent="0.2">
      <c r="A152" s="143" t="s">
        <v>35</v>
      </c>
      <c r="B152" s="143" t="s">
        <v>243</v>
      </c>
      <c r="C152" s="213">
        <v>16</v>
      </c>
      <c r="D152" s="167" t="s">
        <v>936</v>
      </c>
      <c r="E152" s="143" t="s">
        <v>937</v>
      </c>
      <c r="F152" s="4">
        <v>80</v>
      </c>
      <c r="G152" s="4" t="s">
        <v>68</v>
      </c>
      <c r="H152" s="78" t="s">
        <v>939</v>
      </c>
      <c r="I152" s="78" t="s">
        <v>940</v>
      </c>
      <c r="J152" s="82" t="s">
        <v>245</v>
      </c>
      <c r="K152" s="90"/>
      <c r="L152" s="78"/>
      <c r="M152" s="4" t="s">
        <v>941</v>
      </c>
      <c r="N152" s="4" t="s">
        <v>942</v>
      </c>
      <c r="O152" s="102">
        <v>3</v>
      </c>
      <c r="P152" s="73">
        <v>0</v>
      </c>
    </row>
    <row r="153" spans="1:16" ht="63.75" x14ac:dyDescent="0.2">
      <c r="A153" s="143" t="s">
        <v>35</v>
      </c>
      <c r="B153" s="143" t="s">
        <v>243</v>
      </c>
      <c r="C153" s="213">
        <v>17</v>
      </c>
      <c r="D153" s="167" t="s">
        <v>943</v>
      </c>
      <c r="E153" s="143" t="s">
        <v>938</v>
      </c>
      <c r="F153" s="73">
        <v>80</v>
      </c>
      <c r="G153" s="73" t="s">
        <v>68</v>
      </c>
      <c r="H153" s="78" t="s">
        <v>939</v>
      </c>
      <c r="I153" s="78" t="s">
        <v>940</v>
      </c>
      <c r="J153" s="82" t="s">
        <v>245</v>
      </c>
      <c r="K153" s="90"/>
      <c r="L153" s="78"/>
      <c r="M153" s="4" t="s">
        <v>941</v>
      </c>
      <c r="N153" s="4" t="s">
        <v>942</v>
      </c>
      <c r="O153" s="102">
        <v>3</v>
      </c>
      <c r="P153" s="73">
        <v>0</v>
      </c>
    </row>
    <row r="154" spans="1:16" ht="38.25" x14ac:dyDescent="0.2">
      <c r="A154" s="73" t="s">
        <v>35</v>
      </c>
      <c r="B154" s="73" t="s">
        <v>243</v>
      </c>
      <c r="C154" s="213">
        <v>18</v>
      </c>
      <c r="D154" s="79" t="s">
        <v>1102</v>
      </c>
      <c r="E154" s="73" t="s">
        <v>1136</v>
      </c>
      <c r="F154" s="85">
        <v>105</v>
      </c>
      <c r="G154" s="108" t="s">
        <v>55</v>
      </c>
      <c r="H154" s="86" t="s">
        <v>1197</v>
      </c>
      <c r="I154" s="79" t="s">
        <v>1103</v>
      </c>
      <c r="J154" s="82" t="s">
        <v>185</v>
      </c>
      <c r="K154" s="92"/>
      <c r="L154" s="86"/>
      <c r="M154" s="87" t="s">
        <v>58</v>
      </c>
      <c r="N154" s="87" t="s">
        <v>58</v>
      </c>
      <c r="O154" s="102">
        <v>1</v>
      </c>
      <c r="P154" s="73">
        <v>1</v>
      </c>
    </row>
    <row r="155" spans="1:16" ht="51" x14ac:dyDescent="0.2">
      <c r="A155" s="73" t="s">
        <v>35</v>
      </c>
      <c r="B155" s="73" t="s">
        <v>243</v>
      </c>
      <c r="C155" s="213">
        <v>19</v>
      </c>
      <c r="D155" s="79" t="s">
        <v>895</v>
      </c>
      <c r="E155" s="73" t="s">
        <v>896</v>
      </c>
      <c r="F155" s="73">
        <v>210</v>
      </c>
      <c r="G155" s="73" t="s">
        <v>55</v>
      </c>
      <c r="H155" s="78" t="s">
        <v>275</v>
      </c>
      <c r="I155" s="79" t="s">
        <v>897</v>
      </c>
      <c r="J155" s="82" t="s">
        <v>245</v>
      </c>
      <c r="K155" s="90"/>
      <c r="L155" s="78"/>
      <c r="M155" s="4" t="s">
        <v>58</v>
      </c>
      <c r="N155" s="4" t="s">
        <v>254</v>
      </c>
      <c r="O155" s="102">
        <v>3</v>
      </c>
      <c r="P155" s="73">
        <v>0</v>
      </c>
    </row>
    <row r="156" spans="1:16" ht="51" x14ac:dyDescent="0.2">
      <c r="A156" s="73" t="s">
        <v>35</v>
      </c>
      <c r="B156" s="73" t="s">
        <v>243</v>
      </c>
      <c r="C156" s="213">
        <v>20</v>
      </c>
      <c r="D156" s="79" t="s">
        <v>1134</v>
      </c>
      <c r="E156" s="73"/>
      <c r="F156" s="85"/>
      <c r="G156" s="108" t="s">
        <v>55</v>
      </c>
      <c r="H156" s="86" t="s">
        <v>1109</v>
      </c>
      <c r="I156" s="79" t="s">
        <v>1110</v>
      </c>
      <c r="J156" s="82" t="s">
        <v>185</v>
      </c>
      <c r="K156" s="92"/>
      <c r="L156" s="86"/>
      <c r="M156" s="73" t="s">
        <v>58</v>
      </c>
      <c r="N156" s="73" t="s">
        <v>1111</v>
      </c>
      <c r="O156" s="102">
        <v>0</v>
      </c>
      <c r="P156" s="73">
        <v>0</v>
      </c>
    </row>
    <row r="157" spans="1:16" ht="51" x14ac:dyDescent="0.2">
      <c r="A157" s="73" t="s">
        <v>35</v>
      </c>
      <c r="B157" s="73" t="s">
        <v>243</v>
      </c>
      <c r="C157" s="213">
        <v>21</v>
      </c>
      <c r="D157" s="79" t="s">
        <v>1135</v>
      </c>
      <c r="E157" s="73"/>
      <c r="F157" s="85"/>
      <c r="G157" s="108" t="s">
        <v>55</v>
      </c>
      <c r="H157" s="86" t="s">
        <v>1109</v>
      </c>
      <c r="I157" s="79" t="s">
        <v>1110</v>
      </c>
      <c r="J157" s="82" t="s">
        <v>185</v>
      </c>
      <c r="K157" s="92"/>
      <c r="L157" s="86"/>
      <c r="M157" s="73" t="s">
        <v>58</v>
      </c>
      <c r="N157" s="73" t="s">
        <v>1111</v>
      </c>
      <c r="O157" s="102">
        <v>0</v>
      </c>
      <c r="P157" s="73">
        <v>0</v>
      </c>
    </row>
    <row r="158" spans="1:16" ht="51" x14ac:dyDescent="0.2">
      <c r="A158" s="73" t="s">
        <v>35</v>
      </c>
      <c r="B158" s="73" t="s">
        <v>243</v>
      </c>
      <c r="C158" s="213">
        <v>22</v>
      </c>
      <c r="D158" s="79" t="s">
        <v>1251</v>
      </c>
      <c r="E158" s="73"/>
      <c r="F158" s="85"/>
      <c r="G158" s="108" t="s">
        <v>55</v>
      </c>
      <c r="H158" s="86" t="s">
        <v>1109</v>
      </c>
      <c r="I158" s="79" t="s">
        <v>1110</v>
      </c>
      <c r="J158" s="82" t="s">
        <v>185</v>
      </c>
      <c r="K158" s="92"/>
      <c r="L158" s="86"/>
      <c r="M158" s="73" t="s">
        <v>58</v>
      </c>
      <c r="N158" s="73" t="s">
        <v>1111</v>
      </c>
      <c r="O158" s="102">
        <v>0</v>
      </c>
      <c r="P158" s="73">
        <v>0</v>
      </c>
    </row>
    <row r="159" spans="1:16" ht="38.25" x14ac:dyDescent="0.2">
      <c r="A159" s="73" t="s">
        <v>35</v>
      </c>
      <c r="B159" s="73" t="s">
        <v>243</v>
      </c>
      <c r="C159" s="213">
        <v>23</v>
      </c>
      <c r="D159" s="79" t="s">
        <v>1107</v>
      </c>
      <c r="E159" s="73" t="s">
        <v>1137</v>
      </c>
      <c r="F159" s="85">
        <v>145</v>
      </c>
      <c r="G159" s="108" t="s">
        <v>55</v>
      </c>
      <c r="H159" s="86" t="s">
        <v>1108</v>
      </c>
      <c r="I159" s="79" t="s">
        <v>1198</v>
      </c>
      <c r="J159" s="82" t="s">
        <v>185</v>
      </c>
      <c r="K159" s="92"/>
      <c r="L159" s="86"/>
      <c r="M159" s="87" t="s">
        <v>58</v>
      </c>
      <c r="N159" s="87" t="s">
        <v>58</v>
      </c>
      <c r="O159" s="102">
        <v>3</v>
      </c>
      <c r="P159" s="73">
        <v>0</v>
      </c>
    </row>
    <row r="160" spans="1:16" ht="51" x14ac:dyDescent="0.2">
      <c r="A160" s="73" t="s">
        <v>35</v>
      </c>
      <c r="B160" s="73" t="s">
        <v>243</v>
      </c>
      <c r="C160" s="213">
        <v>24</v>
      </c>
      <c r="D160" s="81" t="s">
        <v>1278</v>
      </c>
      <c r="E160" s="73" t="s">
        <v>1279</v>
      </c>
      <c r="F160" s="73">
        <v>640</v>
      </c>
      <c r="G160" s="73" t="s">
        <v>55</v>
      </c>
      <c r="H160" s="78" t="s">
        <v>244</v>
      </c>
      <c r="I160" s="78" t="s">
        <v>1280</v>
      </c>
      <c r="J160" s="82" t="s">
        <v>1281</v>
      </c>
      <c r="K160" s="90"/>
      <c r="L160" s="78"/>
      <c r="M160" s="4" t="s">
        <v>58</v>
      </c>
      <c r="N160" s="4" t="s">
        <v>246</v>
      </c>
      <c r="O160" s="102">
        <v>3</v>
      </c>
      <c r="P160" s="73">
        <v>0</v>
      </c>
    </row>
    <row r="161" spans="1:16" ht="51" x14ac:dyDescent="0.2">
      <c r="A161" s="73" t="s">
        <v>35</v>
      </c>
      <c r="B161" s="73" t="s">
        <v>243</v>
      </c>
      <c r="C161" s="213">
        <v>25</v>
      </c>
      <c r="D161" s="81" t="s">
        <v>1282</v>
      </c>
      <c r="E161" s="73" t="s">
        <v>1283</v>
      </c>
      <c r="F161" s="73">
        <v>420</v>
      </c>
      <c r="G161" s="73" t="s">
        <v>55</v>
      </c>
      <c r="H161" s="78" t="s">
        <v>244</v>
      </c>
      <c r="I161" s="78" t="s">
        <v>1280</v>
      </c>
      <c r="J161" s="82" t="s">
        <v>1281</v>
      </c>
      <c r="K161" s="90"/>
      <c r="L161" s="78"/>
      <c r="M161" s="4" t="s">
        <v>58</v>
      </c>
      <c r="N161" s="4" t="s">
        <v>246</v>
      </c>
      <c r="O161" s="102">
        <v>3</v>
      </c>
      <c r="P161" s="73">
        <v>1</v>
      </c>
    </row>
    <row r="162" spans="1:16" ht="25.5" x14ac:dyDescent="0.2">
      <c r="A162" s="73" t="s">
        <v>35</v>
      </c>
      <c r="B162" s="73" t="s">
        <v>243</v>
      </c>
      <c r="C162" s="213">
        <v>26</v>
      </c>
      <c r="D162" s="81" t="s">
        <v>1284</v>
      </c>
      <c r="E162" s="73" t="s">
        <v>1285</v>
      </c>
      <c r="F162" s="73">
        <v>590</v>
      </c>
      <c r="G162" s="73" t="s">
        <v>55</v>
      </c>
      <c r="H162" s="78" t="s">
        <v>244</v>
      </c>
      <c r="I162" s="78" t="s">
        <v>1286</v>
      </c>
      <c r="J162" s="82" t="s">
        <v>185</v>
      </c>
      <c r="K162" s="90"/>
      <c r="L162" s="78"/>
      <c r="M162" s="4" t="s">
        <v>58</v>
      </c>
      <c r="N162" s="4" t="s">
        <v>1287</v>
      </c>
      <c r="O162" s="102">
        <v>3</v>
      </c>
      <c r="P162" s="73">
        <v>0</v>
      </c>
    </row>
    <row r="163" spans="1:16" ht="25.5" x14ac:dyDescent="0.2">
      <c r="A163" s="73" t="s">
        <v>35</v>
      </c>
      <c r="B163" s="73" t="s">
        <v>243</v>
      </c>
      <c r="C163" s="213">
        <v>27</v>
      </c>
      <c r="D163" s="81" t="s">
        <v>1301</v>
      </c>
      <c r="E163" s="73" t="s">
        <v>1302</v>
      </c>
      <c r="F163" s="73">
        <v>590</v>
      </c>
      <c r="G163" s="73" t="s">
        <v>55</v>
      </c>
      <c r="H163" s="78" t="s">
        <v>244</v>
      </c>
      <c r="I163" s="78" t="s">
        <v>1286</v>
      </c>
      <c r="J163" s="82" t="s">
        <v>185</v>
      </c>
      <c r="K163" s="90"/>
      <c r="L163" s="78"/>
      <c r="M163" s="4" t="s">
        <v>58</v>
      </c>
      <c r="N163" s="4" t="s">
        <v>1287</v>
      </c>
      <c r="O163" s="102">
        <v>3</v>
      </c>
      <c r="P163" s="73">
        <v>0</v>
      </c>
    </row>
    <row r="164" spans="1:16" ht="25.5" x14ac:dyDescent="0.2">
      <c r="A164" s="73" t="s">
        <v>35</v>
      </c>
      <c r="B164" s="73" t="s">
        <v>243</v>
      </c>
      <c r="C164" s="213">
        <v>28</v>
      </c>
      <c r="D164" s="81" t="s">
        <v>1298</v>
      </c>
      <c r="E164" s="73" t="s">
        <v>1288</v>
      </c>
      <c r="F164" s="73">
        <v>690</v>
      </c>
      <c r="G164" s="73" t="s">
        <v>55</v>
      </c>
      <c r="H164" s="78" t="s">
        <v>244</v>
      </c>
      <c r="I164" s="78" t="s">
        <v>1286</v>
      </c>
      <c r="J164" s="82" t="s">
        <v>185</v>
      </c>
      <c r="K164" s="90"/>
      <c r="L164" s="78"/>
      <c r="M164" s="4" t="s">
        <v>58</v>
      </c>
      <c r="N164" s="4" t="s">
        <v>1287</v>
      </c>
      <c r="O164" s="102">
        <v>3</v>
      </c>
      <c r="P164" s="73">
        <v>0</v>
      </c>
    </row>
    <row r="165" spans="1:16" ht="25.5" x14ac:dyDescent="0.2">
      <c r="A165" s="73" t="s">
        <v>35</v>
      </c>
      <c r="B165" s="73" t="s">
        <v>243</v>
      </c>
      <c r="C165" s="213">
        <v>29</v>
      </c>
      <c r="D165" s="81" t="s">
        <v>1299</v>
      </c>
      <c r="E165" s="73" t="s">
        <v>1373</v>
      </c>
      <c r="F165" s="73">
        <v>500</v>
      </c>
      <c r="G165" s="73" t="s">
        <v>55</v>
      </c>
      <c r="H165" s="78" t="s">
        <v>1296</v>
      </c>
      <c r="I165" s="78" t="s">
        <v>1295</v>
      </c>
      <c r="J165" s="82" t="s">
        <v>185</v>
      </c>
      <c r="K165" s="90"/>
      <c r="L165" s="78"/>
      <c r="M165" s="4" t="s">
        <v>58</v>
      </c>
      <c r="N165" s="4" t="s">
        <v>260</v>
      </c>
      <c r="O165" s="102">
        <v>3</v>
      </c>
      <c r="P165" s="73">
        <v>0</v>
      </c>
    </row>
    <row r="166" spans="1:16" ht="25.5" x14ac:dyDescent="0.2">
      <c r="A166" s="73" t="s">
        <v>35</v>
      </c>
      <c r="B166" s="73" t="s">
        <v>243</v>
      </c>
      <c r="C166" s="213">
        <v>30</v>
      </c>
      <c r="D166" s="81" t="s">
        <v>1300</v>
      </c>
      <c r="E166" s="73" t="s">
        <v>1303</v>
      </c>
      <c r="F166" s="73">
        <v>650</v>
      </c>
      <c r="G166" s="73" t="s">
        <v>55</v>
      </c>
      <c r="H166" s="78" t="s">
        <v>1304</v>
      </c>
      <c r="I166" s="78" t="s">
        <v>1305</v>
      </c>
      <c r="J166" s="82" t="s">
        <v>185</v>
      </c>
      <c r="K166" s="90"/>
      <c r="L166" s="78"/>
      <c r="M166" s="4" t="s">
        <v>58</v>
      </c>
      <c r="N166" s="4" t="s">
        <v>260</v>
      </c>
      <c r="O166" s="102">
        <v>3</v>
      </c>
      <c r="P166" s="73">
        <v>0</v>
      </c>
    </row>
    <row r="167" spans="1:16" ht="25.5" x14ac:dyDescent="0.2">
      <c r="A167" s="73" t="s">
        <v>35</v>
      </c>
      <c r="B167" s="73" t="s">
        <v>243</v>
      </c>
      <c r="C167" s="213">
        <v>31</v>
      </c>
      <c r="D167" s="79" t="s">
        <v>653</v>
      </c>
      <c r="E167" s="73"/>
      <c r="F167" s="85"/>
      <c r="G167" s="108" t="s">
        <v>55</v>
      </c>
      <c r="H167" s="86" t="s">
        <v>187</v>
      </c>
      <c r="I167" s="79" t="s">
        <v>860</v>
      </c>
      <c r="J167" s="82" t="s">
        <v>185</v>
      </c>
      <c r="K167" s="92"/>
      <c r="L167" s="86"/>
      <c r="M167" s="85"/>
      <c r="N167" s="85"/>
      <c r="O167" s="102">
        <v>2</v>
      </c>
      <c r="P167" s="73">
        <v>1</v>
      </c>
    </row>
    <row r="168" spans="1:16" ht="25.5" x14ac:dyDescent="0.2">
      <c r="A168" s="73" t="s">
        <v>35</v>
      </c>
      <c r="B168" s="73" t="s">
        <v>243</v>
      </c>
      <c r="C168" s="213">
        <v>32</v>
      </c>
      <c r="D168" s="79" t="s">
        <v>654</v>
      </c>
      <c r="E168" s="73"/>
      <c r="F168" s="85"/>
      <c r="G168" s="108" t="s">
        <v>55</v>
      </c>
      <c r="H168" s="86" t="s">
        <v>187</v>
      </c>
      <c r="I168" s="79" t="s">
        <v>860</v>
      </c>
      <c r="J168" s="82" t="s">
        <v>185</v>
      </c>
      <c r="K168" s="92"/>
      <c r="L168" s="86"/>
      <c r="M168" s="85"/>
      <c r="N168" s="85"/>
      <c r="O168" s="102">
        <v>2</v>
      </c>
      <c r="P168" s="73">
        <v>1</v>
      </c>
    </row>
    <row r="169" spans="1:16" ht="14.25" x14ac:dyDescent="0.2">
      <c r="A169" s="73" t="s">
        <v>35</v>
      </c>
      <c r="B169" s="73" t="s">
        <v>243</v>
      </c>
      <c r="C169" s="213">
        <v>33</v>
      </c>
      <c r="D169" s="79" t="s">
        <v>655</v>
      </c>
      <c r="E169" s="73"/>
      <c r="F169" s="85"/>
      <c r="G169" s="108" t="s">
        <v>55</v>
      </c>
      <c r="H169" s="86" t="s">
        <v>187</v>
      </c>
      <c r="I169" s="79" t="s">
        <v>860</v>
      </c>
      <c r="J169" s="82" t="s">
        <v>185</v>
      </c>
      <c r="K169" s="92"/>
      <c r="L169" s="86"/>
      <c r="M169" s="85"/>
      <c r="N169" s="85"/>
      <c r="O169" s="102">
        <v>2</v>
      </c>
      <c r="P169" s="73">
        <v>1</v>
      </c>
    </row>
    <row r="170" spans="1:16" ht="14.25" x14ac:dyDescent="0.2">
      <c r="A170" s="73" t="s">
        <v>35</v>
      </c>
      <c r="B170" s="73" t="s">
        <v>243</v>
      </c>
      <c r="C170" s="213">
        <v>34</v>
      </c>
      <c r="D170" s="79" t="s">
        <v>656</v>
      </c>
      <c r="E170" s="73"/>
      <c r="F170" s="85"/>
      <c r="G170" s="108" t="s">
        <v>55</v>
      </c>
      <c r="H170" s="86" t="s">
        <v>187</v>
      </c>
      <c r="I170" s="79" t="s">
        <v>860</v>
      </c>
      <c r="J170" s="82" t="s">
        <v>185</v>
      </c>
      <c r="K170" s="92"/>
      <c r="L170" s="86"/>
      <c r="M170" s="85"/>
      <c r="N170" s="85"/>
      <c r="O170" s="102">
        <v>2</v>
      </c>
      <c r="P170" s="73">
        <v>1</v>
      </c>
    </row>
    <row r="171" spans="1:16" ht="14.25" x14ac:dyDescent="0.2">
      <c r="A171" s="73" t="s">
        <v>35</v>
      </c>
      <c r="B171" s="73" t="s">
        <v>243</v>
      </c>
      <c r="C171" s="213">
        <v>35</v>
      </c>
      <c r="D171" s="79" t="s">
        <v>657</v>
      </c>
      <c r="E171" s="73"/>
      <c r="F171" s="85"/>
      <c r="G171" s="108" t="s">
        <v>55</v>
      </c>
      <c r="H171" s="86" t="s">
        <v>187</v>
      </c>
      <c r="I171" s="79" t="s">
        <v>860</v>
      </c>
      <c r="J171" s="82" t="s">
        <v>185</v>
      </c>
      <c r="K171" s="92"/>
      <c r="L171" s="86"/>
      <c r="M171" s="85"/>
      <c r="N171" s="85"/>
      <c r="O171" s="102">
        <v>2</v>
      </c>
      <c r="P171" s="73">
        <v>1</v>
      </c>
    </row>
    <row r="172" spans="1:16" ht="14.25" x14ac:dyDescent="0.2">
      <c r="A172" s="73" t="s">
        <v>35</v>
      </c>
      <c r="B172" s="73" t="s">
        <v>243</v>
      </c>
      <c r="C172" s="213">
        <v>36</v>
      </c>
      <c r="D172" s="79" t="s">
        <v>301</v>
      </c>
      <c r="E172" s="73"/>
      <c r="F172" s="73"/>
      <c r="G172" s="108" t="s">
        <v>55</v>
      </c>
      <c r="H172" s="79" t="s">
        <v>187</v>
      </c>
      <c r="I172" s="79" t="s">
        <v>860</v>
      </c>
      <c r="J172" s="82" t="s">
        <v>185</v>
      </c>
      <c r="K172" s="92"/>
      <c r="L172" s="79"/>
      <c r="M172" s="87"/>
      <c r="N172" s="87"/>
      <c r="O172" s="102">
        <v>2</v>
      </c>
      <c r="P172" s="73">
        <v>1</v>
      </c>
    </row>
    <row r="173" spans="1:16" ht="25.5" x14ac:dyDescent="0.2">
      <c r="A173" s="73" t="s">
        <v>35</v>
      </c>
      <c r="B173" s="73" t="s">
        <v>243</v>
      </c>
      <c r="C173" s="213">
        <v>37</v>
      </c>
      <c r="D173" s="79" t="s">
        <v>870</v>
      </c>
      <c r="E173" s="73"/>
      <c r="F173" s="73"/>
      <c r="G173" s="108" t="s">
        <v>55</v>
      </c>
      <c r="H173" s="79" t="s">
        <v>187</v>
      </c>
      <c r="I173" s="79" t="s">
        <v>860</v>
      </c>
      <c r="J173" s="82" t="s">
        <v>185</v>
      </c>
      <c r="K173" s="92"/>
      <c r="L173" s="79"/>
      <c r="M173" s="87"/>
      <c r="N173" s="87"/>
      <c r="O173" s="102">
        <v>2</v>
      </c>
      <c r="P173" s="73">
        <v>1</v>
      </c>
    </row>
    <row r="174" spans="1:16" ht="25.5" x14ac:dyDescent="0.2">
      <c r="A174" s="73" t="s">
        <v>35</v>
      </c>
      <c r="B174" s="73" t="s">
        <v>243</v>
      </c>
      <c r="C174" s="213">
        <v>38</v>
      </c>
      <c r="D174" s="79" t="s">
        <v>1392</v>
      </c>
      <c r="E174" s="73"/>
      <c r="F174" s="73"/>
      <c r="G174" s="108" t="s">
        <v>55</v>
      </c>
      <c r="H174" s="79" t="s">
        <v>187</v>
      </c>
      <c r="I174" s="79" t="s">
        <v>860</v>
      </c>
      <c r="J174" s="82" t="s">
        <v>185</v>
      </c>
      <c r="K174" s="92"/>
      <c r="L174" s="79"/>
      <c r="M174" s="87"/>
      <c r="N174" s="87"/>
      <c r="O174" s="102">
        <v>2</v>
      </c>
      <c r="P174" s="73">
        <v>1</v>
      </c>
    </row>
    <row r="175" spans="1:16" ht="63.75" x14ac:dyDescent="0.2">
      <c r="A175" s="73" t="s">
        <v>35</v>
      </c>
      <c r="B175" s="73" t="s">
        <v>302</v>
      </c>
      <c r="C175" s="73">
        <v>1</v>
      </c>
      <c r="D175" s="79" t="s">
        <v>848</v>
      </c>
      <c r="E175" s="73" t="s">
        <v>849</v>
      </c>
      <c r="F175" s="73">
        <v>90</v>
      </c>
      <c r="G175" s="73" t="s">
        <v>55</v>
      </c>
      <c r="H175" s="86" t="s">
        <v>310</v>
      </c>
      <c r="I175" s="86" t="s">
        <v>303</v>
      </c>
      <c r="J175" s="79" t="s">
        <v>1202</v>
      </c>
      <c r="K175" s="92" t="s">
        <v>306</v>
      </c>
      <c r="L175" s="79" t="s">
        <v>1104</v>
      </c>
      <c r="M175" s="87" t="s">
        <v>58</v>
      </c>
      <c r="N175" s="87" t="s">
        <v>1207</v>
      </c>
      <c r="O175" s="144">
        <v>1</v>
      </c>
      <c r="P175" s="73">
        <v>1</v>
      </c>
    </row>
    <row r="176" spans="1:16" ht="63.75" x14ac:dyDescent="0.2">
      <c r="A176" s="73" t="s">
        <v>35</v>
      </c>
      <c r="B176" s="73" t="s">
        <v>302</v>
      </c>
      <c r="C176" s="73">
        <v>2</v>
      </c>
      <c r="D176" s="79" t="s">
        <v>1199</v>
      </c>
      <c r="E176" s="73"/>
      <c r="F176" s="73"/>
      <c r="G176" s="73" t="s">
        <v>55</v>
      </c>
      <c r="H176" s="86" t="s">
        <v>1131</v>
      </c>
      <c r="I176" s="86" t="s">
        <v>303</v>
      </c>
      <c r="J176" s="79" t="s">
        <v>1203</v>
      </c>
      <c r="K176" s="92" t="s">
        <v>306</v>
      </c>
      <c r="L176" s="79" t="s">
        <v>1104</v>
      </c>
      <c r="M176" s="87" t="s">
        <v>58</v>
      </c>
      <c r="N176" s="87" t="s">
        <v>1207</v>
      </c>
      <c r="O176" s="144">
        <v>0</v>
      </c>
      <c r="P176" s="73">
        <v>0</v>
      </c>
    </row>
    <row r="177" spans="1:16" ht="63.75" x14ac:dyDescent="0.2">
      <c r="A177" s="73" t="s">
        <v>35</v>
      </c>
      <c r="B177" s="73" t="s">
        <v>302</v>
      </c>
      <c r="C177" s="73">
        <v>3</v>
      </c>
      <c r="D177" s="79" t="s">
        <v>1200</v>
      </c>
      <c r="E177" s="73"/>
      <c r="F177" s="73"/>
      <c r="G177" s="73" t="s">
        <v>55</v>
      </c>
      <c r="H177" s="86" t="s">
        <v>1131</v>
      </c>
      <c r="I177" s="86" t="s">
        <v>303</v>
      </c>
      <c r="J177" s="79" t="s">
        <v>1203</v>
      </c>
      <c r="K177" s="92" t="s">
        <v>306</v>
      </c>
      <c r="L177" s="79" t="s">
        <v>1104</v>
      </c>
      <c r="M177" s="87" t="s">
        <v>58</v>
      </c>
      <c r="N177" s="87" t="s">
        <v>1207</v>
      </c>
      <c r="O177" s="144">
        <v>0</v>
      </c>
      <c r="P177" s="73">
        <v>0</v>
      </c>
    </row>
    <row r="178" spans="1:16" ht="63.75" x14ac:dyDescent="0.2">
      <c r="A178" s="73" t="s">
        <v>35</v>
      </c>
      <c r="B178" s="73" t="s">
        <v>302</v>
      </c>
      <c r="C178" s="73">
        <v>4</v>
      </c>
      <c r="D178" s="79" t="s">
        <v>1201</v>
      </c>
      <c r="E178" s="73"/>
      <c r="F178" s="73"/>
      <c r="G178" s="73" t="s">
        <v>55</v>
      </c>
      <c r="H178" s="86" t="s">
        <v>1131</v>
      </c>
      <c r="I178" s="86" t="s">
        <v>303</v>
      </c>
      <c r="J178" s="79" t="s">
        <v>1203</v>
      </c>
      <c r="K178" s="92" t="s">
        <v>306</v>
      </c>
      <c r="L178" s="79" t="s">
        <v>1104</v>
      </c>
      <c r="M178" s="87" t="s">
        <v>58</v>
      </c>
      <c r="N178" s="87" t="s">
        <v>1207</v>
      </c>
      <c r="O178" s="144">
        <v>0</v>
      </c>
      <c r="P178" s="73">
        <v>0</v>
      </c>
    </row>
    <row r="179" spans="1:16" ht="63.75" x14ac:dyDescent="0.2">
      <c r="A179" s="73" t="s">
        <v>35</v>
      </c>
      <c r="B179" s="73" t="s">
        <v>302</v>
      </c>
      <c r="C179" s="73">
        <v>5</v>
      </c>
      <c r="D179" s="79" t="s">
        <v>1204</v>
      </c>
      <c r="E179" s="73"/>
      <c r="F179" s="73"/>
      <c r="G179" s="73" t="s">
        <v>55</v>
      </c>
      <c r="H179" s="86" t="s">
        <v>1131</v>
      </c>
      <c r="I179" s="86" t="s">
        <v>303</v>
      </c>
      <c r="J179" s="79" t="s">
        <v>1203</v>
      </c>
      <c r="K179" s="92" t="s">
        <v>306</v>
      </c>
      <c r="L179" s="79" t="s">
        <v>1104</v>
      </c>
      <c r="M179" s="73" t="s">
        <v>58</v>
      </c>
      <c r="N179" s="87" t="s">
        <v>1207</v>
      </c>
      <c r="O179" s="102">
        <v>0</v>
      </c>
      <c r="P179" s="73">
        <v>0</v>
      </c>
    </row>
    <row r="180" spans="1:16" ht="63.75" x14ac:dyDescent="0.2">
      <c r="A180" s="73" t="s">
        <v>35</v>
      </c>
      <c r="B180" s="73" t="s">
        <v>302</v>
      </c>
      <c r="C180" s="73">
        <v>6</v>
      </c>
      <c r="D180" s="79" t="s">
        <v>1205</v>
      </c>
      <c r="E180" s="73"/>
      <c r="F180" s="73"/>
      <c r="G180" s="73" t="s">
        <v>55</v>
      </c>
      <c r="H180" s="86" t="s">
        <v>1131</v>
      </c>
      <c r="I180" s="86" t="s">
        <v>303</v>
      </c>
      <c r="J180" s="79" t="s">
        <v>1203</v>
      </c>
      <c r="K180" s="92" t="s">
        <v>306</v>
      </c>
      <c r="L180" s="79" t="s">
        <v>1104</v>
      </c>
      <c r="M180" s="73" t="s">
        <v>58</v>
      </c>
      <c r="N180" s="87" t="s">
        <v>1207</v>
      </c>
      <c r="O180" s="102">
        <v>0</v>
      </c>
      <c r="P180" s="73">
        <v>0</v>
      </c>
    </row>
    <row r="181" spans="1:16" ht="63.75" x14ac:dyDescent="0.2">
      <c r="A181" s="73" t="s">
        <v>35</v>
      </c>
      <c r="B181" s="73" t="s">
        <v>302</v>
      </c>
      <c r="C181" s="73">
        <v>7</v>
      </c>
      <c r="D181" s="79" t="s">
        <v>1206</v>
      </c>
      <c r="E181" s="73"/>
      <c r="F181" s="73"/>
      <c r="G181" s="73" t="s">
        <v>55</v>
      </c>
      <c r="H181" s="86" t="s">
        <v>1132</v>
      </c>
      <c r="I181" s="86" t="s">
        <v>1208</v>
      </c>
      <c r="J181" s="79" t="s">
        <v>1203</v>
      </c>
      <c r="K181" s="92" t="s">
        <v>306</v>
      </c>
      <c r="L181" s="79" t="s">
        <v>1117</v>
      </c>
      <c r="M181" s="87" t="s">
        <v>1207</v>
      </c>
      <c r="N181" s="87" t="s">
        <v>58</v>
      </c>
      <c r="O181" s="102">
        <v>3</v>
      </c>
      <c r="P181" s="73">
        <v>0</v>
      </c>
    </row>
    <row r="182" spans="1:16" ht="63.75" x14ac:dyDescent="0.2">
      <c r="A182" s="73" t="s">
        <v>35</v>
      </c>
      <c r="B182" s="73" t="s">
        <v>302</v>
      </c>
      <c r="C182" s="73">
        <v>8</v>
      </c>
      <c r="D182" s="79" t="s">
        <v>1209</v>
      </c>
      <c r="E182" s="73"/>
      <c r="F182" s="73"/>
      <c r="G182" s="73" t="s">
        <v>55</v>
      </c>
      <c r="H182" s="86" t="s">
        <v>1132</v>
      </c>
      <c r="I182" s="86" t="s">
        <v>1332</v>
      </c>
      <c r="J182" s="79"/>
      <c r="K182" s="92"/>
      <c r="L182" s="79"/>
      <c r="M182" s="87" t="s">
        <v>1207</v>
      </c>
      <c r="N182" s="87" t="s">
        <v>58</v>
      </c>
      <c r="O182" s="102">
        <v>3</v>
      </c>
      <c r="P182" s="73">
        <v>0</v>
      </c>
    </row>
    <row r="183" spans="1:16" ht="38.25" x14ac:dyDescent="0.2">
      <c r="A183" s="73" t="s">
        <v>36</v>
      </c>
      <c r="B183" s="73" t="s">
        <v>312</v>
      </c>
      <c r="C183" s="73">
        <v>1</v>
      </c>
      <c r="D183" s="81" t="s">
        <v>1173</v>
      </c>
      <c r="E183" s="73" t="s">
        <v>1174</v>
      </c>
      <c r="F183" s="73">
        <v>95</v>
      </c>
      <c r="G183" s="73" t="s">
        <v>55</v>
      </c>
      <c r="H183" s="78" t="s">
        <v>1178</v>
      </c>
      <c r="I183" s="78" t="s">
        <v>1175</v>
      </c>
      <c r="J183" s="82" t="s">
        <v>1400</v>
      </c>
      <c r="K183" s="90"/>
      <c r="L183" s="78" t="s">
        <v>1181</v>
      </c>
      <c r="M183" s="4" t="s">
        <v>763</v>
      </c>
      <c r="N183" s="4" t="s">
        <v>58</v>
      </c>
      <c r="O183" s="102">
        <v>3</v>
      </c>
      <c r="P183" s="73">
        <v>0</v>
      </c>
    </row>
    <row r="184" spans="1:16" ht="38.25" x14ac:dyDescent="0.2">
      <c r="A184" s="73" t="s">
        <v>36</v>
      </c>
      <c r="B184" s="73" t="s">
        <v>312</v>
      </c>
      <c r="C184" s="73">
        <v>2</v>
      </c>
      <c r="D184" s="81" t="s">
        <v>1176</v>
      </c>
      <c r="E184" s="73" t="s">
        <v>1177</v>
      </c>
      <c r="F184" s="73">
        <v>95</v>
      </c>
      <c r="G184" s="73" t="s">
        <v>55</v>
      </c>
      <c r="H184" s="78" t="s">
        <v>1178</v>
      </c>
      <c r="I184" s="78" t="s">
        <v>1175</v>
      </c>
      <c r="J184" s="82" t="s">
        <v>1400</v>
      </c>
      <c r="K184" s="90"/>
      <c r="L184" s="78" t="s">
        <v>1181</v>
      </c>
      <c r="M184" s="4" t="s">
        <v>763</v>
      </c>
      <c r="N184" s="4" t="s">
        <v>58</v>
      </c>
      <c r="O184" s="102">
        <v>3</v>
      </c>
      <c r="P184" s="73">
        <v>0</v>
      </c>
    </row>
    <row r="185" spans="1:16" ht="63.75" x14ac:dyDescent="0.2">
      <c r="A185" s="73" t="s">
        <v>36</v>
      </c>
      <c r="B185" s="73" t="s">
        <v>312</v>
      </c>
      <c r="C185" s="73">
        <v>3</v>
      </c>
      <c r="D185" s="81" t="s">
        <v>770</v>
      </c>
      <c r="E185" s="73" t="s">
        <v>313</v>
      </c>
      <c r="F185" s="73">
        <v>95</v>
      </c>
      <c r="G185" s="73" t="s">
        <v>55</v>
      </c>
      <c r="H185" s="78" t="s">
        <v>1179</v>
      </c>
      <c r="I185" s="78" t="s">
        <v>762</v>
      </c>
      <c r="J185" s="82" t="s">
        <v>1400</v>
      </c>
      <c r="K185" s="90"/>
      <c r="L185" s="78" t="s">
        <v>1181</v>
      </c>
      <c r="M185" s="4" t="s">
        <v>763</v>
      </c>
      <c r="N185" s="4" t="s">
        <v>314</v>
      </c>
      <c r="O185" s="102">
        <v>3</v>
      </c>
      <c r="P185" s="73">
        <v>0</v>
      </c>
    </row>
    <row r="186" spans="1:16" ht="76.5" x14ac:dyDescent="0.2">
      <c r="A186" s="73" t="s">
        <v>36</v>
      </c>
      <c r="B186" s="73" t="s">
        <v>312</v>
      </c>
      <c r="C186" s="73">
        <v>4</v>
      </c>
      <c r="D186" s="81" t="s">
        <v>764</v>
      </c>
      <c r="E186" s="73" t="s">
        <v>315</v>
      </c>
      <c r="F186" s="73">
        <v>100</v>
      </c>
      <c r="G186" s="73" t="s">
        <v>55</v>
      </c>
      <c r="H186" s="78" t="s">
        <v>1180</v>
      </c>
      <c r="I186" s="78" t="s">
        <v>1260</v>
      </c>
      <c r="J186" s="82" t="s">
        <v>1400</v>
      </c>
      <c r="K186" s="92"/>
      <c r="L186" s="78" t="s">
        <v>1181</v>
      </c>
      <c r="M186" s="4" t="s">
        <v>316</v>
      </c>
      <c r="N186" s="4" t="s">
        <v>765</v>
      </c>
      <c r="O186" s="102">
        <v>3</v>
      </c>
      <c r="P186" s="73">
        <v>0</v>
      </c>
    </row>
    <row r="187" spans="1:16" ht="76.5" x14ac:dyDescent="0.2">
      <c r="A187" s="73" t="s">
        <v>36</v>
      </c>
      <c r="B187" s="73" t="s">
        <v>312</v>
      </c>
      <c r="C187" s="73">
        <v>5</v>
      </c>
      <c r="D187" s="81" t="s">
        <v>766</v>
      </c>
      <c r="E187" s="73" t="s">
        <v>317</v>
      </c>
      <c r="F187" s="73">
        <v>100</v>
      </c>
      <c r="G187" s="73" t="s">
        <v>55</v>
      </c>
      <c r="H187" s="78" t="s">
        <v>1180</v>
      </c>
      <c r="I187" s="78" t="s">
        <v>1260</v>
      </c>
      <c r="J187" s="82" t="s">
        <v>1400</v>
      </c>
      <c r="K187" s="92"/>
      <c r="L187" s="78" t="s">
        <v>1181</v>
      </c>
      <c r="M187" s="4" t="s">
        <v>316</v>
      </c>
      <c r="N187" s="4" t="s">
        <v>765</v>
      </c>
      <c r="O187" s="102">
        <v>3</v>
      </c>
      <c r="P187" s="73">
        <v>0</v>
      </c>
    </row>
    <row r="188" spans="1:16" ht="75.75" customHeight="1" x14ac:dyDescent="0.2">
      <c r="A188" s="73" t="s">
        <v>36</v>
      </c>
      <c r="B188" s="73" t="s">
        <v>312</v>
      </c>
      <c r="C188" s="73">
        <v>6</v>
      </c>
      <c r="D188" s="81" t="s">
        <v>318</v>
      </c>
      <c r="E188" s="73" t="s">
        <v>319</v>
      </c>
      <c r="F188" s="73">
        <v>105</v>
      </c>
      <c r="G188" s="73" t="s">
        <v>55</v>
      </c>
      <c r="H188" s="78" t="s">
        <v>1180</v>
      </c>
      <c r="I188" s="78" t="s">
        <v>1259</v>
      </c>
      <c r="J188" s="82" t="s">
        <v>1400</v>
      </c>
      <c r="K188" s="92"/>
      <c r="L188" s="78" t="s">
        <v>1181</v>
      </c>
      <c r="M188" s="4" t="s">
        <v>320</v>
      </c>
      <c r="N188" s="4" t="s">
        <v>765</v>
      </c>
      <c r="O188" s="102">
        <v>3</v>
      </c>
      <c r="P188" s="73">
        <v>0</v>
      </c>
    </row>
    <row r="189" spans="1:16" ht="75.75" customHeight="1" x14ac:dyDescent="0.2">
      <c r="A189" s="73" t="s">
        <v>36</v>
      </c>
      <c r="B189" s="73" t="s">
        <v>312</v>
      </c>
      <c r="C189" s="73">
        <v>7</v>
      </c>
      <c r="D189" s="81" t="s">
        <v>1106</v>
      </c>
      <c r="E189" s="73" t="s">
        <v>1105</v>
      </c>
      <c r="F189" s="73">
        <v>100</v>
      </c>
      <c r="G189" s="73" t="s">
        <v>55</v>
      </c>
      <c r="H189" s="78" t="s">
        <v>1180</v>
      </c>
      <c r="I189" s="78" t="s">
        <v>1259</v>
      </c>
      <c r="J189" s="82" t="s">
        <v>1400</v>
      </c>
      <c r="K189" s="92"/>
      <c r="L189" s="78" t="s">
        <v>1181</v>
      </c>
      <c r="M189" s="4" t="s">
        <v>320</v>
      </c>
      <c r="N189" s="4" t="s">
        <v>765</v>
      </c>
      <c r="O189" s="102">
        <v>3</v>
      </c>
      <c r="P189" s="73">
        <v>0</v>
      </c>
    </row>
    <row r="190" spans="1:16" ht="54.75" customHeight="1" x14ac:dyDescent="0.2">
      <c r="A190" s="73" t="s">
        <v>36</v>
      </c>
      <c r="B190" s="73" t="s">
        <v>312</v>
      </c>
      <c r="C190" s="73">
        <v>8</v>
      </c>
      <c r="D190" s="211" t="s">
        <v>1182</v>
      </c>
      <c r="E190" s="73"/>
      <c r="F190" s="73"/>
      <c r="G190" s="73" t="s">
        <v>55</v>
      </c>
      <c r="H190" s="78" t="s">
        <v>682</v>
      </c>
      <c r="I190" s="78" t="s">
        <v>683</v>
      </c>
      <c r="J190" s="83" t="s">
        <v>245</v>
      </c>
      <c r="K190" s="92"/>
      <c r="L190" s="78"/>
      <c r="M190" s="4" t="s">
        <v>58</v>
      </c>
      <c r="N190" s="4" t="s">
        <v>1183</v>
      </c>
      <c r="O190" s="102">
        <v>3</v>
      </c>
      <c r="P190" s="73">
        <v>0</v>
      </c>
    </row>
    <row r="191" spans="1:16" ht="38.25" x14ac:dyDescent="0.2">
      <c r="A191" s="73" t="s">
        <v>36</v>
      </c>
      <c r="B191" s="73" t="s">
        <v>312</v>
      </c>
      <c r="C191" s="73">
        <v>9</v>
      </c>
      <c r="D191" s="79" t="s">
        <v>1219</v>
      </c>
      <c r="E191" s="73" t="s">
        <v>1133</v>
      </c>
      <c r="F191" s="85">
        <v>165</v>
      </c>
      <c r="G191" s="108" t="s">
        <v>55</v>
      </c>
      <c r="H191" s="86" t="s">
        <v>1184</v>
      </c>
      <c r="I191" s="79" t="s">
        <v>1257</v>
      </c>
      <c r="J191" s="82" t="s">
        <v>185</v>
      </c>
      <c r="K191" s="92"/>
      <c r="L191" s="86"/>
      <c r="M191" s="73" t="s">
        <v>1447</v>
      </c>
      <c r="N191" s="73" t="s">
        <v>1446</v>
      </c>
      <c r="O191" s="102">
        <v>3</v>
      </c>
      <c r="P191" s="73">
        <v>0</v>
      </c>
    </row>
    <row r="192" spans="1:16" ht="75.75" customHeight="1" x14ac:dyDescent="0.2">
      <c r="A192" s="73" t="s">
        <v>36</v>
      </c>
      <c r="B192" s="73" t="s">
        <v>312</v>
      </c>
      <c r="C192" s="73">
        <v>10</v>
      </c>
      <c r="D192" s="79" t="s">
        <v>1261</v>
      </c>
      <c r="E192" s="73" t="s">
        <v>1253</v>
      </c>
      <c r="F192" s="73">
        <v>84</v>
      </c>
      <c r="G192" s="108" t="s">
        <v>55</v>
      </c>
      <c r="H192" s="79" t="s">
        <v>1178</v>
      </c>
      <c r="I192" s="79" t="s">
        <v>1258</v>
      </c>
      <c r="J192" s="82" t="s">
        <v>185</v>
      </c>
      <c r="K192" s="92"/>
      <c r="L192" s="78" t="s">
        <v>1181</v>
      </c>
      <c r="M192" s="4" t="s">
        <v>1254</v>
      </c>
      <c r="N192" s="4" t="s">
        <v>314</v>
      </c>
      <c r="O192" s="102">
        <v>3</v>
      </c>
      <c r="P192" s="73">
        <v>0</v>
      </c>
    </row>
    <row r="193" spans="1:16" ht="51" x14ac:dyDescent="0.2">
      <c r="A193" s="73" t="s">
        <v>36</v>
      </c>
      <c r="B193" s="73" t="s">
        <v>321</v>
      </c>
      <c r="C193" s="73">
        <v>1</v>
      </c>
      <c r="D193" s="81" t="s">
        <v>322</v>
      </c>
      <c r="E193" s="73"/>
      <c r="F193" s="73"/>
      <c r="G193" s="73" t="s">
        <v>55</v>
      </c>
      <c r="H193" s="78" t="s">
        <v>1187</v>
      </c>
      <c r="I193" s="78" t="s">
        <v>323</v>
      </c>
      <c r="J193" s="83" t="s">
        <v>245</v>
      </c>
      <c r="K193" s="92"/>
      <c r="L193" s="79" t="s">
        <v>767</v>
      </c>
      <c r="M193" s="4" t="s">
        <v>58</v>
      </c>
      <c r="N193" s="4" t="s">
        <v>58</v>
      </c>
      <c r="O193" s="102">
        <v>3</v>
      </c>
      <c r="P193" s="73">
        <v>0</v>
      </c>
    </row>
    <row r="194" spans="1:16" ht="51" x14ac:dyDescent="0.2">
      <c r="A194" s="73" t="s">
        <v>36</v>
      </c>
      <c r="B194" s="73" t="s">
        <v>321</v>
      </c>
      <c r="C194" s="73">
        <v>2</v>
      </c>
      <c r="D194" s="81" t="s">
        <v>1435</v>
      </c>
      <c r="E194" s="73"/>
      <c r="F194" s="73"/>
      <c r="G194" s="73" t="s">
        <v>55</v>
      </c>
      <c r="H194" s="78" t="s">
        <v>1187</v>
      </c>
      <c r="I194" s="78" t="s">
        <v>323</v>
      </c>
      <c r="J194" s="83" t="s">
        <v>245</v>
      </c>
      <c r="K194" s="92"/>
      <c r="L194" s="79" t="s">
        <v>767</v>
      </c>
      <c r="M194" s="4" t="s">
        <v>58</v>
      </c>
      <c r="N194" s="4" t="s">
        <v>58</v>
      </c>
      <c r="O194" s="102">
        <v>3</v>
      </c>
      <c r="P194" s="73">
        <v>0</v>
      </c>
    </row>
    <row r="195" spans="1:16" ht="25.5" x14ac:dyDescent="0.2">
      <c r="A195" s="73" t="s">
        <v>36</v>
      </c>
      <c r="B195" s="73" t="s">
        <v>321</v>
      </c>
      <c r="C195" s="73">
        <v>3</v>
      </c>
      <c r="D195" s="81" t="s">
        <v>1407</v>
      </c>
      <c r="E195" s="73"/>
      <c r="F195" s="73"/>
      <c r="G195" s="73" t="s">
        <v>68</v>
      </c>
      <c r="H195" s="78" t="s">
        <v>682</v>
      </c>
      <c r="I195" s="78" t="s">
        <v>684</v>
      </c>
      <c r="J195" s="83" t="s">
        <v>245</v>
      </c>
      <c r="K195" s="92"/>
      <c r="L195" s="79"/>
      <c r="M195" s="4" t="s">
        <v>58</v>
      </c>
      <c r="N195" s="4" t="s">
        <v>685</v>
      </c>
      <c r="O195" s="102">
        <v>3</v>
      </c>
      <c r="P195" s="73">
        <v>0</v>
      </c>
    </row>
    <row r="196" spans="1:16" ht="51" customHeight="1" x14ac:dyDescent="0.2">
      <c r="A196" s="73" t="s">
        <v>36</v>
      </c>
      <c r="B196" s="73" t="s">
        <v>321</v>
      </c>
      <c r="C196" s="73">
        <v>4</v>
      </c>
      <c r="D196" s="81" t="s">
        <v>1250</v>
      </c>
      <c r="E196" s="73"/>
      <c r="F196" s="73"/>
      <c r="G196" s="73" t="s">
        <v>68</v>
      </c>
      <c r="H196" s="78" t="s">
        <v>682</v>
      </c>
      <c r="I196" s="78" t="s">
        <v>684</v>
      </c>
      <c r="J196" s="83" t="s">
        <v>245</v>
      </c>
      <c r="K196" s="92"/>
      <c r="L196" s="79"/>
      <c r="M196" s="4" t="s">
        <v>58</v>
      </c>
      <c r="N196" s="4" t="s">
        <v>685</v>
      </c>
      <c r="O196" s="102">
        <v>0</v>
      </c>
      <c r="P196" s="73">
        <v>0</v>
      </c>
    </row>
    <row r="197" spans="1:16" ht="51" customHeight="1" x14ac:dyDescent="0.2">
      <c r="A197" s="73" t="s">
        <v>36</v>
      </c>
      <c r="B197" s="73" t="s">
        <v>321</v>
      </c>
      <c r="C197" s="73">
        <v>5</v>
      </c>
      <c r="D197" s="81" t="s">
        <v>1252</v>
      </c>
      <c r="E197" s="73"/>
      <c r="F197" s="73"/>
      <c r="G197" s="73" t="s">
        <v>68</v>
      </c>
      <c r="H197" s="78" t="s">
        <v>682</v>
      </c>
      <c r="I197" s="78" t="s">
        <v>684</v>
      </c>
      <c r="J197" s="83" t="s">
        <v>245</v>
      </c>
      <c r="K197" s="92"/>
      <c r="L197" s="79"/>
      <c r="M197" s="4" t="s">
        <v>58</v>
      </c>
      <c r="N197" s="4" t="s">
        <v>685</v>
      </c>
      <c r="O197" s="102">
        <v>0</v>
      </c>
      <c r="P197" s="73">
        <v>0</v>
      </c>
    </row>
    <row r="198" spans="1:16" ht="51" customHeight="1" x14ac:dyDescent="0.2">
      <c r="A198" s="73" t="s">
        <v>36</v>
      </c>
      <c r="B198" s="73" t="s">
        <v>321</v>
      </c>
      <c r="C198" s="73">
        <v>6</v>
      </c>
      <c r="D198" s="81" t="s">
        <v>1221</v>
      </c>
      <c r="E198" s="73" t="s">
        <v>1185</v>
      </c>
      <c r="F198" s="73">
        <v>420</v>
      </c>
      <c r="G198" s="73" t="s">
        <v>55</v>
      </c>
      <c r="H198" s="78" t="s">
        <v>1188</v>
      </c>
      <c r="I198" s="78" t="s">
        <v>1189</v>
      </c>
      <c r="J198" s="83" t="s">
        <v>245</v>
      </c>
      <c r="K198" s="92"/>
      <c r="L198" s="79"/>
      <c r="M198" s="4" t="s">
        <v>1190</v>
      </c>
      <c r="N198" s="4" t="s">
        <v>1191</v>
      </c>
      <c r="O198" s="102">
        <v>3</v>
      </c>
      <c r="P198" s="73">
        <v>0</v>
      </c>
    </row>
    <row r="199" spans="1:16" ht="51" customHeight="1" x14ac:dyDescent="0.2">
      <c r="A199" s="73" t="s">
        <v>36</v>
      </c>
      <c r="B199" s="73" t="s">
        <v>321</v>
      </c>
      <c r="C199" s="73">
        <v>7</v>
      </c>
      <c r="D199" s="81" t="s">
        <v>1222</v>
      </c>
      <c r="E199" s="73" t="s">
        <v>1186</v>
      </c>
      <c r="F199" s="73">
        <v>520</v>
      </c>
      <c r="G199" s="73" t="s">
        <v>55</v>
      </c>
      <c r="H199" s="78" t="s">
        <v>1188</v>
      </c>
      <c r="I199" s="78" t="s">
        <v>1189</v>
      </c>
      <c r="J199" s="83" t="s">
        <v>245</v>
      </c>
      <c r="K199" s="92"/>
      <c r="L199" s="79"/>
      <c r="M199" s="4" t="s">
        <v>1190</v>
      </c>
      <c r="N199" s="4" t="s">
        <v>1191</v>
      </c>
      <c r="O199" s="102">
        <v>3</v>
      </c>
      <c r="P199" s="73">
        <v>0</v>
      </c>
    </row>
    <row r="200" spans="1:16" ht="51" customHeight="1" x14ac:dyDescent="0.2">
      <c r="A200" s="73" t="s">
        <v>36</v>
      </c>
      <c r="B200" s="73" t="s">
        <v>503</v>
      </c>
      <c r="C200" s="73">
        <v>1</v>
      </c>
      <c r="D200" s="81" t="s">
        <v>1192</v>
      </c>
      <c r="E200" s="73"/>
      <c r="F200" s="73"/>
      <c r="G200" s="73" t="s">
        <v>55</v>
      </c>
      <c r="H200" s="78" t="s">
        <v>1193</v>
      </c>
      <c r="I200" s="78" t="s">
        <v>1194</v>
      </c>
      <c r="J200" s="83" t="s">
        <v>245</v>
      </c>
      <c r="K200" s="92"/>
      <c r="L200" s="79"/>
      <c r="M200" s="4" t="s">
        <v>58</v>
      </c>
      <c r="N200" s="4" t="s">
        <v>1195</v>
      </c>
      <c r="O200" s="102">
        <v>3</v>
      </c>
      <c r="P200" s="73">
        <v>0</v>
      </c>
    </row>
  </sheetData>
  <sheetProtection algorithmName="SHA-512" hashValue="iLubARnCWcJBppu3wbtgHdHlHheVqxCGoDtuSK5mtHyKupxJlHrI2K6UcypiwMLcRJ7/ohxp5es7L7REGPy5zA==" saltValue="IMy8Cpy8w3gEUtYk0IItuQ==" spinCount="100000" sheet="1" formatCells="0" formatColumns="0" formatRows="0" insertColumns="0" insertRows="0" insertHyperlinks="0" deleteColumns="0" deleteRows="0"/>
  <autoFilter ref="A1:Q200" xr:uid="{00000000-0001-0000-0000-000000000000}"/>
  <mergeCells count="13">
    <mergeCell ref="H124:H126"/>
    <mergeCell ref="I124:I126"/>
    <mergeCell ref="H131:H132"/>
    <mergeCell ref="I131:I132"/>
    <mergeCell ref="I93:I97"/>
    <mergeCell ref="H98:H99"/>
    <mergeCell ref="I98:I99"/>
    <mergeCell ref="J125:J126"/>
    <mergeCell ref="J24:J25"/>
    <mergeCell ref="I33:I36"/>
    <mergeCell ref="I24:I32"/>
    <mergeCell ref="J93:J97"/>
    <mergeCell ref="J98:J99"/>
  </mergeCells>
  <conditionalFormatting sqref="F80:G80">
    <cfRule type="containsText" dxfId="2" priority="1" operator="containsText" text="x">
      <formula>NOT(ISERROR(SEARCH("x",F80)))</formula>
    </cfRule>
  </conditionalFormatting>
  <conditionalFormatting sqref="J1:J24 J26:J70 J73:J78 J80:J86 J88:J97 J100:J114 J129:J1048576">
    <cfRule type="containsText" dxfId="1" priority="2" operator="containsText" text="5302">
      <formula>NOT(ISERROR(SEARCH("5302",J1)))</formula>
    </cfRule>
  </conditionalFormatting>
  <conditionalFormatting sqref="J119:J122 J124:J125">
    <cfRule type="containsText" dxfId="0" priority="3" operator="containsText" text="5302">
      <formula>NOT(ISERROR(SEARCH("5302",J119)))</formula>
    </cfRule>
  </conditionalFormatting>
  <pageMargins left="0.7" right="0.7" top="0.75" bottom="0.75" header="0.3" footer="0.3"/>
  <pageSetup orientation="portrait" horizontalDpi="4294967295" verticalDpi="4294967295" r:id="rId1"/>
  <headerFooter>
    <oddFooter xml:space="preserve">&amp;L_x000D_&amp;1#&amp;"Aptos"&amp;12&amp;K000000 Información Pública.        Todos los derechos reservados para XM S.A E.S.P.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3AEA2-5F5F-4D38-9E9B-A18666A3905C}">
  <dimension ref="A1:P10"/>
  <sheetViews>
    <sheetView zoomScale="85" zoomScaleNormal="85" workbookViewId="0">
      <pane ySplit="1" topLeftCell="A2" activePane="bottomLeft" state="frozen"/>
      <selection activeCell="B20" sqref="B20"/>
      <selection pane="bottomLeft" activeCell="E10" sqref="E2:E10"/>
    </sheetView>
  </sheetViews>
  <sheetFormatPr defaultColWidth="11.28515625" defaultRowHeight="12.75" x14ac:dyDescent="0.2"/>
  <cols>
    <col min="1" max="1" width="13.28515625" style="72" customWidth="1"/>
    <col min="2" max="2" width="16.28515625" style="88" customWidth="1"/>
    <col min="3" max="3" width="11.28515625" style="72" customWidth="1"/>
    <col min="4" max="4" width="62.85546875" style="91" customWidth="1"/>
    <col min="5" max="5" width="31.28515625" style="72" customWidth="1"/>
    <col min="6" max="7" width="11.28515625" style="72" customWidth="1"/>
    <col min="8" max="8" width="67.7109375" style="72" customWidth="1"/>
    <col min="9" max="9" width="89.28515625" style="72" customWidth="1"/>
    <col min="10" max="10" width="92.5703125" style="72" customWidth="1"/>
    <col min="11" max="11" width="19.5703125" style="93" customWidth="1"/>
    <col min="12" max="12" width="44.5703125" style="72" customWidth="1"/>
    <col min="13" max="14" width="17.28515625" style="72" customWidth="1"/>
    <col min="15" max="16" width="17.28515625" style="88" customWidth="1"/>
    <col min="17" max="16384" width="11.28515625" style="72"/>
  </cols>
  <sheetData>
    <row r="1" spans="1:16" ht="47.25" customHeight="1" thickBot="1" x14ac:dyDescent="0.25">
      <c r="A1" s="94" t="s">
        <v>28</v>
      </c>
      <c r="B1" s="94" t="s">
        <v>499</v>
      </c>
      <c r="C1" s="95" t="s">
        <v>40</v>
      </c>
      <c r="D1" s="95" t="s">
        <v>41</v>
      </c>
      <c r="E1" s="95" t="s">
        <v>30</v>
      </c>
      <c r="F1" s="95" t="s">
        <v>42</v>
      </c>
      <c r="G1" s="95" t="s">
        <v>43</v>
      </c>
      <c r="H1" s="95" t="s">
        <v>44</v>
      </c>
      <c r="I1" s="95" t="s">
        <v>45</v>
      </c>
      <c r="J1" s="96" t="s">
        <v>46</v>
      </c>
      <c r="K1" s="96" t="s">
        <v>47</v>
      </c>
      <c r="L1" s="95" t="s">
        <v>48</v>
      </c>
      <c r="M1" s="97" t="s">
        <v>49</v>
      </c>
      <c r="N1" s="97" t="s">
        <v>50</v>
      </c>
      <c r="O1" s="136" t="s">
        <v>51</v>
      </c>
      <c r="P1" s="153" t="s">
        <v>52</v>
      </c>
    </row>
    <row r="2" spans="1:16" ht="63.75" x14ac:dyDescent="0.2">
      <c r="A2" s="73" t="s">
        <v>32</v>
      </c>
      <c r="B2" s="80" t="s">
        <v>61</v>
      </c>
      <c r="C2" s="73">
        <v>1</v>
      </c>
      <c r="D2" s="79" t="s">
        <v>110</v>
      </c>
      <c r="E2" s="73" t="s">
        <v>111</v>
      </c>
      <c r="F2" s="4">
        <v>60</v>
      </c>
      <c r="G2" s="73" t="s">
        <v>55</v>
      </c>
      <c r="H2" s="78" t="s">
        <v>112</v>
      </c>
      <c r="I2" s="78" t="s">
        <v>113</v>
      </c>
      <c r="J2" s="78" t="s">
        <v>114</v>
      </c>
      <c r="K2" s="90"/>
      <c r="L2" s="79" t="s">
        <v>103</v>
      </c>
      <c r="M2" s="4" t="s">
        <v>58</v>
      </c>
      <c r="N2" s="4" t="s">
        <v>58</v>
      </c>
      <c r="O2" s="102">
        <v>1</v>
      </c>
      <c r="P2" s="73">
        <v>0</v>
      </c>
    </row>
    <row r="3" spans="1:16" ht="63.75" x14ac:dyDescent="0.2">
      <c r="A3" s="73" t="s">
        <v>32</v>
      </c>
      <c r="B3" s="80" t="s">
        <v>61</v>
      </c>
      <c r="C3" s="73">
        <v>2</v>
      </c>
      <c r="D3" s="79" t="s">
        <v>115</v>
      </c>
      <c r="E3" s="73" t="s">
        <v>116</v>
      </c>
      <c r="F3" s="4">
        <v>60</v>
      </c>
      <c r="G3" s="73" t="s">
        <v>55</v>
      </c>
      <c r="H3" s="78" t="s">
        <v>112</v>
      </c>
      <c r="I3" s="78" t="s">
        <v>113</v>
      </c>
      <c r="J3" s="78" t="s">
        <v>114</v>
      </c>
      <c r="K3" s="90"/>
      <c r="L3" s="79" t="s">
        <v>103</v>
      </c>
      <c r="M3" s="4" t="s">
        <v>58</v>
      </c>
      <c r="N3" s="4" t="s">
        <v>58</v>
      </c>
      <c r="O3" s="102">
        <v>1</v>
      </c>
      <c r="P3" s="73">
        <v>0</v>
      </c>
    </row>
    <row r="4" spans="1:16" ht="63.75" x14ac:dyDescent="0.2">
      <c r="A4" s="73" t="s">
        <v>32</v>
      </c>
      <c r="B4" s="80" t="s">
        <v>61</v>
      </c>
      <c r="C4" s="73">
        <v>3</v>
      </c>
      <c r="D4" s="79" t="s">
        <v>117</v>
      </c>
      <c r="E4" s="73" t="s">
        <v>118</v>
      </c>
      <c r="F4" s="4">
        <v>120</v>
      </c>
      <c r="G4" s="73" t="s">
        <v>55</v>
      </c>
      <c r="H4" s="78" t="s">
        <v>112</v>
      </c>
      <c r="I4" s="78" t="s">
        <v>113</v>
      </c>
      <c r="J4" s="78" t="s">
        <v>119</v>
      </c>
      <c r="K4" s="90"/>
      <c r="L4" s="79" t="s">
        <v>103</v>
      </c>
      <c r="M4" s="4" t="s">
        <v>58</v>
      </c>
      <c r="N4" s="4" t="s">
        <v>58</v>
      </c>
      <c r="O4" s="102">
        <v>1</v>
      </c>
      <c r="P4" s="73">
        <v>0</v>
      </c>
    </row>
    <row r="5" spans="1:16" ht="63.75" x14ac:dyDescent="0.2">
      <c r="A5" s="73" t="s">
        <v>32</v>
      </c>
      <c r="B5" s="80" t="s">
        <v>61</v>
      </c>
      <c r="C5" s="73">
        <v>4</v>
      </c>
      <c r="D5" s="79" t="s">
        <v>120</v>
      </c>
      <c r="E5" s="73" t="s">
        <v>121</v>
      </c>
      <c r="F5" s="4">
        <v>120</v>
      </c>
      <c r="G5" s="73" t="s">
        <v>55</v>
      </c>
      <c r="H5" s="78" t="s">
        <v>112</v>
      </c>
      <c r="I5" s="78" t="s">
        <v>113</v>
      </c>
      <c r="J5" s="78" t="s">
        <v>122</v>
      </c>
      <c r="K5" s="90"/>
      <c r="L5" s="79" t="s">
        <v>103</v>
      </c>
      <c r="M5" s="4" t="s">
        <v>58</v>
      </c>
      <c r="N5" s="4" t="s">
        <v>58</v>
      </c>
      <c r="O5" s="102">
        <v>1</v>
      </c>
      <c r="P5" s="73">
        <v>0</v>
      </c>
    </row>
    <row r="6" spans="1:16" ht="22.5" customHeight="1" x14ac:dyDescent="0.2">
      <c r="A6" s="73" t="s">
        <v>32</v>
      </c>
      <c r="B6" s="80" t="s">
        <v>131</v>
      </c>
      <c r="C6" s="73">
        <v>1</v>
      </c>
      <c r="D6" s="79" t="s">
        <v>1384</v>
      </c>
      <c r="E6" s="73" t="s">
        <v>1464</v>
      </c>
      <c r="F6" s="4">
        <v>38</v>
      </c>
      <c r="G6" s="73" t="s">
        <v>68</v>
      </c>
      <c r="H6" s="78" t="s">
        <v>153</v>
      </c>
      <c r="I6" s="78" t="s">
        <v>154</v>
      </c>
      <c r="J6" s="73" t="s">
        <v>1385</v>
      </c>
      <c r="K6" s="90"/>
      <c r="L6" s="78"/>
      <c r="M6" s="4" t="s">
        <v>58</v>
      </c>
      <c r="N6" s="4" t="s">
        <v>58</v>
      </c>
      <c r="O6" s="102">
        <v>0</v>
      </c>
      <c r="P6" s="73">
        <v>1</v>
      </c>
    </row>
    <row r="7" spans="1:16" ht="24.75" customHeight="1" x14ac:dyDescent="0.2">
      <c r="A7" s="73" t="s">
        <v>32</v>
      </c>
      <c r="B7" s="80" t="s">
        <v>131</v>
      </c>
      <c r="C7" s="73">
        <v>2</v>
      </c>
      <c r="D7" s="79" t="s">
        <v>1383</v>
      </c>
      <c r="E7" s="73" t="s">
        <v>152</v>
      </c>
      <c r="F7" s="4">
        <v>38</v>
      </c>
      <c r="G7" s="73" t="s">
        <v>68</v>
      </c>
      <c r="H7" s="78" t="s">
        <v>153</v>
      </c>
      <c r="I7" s="78" t="s">
        <v>154</v>
      </c>
      <c r="J7" s="73" t="s">
        <v>1385</v>
      </c>
      <c r="K7" s="90"/>
      <c r="L7" s="78"/>
      <c r="M7" s="4" t="s">
        <v>58</v>
      </c>
      <c r="N7" s="4" t="s">
        <v>58</v>
      </c>
      <c r="O7" s="102">
        <v>0</v>
      </c>
      <c r="P7" s="73">
        <v>1</v>
      </c>
    </row>
    <row r="8" spans="1:16" ht="25.5" x14ac:dyDescent="0.2">
      <c r="A8" s="73" t="s">
        <v>32</v>
      </c>
      <c r="B8" s="80" t="s">
        <v>192</v>
      </c>
      <c r="C8" s="73">
        <v>1</v>
      </c>
      <c r="D8" s="79" t="s">
        <v>901</v>
      </c>
      <c r="E8" s="73" t="s">
        <v>206</v>
      </c>
      <c r="F8" s="4">
        <v>37</v>
      </c>
      <c r="G8" s="73" t="s">
        <v>55</v>
      </c>
      <c r="H8" s="78" t="s">
        <v>163</v>
      </c>
      <c r="I8" s="99" t="s">
        <v>207</v>
      </c>
      <c r="J8" s="78" t="s">
        <v>208</v>
      </c>
      <c r="K8" s="90"/>
      <c r="L8" s="79" t="s">
        <v>144</v>
      </c>
      <c r="M8" s="4" t="s">
        <v>58</v>
      </c>
      <c r="N8" s="4" t="s">
        <v>58</v>
      </c>
      <c r="O8" s="102">
        <v>1</v>
      </c>
      <c r="P8" s="73">
        <v>1</v>
      </c>
    </row>
    <row r="9" spans="1:16" ht="25.5" x14ac:dyDescent="0.2">
      <c r="A9" s="73" t="s">
        <v>32</v>
      </c>
      <c r="B9" s="80" t="s">
        <v>192</v>
      </c>
      <c r="C9" s="73">
        <v>2</v>
      </c>
      <c r="D9" s="79" t="s">
        <v>1375</v>
      </c>
      <c r="E9" s="73" t="s">
        <v>1374</v>
      </c>
      <c r="F9" s="4">
        <v>37</v>
      </c>
      <c r="G9" s="73" t="s">
        <v>55</v>
      </c>
      <c r="H9" s="78" t="s">
        <v>1376</v>
      </c>
      <c r="I9" s="78" t="s">
        <v>1377</v>
      </c>
      <c r="J9" s="83" t="s">
        <v>652</v>
      </c>
      <c r="K9" s="90"/>
      <c r="L9" s="78"/>
      <c r="M9" s="4" t="s">
        <v>1378</v>
      </c>
      <c r="N9" s="4" t="s">
        <v>58</v>
      </c>
      <c r="O9" s="102">
        <v>3</v>
      </c>
      <c r="P9" s="73">
        <v>0</v>
      </c>
    </row>
    <row r="10" spans="1:16" ht="25.5" x14ac:dyDescent="0.2">
      <c r="A10" s="73" t="s">
        <v>32</v>
      </c>
      <c r="B10" s="80" t="s">
        <v>192</v>
      </c>
      <c r="C10" s="73">
        <v>3</v>
      </c>
      <c r="D10" s="79" t="s">
        <v>831</v>
      </c>
      <c r="E10" s="73" t="s">
        <v>832</v>
      </c>
      <c r="F10" s="4">
        <v>30</v>
      </c>
      <c r="G10" s="73" t="s">
        <v>68</v>
      </c>
      <c r="H10" s="78" t="s">
        <v>200</v>
      </c>
      <c r="I10" s="78" t="s">
        <v>201</v>
      </c>
      <c r="J10" s="78" t="s">
        <v>721</v>
      </c>
      <c r="K10" s="90" t="s">
        <v>722</v>
      </c>
      <c r="L10" s="78"/>
      <c r="M10" s="4" t="s">
        <v>58</v>
      </c>
      <c r="N10" s="4" t="s">
        <v>58</v>
      </c>
      <c r="O10" s="102">
        <v>0</v>
      </c>
      <c r="P10" s="73">
        <v>1</v>
      </c>
    </row>
  </sheetData>
  <sheetProtection algorithmName="SHA-512" hashValue="CrdeFtcMNmw3RZUIGB2RwsjjgWw1MEpZlP0XH7r0vqTTadArjc6b6yUOQQchIz0tcAANDFHAuTfFvDT3Z7QxHg==" saltValue="hCxG2YPURTUpz9P93mLILw==" spinCount="100000" sheet="1" formatCells="0" formatColumns="0" formatRows="0" insertColumns="0" insertRows="0" insertHyperlinks="0" deleteColumns="0" deleteRows="0"/>
  <conditionalFormatting sqref="J1:J7">
    <cfRule type="containsText" dxfId="10" priority="1" operator="containsText" text="5302">
      <formula>NOT(ISERROR(SEARCH("5302",J1)))</formula>
    </cfRule>
  </conditionalFormatting>
  <conditionalFormatting sqref="J9">
    <cfRule type="containsText" dxfId="9" priority="2" operator="containsText" text="5302">
      <formula>NOT(ISERROR(SEARCH("5302",J9)))</formula>
    </cfRule>
  </conditionalFormatting>
  <conditionalFormatting sqref="J11:J1048576">
    <cfRule type="containsText" dxfId="8" priority="6" operator="containsText" text="5302">
      <formula>NOT(ISERROR(SEARCH("5302",J11)))</formula>
    </cfRule>
  </conditionalFormatting>
  <pageMargins left="0.7" right="0.7" top="0.75" bottom="0.75" header="0.3" footer="0.3"/>
  <pageSetup orientation="portrait" horizontalDpi="4294967295" verticalDpi="4294967295" r:id="rId1"/>
  <headerFooter>
    <oddFooter xml:space="preserve">&amp;L_x000D_&amp;1#&amp;"Aptos"&amp;12&amp;K000000 Información Pública.        Todos los derechos reservados para XM S.A E.S.P.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A09D5-ED6C-4E81-BDA1-731BABFF1DA3}">
  <dimension ref="A1:Q15"/>
  <sheetViews>
    <sheetView zoomScaleNormal="100" workbookViewId="0">
      <pane ySplit="1" topLeftCell="A12" activePane="bottomLeft" state="frozen"/>
      <selection activeCell="D34" sqref="D34"/>
      <selection pane="bottomLeft" activeCell="D34" sqref="D34"/>
    </sheetView>
  </sheetViews>
  <sheetFormatPr defaultColWidth="11.28515625" defaultRowHeight="12.75" x14ac:dyDescent="0.2"/>
  <cols>
    <col min="1" max="1" width="13.28515625" style="72" customWidth="1"/>
    <col min="2" max="2" width="16.28515625" style="88" customWidth="1"/>
    <col min="3" max="3" width="11.28515625" style="72" customWidth="1"/>
    <col min="4" max="4" width="50.140625" style="91" customWidth="1"/>
    <col min="5" max="6" width="11.28515625" style="72" customWidth="1"/>
    <col min="7" max="7" width="67.7109375" style="72" customWidth="1"/>
    <col min="8" max="8" width="89.28515625" style="72" customWidth="1"/>
    <col min="9" max="9" width="92.5703125" style="72" customWidth="1"/>
    <col min="10" max="10" width="19.5703125" style="93" customWidth="1"/>
    <col min="11" max="11" width="44.5703125" style="72" customWidth="1"/>
    <col min="12" max="16384" width="11.28515625" style="72"/>
  </cols>
  <sheetData>
    <row r="1" spans="1:17" ht="47.25" customHeight="1" thickBot="1" x14ac:dyDescent="0.25">
      <c r="A1" s="94" t="s">
        <v>28</v>
      </c>
      <c r="B1" s="94" t="s">
        <v>499</v>
      </c>
      <c r="C1" s="95" t="s">
        <v>40</v>
      </c>
      <c r="D1" s="95" t="s">
        <v>41</v>
      </c>
      <c r="E1" s="95" t="s">
        <v>30</v>
      </c>
      <c r="F1" s="95" t="s">
        <v>42</v>
      </c>
      <c r="G1" s="95" t="s">
        <v>1333</v>
      </c>
      <c r="H1" s="95" t="s">
        <v>44</v>
      </c>
      <c r="I1" s="95" t="s">
        <v>45</v>
      </c>
      <c r="J1" s="96" t="s">
        <v>46</v>
      </c>
      <c r="K1" s="96" t="s">
        <v>47</v>
      </c>
      <c r="L1" s="95" t="s">
        <v>48</v>
      </c>
      <c r="M1" s="97" t="s">
        <v>49</v>
      </c>
      <c r="N1" s="97" t="s">
        <v>50</v>
      </c>
      <c r="O1" s="136" t="s">
        <v>51</v>
      </c>
      <c r="P1" s="153" t="s">
        <v>52</v>
      </c>
    </row>
    <row r="2" spans="1:17" ht="51" x14ac:dyDescent="0.2">
      <c r="A2" s="73" t="s">
        <v>35</v>
      </c>
      <c r="B2" s="73" t="s">
        <v>243</v>
      </c>
      <c r="C2" s="73">
        <v>38</v>
      </c>
      <c r="D2" s="183" t="s">
        <v>1301</v>
      </c>
      <c r="E2" s="73" t="s">
        <v>1302</v>
      </c>
      <c r="F2" s="73">
        <v>590</v>
      </c>
      <c r="G2" s="73" t="s">
        <v>1334</v>
      </c>
      <c r="H2" s="187" t="s">
        <v>244</v>
      </c>
      <c r="I2" s="78" t="s">
        <v>1286</v>
      </c>
      <c r="J2" s="82" t="s">
        <v>185</v>
      </c>
      <c r="K2" s="90"/>
      <c r="L2" s="78"/>
      <c r="M2" s="4" t="s">
        <v>58</v>
      </c>
      <c r="N2" s="4" t="s">
        <v>1287</v>
      </c>
      <c r="O2" s="102">
        <v>3</v>
      </c>
      <c r="P2" s="73">
        <v>0</v>
      </c>
    </row>
    <row r="3" spans="1:17" ht="51" x14ac:dyDescent="0.2">
      <c r="A3" s="73" t="s">
        <v>35</v>
      </c>
      <c r="B3" s="73" t="s">
        <v>243</v>
      </c>
      <c r="C3" s="73">
        <v>41</v>
      </c>
      <c r="D3" s="183" t="s">
        <v>1300</v>
      </c>
      <c r="E3" s="73" t="s">
        <v>1303</v>
      </c>
      <c r="F3" s="73">
        <v>650</v>
      </c>
      <c r="G3" s="73" t="s">
        <v>1339</v>
      </c>
      <c r="H3" s="187" t="s">
        <v>1304</v>
      </c>
      <c r="I3" s="78" t="s">
        <v>1305</v>
      </c>
      <c r="J3" s="82" t="s">
        <v>185</v>
      </c>
      <c r="K3" s="90"/>
      <c r="L3" s="78"/>
      <c r="M3" s="4" t="s">
        <v>58</v>
      </c>
      <c r="N3" s="4" t="s">
        <v>260</v>
      </c>
      <c r="O3" s="102">
        <v>3</v>
      </c>
      <c r="P3" s="73">
        <v>0</v>
      </c>
    </row>
    <row r="4" spans="1:17" ht="76.5" x14ac:dyDescent="0.2">
      <c r="A4" s="185" t="s">
        <v>38</v>
      </c>
      <c r="B4" s="189" t="s">
        <v>38</v>
      </c>
      <c r="C4" s="195">
        <v>18</v>
      </c>
      <c r="D4" s="192" t="s">
        <v>1306</v>
      </c>
      <c r="E4" s="185" t="s">
        <v>1307</v>
      </c>
      <c r="F4" s="185">
        <v>650</v>
      </c>
      <c r="G4" s="195" t="s">
        <v>1344</v>
      </c>
      <c r="H4" s="196" t="s">
        <v>1308</v>
      </c>
      <c r="I4" s="190" t="s">
        <v>1309</v>
      </c>
      <c r="J4" s="201" t="s">
        <v>185</v>
      </c>
      <c r="K4" s="194"/>
      <c r="L4" s="187"/>
      <c r="M4" s="185" t="s">
        <v>1310</v>
      </c>
      <c r="N4" s="185" t="s">
        <v>1267</v>
      </c>
      <c r="O4" s="195">
        <v>3</v>
      </c>
      <c r="P4" s="195">
        <v>0</v>
      </c>
    </row>
    <row r="5" spans="1:17" ht="76.5" x14ac:dyDescent="0.2">
      <c r="A5" s="185" t="s">
        <v>38</v>
      </c>
      <c r="B5" s="189" t="s">
        <v>38</v>
      </c>
      <c r="C5" s="195">
        <v>19</v>
      </c>
      <c r="D5" s="192" t="s">
        <v>1311</v>
      </c>
      <c r="E5" s="185" t="s">
        <v>1312</v>
      </c>
      <c r="F5" s="185">
        <v>650</v>
      </c>
      <c r="G5" s="195" t="s">
        <v>1344</v>
      </c>
      <c r="H5" s="196" t="s">
        <v>1308</v>
      </c>
      <c r="I5" s="190" t="s">
        <v>1309</v>
      </c>
      <c r="J5" s="201" t="s">
        <v>185</v>
      </c>
      <c r="K5" s="194"/>
      <c r="L5" s="187"/>
      <c r="M5" s="185" t="s">
        <v>1310</v>
      </c>
      <c r="N5" s="185" t="s">
        <v>1267</v>
      </c>
      <c r="O5" s="195">
        <v>3</v>
      </c>
      <c r="P5" s="195">
        <v>0</v>
      </c>
    </row>
    <row r="6" spans="1:17" ht="76.5" x14ac:dyDescent="0.2">
      <c r="A6" s="185" t="s">
        <v>38</v>
      </c>
      <c r="B6" s="189" t="s">
        <v>38</v>
      </c>
      <c r="C6" s="195">
        <v>20</v>
      </c>
      <c r="D6" s="192" t="s">
        <v>1313</v>
      </c>
      <c r="E6" s="185" t="s">
        <v>1314</v>
      </c>
      <c r="F6" s="185">
        <v>650</v>
      </c>
      <c r="G6" s="195" t="s">
        <v>1344</v>
      </c>
      <c r="H6" s="196" t="s">
        <v>1308</v>
      </c>
      <c r="I6" s="190" t="s">
        <v>1309</v>
      </c>
      <c r="J6" s="201" t="s">
        <v>185</v>
      </c>
      <c r="K6" s="194"/>
      <c r="L6" s="187"/>
      <c r="M6" s="185" t="s">
        <v>1310</v>
      </c>
      <c r="N6" s="185" t="s">
        <v>1267</v>
      </c>
      <c r="O6" s="195">
        <v>3</v>
      </c>
      <c r="P6" s="195">
        <v>0</v>
      </c>
    </row>
    <row r="7" spans="1:17" ht="63.75" x14ac:dyDescent="0.2">
      <c r="A7" s="195" t="s">
        <v>38</v>
      </c>
      <c r="B7" s="184" t="s">
        <v>38</v>
      </c>
      <c r="C7" s="195">
        <v>24</v>
      </c>
      <c r="D7" s="192" t="s">
        <v>1315</v>
      </c>
      <c r="E7" s="195"/>
      <c r="F7" s="195"/>
      <c r="G7" s="195" t="s">
        <v>1345</v>
      </c>
      <c r="H7" s="191" t="s">
        <v>187</v>
      </c>
      <c r="I7" s="186" t="s">
        <v>1316</v>
      </c>
      <c r="J7" s="201" t="s">
        <v>185</v>
      </c>
      <c r="K7" s="194"/>
      <c r="L7" s="187"/>
      <c r="M7" s="185" t="s">
        <v>1317</v>
      </c>
      <c r="N7" s="185"/>
      <c r="O7" s="195">
        <v>2</v>
      </c>
      <c r="P7" s="195">
        <v>1</v>
      </c>
    </row>
    <row r="8" spans="1:17" ht="51" x14ac:dyDescent="0.2">
      <c r="A8" s="195" t="s">
        <v>38</v>
      </c>
      <c r="B8" s="184" t="s">
        <v>38</v>
      </c>
      <c r="C8" s="195">
        <v>24</v>
      </c>
      <c r="D8" s="192" t="s">
        <v>1318</v>
      </c>
      <c r="E8" s="195"/>
      <c r="F8" s="195"/>
      <c r="G8" s="195" t="s">
        <v>1346</v>
      </c>
      <c r="H8" s="191" t="s">
        <v>187</v>
      </c>
      <c r="I8" s="186" t="s">
        <v>1319</v>
      </c>
      <c r="J8" s="201" t="s">
        <v>185</v>
      </c>
      <c r="K8" s="194"/>
      <c r="L8" s="187"/>
      <c r="M8" s="185"/>
      <c r="N8" s="185"/>
      <c r="O8" s="195">
        <v>2</v>
      </c>
      <c r="P8" s="195">
        <v>1</v>
      </c>
    </row>
    <row r="9" spans="1:17" ht="51" x14ac:dyDescent="0.2">
      <c r="A9" s="195" t="s">
        <v>35</v>
      </c>
      <c r="B9" s="195" t="s">
        <v>243</v>
      </c>
      <c r="C9" s="195">
        <v>42</v>
      </c>
      <c r="D9" s="203" t="s">
        <v>1347</v>
      </c>
      <c r="E9" s="195"/>
      <c r="F9" s="195"/>
      <c r="G9" s="202"/>
      <c r="H9" s="191" t="s">
        <v>187</v>
      </c>
      <c r="I9" s="191" t="s">
        <v>860</v>
      </c>
      <c r="J9" s="201" t="s">
        <v>185</v>
      </c>
      <c r="K9" s="188"/>
      <c r="L9" s="191"/>
      <c r="M9" s="199"/>
      <c r="N9" s="199"/>
      <c r="O9" s="193">
        <v>2</v>
      </c>
      <c r="P9" s="195">
        <v>1</v>
      </c>
      <c r="Q9" s="200"/>
    </row>
    <row r="10" spans="1:17" ht="165.75" x14ac:dyDescent="0.2">
      <c r="A10" s="73" t="s">
        <v>37</v>
      </c>
      <c r="B10" s="80" t="s">
        <v>225</v>
      </c>
      <c r="C10" s="73" t="s">
        <v>226</v>
      </c>
      <c r="D10" s="81" t="s">
        <v>1323</v>
      </c>
      <c r="E10" s="73" t="s">
        <v>1324</v>
      </c>
      <c r="F10" s="4">
        <v>650</v>
      </c>
      <c r="G10" s="4" t="s">
        <v>1361</v>
      </c>
      <c r="H10" s="197" t="s">
        <v>1325</v>
      </c>
      <c r="I10" s="198" t="s">
        <v>1326</v>
      </c>
      <c r="J10" s="83" t="s">
        <v>902</v>
      </c>
      <c r="K10" s="171"/>
      <c r="L10" s="90"/>
      <c r="M10" s="85" t="s">
        <v>58</v>
      </c>
      <c r="N10" s="85" t="s">
        <v>227</v>
      </c>
      <c r="O10" s="73">
        <v>3</v>
      </c>
      <c r="P10" s="102">
        <v>0</v>
      </c>
    </row>
    <row r="11" spans="1:17" ht="40.5" customHeight="1" x14ac:dyDescent="0.2">
      <c r="A11" s="73" t="s">
        <v>37</v>
      </c>
      <c r="B11" s="80" t="s">
        <v>225</v>
      </c>
      <c r="C11" s="73">
        <v>2</v>
      </c>
      <c r="D11" s="81" t="s">
        <v>1327</v>
      </c>
      <c r="E11" s="73" t="s">
        <v>1328</v>
      </c>
      <c r="F11" s="4">
        <v>530</v>
      </c>
      <c r="G11" s="240" t="s">
        <v>1361</v>
      </c>
      <c r="H11" s="240" t="s">
        <v>904</v>
      </c>
      <c r="I11" s="231" t="s">
        <v>1329</v>
      </c>
      <c r="J11" s="243" t="s">
        <v>902</v>
      </c>
      <c r="K11" s="245"/>
      <c r="L11" s="240"/>
      <c r="M11" s="230" t="s">
        <v>227</v>
      </c>
      <c r="N11" s="230" t="s">
        <v>58</v>
      </c>
      <c r="O11" s="236">
        <v>3</v>
      </c>
      <c r="P11" s="238">
        <v>0</v>
      </c>
    </row>
    <row r="12" spans="1:17" ht="33.6" customHeight="1" x14ac:dyDescent="0.2">
      <c r="A12" s="73" t="s">
        <v>37</v>
      </c>
      <c r="B12" s="80" t="s">
        <v>225</v>
      </c>
      <c r="C12" s="73">
        <v>3</v>
      </c>
      <c r="D12" s="81" t="s">
        <v>1330</v>
      </c>
      <c r="E12" s="73" t="s">
        <v>1331</v>
      </c>
      <c r="F12" s="4">
        <v>680</v>
      </c>
      <c r="G12" s="241"/>
      <c r="H12" s="241"/>
      <c r="I12" s="242"/>
      <c r="J12" s="244"/>
      <c r="K12" s="246"/>
      <c r="L12" s="241"/>
      <c r="M12" s="235"/>
      <c r="N12" s="235"/>
      <c r="O12" s="237"/>
      <c r="P12" s="239"/>
    </row>
    <row r="13" spans="1:17" ht="165.75" x14ac:dyDescent="0.2">
      <c r="A13" s="143" t="s">
        <v>37</v>
      </c>
      <c r="B13" s="150" t="s">
        <v>620</v>
      </c>
      <c r="C13" s="143">
        <v>2</v>
      </c>
      <c r="D13" s="167" t="s">
        <v>1356</v>
      </c>
      <c r="E13" s="143" t="s">
        <v>1358</v>
      </c>
      <c r="F13" s="205">
        <v>270</v>
      </c>
      <c r="G13" s="205" t="s">
        <v>1362</v>
      </c>
      <c r="H13" s="208" t="s">
        <v>1363</v>
      </c>
      <c r="I13" s="209" t="s">
        <v>1355</v>
      </c>
      <c r="J13" s="210" t="s">
        <v>1360</v>
      </c>
      <c r="K13" s="204"/>
      <c r="L13" s="205"/>
      <c r="M13" s="205" t="s">
        <v>1357</v>
      </c>
      <c r="N13" s="205" t="s">
        <v>418</v>
      </c>
      <c r="O13" s="143">
        <v>3</v>
      </c>
      <c r="P13" s="206">
        <v>0</v>
      </c>
    </row>
    <row r="14" spans="1:17" s="171" customFormat="1" ht="24.95" customHeight="1" x14ac:dyDescent="0.2">
      <c r="A14" s="73" t="s">
        <v>37</v>
      </c>
      <c r="B14" s="73" t="s">
        <v>239</v>
      </c>
      <c r="C14" s="73">
        <v>1</v>
      </c>
      <c r="D14" s="81" t="s">
        <v>1364</v>
      </c>
      <c r="E14" s="73" t="s">
        <v>1365</v>
      </c>
      <c r="F14" s="85">
        <v>135</v>
      </c>
      <c r="G14" s="171" t="s">
        <v>1368</v>
      </c>
      <c r="H14" s="233" t="s">
        <v>779</v>
      </c>
      <c r="I14" s="234" t="s">
        <v>240</v>
      </c>
      <c r="J14" s="226" t="s">
        <v>902</v>
      </c>
      <c r="K14" s="90"/>
      <c r="L14" s="85"/>
      <c r="M14" s="85" t="s">
        <v>230</v>
      </c>
      <c r="N14" s="85" t="s">
        <v>241</v>
      </c>
      <c r="O14" s="73">
        <v>3</v>
      </c>
      <c r="P14" s="73">
        <v>0</v>
      </c>
    </row>
    <row r="15" spans="1:17" s="171" customFormat="1" ht="33" customHeight="1" x14ac:dyDescent="0.2">
      <c r="A15" s="73" t="s">
        <v>37</v>
      </c>
      <c r="B15" s="73" t="s">
        <v>239</v>
      </c>
      <c r="C15" s="73">
        <v>2</v>
      </c>
      <c r="D15" s="81" t="s">
        <v>1366</v>
      </c>
      <c r="E15" s="73" t="s">
        <v>1367</v>
      </c>
      <c r="F15" s="85">
        <v>135</v>
      </c>
      <c r="G15" s="171" t="s">
        <v>1368</v>
      </c>
      <c r="H15" s="233"/>
      <c r="I15" s="234"/>
      <c r="J15" s="226"/>
      <c r="K15" s="90"/>
      <c r="L15" s="85"/>
      <c r="M15" s="85" t="s">
        <v>230</v>
      </c>
      <c r="N15" s="85" t="s">
        <v>241</v>
      </c>
      <c r="O15" s="73">
        <v>3</v>
      </c>
      <c r="P15" s="73">
        <v>0</v>
      </c>
    </row>
  </sheetData>
  <sheetProtection algorithmName="SHA-512" hashValue="YqCwc3V1AISnrN3Oi37YxDz0I+AdhpuqEHHowu210KKKLdgsE58dPur9iRX+j0C+QplQ8pRZ07T3dh35ZfyXiw==" saltValue="rzAn3qLyEaJLvKPcg0TglQ==" spinCount="100000" sheet="1" formatCells="0" formatColumns="0" formatRows="0" insertColumns="0" insertRows="0" insertHyperlinks="0" deleteColumns="0" deleteRows="0"/>
  <autoFilter ref="A1:K1" xr:uid="{00000000-0001-0000-0000-000000000000}"/>
  <mergeCells count="13">
    <mergeCell ref="O11:O12"/>
    <mergeCell ref="P11:P12"/>
    <mergeCell ref="G11:G12"/>
    <mergeCell ref="H11:H12"/>
    <mergeCell ref="I11:I12"/>
    <mergeCell ref="J11:J12"/>
    <mergeCell ref="K11:K12"/>
    <mergeCell ref="L11:L12"/>
    <mergeCell ref="H14:H15"/>
    <mergeCell ref="I14:I15"/>
    <mergeCell ref="J14:J15"/>
    <mergeCell ref="M11:M12"/>
    <mergeCell ref="N11:N12"/>
  </mergeCells>
  <conditionalFormatting sqref="J1:J9">
    <cfRule type="containsText" dxfId="7" priority="2" operator="containsText" text="5302">
      <formula>NOT(ISERROR(SEARCH("5302",J1)))</formula>
    </cfRule>
  </conditionalFormatting>
  <conditionalFormatting sqref="J14">
    <cfRule type="containsText" dxfId="6" priority="1" operator="containsText" text="5302">
      <formula>NOT(ISERROR(SEARCH("5302",J14)))</formula>
    </cfRule>
  </conditionalFormatting>
  <pageMargins left="0.7" right="0.7" top="0.75" bottom="0.75" header="0.3" footer="0.3"/>
  <pageSetup orientation="portrait" horizontalDpi="4294967295" verticalDpi="4294967295" r:id="rId1"/>
  <headerFooter>
    <oddFooter xml:space="preserve">&amp;L_x000D_&amp;1#&amp;"Aptos"&amp;12&amp;K000000 Información Pública.        Todos los derechos reservados para XM S.A E.S.P.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571BA-9221-47BB-9B35-881C6FA44B7C}">
  <sheetPr codeName="Hoja16"/>
  <dimension ref="A1:Q7"/>
  <sheetViews>
    <sheetView zoomScaleNormal="100" workbookViewId="0">
      <pane ySplit="1" topLeftCell="A2" activePane="bottomLeft" state="frozen"/>
      <selection activeCell="D34" sqref="D34"/>
      <selection pane="bottomLeft" activeCell="D34" sqref="D34"/>
    </sheetView>
  </sheetViews>
  <sheetFormatPr defaultColWidth="11.28515625" defaultRowHeight="12.75" x14ac:dyDescent="0.2"/>
  <cols>
    <col min="1" max="1" width="13.28515625" style="72" customWidth="1"/>
    <col min="2" max="2" width="11.28515625" style="88"/>
    <col min="3" max="3" width="11.28515625" style="72" customWidth="1"/>
    <col min="4" max="4" width="65.5703125" style="91" customWidth="1"/>
    <col min="5" max="5" width="45.28515625" style="72" customWidth="1"/>
    <col min="6" max="7" width="11.28515625" style="72" customWidth="1"/>
    <col min="8" max="8" width="44.5703125" style="72" customWidth="1"/>
    <col min="9" max="9" width="89.28515625" style="72" customWidth="1"/>
    <col min="10" max="10" width="92.5703125" style="72" customWidth="1"/>
    <col min="11" max="11" width="19.5703125" style="93" customWidth="1"/>
    <col min="12" max="12" width="44.5703125" style="72" customWidth="1"/>
    <col min="13" max="14" width="17.28515625" style="72" customWidth="1"/>
    <col min="15" max="16" width="17.28515625" style="88" customWidth="1"/>
    <col min="17" max="16384" width="11.28515625" style="72"/>
  </cols>
  <sheetData>
    <row r="1" spans="1:17" ht="47.25" customHeight="1" thickBot="1" x14ac:dyDescent="0.25">
      <c r="A1" s="94" t="s">
        <v>28</v>
      </c>
      <c r="B1" s="94" t="s">
        <v>39</v>
      </c>
      <c r="C1" s="95" t="s">
        <v>40</v>
      </c>
      <c r="D1" s="95" t="s">
        <v>41</v>
      </c>
      <c r="E1" s="95" t="s">
        <v>30</v>
      </c>
      <c r="F1" s="95" t="s">
        <v>42</v>
      </c>
      <c r="G1" s="95" t="s">
        <v>43</v>
      </c>
      <c r="H1" s="95" t="s">
        <v>44</v>
      </c>
      <c r="I1" s="95" t="s">
        <v>45</v>
      </c>
      <c r="J1" s="96" t="s">
        <v>46</v>
      </c>
      <c r="K1" s="96" t="s">
        <v>47</v>
      </c>
      <c r="L1" s="95" t="s">
        <v>48</v>
      </c>
      <c r="M1" s="97" t="s">
        <v>49</v>
      </c>
      <c r="N1" s="97" t="s">
        <v>50</v>
      </c>
      <c r="O1" s="98" t="s">
        <v>51</v>
      </c>
      <c r="P1" s="97" t="s">
        <v>52</v>
      </c>
      <c r="Q1" s="72" t="s">
        <v>741</v>
      </c>
    </row>
    <row r="2" spans="1:17" x14ac:dyDescent="0.2">
      <c r="A2" s="73" t="s">
        <v>37</v>
      </c>
      <c r="B2" s="74" t="s">
        <v>242</v>
      </c>
      <c r="C2" s="75" t="s">
        <v>720</v>
      </c>
      <c r="D2" s="89" t="s">
        <v>673</v>
      </c>
      <c r="E2" s="75" t="s">
        <v>674</v>
      </c>
      <c r="F2" s="76">
        <v>170</v>
      </c>
      <c r="G2" s="76" t="s">
        <v>675</v>
      </c>
      <c r="H2" s="77"/>
      <c r="I2" s="77"/>
      <c r="J2" s="78"/>
      <c r="K2" s="90"/>
      <c r="L2" s="77"/>
      <c r="M2" s="76"/>
      <c r="N2" s="76"/>
      <c r="O2" s="75"/>
      <c r="P2" s="102"/>
    </row>
    <row r="3" spans="1:17" ht="51" x14ac:dyDescent="0.2">
      <c r="A3" s="73" t="s">
        <v>38</v>
      </c>
      <c r="B3" s="80" t="s">
        <v>38</v>
      </c>
      <c r="C3" s="73" t="s">
        <v>720</v>
      </c>
      <c r="D3" s="81" t="s">
        <v>676</v>
      </c>
      <c r="E3" s="73" t="s">
        <v>677</v>
      </c>
      <c r="F3" s="4">
        <v>70</v>
      </c>
      <c r="G3" s="4" t="s">
        <v>675</v>
      </c>
      <c r="H3" s="78" t="s">
        <v>678</v>
      </c>
      <c r="I3" s="78" t="s">
        <v>679</v>
      </c>
      <c r="J3" s="78"/>
      <c r="K3" s="90"/>
      <c r="L3" s="78"/>
      <c r="M3" s="4"/>
      <c r="N3" s="4"/>
      <c r="O3" s="73"/>
      <c r="P3" s="102"/>
    </row>
    <row r="4" spans="1:17" ht="51" x14ac:dyDescent="0.2">
      <c r="A4" s="100" t="s">
        <v>32</v>
      </c>
      <c r="B4" s="101" t="s">
        <v>61</v>
      </c>
      <c r="C4" s="100" t="s">
        <v>695</v>
      </c>
      <c r="D4" s="109" t="s">
        <v>680</v>
      </c>
      <c r="E4" s="109"/>
      <c r="F4" s="121">
        <v>390</v>
      </c>
      <c r="G4" s="121" t="s">
        <v>55</v>
      </c>
      <c r="H4" s="110" t="s">
        <v>681</v>
      </c>
      <c r="I4" s="110" t="s">
        <v>667</v>
      </c>
      <c r="J4" s="111" t="s">
        <v>649</v>
      </c>
      <c r="K4" s="112"/>
      <c r="L4" s="110"/>
      <c r="M4" s="113" t="s">
        <v>93</v>
      </c>
      <c r="N4" s="113" t="s">
        <v>92</v>
      </c>
      <c r="O4" s="100">
        <v>0</v>
      </c>
      <c r="P4" s="114">
        <v>0</v>
      </c>
      <c r="Q4" s="103" t="s">
        <v>742</v>
      </c>
    </row>
    <row r="5" spans="1:17" ht="38.25" x14ac:dyDescent="0.2">
      <c r="A5" s="100" t="s">
        <v>32</v>
      </c>
      <c r="B5" s="101" t="s">
        <v>61</v>
      </c>
      <c r="C5" s="100" t="s">
        <v>695</v>
      </c>
      <c r="D5" s="109" t="s">
        <v>698</v>
      </c>
      <c r="E5" s="109"/>
      <c r="F5" s="121">
        <v>880</v>
      </c>
      <c r="G5" s="121"/>
      <c r="H5" s="110" t="s">
        <v>699</v>
      </c>
      <c r="I5" s="123"/>
      <c r="J5" s="123"/>
      <c r="K5" s="124"/>
      <c r="L5" s="123"/>
      <c r="M5" s="113" t="s">
        <v>700</v>
      </c>
      <c r="N5" s="113" t="s">
        <v>701</v>
      </c>
      <c r="O5" s="100">
        <v>0</v>
      </c>
      <c r="P5" s="114">
        <v>0</v>
      </c>
      <c r="Q5" s="72" t="s">
        <v>743</v>
      </c>
    </row>
    <row r="6" spans="1:17" x14ac:dyDescent="0.2">
      <c r="B6" s="88" t="s">
        <v>1335</v>
      </c>
      <c r="D6" s="91" t="s">
        <v>1336</v>
      </c>
      <c r="E6" s="72" t="s">
        <v>1337</v>
      </c>
      <c r="F6" s="72">
        <v>150</v>
      </c>
      <c r="G6" s="72" t="s">
        <v>55</v>
      </c>
      <c r="H6" s="72" t="s">
        <v>1338</v>
      </c>
    </row>
    <row r="7" spans="1:17" ht="38.25" x14ac:dyDescent="0.2">
      <c r="B7" s="88" t="s">
        <v>1340</v>
      </c>
      <c r="D7" s="91" t="s">
        <v>1341</v>
      </c>
      <c r="E7" s="72" t="s">
        <v>1342</v>
      </c>
      <c r="F7" s="72">
        <v>230</v>
      </c>
      <c r="G7" s="72" t="s">
        <v>55</v>
      </c>
      <c r="H7" s="182" t="s">
        <v>1343</v>
      </c>
      <c r="I7" s="182"/>
    </row>
  </sheetData>
  <sheetProtection algorithmName="SHA-512" hashValue="7xEi2zVvkrgyJzOga2ADuv9MxQtoi7DFiXJfvmQ9CAoeadvUC5FGq5s9B/DXirMJ9ccTjPePpaQ3v7y8oNhIEQ==" saltValue="3qaBe1hWfajF8gRm7n5vrg==" spinCount="100000" sheet="1" formatCells="0" formatColumns="0" formatRows="0" insertColumns="0" insertRows="0" insertHyperlinks="0" deleteColumns="0" deleteRows="0"/>
  <conditionalFormatting sqref="J1:J1048576">
    <cfRule type="containsText" dxfId="5" priority="1" operator="containsText" text="5302">
      <formula>NOT(ISERROR(SEARCH("5302",J1)))</formula>
    </cfRule>
  </conditionalFormatting>
  <pageMargins left="0.7" right="0.7" top="0.75" bottom="0.75" header="0.3" footer="0.3"/>
  <pageSetup orientation="portrait" horizontalDpi="4294967295" verticalDpi="4294967295" r:id="rId1"/>
  <headerFooter>
    <oddFooter xml:space="preserve">&amp;L_x000D_&amp;1#&amp;"Aptos"&amp;12&amp;K000000 Información Pública.        Todos los derechos reservados para XM S.A E.S.P.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C5E9E-60D9-4A6E-A83F-4AA745E14733}">
  <sheetPr codeName="Hoja17"/>
  <dimension ref="A1:Q23"/>
  <sheetViews>
    <sheetView zoomScale="70" zoomScaleNormal="70" workbookViewId="0">
      <pane ySplit="1" topLeftCell="A12" activePane="bottomLeft" state="frozen"/>
      <selection pane="bottomLeft" activeCell="L23" sqref="L23"/>
    </sheetView>
  </sheetViews>
  <sheetFormatPr defaultColWidth="11.42578125" defaultRowHeight="15" x14ac:dyDescent="0.25"/>
  <cols>
    <col min="1" max="9" width="10.85546875" style="2"/>
    <col min="10" max="10" width="16.85546875" style="2" customWidth="1"/>
    <col min="11" max="16" width="10.85546875" style="2"/>
    <col min="17" max="17" width="50.28515625" style="17" customWidth="1"/>
  </cols>
  <sheetData>
    <row r="1" spans="1:17" s="72" customFormat="1" ht="47.25" customHeight="1" x14ac:dyDescent="0.2">
      <c r="A1" s="154" t="s">
        <v>28</v>
      </c>
      <c r="B1" s="154" t="s">
        <v>39</v>
      </c>
      <c r="C1" s="154" t="s">
        <v>40</v>
      </c>
      <c r="D1" s="154" t="s">
        <v>41</v>
      </c>
      <c r="E1" s="154" t="s">
        <v>30</v>
      </c>
      <c r="F1" s="154" t="s">
        <v>42</v>
      </c>
      <c r="G1" s="154" t="s">
        <v>43</v>
      </c>
      <c r="H1" s="154" t="s">
        <v>44</v>
      </c>
      <c r="I1" s="154" t="s">
        <v>45</v>
      </c>
      <c r="J1" s="154" t="s">
        <v>46</v>
      </c>
      <c r="K1" s="154" t="s">
        <v>47</v>
      </c>
      <c r="L1" s="154" t="s">
        <v>48</v>
      </c>
      <c r="M1" s="153" t="s">
        <v>49</v>
      </c>
      <c r="N1" s="153" t="s">
        <v>50</v>
      </c>
      <c r="O1" s="153" t="s">
        <v>51</v>
      </c>
      <c r="P1" s="153" t="s">
        <v>52</v>
      </c>
      <c r="Q1" s="156" t="s">
        <v>737</v>
      </c>
    </row>
    <row r="2" spans="1:17" s="72" customFormat="1" ht="48.6" customHeight="1" x14ac:dyDescent="0.2">
      <c r="A2" s="115" t="s">
        <v>32</v>
      </c>
      <c r="B2" s="115" t="s">
        <v>61</v>
      </c>
      <c r="C2" s="73">
        <v>24</v>
      </c>
      <c r="D2" s="116" t="s">
        <v>733</v>
      </c>
      <c r="E2" s="115" t="s">
        <v>734</v>
      </c>
      <c r="F2" s="115">
        <v>95</v>
      </c>
      <c r="G2" s="115" t="s">
        <v>68</v>
      </c>
      <c r="H2" s="117" t="s">
        <v>98</v>
      </c>
      <c r="I2" s="117" t="s">
        <v>735</v>
      </c>
      <c r="J2" s="116" t="s">
        <v>736</v>
      </c>
      <c r="K2" s="118" t="s">
        <v>91</v>
      </c>
      <c r="L2" s="117"/>
      <c r="M2" s="119" t="s">
        <v>92</v>
      </c>
      <c r="N2" s="119" t="s">
        <v>93</v>
      </c>
      <c r="O2" s="115">
        <v>0</v>
      </c>
      <c r="P2" s="115">
        <v>0</v>
      </c>
      <c r="Q2" s="79" t="s">
        <v>738</v>
      </c>
    </row>
    <row r="3" spans="1:17" s="72" customFormat="1" ht="306" x14ac:dyDescent="0.2">
      <c r="A3" s="115" t="s">
        <v>32</v>
      </c>
      <c r="B3" s="115" t="s">
        <v>61</v>
      </c>
      <c r="C3" s="73">
        <v>24</v>
      </c>
      <c r="D3" s="116" t="s">
        <v>99</v>
      </c>
      <c r="E3" s="115" t="s">
        <v>100</v>
      </c>
      <c r="F3" s="115">
        <v>140</v>
      </c>
      <c r="G3" s="115" t="s">
        <v>68</v>
      </c>
      <c r="H3" s="117" t="s">
        <v>101</v>
      </c>
      <c r="I3" s="117" t="s">
        <v>102</v>
      </c>
      <c r="J3" s="116" t="s">
        <v>661</v>
      </c>
      <c r="K3" s="118" t="s">
        <v>91</v>
      </c>
      <c r="L3" s="117"/>
      <c r="M3" s="119" t="s">
        <v>93</v>
      </c>
      <c r="N3" s="119" t="s">
        <v>92</v>
      </c>
      <c r="O3" s="115">
        <v>1</v>
      </c>
      <c r="P3" s="115">
        <v>0</v>
      </c>
      <c r="Q3" s="247" t="s">
        <v>739</v>
      </c>
    </row>
    <row r="4" spans="1:17" s="72" customFormat="1" ht="331.5" x14ac:dyDescent="0.2">
      <c r="A4" s="115" t="s">
        <v>32</v>
      </c>
      <c r="B4" s="115" t="s">
        <v>61</v>
      </c>
      <c r="C4" s="73">
        <v>25</v>
      </c>
      <c r="D4" s="116" t="s">
        <v>104</v>
      </c>
      <c r="E4" s="115" t="s">
        <v>105</v>
      </c>
      <c r="F4" s="115">
        <v>105</v>
      </c>
      <c r="G4" s="115" t="s">
        <v>68</v>
      </c>
      <c r="H4" s="117" t="s">
        <v>106</v>
      </c>
      <c r="I4" s="117" t="s">
        <v>107</v>
      </c>
      <c r="J4" s="116" t="s">
        <v>661</v>
      </c>
      <c r="K4" s="118" t="s">
        <v>91</v>
      </c>
      <c r="L4" s="116" t="s">
        <v>103</v>
      </c>
      <c r="M4" s="119" t="s">
        <v>58</v>
      </c>
      <c r="N4" s="119" t="s">
        <v>58</v>
      </c>
      <c r="O4" s="115">
        <v>1</v>
      </c>
      <c r="P4" s="115">
        <v>0</v>
      </c>
      <c r="Q4" s="247"/>
    </row>
    <row r="5" spans="1:17" s="72" customFormat="1" ht="55.15" customHeight="1" x14ac:dyDescent="0.2">
      <c r="A5" s="115" t="s">
        <v>32</v>
      </c>
      <c r="B5" s="115" t="s">
        <v>61</v>
      </c>
      <c r="C5" s="73">
        <v>26</v>
      </c>
      <c r="D5" s="116" t="s">
        <v>123</v>
      </c>
      <c r="E5" s="115" t="s">
        <v>124</v>
      </c>
      <c r="F5" s="119">
        <v>110</v>
      </c>
      <c r="G5" s="115" t="s">
        <v>68</v>
      </c>
      <c r="H5" s="117" t="s">
        <v>106</v>
      </c>
      <c r="I5" s="117" t="s">
        <v>125</v>
      </c>
      <c r="J5" s="120" t="s">
        <v>662</v>
      </c>
      <c r="K5" s="118" t="s">
        <v>91</v>
      </c>
      <c r="L5" s="117"/>
      <c r="M5" s="119" t="s">
        <v>93</v>
      </c>
      <c r="N5" s="119" t="s">
        <v>92</v>
      </c>
      <c r="O5" s="115">
        <v>1</v>
      </c>
      <c r="P5" s="115">
        <v>1</v>
      </c>
      <c r="Q5" s="247"/>
    </row>
    <row r="6" spans="1:17" s="72" customFormat="1" ht="47.65" customHeight="1" x14ac:dyDescent="0.2">
      <c r="A6" s="115" t="s">
        <v>32</v>
      </c>
      <c r="B6" s="115" t="s">
        <v>61</v>
      </c>
      <c r="C6" s="73">
        <v>27</v>
      </c>
      <c r="D6" s="116" t="s">
        <v>126</v>
      </c>
      <c r="E6" s="115" t="s">
        <v>127</v>
      </c>
      <c r="F6" s="115">
        <v>135</v>
      </c>
      <c r="G6" s="115" t="s">
        <v>68</v>
      </c>
      <c r="H6" s="117" t="s">
        <v>128</v>
      </c>
      <c r="I6" s="117" t="s">
        <v>129</v>
      </c>
      <c r="J6" s="120" t="s">
        <v>662</v>
      </c>
      <c r="K6" s="118" t="s">
        <v>91</v>
      </c>
      <c r="L6" s="117"/>
      <c r="M6" s="119" t="s">
        <v>93</v>
      </c>
      <c r="N6" s="119" t="s">
        <v>92</v>
      </c>
      <c r="O6" s="115">
        <v>1</v>
      </c>
      <c r="P6" s="115">
        <v>0</v>
      </c>
      <c r="Q6" s="247"/>
    </row>
    <row r="7" spans="1:17" ht="369.75" x14ac:dyDescent="0.25">
      <c r="A7" s="73" t="s">
        <v>32</v>
      </c>
      <c r="B7" s="73" t="s">
        <v>160</v>
      </c>
      <c r="C7" s="73">
        <f t="shared" ref="C7" si="0">C6+1</f>
        <v>28</v>
      </c>
      <c r="D7" s="79" t="s">
        <v>189</v>
      </c>
      <c r="E7" s="73" t="s">
        <v>190</v>
      </c>
      <c r="F7" s="73">
        <v>44</v>
      </c>
      <c r="G7" s="73" t="s">
        <v>55</v>
      </c>
      <c r="H7" s="78" t="s">
        <v>163</v>
      </c>
      <c r="I7" s="79" t="s">
        <v>191</v>
      </c>
      <c r="J7" s="79" t="s">
        <v>158</v>
      </c>
      <c r="K7" s="90" t="s">
        <v>159</v>
      </c>
      <c r="L7" s="79" t="s">
        <v>144</v>
      </c>
      <c r="M7" s="73" t="s">
        <v>58</v>
      </c>
      <c r="N7" s="73" t="s">
        <v>58</v>
      </c>
      <c r="O7" s="73">
        <v>1</v>
      </c>
      <c r="P7" s="73">
        <v>1</v>
      </c>
      <c r="Q7" s="44" t="s">
        <v>740</v>
      </c>
    </row>
    <row r="8" spans="1:17" ht="357" x14ac:dyDescent="0.25">
      <c r="A8" s="137" t="s">
        <v>32</v>
      </c>
      <c r="B8" s="137" t="s">
        <v>192</v>
      </c>
      <c r="C8" s="137">
        <v>2</v>
      </c>
      <c r="D8" s="138" t="s">
        <v>746</v>
      </c>
      <c r="E8" s="139"/>
      <c r="F8" s="139"/>
      <c r="G8" s="137" t="s">
        <v>68</v>
      </c>
      <c r="H8" s="140" t="s">
        <v>106</v>
      </c>
      <c r="I8" s="140" t="s">
        <v>747</v>
      </c>
      <c r="J8" s="140" t="s">
        <v>748</v>
      </c>
      <c r="K8" s="141" t="s">
        <v>749</v>
      </c>
      <c r="L8" s="140"/>
      <c r="M8" s="139" t="s">
        <v>58</v>
      </c>
      <c r="N8" s="139" t="s">
        <v>58</v>
      </c>
      <c r="O8" s="137">
        <v>1</v>
      </c>
      <c r="P8" s="137">
        <v>0</v>
      </c>
      <c r="Q8" s="248" t="s">
        <v>757</v>
      </c>
    </row>
    <row r="9" spans="1:17" ht="344.25" x14ac:dyDescent="0.25">
      <c r="A9" s="137" t="s">
        <v>32</v>
      </c>
      <c r="B9" s="137" t="s">
        <v>192</v>
      </c>
      <c r="C9" s="137">
        <v>3</v>
      </c>
      <c r="D9" s="138" t="s">
        <v>750</v>
      </c>
      <c r="E9" s="137" t="s">
        <v>751</v>
      </c>
      <c r="F9" s="139">
        <v>95</v>
      </c>
      <c r="G9" s="137" t="s">
        <v>68</v>
      </c>
      <c r="H9" s="140" t="s">
        <v>752</v>
      </c>
      <c r="I9" s="140" t="s">
        <v>753</v>
      </c>
      <c r="J9" s="140" t="s">
        <v>754</v>
      </c>
      <c r="K9" s="141" t="s">
        <v>749</v>
      </c>
      <c r="L9" s="140"/>
      <c r="M9" s="139" t="s">
        <v>58</v>
      </c>
      <c r="N9" s="139" t="s">
        <v>58</v>
      </c>
      <c r="O9" s="137">
        <v>1</v>
      </c>
      <c r="P9" s="137">
        <v>0</v>
      </c>
      <c r="Q9" s="248"/>
    </row>
    <row r="10" spans="1:17" ht="165.75" x14ac:dyDescent="0.25">
      <c r="A10" s="137" t="s">
        <v>32</v>
      </c>
      <c r="B10" s="137" t="s">
        <v>192</v>
      </c>
      <c r="C10" s="137">
        <v>4</v>
      </c>
      <c r="D10" s="142" t="s">
        <v>755</v>
      </c>
      <c r="E10" s="137" t="s">
        <v>756</v>
      </c>
      <c r="F10" s="139">
        <v>495</v>
      </c>
      <c r="G10" s="137" t="s">
        <v>55</v>
      </c>
      <c r="H10" s="140" t="s">
        <v>204</v>
      </c>
      <c r="I10" s="140" t="s">
        <v>205</v>
      </c>
      <c r="J10" s="140" t="s">
        <v>193</v>
      </c>
      <c r="K10" s="141" t="s">
        <v>194</v>
      </c>
      <c r="L10" s="140"/>
      <c r="M10" s="139" t="s">
        <v>58</v>
      </c>
      <c r="N10" s="139" t="s">
        <v>195</v>
      </c>
      <c r="O10" s="137">
        <v>0</v>
      </c>
      <c r="P10" s="137">
        <v>0</v>
      </c>
      <c r="Q10" s="248"/>
    </row>
    <row r="11" spans="1:17" s="72" customFormat="1" ht="114.75" x14ac:dyDescent="0.2">
      <c r="A11" s="115" t="s">
        <v>32</v>
      </c>
      <c r="B11" s="115" t="s">
        <v>131</v>
      </c>
      <c r="C11" s="115">
        <f>Restricciones!C38+1</f>
        <v>3</v>
      </c>
      <c r="D11" s="116" t="s">
        <v>138</v>
      </c>
      <c r="E11" s="115" t="s">
        <v>139</v>
      </c>
      <c r="F11" s="119">
        <v>40</v>
      </c>
      <c r="G11" s="115" t="s">
        <v>68</v>
      </c>
      <c r="H11" s="117" t="s">
        <v>140</v>
      </c>
      <c r="I11" s="117" t="s">
        <v>141</v>
      </c>
      <c r="J11" s="117" t="s">
        <v>142</v>
      </c>
      <c r="K11" s="122" t="s">
        <v>143</v>
      </c>
      <c r="L11" s="117"/>
      <c r="M11" s="119" t="s">
        <v>58</v>
      </c>
      <c r="N11" s="119" t="s">
        <v>58</v>
      </c>
      <c r="O11" s="115">
        <v>1</v>
      </c>
      <c r="P11" s="115">
        <v>0</v>
      </c>
      <c r="Q11" s="71" t="s">
        <v>778</v>
      </c>
    </row>
    <row r="12" spans="1:17" ht="105" customHeight="1" x14ac:dyDescent="0.25">
      <c r="A12" s="4" t="s">
        <v>37</v>
      </c>
      <c r="B12" s="4" t="s">
        <v>239</v>
      </c>
      <c r="C12" s="4">
        <v>1</v>
      </c>
      <c r="D12" s="71" t="s">
        <v>780</v>
      </c>
      <c r="E12" s="4" t="s">
        <v>781</v>
      </c>
      <c r="F12" s="4">
        <v>480</v>
      </c>
      <c r="G12" s="4" t="s">
        <v>55</v>
      </c>
      <c r="H12" s="78" t="s">
        <v>782</v>
      </c>
      <c r="I12" s="78" t="s">
        <v>783</v>
      </c>
      <c r="J12" s="78" t="s">
        <v>793</v>
      </c>
      <c r="K12" s="36" t="s">
        <v>788</v>
      </c>
      <c r="M12" s="4" t="s">
        <v>789</v>
      </c>
      <c r="N12" s="4" t="s">
        <v>791</v>
      </c>
      <c r="O12" s="4">
        <v>0</v>
      </c>
      <c r="P12" s="4">
        <v>0</v>
      </c>
    </row>
    <row r="13" spans="1:17" ht="105" customHeight="1" x14ac:dyDescent="0.25">
      <c r="A13" s="4" t="s">
        <v>37</v>
      </c>
      <c r="B13" s="4" t="s">
        <v>239</v>
      </c>
      <c r="C13" s="4">
        <v>2</v>
      </c>
      <c r="D13" s="71" t="s">
        <v>784</v>
      </c>
      <c r="E13" s="4" t="s">
        <v>785</v>
      </c>
      <c r="F13" s="4">
        <v>990</v>
      </c>
      <c r="G13" s="4" t="s">
        <v>55</v>
      </c>
      <c r="H13" s="78" t="s">
        <v>786</v>
      </c>
      <c r="I13" s="78" t="s">
        <v>787</v>
      </c>
      <c r="J13" s="78" t="s">
        <v>794</v>
      </c>
      <c r="K13" s="36" t="s">
        <v>788</v>
      </c>
      <c r="M13" s="4" t="s">
        <v>790</v>
      </c>
      <c r="N13" s="4" t="s">
        <v>792</v>
      </c>
      <c r="O13" s="4">
        <v>0</v>
      </c>
      <c r="P13" s="4">
        <v>0</v>
      </c>
    </row>
    <row r="14" spans="1:17" ht="102" x14ac:dyDescent="0.25">
      <c r="A14" s="73" t="s">
        <v>37</v>
      </c>
      <c r="B14" s="73" t="s">
        <v>242</v>
      </c>
      <c r="C14" s="73">
        <v>3</v>
      </c>
      <c r="D14" s="81" t="s">
        <v>795</v>
      </c>
      <c r="E14" s="73"/>
      <c r="F14" s="108"/>
      <c r="G14" s="108" t="s">
        <v>55</v>
      </c>
      <c r="H14" s="79" t="s">
        <v>187</v>
      </c>
      <c r="I14" s="79"/>
      <c r="J14" s="78" t="s">
        <v>796</v>
      </c>
      <c r="K14" s="90"/>
      <c r="L14" s="7"/>
      <c r="M14" s="85"/>
      <c r="N14" s="85"/>
      <c r="O14" s="73">
        <v>2</v>
      </c>
      <c r="P14" s="73">
        <v>1</v>
      </c>
      <c r="Q14" s="71" t="s">
        <v>797</v>
      </c>
    </row>
    <row r="15" spans="1:17" ht="127.5" x14ac:dyDescent="0.25">
      <c r="A15" s="73" t="s">
        <v>32</v>
      </c>
      <c r="B15" s="73" t="s">
        <v>61</v>
      </c>
      <c r="C15" s="73">
        <v>11</v>
      </c>
      <c r="D15" s="79" t="s">
        <v>668</v>
      </c>
      <c r="E15" s="73" t="s">
        <v>669</v>
      </c>
      <c r="F15" s="73">
        <v>120</v>
      </c>
      <c r="G15" s="73" t="s">
        <v>55</v>
      </c>
      <c r="H15" s="78" t="s">
        <v>672</v>
      </c>
      <c r="I15" s="78" t="s">
        <v>671</v>
      </c>
      <c r="J15" s="83" t="s">
        <v>649</v>
      </c>
      <c r="K15" s="92"/>
      <c r="L15" s="78"/>
      <c r="M15" s="4" t="s">
        <v>670</v>
      </c>
      <c r="N15" s="4" t="s">
        <v>58</v>
      </c>
      <c r="O15" s="73">
        <v>0</v>
      </c>
      <c r="P15" s="73">
        <v>0</v>
      </c>
      <c r="Q15" s="17" t="s">
        <v>821</v>
      </c>
    </row>
    <row r="16" spans="1:17" ht="331.5" x14ac:dyDescent="0.25">
      <c r="A16" s="73" t="s">
        <v>32</v>
      </c>
      <c r="B16" s="73" t="s">
        <v>61</v>
      </c>
      <c r="C16" s="73">
        <f t="shared" ref="C16" si="1">C15+1</f>
        <v>12</v>
      </c>
      <c r="D16" s="79" t="s">
        <v>108</v>
      </c>
      <c r="E16" s="73" t="s">
        <v>717</v>
      </c>
      <c r="F16" s="4">
        <v>55</v>
      </c>
      <c r="G16" s="73" t="s">
        <v>55</v>
      </c>
      <c r="H16" s="78" t="s">
        <v>106</v>
      </c>
      <c r="I16" s="78" t="s">
        <v>107</v>
      </c>
      <c r="J16" s="155" t="s">
        <v>109</v>
      </c>
      <c r="K16" s="90"/>
      <c r="L16" s="79" t="s">
        <v>103</v>
      </c>
      <c r="M16" s="4" t="s">
        <v>58</v>
      </c>
      <c r="N16" s="4" t="s">
        <v>58</v>
      </c>
      <c r="O16" s="73">
        <v>1</v>
      </c>
      <c r="P16" s="73">
        <v>0</v>
      </c>
      <c r="Q16" s="17" t="s">
        <v>822</v>
      </c>
    </row>
    <row r="17" spans="1:17" ht="102" x14ac:dyDescent="0.25">
      <c r="A17" s="73" t="s">
        <v>38</v>
      </c>
      <c r="B17" s="73" t="s">
        <v>38</v>
      </c>
      <c r="C17" s="73">
        <v>7</v>
      </c>
      <c r="D17" s="79" t="s">
        <v>834</v>
      </c>
      <c r="E17" s="73" t="s">
        <v>835</v>
      </c>
      <c r="F17" s="4">
        <v>110</v>
      </c>
      <c r="G17" s="73" t="s">
        <v>55</v>
      </c>
      <c r="H17" s="78" t="s">
        <v>836</v>
      </c>
      <c r="I17" s="78" t="s">
        <v>837</v>
      </c>
      <c r="J17" s="155" t="s">
        <v>838</v>
      </c>
      <c r="K17" s="90"/>
      <c r="L17" s="79"/>
      <c r="M17" s="4" t="s">
        <v>839</v>
      </c>
      <c r="N17" s="4" t="s">
        <v>58</v>
      </c>
      <c r="O17" s="73">
        <v>0</v>
      </c>
      <c r="P17" s="73">
        <v>0</v>
      </c>
      <c r="Q17" s="17" t="s">
        <v>840</v>
      </c>
    </row>
    <row r="18" spans="1:17" s="72" customFormat="1" ht="174.6" customHeight="1" x14ac:dyDescent="0.2">
      <c r="A18" s="73" t="s">
        <v>35</v>
      </c>
      <c r="B18" s="73" t="s">
        <v>302</v>
      </c>
      <c r="C18" s="73">
        <v>2</v>
      </c>
      <c r="D18" s="79" t="s">
        <v>842</v>
      </c>
      <c r="E18" s="73" t="s">
        <v>843</v>
      </c>
      <c r="F18" s="73">
        <v>310</v>
      </c>
      <c r="G18" s="73" t="s">
        <v>55</v>
      </c>
      <c r="H18" s="86" t="s">
        <v>304</v>
      </c>
      <c r="I18" s="86" t="s">
        <v>304</v>
      </c>
      <c r="J18" s="79" t="s">
        <v>305</v>
      </c>
      <c r="K18" s="92" t="s">
        <v>306</v>
      </c>
      <c r="L18" s="79" t="s">
        <v>103</v>
      </c>
      <c r="M18" s="87" t="s">
        <v>58</v>
      </c>
      <c r="N18" s="87" t="s">
        <v>58</v>
      </c>
      <c r="O18" s="87">
        <v>3</v>
      </c>
      <c r="P18" s="73">
        <v>0</v>
      </c>
      <c r="Q18" s="157" t="s">
        <v>899</v>
      </c>
    </row>
    <row r="19" spans="1:17" s="72" customFormat="1" ht="180.6" customHeight="1" x14ac:dyDescent="0.2">
      <c r="A19" s="73" t="s">
        <v>35</v>
      </c>
      <c r="B19" s="73" t="s">
        <v>302</v>
      </c>
      <c r="C19" s="73">
        <v>4</v>
      </c>
      <c r="D19" s="81" t="s">
        <v>844</v>
      </c>
      <c r="E19" s="73" t="s">
        <v>845</v>
      </c>
      <c r="F19" s="73">
        <v>300</v>
      </c>
      <c r="G19" s="73" t="s">
        <v>55</v>
      </c>
      <c r="H19" s="86" t="s">
        <v>304</v>
      </c>
      <c r="I19" s="86" t="s">
        <v>304</v>
      </c>
      <c r="J19" s="79" t="s">
        <v>305</v>
      </c>
      <c r="K19" s="92" t="s">
        <v>306</v>
      </c>
      <c r="L19" s="79" t="s">
        <v>103</v>
      </c>
      <c r="M19" s="87" t="s">
        <v>58</v>
      </c>
      <c r="N19" s="87" t="s">
        <v>58</v>
      </c>
      <c r="O19" s="87">
        <v>3</v>
      </c>
      <c r="P19" s="73">
        <v>0</v>
      </c>
      <c r="Q19" s="78" t="s">
        <v>899</v>
      </c>
    </row>
    <row r="20" spans="1:17" s="72" customFormat="1" ht="140.44999999999999" customHeight="1" x14ac:dyDescent="0.2">
      <c r="A20" s="73" t="s">
        <v>35</v>
      </c>
      <c r="B20" s="73" t="s">
        <v>302</v>
      </c>
      <c r="C20" s="73">
        <v>5</v>
      </c>
      <c r="D20" s="81" t="s">
        <v>846</v>
      </c>
      <c r="E20" s="73" t="s">
        <v>847</v>
      </c>
      <c r="F20" s="73">
        <v>300</v>
      </c>
      <c r="G20" s="73" t="s">
        <v>55</v>
      </c>
      <c r="H20" s="86" t="s">
        <v>304</v>
      </c>
      <c r="I20" s="86" t="s">
        <v>304</v>
      </c>
      <c r="J20" s="79" t="s">
        <v>305</v>
      </c>
      <c r="K20" s="92" t="s">
        <v>306</v>
      </c>
      <c r="L20" s="79" t="s">
        <v>103</v>
      </c>
      <c r="M20" s="87" t="s">
        <v>58</v>
      </c>
      <c r="N20" s="87" t="s">
        <v>58</v>
      </c>
      <c r="O20" s="87">
        <v>3</v>
      </c>
      <c r="P20" s="73">
        <v>0</v>
      </c>
      <c r="Q20" s="78" t="s">
        <v>899</v>
      </c>
    </row>
    <row r="21" spans="1:17" s="72" customFormat="1" ht="101.45" customHeight="1" x14ac:dyDescent="0.2">
      <c r="A21" s="73" t="s">
        <v>35</v>
      </c>
      <c r="B21" s="73" t="s">
        <v>302</v>
      </c>
      <c r="C21" s="73">
        <v>6</v>
      </c>
      <c r="D21" s="79" t="s">
        <v>768</v>
      </c>
      <c r="E21" s="73" t="s">
        <v>307</v>
      </c>
      <c r="F21" s="73">
        <v>200</v>
      </c>
      <c r="G21" s="73" t="s">
        <v>55</v>
      </c>
      <c r="H21" s="86" t="s">
        <v>304</v>
      </c>
      <c r="I21" s="86" t="s">
        <v>304</v>
      </c>
      <c r="J21" s="79" t="s">
        <v>308</v>
      </c>
      <c r="K21" s="92" t="s">
        <v>306</v>
      </c>
      <c r="L21" s="79" t="s">
        <v>103</v>
      </c>
      <c r="M21" s="87" t="s">
        <v>58</v>
      </c>
      <c r="N21" s="87" t="s">
        <v>58</v>
      </c>
      <c r="O21" s="87">
        <v>3</v>
      </c>
      <c r="P21" s="73">
        <v>0</v>
      </c>
      <c r="Q21" s="78" t="s">
        <v>899</v>
      </c>
    </row>
    <row r="22" spans="1:17" s="72" customFormat="1" ht="111.95" customHeight="1" x14ac:dyDescent="0.2">
      <c r="A22" s="73" t="s">
        <v>35</v>
      </c>
      <c r="B22" s="73" t="s">
        <v>302</v>
      </c>
      <c r="C22" s="73">
        <v>7</v>
      </c>
      <c r="D22" s="79" t="s">
        <v>769</v>
      </c>
      <c r="E22" s="73" t="s">
        <v>309</v>
      </c>
      <c r="F22" s="73">
        <v>200</v>
      </c>
      <c r="G22" s="73" t="s">
        <v>55</v>
      </c>
      <c r="H22" s="86" t="s">
        <v>304</v>
      </c>
      <c r="I22" s="86" t="s">
        <v>304</v>
      </c>
      <c r="J22" s="79" t="s">
        <v>308</v>
      </c>
      <c r="K22" s="92" t="s">
        <v>306</v>
      </c>
      <c r="L22" s="79" t="s">
        <v>103</v>
      </c>
      <c r="M22" s="87" t="s">
        <v>58</v>
      </c>
      <c r="N22" s="87" t="s">
        <v>58</v>
      </c>
      <c r="O22" s="87">
        <v>3</v>
      </c>
      <c r="P22" s="73">
        <v>0</v>
      </c>
      <c r="Q22" s="78" t="s">
        <v>899</v>
      </c>
    </row>
    <row r="23" spans="1:17" s="72" customFormat="1" ht="114.75" x14ac:dyDescent="0.2">
      <c r="A23" s="73" t="s">
        <v>35</v>
      </c>
      <c r="B23" s="73" t="s">
        <v>243</v>
      </c>
      <c r="C23" s="73">
        <v>11</v>
      </c>
      <c r="D23" s="79" t="s">
        <v>273</v>
      </c>
      <c r="E23" s="73" t="s">
        <v>274</v>
      </c>
      <c r="F23" s="73">
        <v>210</v>
      </c>
      <c r="G23" s="73" t="s">
        <v>55</v>
      </c>
      <c r="H23" s="78" t="s">
        <v>275</v>
      </c>
      <c r="I23" s="78" t="s">
        <v>276</v>
      </c>
      <c r="J23" s="82" t="s">
        <v>245</v>
      </c>
      <c r="K23" s="90"/>
      <c r="L23" s="78"/>
      <c r="M23" s="4"/>
      <c r="N23" s="4" t="s">
        <v>254</v>
      </c>
      <c r="O23" s="73">
        <v>3</v>
      </c>
      <c r="P23" s="73">
        <v>0</v>
      </c>
      <c r="Q23" s="78" t="s">
        <v>900</v>
      </c>
    </row>
  </sheetData>
  <sheetProtection formatCells="0" formatColumns="0" formatRows="0" insertColumns="0" insertRows="0" insertHyperlinks="0" deleteColumns="0" deleteRows="0"/>
  <autoFilter ref="A1:Q1" xr:uid="{994C5E9E-60D9-4A6E-A83F-4AA745E14733}"/>
  <mergeCells count="2">
    <mergeCell ref="Q3:Q6"/>
    <mergeCell ref="Q8:Q10"/>
  </mergeCells>
  <phoneticPr fontId="29" type="noConversion"/>
  <conditionalFormatting sqref="J1:J15">
    <cfRule type="containsText" dxfId="4" priority="3" operator="containsText" text="5302">
      <formula>NOT(ISERROR(SEARCH("5302",J1)))</formula>
    </cfRule>
  </conditionalFormatting>
  <conditionalFormatting sqref="J18:J23">
    <cfRule type="containsText" dxfId="3" priority="1" operator="containsText" text="5302">
      <formula>NOT(ISERROR(SEARCH("5302",J18)))</formula>
    </cfRule>
  </conditionalFormatting>
  <pageMargins left="0.7" right="0.7" top="0.75" bottom="0.75" header="0.3" footer="0.3"/>
  <headerFooter>
    <oddFooter xml:space="preserve">&amp;L_x000D_&amp;1#&amp;"Aptos"&amp;12&amp;K000000 Información Pública.        Todos los derechos reservados para XM S.A E.S.P. </oddFooter>
  </headerFooter>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0E8F3-8172-4AA5-ABD9-49C57011539A}">
  <sheetPr codeName="Hoja4"/>
  <dimension ref="A1:G15"/>
  <sheetViews>
    <sheetView zoomScaleNormal="100" workbookViewId="0">
      <selection activeCell="B13" sqref="B13"/>
    </sheetView>
  </sheetViews>
  <sheetFormatPr defaultColWidth="11.28515625" defaultRowHeight="15" x14ac:dyDescent="0.25"/>
  <cols>
    <col min="1" max="1" width="16.28515625" bestFit="1" customWidth="1"/>
    <col min="2" max="2" width="17.28515625" bestFit="1" customWidth="1"/>
    <col min="3" max="3" width="12.28515625" bestFit="1" customWidth="1"/>
    <col min="4" max="4" width="0.140625" customWidth="1"/>
  </cols>
  <sheetData>
    <row r="1" spans="1:7" ht="22.5" customHeight="1" x14ac:dyDescent="0.25">
      <c r="A1" s="65" t="s">
        <v>324</v>
      </c>
      <c r="B1" s="63" t="s">
        <v>325</v>
      </c>
      <c r="C1" s="66" t="s">
        <v>326</v>
      </c>
      <c r="D1" s="66" t="s">
        <v>944</v>
      </c>
      <c r="E1" s="66" t="s">
        <v>945</v>
      </c>
    </row>
    <row r="2" spans="1:7" x14ac:dyDescent="0.25">
      <c r="A2" s="49">
        <v>0</v>
      </c>
      <c r="B2" s="70">
        <v>1539.9999</v>
      </c>
      <c r="C2" s="48">
        <v>2</v>
      </c>
      <c r="D2" s="48">
        <v>0</v>
      </c>
      <c r="E2" s="48">
        <v>0</v>
      </c>
      <c r="F2" s="47"/>
      <c r="G2" s="159"/>
    </row>
    <row r="3" spans="1:7" x14ac:dyDescent="0.25">
      <c r="A3" s="158">
        <f>B2+0.0001</f>
        <v>1540</v>
      </c>
      <c r="B3" s="70">
        <v>1612.9999</v>
      </c>
      <c r="C3" s="48">
        <v>1.6</v>
      </c>
      <c r="D3" s="48">
        <v>0</v>
      </c>
      <c r="E3" s="48">
        <v>0.4</v>
      </c>
      <c r="G3" s="159"/>
    </row>
    <row r="4" spans="1:7" x14ac:dyDescent="0.25">
      <c r="A4" s="158">
        <f t="shared" ref="A4:A13" si="0">B3+0.0001</f>
        <v>1613</v>
      </c>
      <c r="B4" s="70">
        <v>1755.9999</v>
      </c>
      <c r="C4" s="48"/>
      <c r="D4" s="48">
        <v>0</v>
      </c>
      <c r="E4" s="48">
        <v>1.5</v>
      </c>
      <c r="G4" s="159"/>
    </row>
    <row r="5" spans="1:7" x14ac:dyDescent="0.25">
      <c r="A5" s="158">
        <f t="shared" si="0"/>
        <v>1756</v>
      </c>
      <c r="B5" s="70">
        <v>1896.9999</v>
      </c>
      <c r="C5" s="48"/>
      <c r="D5" s="48">
        <v>0</v>
      </c>
      <c r="E5" s="48">
        <v>2.5</v>
      </c>
      <c r="G5" s="159"/>
    </row>
    <row r="6" spans="1:7" x14ac:dyDescent="0.25">
      <c r="A6" s="158">
        <f t="shared" si="0"/>
        <v>1897</v>
      </c>
      <c r="B6" s="70">
        <v>2036.9999</v>
      </c>
      <c r="C6" s="48"/>
      <c r="D6" s="48">
        <v>0</v>
      </c>
      <c r="E6" s="48">
        <v>3.3</v>
      </c>
      <c r="G6" s="159"/>
    </row>
    <row r="7" spans="1:7" x14ac:dyDescent="0.25">
      <c r="A7" s="158">
        <f t="shared" si="0"/>
        <v>2037</v>
      </c>
      <c r="B7" s="70">
        <v>2176.9998999999998</v>
      </c>
      <c r="C7" s="48"/>
      <c r="D7" s="48">
        <v>0</v>
      </c>
      <c r="E7" s="48">
        <v>5</v>
      </c>
      <c r="G7" s="159"/>
    </row>
    <row r="8" spans="1:7" x14ac:dyDescent="0.25">
      <c r="A8" s="158">
        <f t="shared" si="0"/>
        <v>2177</v>
      </c>
      <c r="B8" s="70">
        <v>2257.9998999999998</v>
      </c>
      <c r="C8" s="48">
        <v>6</v>
      </c>
      <c r="D8" s="48">
        <v>0</v>
      </c>
      <c r="E8" s="48">
        <v>0.5</v>
      </c>
      <c r="G8" s="159"/>
    </row>
    <row r="9" spans="1:7" x14ac:dyDescent="0.25">
      <c r="A9" s="158">
        <f t="shared" si="0"/>
        <v>2258</v>
      </c>
      <c r="B9" s="70">
        <v>2339.9998999999998</v>
      </c>
      <c r="C9" s="48">
        <v>6.5</v>
      </c>
      <c r="D9" s="48">
        <v>0</v>
      </c>
      <c r="E9" s="48">
        <v>0.5</v>
      </c>
      <c r="G9" s="159"/>
    </row>
    <row r="10" spans="1:7" x14ac:dyDescent="0.25">
      <c r="A10" s="158">
        <f t="shared" si="0"/>
        <v>2340</v>
      </c>
      <c r="B10" s="70">
        <v>2421.9998999999998</v>
      </c>
      <c r="C10" s="48">
        <v>7.5</v>
      </c>
      <c r="D10" s="48">
        <v>0</v>
      </c>
      <c r="E10" s="48">
        <v>1</v>
      </c>
      <c r="G10" s="159"/>
    </row>
    <row r="11" spans="1:7" x14ac:dyDescent="0.25">
      <c r="A11" s="158">
        <f t="shared" si="0"/>
        <v>2422</v>
      </c>
      <c r="B11" s="70">
        <v>2510.9998999999998</v>
      </c>
      <c r="C11" s="48">
        <v>8</v>
      </c>
      <c r="D11" s="48">
        <v>0</v>
      </c>
      <c r="E11" s="48">
        <v>1</v>
      </c>
      <c r="G11" s="159"/>
    </row>
    <row r="12" spans="1:7" x14ac:dyDescent="0.25">
      <c r="A12" s="158">
        <f t="shared" si="0"/>
        <v>2511</v>
      </c>
      <c r="B12" s="70">
        <v>2599.9998999999998</v>
      </c>
      <c r="C12" s="48">
        <v>9</v>
      </c>
      <c r="D12" s="48">
        <v>0</v>
      </c>
      <c r="E12" s="48">
        <v>1</v>
      </c>
      <c r="G12" s="159"/>
    </row>
    <row r="13" spans="1:7" x14ac:dyDescent="0.25">
      <c r="A13" s="158">
        <f t="shared" si="0"/>
        <v>2600</v>
      </c>
      <c r="B13" s="70">
        <v>2800</v>
      </c>
      <c r="C13" s="48">
        <v>10</v>
      </c>
      <c r="D13" s="48">
        <v>0</v>
      </c>
      <c r="E13" s="48">
        <v>1</v>
      </c>
      <c r="G13" s="159"/>
    </row>
    <row r="14" spans="1:7" x14ac:dyDescent="0.25">
      <c r="A14" s="158">
        <f>B13+0.0001</f>
        <v>2800.0001000000002</v>
      </c>
      <c r="B14" s="70">
        <v>2900</v>
      </c>
      <c r="C14" s="48">
        <v>10.5</v>
      </c>
      <c r="D14" s="48">
        <v>0</v>
      </c>
      <c r="E14" s="48">
        <v>1</v>
      </c>
    </row>
    <row r="15" spans="1:7" x14ac:dyDescent="0.25">
      <c r="A15" s="158">
        <f>B14+0.0001</f>
        <v>2900.0001000000002</v>
      </c>
      <c r="B15" s="70">
        <v>3000</v>
      </c>
      <c r="C15" s="48">
        <v>11.2</v>
      </c>
      <c r="D15" s="48">
        <v>0</v>
      </c>
      <c r="E15" s="48">
        <v>1</v>
      </c>
    </row>
  </sheetData>
  <sheetProtection algorithmName="SHA-512" hashValue="lYVyb1eQ3l29IiFuoanRH0npztaNUEMeI/7ecfWoHl7Ewx4ZPUw7fHCscGP6mmn1Y1a4eO8n0TKPDI+eDFhvPA==" saltValue="l/9gU3jaTF0iFEpy+fufqQ==" spinCount="100000" sheet="1" formatCells="0" formatColumns="0" formatRows="0" insertColumns="0" insertRows="0" insertHyperlinks="0" deleteColumns="0" deleteRows="0"/>
  <pageMargins left="0.7" right="0.7" top="0.75" bottom="0.75" header="0.3" footer="0.3"/>
  <pageSetup orientation="portrait" r:id="rId1"/>
  <headerFooter>
    <oddFooter xml:space="preserve">&amp;L_x000D_&amp;1#&amp;"Aptos"&amp;12&amp;K000000 Información Pública.        Todos los derechos reservados para XM S.A E.S.P.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5"/>
  <dimension ref="A1:F16"/>
  <sheetViews>
    <sheetView zoomScale="115" zoomScaleNormal="115" workbookViewId="0">
      <selection activeCell="G14" sqref="G14"/>
    </sheetView>
  </sheetViews>
  <sheetFormatPr defaultColWidth="11.28515625" defaultRowHeight="15" x14ac:dyDescent="0.25"/>
  <cols>
    <col min="1" max="1" width="17.28515625" customWidth="1"/>
    <col min="2" max="2" width="19" customWidth="1"/>
    <col min="3" max="4" width="17.28515625" customWidth="1"/>
  </cols>
  <sheetData>
    <row r="1" spans="1:6" ht="51.95" customHeight="1" thickBot="1" x14ac:dyDescent="0.3">
      <c r="A1" s="22" t="s">
        <v>324</v>
      </c>
      <c r="B1" s="23" t="s">
        <v>325</v>
      </c>
      <c r="C1" s="23" t="s">
        <v>37</v>
      </c>
      <c r="D1" s="160" t="s">
        <v>1292</v>
      </c>
      <c r="E1" s="160" t="s">
        <v>1408</v>
      </c>
      <c r="F1" s="160" t="s">
        <v>1409</v>
      </c>
    </row>
    <row r="2" spans="1:6" x14ac:dyDescent="0.25">
      <c r="A2" s="6">
        <v>1150</v>
      </c>
      <c r="B2" s="19">
        <v>1250</v>
      </c>
      <c r="C2" s="168">
        <v>1.79</v>
      </c>
      <c r="D2" s="168">
        <v>1.79</v>
      </c>
      <c r="E2" s="19">
        <v>1</v>
      </c>
      <c r="F2" s="19">
        <v>1</v>
      </c>
    </row>
    <row r="3" spans="1:6" x14ac:dyDescent="0.25">
      <c r="A3" s="6">
        <v>1250</v>
      </c>
      <c r="B3" s="19">
        <v>1350</v>
      </c>
      <c r="C3" s="168">
        <v>1.64</v>
      </c>
      <c r="D3" s="168">
        <v>1.64</v>
      </c>
      <c r="E3" s="19">
        <v>1</v>
      </c>
      <c r="F3" s="19">
        <v>1</v>
      </c>
    </row>
    <row r="4" spans="1:6" x14ac:dyDescent="0.25">
      <c r="A4" s="6">
        <v>1350</v>
      </c>
      <c r="B4" s="19">
        <v>1450</v>
      </c>
      <c r="C4" s="168">
        <v>1.22</v>
      </c>
      <c r="D4" s="168">
        <v>1.22</v>
      </c>
      <c r="E4" s="19">
        <v>1</v>
      </c>
      <c r="F4" s="19">
        <v>1</v>
      </c>
    </row>
    <row r="5" spans="1:6" x14ac:dyDescent="0.25">
      <c r="A5" s="6">
        <v>1450</v>
      </c>
      <c r="B5" s="19">
        <v>1550</v>
      </c>
      <c r="C5" s="19"/>
      <c r="D5" s="19"/>
      <c r="E5" s="19"/>
      <c r="F5" s="19"/>
    </row>
    <row r="6" spans="1:6" x14ac:dyDescent="0.25">
      <c r="A6" s="6">
        <v>1550</v>
      </c>
      <c r="B6" s="19">
        <v>1650</v>
      </c>
      <c r="C6" s="19"/>
      <c r="D6" s="19"/>
      <c r="E6" s="19"/>
      <c r="F6" s="19"/>
    </row>
    <row r="7" spans="1:6" x14ac:dyDescent="0.25">
      <c r="A7" s="6">
        <v>1650</v>
      </c>
      <c r="B7" s="19">
        <v>1750</v>
      </c>
      <c r="C7" s="19"/>
      <c r="D7" s="19"/>
      <c r="E7" s="19"/>
      <c r="F7" s="19"/>
    </row>
    <row r="8" spans="1:6" x14ac:dyDescent="0.25">
      <c r="A8" s="6">
        <v>1750</v>
      </c>
      <c r="B8" s="19">
        <v>1850</v>
      </c>
      <c r="C8" s="168">
        <v>0.4</v>
      </c>
      <c r="D8" s="168"/>
      <c r="E8" s="168"/>
      <c r="F8" s="168"/>
    </row>
    <row r="9" spans="1:6" x14ac:dyDescent="0.25">
      <c r="A9" s="6">
        <v>1850</v>
      </c>
      <c r="B9" s="19">
        <v>1950</v>
      </c>
      <c r="C9" s="168">
        <v>0.55000000000000004</v>
      </c>
      <c r="D9" s="168"/>
      <c r="E9" s="168"/>
      <c r="F9" s="168"/>
    </row>
    <row r="10" spans="1:6" x14ac:dyDescent="0.25">
      <c r="A10" s="6">
        <v>1950</v>
      </c>
      <c r="B10" s="19">
        <v>2050</v>
      </c>
      <c r="C10" s="168">
        <v>0.68</v>
      </c>
      <c r="D10" s="168"/>
      <c r="E10" s="168"/>
      <c r="F10" s="168"/>
    </row>
    <row r="11" spans="1:6" x14ac:dyDescent="0.25">
      <c r="A11" s="6">
        <v>2050</v>
      </c>
      <c r="B11" s="19">
        <v>2150</v>
      </c>
      <c r="C11" s="168">
        <v>1.87</v>
      </c>
      <c r="D11" s="168">
        <v>0.56000000000000005</v>
      </c>
      <c r="E11" s="168"/>
      <c r="F11" s="168"/>
    </row>
    <row r="12" spans="1:6" x14ac:dyDescent="0.25">
      <c r="A12" s="6">
        <v>2150</v>
      </c>
      <c r="B12" s="19">
        <v>2250</v>
      </c>
      <c r="C12" s="168">
        <v>2.54</v>
      </c>
      <c r="D12" s="168">
        <v>0.56000000000000005</v>
      </c>
      <c r="E12" s="168"/>
      <c r="F12" s="168"/>
    </row>
    <row r="13" spans="1:6" x14ac:dyDescent="0.25">
      <c r="A13" s="6">
        <v>2250</v>
      </c>
      <c r="B13" s="19">
        <v>2350</v>
      </c>
      <c r="C13" s="168">
        <v>3.15</v>
      </c>
      <c r="D13" s="168">
        <v>1.1499999999999999</v>
      </c>
      <c r="E13" s="168"/>
      <c r="F13" s="168"/>
    </row>
    <row r="14" spans="1:6" x14ac:dyDescent="0.25">
      <c r="A14" s="6">
        <v>2350</v>
      </c>
      <c r="B14" s="19">
        <v>2450</v>
      </c>
      <c r="C14" s="168">
        <v>3.8200000000000003</v>
      </c>
      <c r="D14" s="168">
        <v>1.32</v>
      </c>
      <c r="E14" s="168"/>
      <c r="F14" s="168"/>
    </row>
    <row r="15" spans="1:6" x14ac:dyDescent="0.25">
      <c r="A15" s="6">
        <v>2450</v>
      </c>
      <c r="B15" s="19">
        <v>2550</v>
      </c>
      <c r="C15" s="168">
        <v>4.62</v>
      </c>
      <c r="D15" s="168">
        <v>1.43</v>
      </c>
      <c r="E15" s="168"/>
      <c r="F15" s="168"/>
    </row>
    <row r="16" spans="1:6" x14ac:dyDescent="0.25">
      <c r="A16" s="6">
        <v>2550</v>
      </c>
      <c r="B16" s="19">
        <v>2650</v>
      </c>
      <c r="C16" s="168">
        <v>5.82</v>
      </c>
      <c r="D16" s="168">
        <v>2</v>
      </c>
      <c r="E16" s="168"/>
      <c r="F16" s="168"/>
    </row>
  </sheetData>
  <sheetProtection algorithmName="SHA-512" hashValue="wNytfRA6tXvL5EruNEo6cmlLzESIkqX2WeuwfbomTgZ7+Fk28fln34gOUmVHuv81VXuXEEkpQY9VAjzb09/9Fw==" saltValue="6841HbC3dYUfOC4Vy6w1Pg==" spinCount="100000" sheet="1" formatCells="0" formatColumns="0" formatRows="0" insertColumns="0" insertRows="0" insertHyperlinks="0" deleteColumns="0" deleteRows="0"/>
  <pageMargins left="0.7" right="0.7" top="0.75" bottom="0.75" header="0.3" footer="0.3"/>
  <headerFooter>
    <oddFooter xml:space="preserve">&amp;L_x000D_&amp;1#&amp;"Aptos"&amp;12&amp;K000000 Información Pública.        Todos los derechos reservados para XM S.A E.S.P.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dimension ref="A1:D12"/>
  <sheetViews>
    <sheetView workbookViewId="0">
      <selection activeCell="D23" sqref="D23"/>
    </sheetView>
  </sheetViews>
  <sheetFormatPr defaultColWidth="11.28515625" defaultRowHeight="15" x14ac:dyDescent="0.25"/>
  <cols>
    <col min="1" max="1" width="19.28515625" customWidth="1"/>
    <col min="2" max="2" width="18.7109375" customWidth="1"/>
    <col min="3" max="3" width="18.28515625" customWidth="1"/>
    <col min="4" max="4" width="20.140625" customWidth="1"/>
  </cols>
  <sheetData>
    <row r="1" spans="1:4" ht="23.65" customHeight="1" thickBot="1" x14ac:dyDescent="0.3">
      <c r="A1" s="22" t="s">
        <v>324</v>
      </c>
      <c r="B1" s="23" t="s">
        <v>325</v>
      </c>
      <c r="C1" s="23" t="s">
        <v>312</v>
      </c>
      <c r="D1" s="23" t="s">
        <v>908</v>
      </c>
    </row>
    <row r="2" spans="1:4" x14ac:dyDescent="0.25">
      <c r="A2" s="6">
        <v>0</v>
      </c>
      <c r="B2" s="18">
        <v>290.99999989999998</v>
      </c>
      <c r="C2" s="6">
        <v>0</v>
      </c>
      <c r="D2" s="6">
        <v>0</v>
      </c>
    </row>
    <row r="3" spans="1:4" x14ac:dyDescent="0.25">
      <c r="A3" s="18">
        <f>+B2+1</f>
        <v>291.99999989999998</v>
      </c>
      <c r="B3" s="18">
        <v>300.99999989999998</v>
      </c>
      <c r="C3" s="6">
        <v>0.2</v>
      </c>
      <c r="D3" s="6">
        <v>0</v>
      </c>
    </row>
    <row r="4" spans="1:4" x14ac:dyDescent="0.25">
      <c r="A4" s="18">
        <f t="shared" ref="A4:A11" si="0">+B3+1</f>
        <v>301.99999989999998</v>
      </c>
      <c r="B4" s="18">
        <v>315.99999989999998</v>
      </c>
      <c r="C4" s="6">
        <v>0.4</v>
      </c>
      <c r="D4" s="6">
        <v>0</v>
      </c>
    </row>
    <row r="5" spans="1:4" x14ac:dyDescent="0.25">
      <c r="A5" s="18">
        <f t="shared" si="0"/>
        <v>316.99999989999998</v>
      </c>
      <c r="B5" s="18">
        <v>335.99999989999998</v>
      </c>
      <c r="C5" s="6">
        <v>0.8</v>
      </c>
      <c r="D5" s="6">
        <v>0</v>
      </c>
    </row>
    <row r="6" spans="1:4" x14ac:dyDescent="0.25">
      <c r="A6" s="18">
        <f t="shared" si="0"/>
        <v>336.99999989999998</v>
      </c>
      <c r="B6" s="18">
        <v>350.99999989999998</v>
      </c>
      <c r="C6" s="6">
        <v>1.3</v>
      </c>
      <c r="D6" s="6">
        <v>0</v>
      </c>
    </row>
    <row r="7" spans="1:4" x14ac:dyDescent="0.25">
      <c r="A7" s="18">
        <f t="shared" si="0"/>
        <v>351.99999989999998</v>
      </c>
      <c r="B7" s="18">
        <v>360.99999989999998</v>
      </c>
      <c r="C7" s="6">
        <v>1.7</v>
      </c>
      <c r="D7" s="6">
        <v>0</v>
      </c>
    </row>
    <row r="8" spans="1:4" x14ac:dyDescent="0.25">
      <c r="A8" s="18">
        <f t="shared" si="0"/>
        <v>361.99999989999998</v>
      </c>
      <c r="B8" s="18">
        <v>380.99999989999998</v>
      </c>
      <c r="C8" s="6">
        <v>2.2000000000000002</v>
      </c>
      <c r="D8" s="6">
        <v>1</v>
      </c>
    </row>
    <row r="9" spans="1:4" x14ac:dyDescent="0.25">
      <c r="A9" s="18">
        <f t="shared" si="0"/>
        <v>381.99999989999998</v>
      </c>
      <c r="B9" s="18">
        <v>400.99999989999998</v>
      </c>
      <c r="C9" s="6">
        <v>2.4</v>
      </c>
      <c r="D9" s="6">
        <v>1</v>
      </c>
    </row>
    <row r="10" spans="1:4" x14ac:dyDescent="0.25">
      <c r="A10" s="18">
        <f t="shared" si="0"/>
        <v>401.99999989999998</v>
      </c>
      <c r="B10" s="18">
        <v>425.99999989999998</v>
      </c>
      <c r="C10" s="6">
        <v>2.8</v>
      </c>
      <c r="D10" s="6">
        <v>1</v>
      </c>
    </row>
    <row r="11" spans="1:4" x14ac:dyDescent="0.25">
      <c r="A11" s="18">
        <f t="shared" si="0"/>
        <v>426.99999989999998</v>
      </c>
      <c r="B11" s="18">
        <v>445</v>
      </c>
      <c r="C11" s="6">
        <v>3.3</v>
      </c>
      <c r="D11" s="6">
        <v>1</v>
      </c>
    </row>
    <row r="12" spans="1:4" x14ac:dyDescent="0.25">
      <c r="A12" s="18">
        <f t="shared" ref="A12" si="1">+B11+1</f>
        <v>446</v>
      </c>
      <c r="B12" s="18">
        <v>465</v>
      </c>
      <c r="C12" s="6">
        <v>3.6</v>
      </c>
      <c r="D12" s="6">
        <v>1</v>
      </c>
    </row>
  </sheetData>
  <sheetProtection algorithmName="SHA-512" hashValue="05dA+FqHKUAtrc+2NcfMbmIQ2famT2O26zL9x71Hc8y+ZmZzrl99EhVL7VbgS5zjg1k/WPH95r/hZXfFFacf4w==" saltValue="A86/g6jtXRfK/Mltx/DZ7Q==" spinCount="100000" sheet="1" formatCells="0" formatColumns="0" formatRows="0" insertColumns="0" insertRows="0" insertHyperlinks="0" deleteColumns="0" deleteRows="0" pivotTables="0"/>
  <pageMargins left="0.7" right="0.7" top="0.75" bottom="0.75" header="0.3" footer="0.3"/>
  <headerFooter>
    <oddFooter xml:space="preserve">&amp;L_x000D_&amp;1#&amp;"Aptos"&amp;12&amp;K000000 Información Pública.        Todos los derechos reservados para XM S.A E.S.P.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445DE-4BBC-4957-A949-D649D4734F35}">
  <sheetPr codeName="Hoja18"/>
  <dimension ref="A1:C4"/>
  <sheetViews>
    <sheetView zoomScale="115" zoomScaleNormal="115" workbookViewId="0"/>
  </sheetViews>
  <sheetFormatPr defaultColWidth="11.28515625" defaultRowHeight="15" x14ac:dyDescent="0.25"/>
  <cols>
    <col min="1" max="1" width="19.28515625" customWidth="1"/>
    <col min="2" max="2" width="18.7109375" customWidth="1"/>
    <col min="3" max="3" width="18.28515625" customWidth="1"/>
  </cols>
  <sheetData>
    <row r="1" spans="1:3" ht="23.65" customHeight="1" x14ac:dyDescent="0.25">
      <c r="A1" s="65" t="s">
        <v>324</v>
      </c>
      <c r="B1" s="63" t="s">
        <v>325</v>
      </c>
      <c r="C1" s="63" t="s">
        <v>686</v>
      </c>
    </row>
    <row r="2" spans="1:3" x14ac:dyDescent="0.25">
      <c r="A2" s="6">
        <v>0</v>
      </c>
      <c r="B2" s="18">
        <v>340</v>
      </c>
      <c r="C2" s="6">
        <v>0</v>
      </c>
    </row>
    <row r="3" spans="1:3" x14ac:dyDescent="0.25">
      <c r="A3" s="18">
        <f>+B2+1</f>
        <v>341</v>
      </c>
      <c r="B3" s="18">
        <v>360</v>
      </c>
      <c r="C3" s="6">
        <v>1</v>
      </c>
    </row>
    <row r="4" spans="1:3" x14ac:dyDescent="0.25">
      <c r="A4" s="6">
        <v>361</v>
      </c>
      <c r="B4" s="6">
        <v>380</v>
      </c>
      <c r="C4" s="6">
        <v>2</v>
      </c>
    </row>
  </sheetData>
  <sheetProtection algorithmName="SHA-512" hashValue="bm1kbWc38Y2X5pMdRzqucgqWX6wGMm8ERjoNMpzhfuLUPaW+vi52VWP+DR/I+okp5Py4f5Cjjk41Rqg+IUX6MQ==" saltValue="rd339MoYKRqdMqI3+fzUvg==" spinCount="100000" sheet="1" formatCells="0" formatColumns="0" formatRows="0" insertColumns="0" insertRows="0" insertHyperlinks="0" deleteColumns="0" deleteRows="0" pivotTables="0"/>
  <pageMargins left="0.7" right="0.7" top="0.75" bottom="0.75" header="0.3" footer="0.3"/>
  <headerFooter>
    <oddFooter xml:space="preserve">&amp;L_x000D_&amp;1#&amp;"Aptos"&amp;12&amp;K000000 Información Pública.        Todos los derechos reservados para XM S.A E.S.P.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1:D6"/>
  <sheetViews>
    <sheetView zoomScale="130" zoomScaleNormal="130" workbookViewId="0"/>
  </sheetViews>
  <sheetFormatPr defaultColWidth="11.28515625" defaultRowHeight="15" x14ac:dyDescent="0.25"/>
  <cols>
    <col min="1" max="1" width="17.28515625" customWidth="1"/>
    <col min="2" max="2" width="18.7109375" customWidth="1"/>
    <col min="3" max="3" width="12.28515625" customWidth="1"/>
    <col min="4" max="4" width="21.140625" customWidth="1"/>
  </cols>
  <sheetData>
    <row r="1" spans="1:4" ht="48" customHeight="1" thickBot="1" x14ac:dyDescent="0.3">
      <c r="A1" s="22" t="s">
        <v>324</v>
      </c>
      <c r="B1" s="23" t="s">
        <v>325</v>
      </c>
      <c r="C1" s="23" t="s">
        <v>38</v>
      </c>
      <c r="D1" s="162" t="s">
        <v>909</v>
      </c>
    </row>
    <row r="2" spans="1:4" x14ac:dyDescent="0.25">
      <c r="A2" s="6">
        <v>600</v>
      </c>
      <c r="B2" s="18">
        <v>699</v>
      </c>
      <c r="C2" s="6">
        <v>0</v>
      </c>
      <c r="D2" s="161">
        <v>4</v>
      </c>
    </row>
    <row r="3" spans="1:4" x14ac:dyDescent="0.25">
      <c r="A3" s="6">
        <v>700</v>
      </c>
      <c r="B3" s="18">
        <v>799</v>
      </c>
      <c r="C3" s="6">
        <v>0</v>
      </c>
      <c r="D3" s="161">
        <v>2</v>
      </c>
    </row>
    <row r="4" spans="1:4" x14ac:dyDescent="0.25">
      <c r="A4" s="6">
        <v>800</v>
      </c>
      <c r="B4" s="18">
        <v>1699</v>
      </c>
      <c r="C4" s="6">
        <v>0</v>
      </c>
      <c r="D4" s="2">
        <v>0</v>
      </c>
    </row>
    <row r="5" spans="1:4" x14ac:dyDescent="0.25">
      <c r="A5" s="18">
        <v>1700</v>
      </c>
      <c r="B5" s="18">
        <v>1749</v>
      </c>
      <c r="C5" s="6">
        <v>0</v>
      </c>
      <c r="D5" s="2">
        <v>0</v>
      </c>
    </row>
    <row r="6" spans="1:4" x14ac:dyDescent="0.25">
      <c r="A6" s="18">
        <v>1750</v>
      </c>
      <c r="B6" s="18">
        <v>1799</v>
      </c>
      <c r="C6" s="6">
        <v>0</v>
      </c>
      <c r="D6" s="2">
        <v>0</v>
      </c>
    </row>
  </sheetData>
  <sheetProtection algorithmName="SHA-512" hashValue="57+VFFHzAPg2AuQOv+jzU1fgCE3v4yoct4S5rMjjifdfrU8JVnE5IyvHcGtWbJLjP0+8vE5xIK9pAFt7cPjfUQ==" saltValue="s7X81n+APXFiGmtG6+H4Pw==" spinCount="100000" sheet="1" formatCells="0" formatColumns="0" formatRows="0" insertColumns="0" insertRows="0" insertHyperlinks="0" deleteColumns="0" deleteRows="0" sort="0" autoFilter="0" pivotTables="0"/>
  <pageMargins left="0.7" right="0.7" top="0.75" bottom="0.75" header="0.3" footer="0.3"/>
  <headerFooter>
    <oddFooter xml:space="preserve">&amp;L_x000D_&amp;1#&amp;"Aptos"&amp;12&amp;K000000 Información Pública.        Todos los derechos reservados para XM S.A E.S.P.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9"/>
  <dimension ref="A1:G20"/>
  <sheetViews>
    <sheetView workbookViewId="0">
      <selection activeCell="A8" sqref="A8"/>
    </sheetView>
  </sheetViews>
  <sheetFormatPr defaultColWidth="11.28515625" defaultRowHeight="15" x14ac:dyDescent="0.25"/>
  <cols>
    <col min="1" max="1" width="17.28515625" customWidth="1"/>
    <col min="2" max="2" width="19.28515625" customWidth="1"/>
    <col min="7" max="7" width="24.5703125" bestFit="1" customWidth="1"/>
  </cols>
  <sheetData>
    <row r="1" spans="1:7" ht="23.65" customHeight="1" thickBot="1" x14ac:dyDescent="0.3">
      <c r="A1" s="22" t="s">
        <v>324</v>
      </c>
      <c r="B1" s="23" t="s">
        <v>325</v>
      </c>
      <c r="C1" s="23" t="s">
        <v>35</v>
      </c>
      <c r="D1" s="24" t="s">
        <v>1289</v>
      </c>
      <c r="E1" s="24" t="s">
        <v>1290</v>
      </c>
      <c r="F1" s="24" t="s">
        <v>1291</v>
      </c>
      <c r="G1" s="23" t="s">
        <v>910</v>
      </c>
    </row>
    <row r="2" spans="1:7" x14ac:dyDescent="0.25">
      <c r="A2" s="2">
        <v>1200</v>
      </c>
      <c r="B2" s="20">
        <v>1299</v>
      </c>
      <c r="C2" s="42">
        <v>3</v>
      </c>
      <c r="D2" s="14">
        <v>0</v>
      </c>
      <c r="E2" s="14">
        <v>0</v>
      </c>
      <c r="F2" s="14">
        <v>0</v>
      </c>
      <c r="G2" s="42">
        <v>0</v>
      </c>
    </row>
    <row r="3" spans="1:7" x14ac:dyDescent="0.25">
      <c r="A3" s="2">
        <v>1300</v>
      </c>
      <c r="B3" s="20">
        <v>1399</v>
      </c>
      <c r="C3" s="42">
        <v>1</v>
      </c>
      <c r="D3" s="14">
        <v>0</v>
      </c>
      <c r="E3" s="14">
        <v>0</v>
      </c>
      <c r="F3" s="14">
        <v>0</v>
      </c>
      <c r="G3" s="42">
        <v>0</v>
      </c>
    </row>
    <row r="4" spans="1:7" x14ac:dyDescent="0.25">
      <c r="A4" s="2">
        <v>1400</v>
      </c>
      <c r="B4" s="20">
        <v>1699</v>
      </c>
      <c r="C4" s="42">
        <v>0</v>
      </c>
      <c r="D4" s="14">
        <v>0</v>
      </c>
      <c r="E4" s="14">
        <v>0</v>
      </c>
      <c r="F4" s="14">
        <v>0</v>
      </c>
      <c r="G4" s="42">
        <v>0</v>
      </c>
    </row>
    <row r="5" spans="1:7" x14ac:dyDescent="0.25">
      <c r="A5" s="2">
        <v>1700</v>
      </c>
      <c r="B5" s="20">
        <v>1799</v>
      </c>
      <c r="C5" s="42">
        <v>0</v>
      </c>
      <c r="D5" s="14">
        <v>0</v>
      </c>
      <c r="E5" s="14">
        <v>0</v>
      </c>
      <c r="F5" s="14">
        <v>0</v>
      </c>
      <c r="G5" s="42">
        <v>0</v>
      </c>
    </row>
    <row r="6" spans="1:7" x14ac:dyDescent="0.25">
      <c r="A6" s="2">
        <v>1800</v>
      </c>
      <c r="B6" s="20">
        <v>1899</v>
      </c>
      <c r="C6" s="43">
        <v>0</v>
      </c>
      <c r="D6" s="6">
        <v>0</v>
      </c>
      <c r="E6" s="14">
        <v>0</v>
      </c>
      <c r="F6" s="14">
        <v>0</v>
      </c>
      <c r="G6" s="43">
        <v>0</v>
      </c>
    </row>
    <row r="7" spans="1:7" x14ac:dyDescent="0.25">
      <c r="A7" s="2">
        <v>1900</v>
      </c>
      <c r="B7" s="20">
        <v>1999</v>
      </c>
      <c r="C7" s="43">
        <v>0</v>
      </c>
      <c r="D7" s="6">
        <v>0</v>
      </c>
      <c r="E7" s="14">
        <v>0</v>
      </c>
      <c r="F7" s="14">
        <v>0</v>
      </c>
      <c r="G7" s="43">
        <v>0</v>
      </c>
    </row>
    <row r="8" spans="1:7" x14ac:dyDescent="0.25">
      <c r="A8" s="2">
        <v>2000</v>
      </c>
      <c r="B8" s="20">
        <v>2099</v>
      </c>
      <c r="C8" s="43">
        <v>0</v>
      </c>
      <c r="D8" s="6">
        <v>0</v>
      </c>
      <c r="E8" s="14">
        <v>0</v>
      </c>
      <c r="F8" s="14">
        <v>0</v>
      </c>
      <c r="G8" s="43">
        <v>0</v>
      </c>
    </row>
    <row r="9" spans="1:7" x14ac:dyDescent="0.25">
      <c r="A9" s="2">
        <v>2100</v>
      </c>
      <c r="B9" s="20">
        <v>2199</v>
      </c>
      <c r="C9" s="43">
        <v>0</v>
      </c>
      <c r="D9" s="6">
        <v>0</v>
      </c>
      <c r="E9" s="14">
        <v>0</v>
      </c>
      <c r="F9" s="14">
        <v>1</v>
      </c>
      <c r="G9" s="43">
        <v>0</v>
      </c>
    </row>
    <row r="10" spans="1:7" x14ac:dyDescent="0.25">
      <c r="A10" s="2">
        <v>2200</v>
      </c>
      <c r="B10" s="20">
        <v>2299</v>
      </c>
      <c r="C10" s="43">
        <v>0</v>
      </c>
      <c r="D10" s="6">
        <v>0</v>
      </c>
      <c r="E10" s="14">
        <v>1</v>
      </c>
      <c r="F10" s="14">
        <v>1</v>
      </c>
      <c r="G10" s="43">
        <v>0</v>
      </c>
    </row>
    <row r="11" spans="1:7" x14ac:dyDescent="0.25">
      <c r="A11" s="2">
        <v>2300</v>
      </c>
      <c r="B11" s="20">
        <v>2399</v>
      </c>
      <c r="C11" s="43">
        <v>0</v>
      </c>
      <c r="D11" s="6">
        <v>1</v>
      </c>
      <c r="E11" s="14">
        <v>1</v>
      </c>
      <c r="F11" s="14">
        <v>1</v>
      </c>
      <c r="G11" s="43">
        <v>0</v>
      </c>
    </row>
    <row r="12" spans="1:7" x14ac:dyDescent="0.25">
      <c r="A12" s="2">
        <v>2400</v>
      </c>
      <c r="B12" s="20">
        <v>2499</v>
      </c>
      <c r="C12" s="43">
        <v>1</v>
      </c>
      <c r="D12" s="6">
        <v>1</v>
      </c>
      <c r="E12" s="14">
        <v>1</v>
      </c>
      <c r="F12" s="14">
        <v>1</v>
      </c>
      <c r="G12" s="43">
        <v>0</v>
      </c>
    </row>
    <row r="13" spans="1:7" x14ac:dyDescent="0.25">
      <c r="A13" s="2">
        <v>2500</v>
      </c>
      <c r="B13" s="20">
        <v>2599</v>
      </c>
      <c r="C13" s="43">
        <v>2</v>
      </c>
      <c r="D13" s="6">
        <v>1</v>
      </c>
      <c r="E13" s="14">
        <v>1</v>
      </c>
      <c r="F13" s="14">
        <v>1</v>
      </c>
      <c r="G13" s="43">
        <v>0</v>
      </c>
    </row>
    <row r="14" spans="1:7" x14ac:dyDescent="0.25">
      <c r="A14" s="2">
        <v>2600</v>
      </c>
      <c r="B14" s="20">
        <v>2699</v>
      </c>
      <c r="C14" s="43">
        <v>3</v>
      </c>
      <c r="D14" s="6">
        <v>1</v>
      </c>
      <c r="E14" s="14">
        <v>1</v>
      </c>
      <c r="F14" s="14">
        <v>2</v>
      </c>
      <c r="G14" s="43">
        <v>0</v>
      </c>
    </row>
    <row r="15" spans="1:7" x14ac:dyDescent="0.25">
      <c r="A15" s="2">
        <v>2700</v>
      </c>
      <c r="B15" s="20">
        <v>2799</v>
      </c>
      <c r="C15" s="43">
        <v>3.5</v>
      </c>
      <c r="D15" s="6">
        <v>1</v>
      </c>
      <c r="E15" s="14">
        <v>1</v>
      </c>
      <c r="F15" s="14">
        <v>2</v>
      </c>
      <c r="G15" s="43">
        <v>0</v>
      </c>
    </row>
    <row r="16" spans="1:7" x14ac:dyDescent="0.25">
      <c r="A16" s="2">
        <v>2800</v>
      </c>
      <c r="B16" s="20">
        <v>2899</v>
      </c>
      <c r="C16" s="43">
        <v>5</v>
      </c>
      <c r="D16" s="6">
        <v>1</v>
      </c>
      <c r="E16" s="14">
        <v>1</v>
      </c>
      <c r="F16" s="14">
        <v>2</v>
      </c>
      <c r="G16" s="43">
        <v>0</v>
      </c>
    </row>
    <row r="17" spans="1:7" x14ac:dyDescent="0.25">
      <c r="A17" s="2">
        <v>2900</v>
      </c>
      <c r="B17" s="20">
        <v>2999</v>
      </c>
      <c r="C17" s="43">
        <v>6.3</v>
      </c>
      <c r="D17" s="6">
        <v>1</v>
      </c>
      <c r="E17" s="14">
        <v>1</v>
      </c>
      <c r="F17" s="14">
        <v>2</v>
      </c>
      <c r="G17" s="43">
        <v>0</v>
      </c>
    </row>
    <row r="18" spans="1:7" x14ac:dyDescent="0.25">
      <c r="A18" s="2">
        <v>3000</v>
      </c>
      <c r="B18" s="20">
        <v>3099</v>
      </c>
      <c r="C18" s="43">
        <v>8</v>
      </c>
      <c r="D18" s="14">
        <v>1</v>
      </c>
      <c r="E18" s="14">
        <v>1</v>
      </c>
      <c r="F18" s="14">
        <v>2</v>
      </c>
      <c r="G18" s="43">
        <v>0</v>
      </c>
    </row>
    <row r="19" spans="1:7" x14ac:dyDescent="0.25">
      <c r="A19" s="2">
        <v>3100</v>
      </c>
      <c r="B19" s="20">
        <v>3199</v>
      </c>
      <c r="C19" s="43">
        <v>9.5</v>
      </c>
      <c r="D19" s="14">
        <v>1</v>
      </c>
      <c r="E19" s="14">
        <v>1</v>
      </c>
      <c r="F19" s="14">
        <v>2</v>
      </c>
      <c r="G19" s="43">
        <v>0</v>
      </c>
    </row>
    <row r="20" spans="1:7" x14ac:dyDescent="0.25">
      <c r="A20" s="2">
        <v>3200</v>
      </c>
      <c r="B20" s="20">
        <v>3299</v>
      </c>
      <c r="C20" s="43">
        <v>11.5</v>
      </c>
      <c r="D20" s="14">
        <v>1</v>
      </c>
      <c r="E20" s="14">
        <v>1</v>
      </c>
      <c r="F20" s="14">
        <v>2</v>
      </c>
      <c r="G20" s="43">
        <v>0</v>
      </c>
    </row>
  </sheetData>
  <sheetProtection algorithmName="SHA-512" hashValue="bUSktOtzMlIpDb+tuUdxWuPlWfDcNLR6yBM2GReLXQW1tEp3gX2rxeIrtKWS7spo3a8TnV87+0VVXJdtoUe+rA==" saltValue="3bqUZvYY1ktAD8rS+kMFcw==" spinCount="100000" sheet="1" formatCells="0" formatColumns="0" formatRows="0" insertColumns="0" insertRows="0" insertHyperlinks="0" deleteColumns="0" deleteRows="0" sort="0" autoFilter="0" pivotTables="0"/>
  <pageMargins left="0.7" right="0.7" top="0.75" bottom="0.75" header="0.3" footer="0.3"/>
  <headerFooter>
    <oddFooter xml:space="preserve">&amp;L_x000D_&amp;1#&amp;"Aptos"&amp;12&amp;K000000 Información Pública.        Todos los derechos reservados para XM S.A E.S.P.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C2034-59D3-4AF6-8F6B-848CE5855526}">
  <sheetPr codeName="Hoja19"/>
  <dimension ref="A1:N45"/>
  <sheetViews>
    <sheetView zoomScale="70" zoomScaleNormal="70" workbookViewId="0">
      <selection activeCell="N12" sqref="N12"/>
    </sheetView>
  </sheetViews>
  <sheetFormatPr defaultColWidth="11.42578125" defaultRowHeight="15" x14ac:dyDescent="0.25"/>
  <cols>
    <col min="14" max="14" width="103.140625" customWidth="1"/>
  </cols>
  <sheetData>
    <row r="1" spans="1:14" ht="21" x14ac:dyDescent="0.35">
      <c r="A1" s="146" t="s">
        <v>813</v>
      </c>
    </row>
    <row r="3" spans="1:14" x14ac:dyDescent="0.25">
      <c r="A3" s="147" t="s">
        <v>814</v>
      </c>
    </row>
    <row r="4" spans="1:14" x14ac:dyDescent="0.25">
      <c r="M4" s="147" t="s">
        <v>814</v>
      </c>
    </row>
    <row r="5" spans="1:14" ht="90.95" customHeight="1" x14ac:dyDescent="0.25">
      <c r="M5" s="148"/>
      <c r="N5" s="149" t="s">
        <v>1248</v>
      </c>
    </row>
    <row r="20" spans="1:14" x14ac:dyDescent="0.25">
      <c r="A20" s="21"/>
    </row>
    <row r="21" spans="1:14" x14ac:dyDescent="0.25">
      <c r="A21" s="147" t="s">
        <v>816</v>
      </c>
    </row>
    <row r="22" spans="1:14" x14ac:dyDescent="0.25">
      <c r="A22" s="21"/>
      <c r="M22" s="21"/>
    </row>
    <row r="23" spans="1:14" x14ac:dyDescent="0.25">
      <c r="M23" s="147" t="s">
        <v>817</v>
      </c>
    </row>
    <row r="24" spans="1:14" ht="51" x14ac:dyDescent="0.25">
      <c r="M24" s="148"/>
      <c r="N24" s="149" t="s">
        <v>818</v>
      </c>
    </row>
    <row r="33" spans="1:14" x14ac:dyDescent="0.25">
      <c r="M33" s="147" t="s">
        <v>815</v>
      </c>
    </row>
    <row r="34" spans="1:14" ht="38.25" x14ac:dyDescent="0.25">
      <c r="M34" s="148"/>
      <c r="N34" s="149" t="s">
        <v>851</v>
      </c>
    </row>
    <row r="40" spans="1:14" ht="57.75" customHeight="1" x14ac:dyDescent="0.25">
      <c r="A40" s="148"/>
      <c r="B40" s="249" t="s">
        <v>850</v>
      </c>
      <c r="C40" s="249"/>
      <c r="D40" s="249"/>
      <c r="E40" s="249"/>
      <c r="F40" s="249"/>
      <c r="G40" s="249"/>
      <c r="H40" s="249"/>
      <c r="I40" s="249"/>
      <c r="J40" s="249"/>
      <c r="K40" s="249"/>
    </row>
    <row r="43" spans="1:14" x14ac:dyDescent="0.25">
      <c r="A43" s="147" t="s">
        <v>819</v>
      </c>
    </row>
    <row r="45" spans="1:14" x14ac:dyDescent="0.25">
      <c r="M45" t="s">
        <v>820</v>
      </c>
    </row>
  </sheetData>
  <sheetProtection algorithmName="SHA-512" hashValue="t45IgxStwn8rqi0j3FhcnKOK/K2jEGnKt0MoBBftqGP8T/WOdCSGqPIvrrDtiSl+ElGHmzp1qQo4vC5k8CxgpQ==" saltValue="FKAbivOsE1sh6g+6ykaLNg==" spinCount="100000" sheet="1" objects="1" scenarios="1"/>
  <mergeCells count="1">
    <mergeCell ref="B40:K40"/>
  </mergeCells>
  <pageMargins left="0.7" right="0.7" top="0.75" bottom="0.75" header="0.3" footer="0.3"/>
  <headerFooter>
    <oddFooter xml:space="preserve">&amp;L_x000D_&amp;1#&amp;"Aptos"&amp;12&amp;K000000 Información Pública.        Todos los derechos reservados para XM S.A E.S.P.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0">
    <tabColor theme="8" tint="0.79998168889431442"/>
  </sheetPr>
  <dimension ref="A1:L86"/>
  <sheetViews>
    <sheetView zoomScaleNormal="100" workbookViewId="0">
      <pane ySplit="1" topLeftCell="A2" activePane="bottomLeft" state="frozen"/>
      <selection activeCell="B20" sqref="B20"/>
      <selection pane="bottomLeft" activeCell="H6" sqref="H6"/>
    </sheetView>
  </sheetViews>
  <sheetFormatPr defaultColWidth="11.28515625" defaultRowHeight="15" x14ac:dyDescent="0.25"/>
  <cols>
    <col min="1" max="1" width="15.7109375" style="13" bestFit="1" customWidth="1"/>
    <col min="2" max="2" width="20.140625" style="11" bestFit="1" customWidth="1"/>
    <col min="3" max="3" width="16.28515625" style="5" bestFit="1" customWidth="1"/>
    <col min="4" max="4" width="13.28515625" style="5" bestFit="1" customWidth="1"/>
    <col min="5" max="5" width="12.7109375" style="13" bestFit="1" customWidth="1"/>
    <col min="7" max="7" width="16.5703125" bestFit="1" customWidth="1"/>
    <col min="9" max="9" width="31.28515625" customWidth="1"/>
    <col min="10" max="10" width="35.28515625" customWidth="1"/>
  </cols>
  <sheetData>
    <row r="1" spans="1:5" ht="23.65" customHeight="1" thickBot="1" x14ac:dyDescent="0.3">
      <c r="A1" s="22" t="s">
        <v>28</v>
      </c>
      <c r="B1" s="23" t="s">
        <v>328</v>
      </c>
      <c r="C1" s="23" t="s">
        <v>329</v>
      </c>
      <c r="D1" s="23" t="s">
        <v>30</v>
      </c>
      <c r="E1" s="23" t="s">
        <v>330</v>
      </c>
    </row>
    <row r="2" spans="1:5" ht="45" x14ac:dyDescent="0.25">
      <c r="A2" s="50" t="s">
        <v>38</v>
      </c>
      <c r="B2" s="10" t="s">
        <v>345</v>
      </c>
      <c r="C2" s="10">
        <v>3</v>
      </c>
      <c r="D2" s="9" t="s">
        <v>346</v>
      </c>
      <c r="E2" s="1">
        <v>2</v>
      </c>
    </row>
    <row r="3" spans="1:5" ht="45" x14ac:dyDescent="0.25">
      <c r="A3" s="50" t="s">
        <v>38</v>
      </c>
      <c r="B3" s="10" t="s">
        <v>357</v>
      </c>
      <c r="C3" s="10">
        <v>3</v>
      </c>
      <c r="D3" s="9" t="s">
        <v>358</v>
      </c>
      <c r="E3" s="1">
        <v>1.64</v>
      </c>
    </row>
    <row r="4" spans="1:5" x14ac:dyDescent="0.25">
      <c r="A4" s="50" t="s">
        <v>38</v>
      </c>
      <c r="B4" s="10" t="s">
        <v>355</v>
      </c>
      <c r="C4" s="10">
        <v>1</v>
      </c>
      <c r="D4" s="9" t="s">
        <v>356</v>
      </c>
      <c r="E4" s="1">
        <v>1.1599999999999999</v>
      </c>
    </row>
    <row r="5" spans="1:5" ht="30" x14ac:dyDescent="0.25">
      <c r="A5" s="50" t="s">
        <v>38</v>
      </c>
      <c r="B5" s="10" t="s">
        <v>341</v>
      </c>
      <c r="C5" s="10">
        <v>2</v>
      </c>
      <c r="D5" s="9" t="s">
        <v>342</v>
      </c>
      <c r="E5" s="1">
        <v>0.96</v>
      </c>
    </row>
    <row r="6" spans="1:5" ht="90" x14ac:dyDescent="0.25">
      <c r="A6" s="50" t="s">
        <v>38</v>
      </c>
      <c r="B6" s="10" t="s">
        <v>335</v>
      </c>
      <c r="C6" s="10">
        <v>6</v>
      </c>
      <c r="D6" s="9" t="s">
        <v>336</v>
      </c>
      <c r="E6" s="1">
        <v>0.82</v>
      </c>
    </row>
    <row r="7" spans="1:5" ht="120" x14ac:dyDescent="0.25">
      <c r="A7" s="50" t="s">
        <v>38</v>
      </c>
      <c r="B7" s="10" t="s">
        <v>339</v>
      </c>
      <c r="C7" s="10">
        <v>8</v>
      </c>
      <c r="D7" s="9" t="s">
        <v>340</v>
      </c>
      <c r="E7" s="1">
        <v>0.77</v>
      </c>
    </row>
    <row r="8" spans="1:5" ht="45" x14ac:dyDescent="0.25">
      <c r="A8" s="50" t="s">
        <v>38</v>
      </c>
      <c r="B8" s="10" t="s">
        <v>337</v>
      </c>
      <c r="C8" s="10">
        <v>3</v>
      </c>
      <c r="D8" s="9" t="s">
        <v>338</v>
      </c>
      <c r="E8" s="1">
        <v>0.76</v>
      </c>
    </row>
    <row r="9" spans="1:5" ht="120" x14ac:dyDescent="0.25">
      <c r="A9" s="50" t="s">
        <v>38</v>
      </c>
      <c r="B9" s="10" t="s">
        <v>349</v>
      </c>
      <c r="C9" s="10">
        <v>8</v>
      </c>
      <c r="D9" s="9" t="s">
        <v>350</v>
      </c>
      <c r="E9" s="1">
        <v>0.76</v>
      </c>
    </row>
    <row r="10" spans="1:5" ht="30" x14ac:dyDescent="0.25">
      <c r="A10" s="50" t="s">
        <v>38</v>
      </c>
      <c r="B10" s="10" t="s">
        <v>353</v>
      </c>
      <c r="C10" s="10">
        <v>2</v>
      </c>
      <c r="D10" s="9" t="s">
        <v>354</v>
      </c>
      <c r="E10" s="1">
        <v>0.7</v>
      </c>
    </row>
    <row r="11" spans="1:5" ht="30" x14ac:dyDescent="0.25">
      <c r="A11" s="50" t="s">
        <v>38</v>
      </c>
      <c r="B11" s="10" t="s">
        <v>351</v>
      </c>
      <c r="C11" s="10">
        <v>2</v>
      </c>
      <c r="D11" s="9" t="s">
        <v>352</v>
      </c>
      <c r="E11" s="1">
        <v>0.64</v>
      </c>
    </row>
    <row r="12" spans="1:5" ht="45" x14ac:dyDescent="0.25">
      <c r="A12" s="50" t="s">
        <v>38</v>
      </c>
      <c r="B12" s="10" t="s">
        <v>332</v>
      </c>
      <c r="C12" s="10">
        <v>3</v>
      </c>
      <c r="D12" s="9" t="s">
        <v>1070</v>
      </c>
      <c r="E12" s="1">
        <v>0.55000000000000004</v>
      </c>
    </row>
    <row r="13" spans="1:5" ht="45" x14ac:dyDescent="0.25">
      <c r="A13" s="50" t="s">
        <v>38</v>
      </c>
      <c r="B13" s="10" t="s">
        <v>343</v>
      </c>
      <c r="C13" s="10">
        <v>3</v>
      </c>
      <c r="D13" s="9" t="s">
        <v>344</v>
      </c>
      <c r="E13" s="1">
        <v>0.55000000000000004</v>
      </c>
    </row>
    <row r="14" spans="1:5" ht="30" x14ac:dyDescent="0.25">
      <c r="A14" s="50" t="s">
        <v>38</v>
      </c>
      <c r="B14" s="10" t="s">
        <v>224</v>
      </c>
      <c r="C14" s="10">
        <v>2</v>
      </c>
      <c r="D14" s="9" t="s">
        <v>331</v>
      </c>
      <c r="E14" s="1">
        <v>0.4</v>
      </c>
    </row>
    <row r="15" spans="1:5" ht="60" x14ac:dyDescent="0.25">
      <c r="A15" s="10" t="s">
        <v>38</v>
      </c>
      <c r="B15" s="10" t="s">
        <v>347</v>
      </c>
      <c r="C15" s="10">
        <v>4</v>
      </c>
      <c r="D15" s="9" t="s">
        <v>348</v>
      </c>
      <c r="E15" s="10">
        <v>0.3</v>
      </c>
    </row>
    <row r="16" spans="1:5" ht="45" x14ac:dyDescent="0.25">
      <c r="A16" s="50" t="s">
        <v>38</v>
      </c>
      <c r="B16" s="10" t="s">
        <v>333</v>
      </c>
      <c r="C16" s="10">
        <v>3</v>
      </c>
      <c r="D16" s="9" t="s">
        <v>334</v>
      </c>
      <c r="E16" s="1">
        <v>0.2</v>
      </c>
    </row>
    <row r="17" spans="1:5" ht="60" x14ac:dyDescent="0.25">
      <c r="A17" s="50" t="s">
        <v>38</v>
      </c>
      <c r="B17" s="10" t="s">
        <v>432</v>
      </c>
      <c r="C17" s="10">
        <v>4</v>
      </c>
      <c r="D17" s="9" t="s">
        <v>934</v>
      </c>
      <c r="E17" s="1">
        <v>0.1</v>
      </c>
    </row>
    <row r="18" spans="1:5" x14ac:dyDescent="0.25">
      <c r="A18" s="50" t="s">
        <v>38</v>
      </c>
      <c r="B18" s="10" t="s">
        <v>1093</v>
      </c>
      <c r="C18" s="10">
        <v>1</v>
      </c>
      <c r="D18" s="9" t="s">
        <v>1094</v>
      </c>
      <c r="E18" s="1">
        <v>0.1</v>
      </c>
    </row>
    <row r="19" spans="1:5" ht="45" x14ac:dyDescent="0.25">
      <c r="A19" s="50" t="s">
        <v>38</v>
      </c>
      <c r="B19" s="10" t="s">
        <v>1246</v>
      </c>
      <c r="C19" s="10">
        <v>3</v>
      </c>
      <c r="D19" s="9" t="s">
        <v>1247</v>
      </c>
      <c r="E19" s="1">
        <v>0.1</v>
      </c>
    </row>
    <row r="20" spans="1:5" ht="45" x14ac:dyDescent="0.25">
      <c r="A20" s="10" t="s">
        <v>312</v>
      </c>
      <c r="B20" s="10" t="s">
        <v>370</v>
      </c>
      <c r="C20" s="10">
        <v>3</v>
      </c>
      <c r="D20" s="9" t="s">
        <v>371</v>
      </c>
      <c r="E20" s="10">
        <v>2</v>
      </c>
    </row>
    <row r="21" spans="1:5" x14ac:dyDescent="0.25">
      <c r="A21" s="10" t="s">
        <v>312</v>
      </c>
      <c r="B21" s="10" t="s">
        <v>368</v>
      </c>
      <c r="C21" s="10">
        <v>1</v>
      </c>
      <c r="D21" s="10" t="s">
        <v>369</v>
      </c>
      <c r="E21" s="10">
        <v>0.8</v>
      </c>
    </row>
    <row r="22" spans="1:5" x14ac:dyDescent="0.25">
      <c r="A22" s="10" t="s">
        <v>312</v>
      </c>
      <c r="B22" s="10" t="s">
        <v>364</v>
      </c>
      <c r="C22" s="10">
        <v>1</v>
      </c>
      <c r="D22" s="10" t="s">
        <v>365</v>
      </c>
      <c r="E22" s="10">
        <v>0.6</v>
      </c>
    </row>
    <row r="23" spans="1:5" ht="30" x14ac:dyDescent="0.25">
      <c r="A23" s="10" t="s">
        <v>312</v>
      </c>
      <c r="B23" s="10" t="s">
        <v>362</v>
      </c>
      <c r="C23" s="10">
        <v>2</v>
      </c>
      <c r="D23" s="9" t="s">
        <v>363</v>
      </c>
      <c r="E23" s="10">
        <v>0.2</v>
      </c>
    </row>
    <row r="24" spans="1:5" x14ac:dyDescent="0.25">
      <c r="A24" s="10" t="s">
        <v>312</v>
      </c>
      <c r="B24" s="10" t="s">
        <v>360</v>
      </c>
      <c r="C24" s="10">
        <v>1</v>
      </c>
      <c r="D24" s="9" t="s">
        <v>361</v>
      </c>
      <c r="E24" s="10">
        <v>0.1</v>
      </c>
    </row>
    <row r="25" spans="1:5" x14ac:dyDescent="0.25">
      <c r="A25" s="10" t="s">
        <v>686</v>
      </c>
      <c r="B25" s="10" t="s">
        <v>696</v>
      </c>
      <c r="C25" s="10">
        <v>1</v>
      </c>
      <c r="D25" s="9" t="s">
        <v>366</v>
      </c>
      <c r="E25" s="10">
        <v>1</v>
      </c>
    </row>
    <row r="26" spans="1:5" x14ac:dyDescent="0.25">
      <c r="A26" s="10" t="s">
        <v>686</v>
      </c>
      <c r="B26" s="10" t="s">
        <v>697</v>
      </c>
      <c r="C26" s="10">
        <v>1</v>
      </c>
      <c r="D26" s="9" t="s">
        <v>367</v>
      </c>
      <c r="E26" s="10">
        <v>1</v>
      </c>
    </row>
    <row r="27" spans="1:5" ht="25.5" x14ac:dyDescent="0.25">
      <c r="A27" s="10" t="s">
        <v>326</v>
      </c>
      <c r="B27" s="7" t="s">
        <v>372</v>
      </c>
      <c r="C27" s="4">
        <v>2</v>
      </c>
      <c r="D27" s="4" t="s">
        <v>373</v>
      </c>
      <c r="E27" s="1">
        <v>0.2</v>
      </c>
    </row>
    <row r="28" spans="1:5" ht="38.25" x14ac:dyDescent="0.25">
      <c r="A28" s="10" t="s">
        <v>326</v>
      </c>
      <c r="B28" s="7" t="s">
        <v>374</v>
      </c>
      <c r="C28" s="4">
        <v>3</v>
      </c>
      <c r="D28" s="4" t="s">
        <v>375</v>
      </c>
      <c r="E28" s="1">
        <v>0.8</v>
      </c>
    </row>
    <row r="29" spans="1:5" ht="38.25" x14ac:dyDescent="0.25">
      <c r="A29" s="10" t="s">
        <v>326</v>
      </c>
      <c r="B29" s="7" t="s">
        <v>376</v>
      </c>
      <c r="C29" s="4">
        <v>3</v>
      </c>
      <c r="D29" s="4" t="s">
        <v>377</v>
      </c>
      <c r="E29" s="64">
        <v>0.3</v>
      </c>
    </row>
    <row r="30" spans="1:5" x14ac:dyDescent="0.25">
      <c r="A30" s="10" t="s">
        <v>326</v>
      </c>
      <c r="B30" s="7" t="s">
        <v>704</v>
      </c>
      <c r="C30" s="4">
        <v>1</v>
      </c>
      <c r="D30" s="4" t="s">
        <v>706</v>
      </c>
      <c r="E30" s="1">
        <v>0.06</v>
      </c>
    </row>
    <row r="31" spans="1:5" x14ac:dyDescent="0.25">
      <c r="A31" s="10" t="s">
        <v>326</v>
      </c>
      <c r="B31" s="7" t="s">
        <v>378</v>
      </c>
      <c r="C31" s="4">
        <v>1</v>
      </c>
      <c r="D31" s="7" t="s">
        <v>379</v>
      </c>
      <c r="E31" s="1">
        <v>0.5</v>
      </c>
    </row>
    <row r="32" spans="1:5" x14ac:dyDescent="0.25">
      <c r="A32" s="10" t="s">
        <v>326</v>
      </c>
      <c r="B32" s="7" t="s">
        <v>380</v>
      </c>
      <c r="C32" s="4">
        <v>1</v>
      </c>
      <c r="D32" s="7" t="s">
        <v>381</v>
      </c>
      <c r="E32" s="1">
        <v>0.4</v>
      </c>
    </row>
    <row r="33" spans="1:12" x14ac:dyDescent="0.25">
      <c r="A33" s="10" t="s">
        <v>326</v>
      </c>
      <c r="B33" s="7" t="s">
        <v>714</v>
      </c>
      <c r="C33" s="4">
        <v>1</v>
      </c>
      <c r="D33" s="7" t="s">
        <v>382</v>
      </c>
      <c r="E33" s="1">
        <v>0.6</v>
      </c>
    </row>
    <row r="34" spans="1:12" x14ac:dyDescent="0.25">
      <c r="A34" s="10" t="s">
        <v>326</v>
      </c>
      <c r="B34" s="7" t="s">
        <v>710</v>
      </c>
      <c r="C34" s="4">
        <v>1</v>
      </c>
      <c r="D34" s="4" t="s">
        <v>712</v>
      </c>
      <c r="E34" s="1">
        <v>1</v>
      </c>
    </row>
    <row r="35" spans="1:12" x14ac:dyDescent="0.25">
      <c r="A35" s="10" t="s">
        <v>326</v>
      </c>
      <c r="B35" s="7" t="s">
        <v>711</v>
      </c>
      <c r="C35" s="4">
        <v>1</v>
      </c>
      <c r="D35" s="4" t="s">
        <v>713</v>
      </c>
      <c r="E35" s="1">
        <v>1</v>
      </c>
    </row>
    <row r="36" spans="1:12" x14ac:dyDescent="0.25">
      <c r="A36" s="10" t="s">
        <v>326</v>
      </c>
      <c r="B36" s="7" t="s">
        <v>702</v>
      </c>
      <c r="C36" s="4">
        <v>1</v>
      </c>
      <c r="D36" s="4" t="s">
        <v>707</v>
      </c>
      <c r="E36" s="1">
        <v>0.08</v>
      </c>
    </row>
    <row r="37" spans="1:12" ht="25.5" x14ac:dyDescent="0.25">
      <c r="A37" s="10" t="s">
        <v>326</v>
      </c>
      <c r="B37" s="7" t="s">
        <v>383</v>
      </c>
      <c r="C37" s="4">
        <v>2</v>
      </c>
      <c r="D37" s="4" t="s">
        <v>384</v>
      </c>
      <c r="E37" s="1">
        <v>0.9</v>
      </c>
    </row>
    <row r="38" spans="1:12" x14ac:dyDescent="0.25">
      <c r="A38" s="10" t="s">
        <v>326</v>
      </c>
      <c r="B38" s="7" t="s">
        <v>703</v>
      </c>
      <c r="C38" s="4">
        <v>1</v>
      </c>
      <c r="D38" s="4" t="s">
        <v>705</v>
      </c>
      <c r="E38" s="1">
        <v>0.15</v>
      </c>
    </row>
    <row r="39" spans="1:12" ht="25.5" x14ac:dyDescent="0.25">
      <c r="A39" s="10" t="s">
        <v>326</v>
      </c>
      <c r="B39" s="7" t="s">
        <v>385</v>
      </c>
      <c r="C39" s="4">
        <v>2</v>
      </c>
      <c r="D39" s="4" t="s">
        <v>386</v>
      </c>
      <c r="E39" s="1">
        <v>0.3</v>
      </c>
    </row>
    <row r="40" spans="1:12" ht="25.5" x14ac:dyDescent="0.25">
      <c r="A40" s="10" t="s">
        <v>326</v>
      </c>
      <c r="B40" s="7" t="s">
        <v>387</v>
      </c>
      <c r="C40" s="4">
        <v>2</v>
      </c>
      <c r="D40" s="4" t="s">
        <v>388</v>
      </c>
      <c r="E40" s="1">
        <v>0.6</v>
      </c>
    </row>
    <row r="41" spans="1:12" ht="38.25" x14ac:dyDescent="0.25">
      <c r="A41" s="10" t="s">
        <v>326</v>
      </c>
      <c r="B41" s="7" t="s">
        <v>389</v>
      </c>
      <c r="C41" s="4">
        <v>3</v>
      </c>
      <c r="D41" s="4" t="s">
        <v>390</v>
      </c>
      <c r="E41" s="1">
        <v>0.7</v>
      </c>
      <c r="I41" s="67"/>
      <c r="J41" s="68"/>
      <c r="K41" s="69"/>
      <c r="L41" s="68"/>
    </row>
    <row r="42" spans="1:12" ht="14.65" customHeight="1" x14ac:dyDescent="0.25">
      <c r="A42" s="10" t="s">
        <v>326</v>
      </c>
      <c r="B42" s="7" t="s">
        <v>392</v>
      </c>
      <c r="C42" s="4">
        <v>2</v>
      </c>
      <c r="D42" s="4" t="s">
        <v>393</v>
      </c>
      <c r="E42" s="1">
        <v>0.9</v>
      </c>
    </row>
    <row r="43" spans="1:12" ht="14.65" customHeight="1" x14ac:dyDescent="0.25">
      <c r="A43" s="10" t="s">
        <v>326</v>
      </c>
      <c r="B43" s="7" t="s">
        <v>394</v>
      </c>
      <c r="C43" s="4">
        <v>10</v>
      </c>
      <c r="D43" s="4" t="s">
        <v>395</v>
      </c>
      <c r="E43" s="1">
        <v>0.01</v>
      </c>
      <c r="I43" s="67"/>
      <c r="J43" s="68"/>
      <c r="K43" s="69"/>
      <c r="L43" s="68"/>
    </row>
    <row r="44" spans="1:12" ht="14.65" customHeight="1" x14ac:dyDescent="0.25">
      <c r="A44" s="10" t="s">
        <v>326</v>
      </c>
      <c r="B44" s="7" t="s">
        <v>1081</v>
      </c>
      <c r="C44" s="4">
        <v>1</v>
      </c>
      <c r="D44" s="4" t="s">
        <v>1082</v>
      </c>
      <c r="E44" s="1">
        <v>0.4</v>
      </c>
      <c r="I44" s="67"/>
      <c r="J44" s="68"/>
      <c r="K44" s="69"/>
      <c r="L44" s="68"/>
    </row>
    <row r="45" spans="1:12" ht="14.65" customHeight="1" x14ac:dyDescent="0.25">
      <c r="A45" s="10" t="s">
        <v>326</v>
      </c>
      <c r="B45" s="7" t="s">
        <v>1083</v>
      </c>
      <c r="C45" s="4">
        <v>1</v>
      </c>
      <c r="D45" s="4" t="s">
        <v>391</v>
      </c>
      <c r="E45" s="1">
        <v>0.4</v>
      </c>
      <c r="I45" s="67"/>
      <c r="J45" s="68"/>
      <c r="K45" s="69"/>
      <c r="L45" s="68"/>
    </row>
    <row r="46" spans="1:12" ht="14.65" customHeight="1" x14ac:dyDescent="0.25">
      <c r="A46" s="10" t="s">
        <v>326</v>
      </c>
      <c r="B46" s="7" t="s">
        <v>1119</v>
      </c>
      <c r="C46" s="4">
        <v>1</v>
      </c>
      <c r="D46" s="4" t="s">
        <v>1118</v>
      </c>
      <c r="E46" s="1">
        <v>7.0000000000000007E-2</v>
      </c>
      <c r="I46" s="67"/>
      <c r="J46" s="68"/>
      <c r="K46" s="69"/>
      <c r="L46" s="68"/>
    </row>
    <row r="47" spans="1:12" ht="14.65" customHeight="1" x14ac:dyDescent="0.25">
      <c r="A47" s="10" t="s">
        <v>326</v>
      </c>
      <c r="B47" s="7" t="s">
        <v>1395</v>
      </c>
      <c r="C47" s="4">
        <v>1</v>
      </c>
      <c r="D47" s="4" t="s">
        <v>1396</v>
      </c>
      <c r="E47" s="1">
        <v>0.2</v>
      </c>
      <c r="I47" s="67"/>
      <c r="J47" s="68"/>
      <c r="K47" s="69"/>
      <c r="L47" s="68"/>
    </row>
    <row r="48" spans="1:12" ht="63.75" x14ac:dyDescent="0.25">
      <c r="A48" s="10" t="s">
        <v>35</v>
      </c>
      <c r="B48" s="7" t="s">
        <v>251</v>
      </c>
      <c r="C48" s="4">
        <v>5</v>
      </c>
      <c r="D48" s="4" t="s">
        <v>396</v>
      </c>
      <c r="E48" s="1">
        <v>2</v>
      </c>
    </row>
    <row r="49" spans="1:5" x14ac:dyDescent="0.25">
      <c r="A49" s="10" t="s">
        <v>35</v>
      </c>
      <c r="B49" s="7" t="s">
        <v>403</v>
      </c>
      <c r="C49" s="4">
        <v>1</v>
      </c>
      <c r="D49" s="4" t="s">
        <v>404</v>
      </c>
      <c r="E49" s="1">
        <v>1.4</v>
      </c>
    </row>
    <row r="50" spans="1:5" x14ac:dyDescent="0.25">
      <c r="A50" s="10" t="s">
        <v>35</v>
      </c>
      <c r="B50" s="7" t="s">
        <v>405</v>
      </c>
      <c r="C50" s="4">
        <v>1</v>
      </c>
      <c r="D50" s="4" t="s">
        <v>406</v>
      </c>
      <c r="E50" s="1">
        <v>1.4</v>
      </c>
    </row>
    <row r="51" spans="1:5" ht="102" x14ac:dyDescent="0.25">
      <c r="A51" s="10" t="s">
        <v>35</v>
      </c>
      <c r="B51" s="7" t="s">
        <v>250</v>
      </c>
      <c r="C51" s="4">
        <v>8</v>
      </c>
      <c r="D51" s="4" t="s">
        <v>359</v>
      </c>
      <c r="E51" s="1">
        <v>1</v>
      </c>
    </row>
    <row r="52" spans="1:5" x14ac:dyDescent="0.25">
      <c r="A52" s="10" t="s">
        <v>35</v>
      </c>
      <c r="B52" s="7" t="s">
        <v>407</v>
      </c>
      <c r="C52" s="4">
        <v>1</v>
      </c>
      <c r="D52" s="4" t="s">
        <v>408</v>
      </c>
      <c r="E52" s="1">
        <v>1</v>
      </c>
    </row>
    <row r="53" spans="1:5" ht="38.25" x14ac:dyDescent="0.25">
      <c r="A53" s="10" t="s">
        <v>35</v>
      </c>
      <c r="B53" s="7" t="s">
        <v>397</v>
      </c>
      <c r="C53" s="4">
        <v>3</v>
      </c>
      <c r="D53" s="4" t="s">
        <v>398</v>
      </c>
      <c r="E53" s="1">
        <v>0.6</v>
      </c>
    </row>
    <row r="54" spans="1:5" ht="38.25" x14ac:dyDescent="0.25">
      <c r="A54" s="10" t="s">
        <v>35</v>
      </c>
      <c r="B54" s="7" t="s">
        <v>399</v>
      </c>
      <c r="C54" s="4">
        <v>3</v>
      </c>
      <c r="D54" s="4" t="s">
        <v>400</v>
      </c>
      <c r="E54" s="1">
        <v>0.6</v>
      </c>
    </row>
    <row r="55" spans="1:5" x14ac:dyDescent="0.25">
      <c r="A55" s="10" t="s">
        <v>35</v>
      </c>
      <c r="B55" s="7" t="s">
        <v>411</v>
      </c>
      <c r="C55" s="4">
        <v>1</v>
      </c>
      <c r="D55" s="4" t="s">
        <v>412</v>
      </c>
      <c r="E55" s="1">
        <v>0.6</v>
      </c>
    </row>
    <row r="56" spans="1:5" ht="38.25" x14ac:dyDescent="0.25">
      <c r="A56" s="10" t="s">
        <v>35</v>
      </c>
      <c r="B56" s="7" t="s">
        <v>401</v>
      </c>
      <c r="C56" s="4">
        <v>3</v>
      </c>
      <c r="D56" s="4" t="s">
        <v>402</v>
      </c>
      <c r="E56" s="1">
        <v>0.5</v>
      </c>
    </row>
    <row r="57" spans="1:5" ht="38.25" x14ac:dyDescent="0.25">
      <c r="A57" s="10" t="s">
        <v>35</v>
      </c>
      <c r="B57" s="7" t="s">
        <v>409</v>
      </c>
      <c r="C57" s="4">
        <v>3</v>
      </c>
      <c r="D57" s="4" t="s">
        <v>410</v>
      </c>
      <c r="E57" s="1">
        <v>0.3</v>
      </c>
    </row>
    <row r="58" spans="1:5" x14ac:dyDescent="0.25">
      <c r="A58" s="10" t="s">
        <v>35</v>
      </c>
      <c r="B58" s="7" t="s">
        <v>413</v>
      </c>
      <c r="C58" s="4">
        <v>1</v>
      </c>
      <c r="D58" s="4" t="s">
        <v>414</v>
      </c>
      <c r="E58" s="1">
        <v>0.3</v>
      </c>
    </row>
    <row r="59" spans="1:5" ht="25.5" x14ac:dyDescent="0.25">
      <c r="A59" s="10" t="s">
        <v>37</v>
      </c>
      <c r="B59" s="7" t="s">
        <v>424</v>
      </c>
      <c r="C59" s="4">
        <v>2</v>
      </c>
      <c r="D59" s="4" t="s">
        <v>425</v>
      </c>
      <c r="E59" s="1">
        <v>2</v>
      </c>
    </row>
    <row r="60" spans="1:5" x14ac:dyDescent="0.25">
      <c r="A60" s="10" t="s">
        <v>37</v>
      </c>
      <c r="B60" s="7" t="s">
        <v>419</v>
      </c>
      <c r="C60" s="4">
        <v>1</v>
      </c>
      <c r="D60" s="4" t="s">
        <v>420</v>
      </c>
      <c r="E60" s="1">
        <v>1.25</v>
      </c>
    </row>
    <row r="61" spans="1:5" x14ac:dyDescent="0.25">
      <c r="A61" s="10" t="s">
        <v>37</v>
      </c>
      <c r="B61" s="7" t="s">
        <v>913</v>
      </c>
      <c r="C61" s="4">
        <v>1</v>
      </c>
      <c r="D61" s="4" t="s">
        <v>415</v>
      </c>
      <c r="E61" s="1">
        <v>1.21</v>
      </c>
    </row>
    <row r="62" spans="1:5" x14ac:dyDescent="0.25">
      <c r="A62" s="10" t="s">
        <v>37</v>
      </c>
      <c r="B62" s="7" t="s">
        <v>914</v>
      </c>
      <c r="C62" s="4">
        <v>1</v>
      </c>
      <c r="D62" s="4" t="s">
        <v>430</v>
      </c>
      <c r="E62" s="1">
        <v>0.75</v>
      </c>
    </row>
    <row r="63" spans="1:5" x14ac:dyDescent="0.25">
      <c r="A63" s="10" t="s">
        <v>37</v>
      </c>
      <c r="B63" s="7" t="s">
        <v>915</v>
      </c>
      <c r="C63" s="4">
        <v>1</v>
      </c>
      <c r="D63" s="4" t="s">
        <v>916</v>
      </c>
      <c r="E63" s="1">
        <v>0.68</v>
      </c>
    </row>
    <row r="64" spans="1:5" ht="25.5" x14ac:dyDescent="0.25">
      <c r="A64" s="10" t="s">
        <v>37</v>
      </c>
      <c r="B64" s="7" t="s">
        <v>418</v>
      </c>
      <c r="C64" s="4">
        <v>2</v>
      </c>
      <c r="D64" s="4" t="s">
        <v>1069</v>
      </c>
      <c r="E64" s="1">
        <v>0.68</v>
      </c>
    </row>
    <row r="65" spans="1:8" x14ac:dyDescent="0.25">
      <c r="A65" s="10" t="s">
        <v>37</v>
      </c>
      <c r="B65" s="7" t="s">
        <v>917</v>
      </c>
      <c r="C65" s="4">
        <v>1</v>
      </c>
      <c r="D65" s="4" t="s">
        <v>918</v>
      </c>
      <c r="E65" s="1">
        <v>0.64</v>
      </c>
    </row>
    <row r="66" spans="1:8" x14ac:dyDescent="0.25">
      <c r="A66" s="10" t="s">
        <v>37</v>
      </c>
      <c r="B66" s="7" t="s">
        <v>919</v>
      </c>
      <c r="C66" s="4">
        <v>1</v>
      </c>
      <c r="D66" s="4" t="s">
        <v>920</v>
      </c>
      <c r="E66" s="1">
        <v>0.59</v>
      </c>
    </row>
    <row r="67" spans="1:8" x14ac:dyDescent="0.25">
      <c r="A67" s="10" t="s">
        <v>37</v>
      </c>
      <c r="B67" s="7" t="s">
        <v>921</v>
      </c>
      <c r="C67" s="4">
        <v>1</v>
      </c>
      <c r="D67" s="4" t="s">
        <v>429</v>
      </c>
      <c r="E67" s="1">
        <v>0.56000000000000005</v>
      </c>
    </row>
    <row r="68" spans="1:8" x14ac:dyDescent="0.25">
      <c r="A68" s="10" t="s">
        <v>37</v>
      </c>
      <c r="B68" s="7" t="s">
        <v>922</v>
      </c>
      <c r="C68" s="4">
        <v>1</v>
      </c>
      <c r="D68" s="4" t="s">
        <v>923</v>
      </c>
      <c r="E68" s="1">
        <v>0.56000000000000005</v>
      </c>
    </row>
    <row r="69" spans="1:8" x14ac:dyDescent="0.25">
      <c r="A69" s="10" t="s">
        <v>37</v>
      </c>
      <c r="B69" s="7" t="s">
        <v>924</v>
      </c>
      <c r="C69" s="4">
        <v>1</v>
      </c>
      <c r="D69" s="4" t="s">
        <v>431</v>
      </c>
      <c r="E69" s="1">
        <v>0.55000000000000004</v>
      </c>
    </row>
    <row r="70" spans="1:8" ht="25.5" x14ac:dyDescent="0.25">
      <c r="A70" s="10" t="s">
        <v>37</v>
      </c>
      <c r="B70" s="7" t="s">
        <v>925</v>
      </c>
      <c r="C70" s="4">
        <v>2</v>
      </c>
      <c r="D70" s="4" t="s">
        <v>926</v>
      </c>
      <c r="E70" s="1">
        <v>0.54</v>
      </c>
    </row>
    <row r="71" spans="1:8" x14ac:dyDescent="0.25">
      <c r="A71" s="10" t="s">
        <v>37</v>
      </c>
      <c r="B71" s="7" t="s">
        <v>1478</v>
      </c>
      <c r="C71" s="4">
        <v>1</v>
      </c>
      <c r="D71" s="4" t="s">
        <v>1479</v>
      </c>
      <c r="E71" s="1">
        <v>0.3</v>
      </c>
    </row>
    <row r="72" spans="1:8" ht="51" x14ac:dyDescent="0.25">
      <c r="A72" s="10" t="s">
        <v>37</v>
      </c>
      <c r="B72" s="7" t="s">
        <v>421</v>
      </c>
      <c r="C72" s="4">
        <v>4</v>
      </c>
      <c r="D72" s="4" t="s">
        <v>422</v>
      </c>
      <c r="E72" s="1">
        <v>0.2</v>
      </c>
    </row>
    <row r="73" spans="1:8" ht="25.5" x14ac:dyDescent="0.25">
      <c r="A73" s="10" t="s">
        <v>37</v>
      </c>
      <c r="B73" s="7" t="s">
        <v>927</v>
      </c>
      <c r="C73" s="4">
        <v>2</v>
      </c>
      <c r="D73" s="4" t="s">
        <v>416</v>
      </c>
      <c r="E73" s="1">
        <v>0.18</v>
      </c>
    </row>
    <row r="74" spans="1:8" ht="51" x14ac:dyDescent="0.25">
      <c r="A74" s="10" t="s">
        <v>37</v>
      </c>
      <c r="B74" s="7" t="s">
        <v>928</v>
      </c>
      <c r="C74" s="4">
        <v>4</v>
      </c>
      <c r="D74" s="4" t="s">
        <v>417</v>
      </c>
      <c r="E74" s="1">
        <v>0.16</v>
      </c>
    </row>
    <row r="75" spans="1:8" ht="38.25" x14ac:dyDescent="0.25">
      <c r="A75" s="10" t="s">
        <v>37</v>
      </c>
      <c r="B75" s="7" t="s">
        <v>426</v>
      </c>
      <c r="C75" s="4">
        <v>3</v>
      </c>
      <c r="D75" s="4" t="s">
        <v>427</v>
      </c>
      <c r="E75" s="1">
        <v>0.15</v>
      </c>
    </row>
    <row r="76" spans="1:8" x14ac:dyDescent="0.25">
      <c r="A76" s="10" t="s">
        <v>37</v>
      </c>
      <c r="B76" s="7" t="s">
        <v>1276</v>
      </c>
      <c r="C76" s="4">
        <v>1</v>
      </c>
      <c r="D76" s="4" t="s">
        <v>1277</v>
      </c>
      <c r="E76" s="1">
        <v>0.11</v>
      </c>
    </row>
    <row r="77" spans="1:8" ht="38.25" x14ac:dyDescent="0.25">
      <c r="A77" s="10" t="s">
        <v>37</v>
      </c>
      <c r="B77" s="7" t="s">
        <v>929</v>
      </c>
      <c r="C77" s="4">
        <v>3</v>
      </c>
      <c r="D77" s="4" t="s">
        <v>423</v>
      </c>
      <c r="E77" s="1">
        <v>7.0000000000000007E-2</v>
      </c>
    </row>
    <row r="78" spans="1:8" x14ac:dyDescent="0.25">
      <c r="A78" s="10" t="s">
        <v>37</v>
      </c>
      <c r="B78" s="7" t="s">
        <v>930</v>
      </c>
      <c r="C78" s="4">
        <v>1</v>
      </c>
      <c r="D78" s="4" t="s">
        <v>931</v>
      </c>
      <c r="E78" s="1">
        <v>0.06</v>
      </c>
      <c r="H78" s="39"/>
    </row>
    <row r="79" spans="1:8" ht="38.25" x14ac:dyDescent="0.25">
      <c r="A79" s="10" t="s">
        <v>37</v>
      </c>
      <c r="B79" s="7" t="s">
        <v>1429</v>
      </c>
      <c r="C79" s="4">
        <v>3</v>
      </c>
      <c r="D79" s="4" t="s">
        <v>410</v>
      </c>
      <c r="E79" s="1">
        <v>0.06</v>
      </c>
      <c r="H79" s="39"/>
    </row>
    <row r="80" spans="1:8" ht="25.5" x14ac:dyDescent="0.25">
      <c r="A80" s="10" t="s">
        <v>37</v>
      </c>
      <c r="B80" s="7" t="s">
        <v>932</v>
      </c>
      <c r="C80" s="4">
        <v>2</v>
      </c>
      <c r="D80" s="4" t="s">
        <v>933</v>
      </c>
      <c r="E80" s="1">
        <v>0.05</v>
      </c>
    </row>
    <row r="81" spans="1:5" ht="25.5" x14ac:dyDescent="0.25">
      <c r="A81" s="10" t="s">
        <v>37</v>
      </c>
      <c r="B81" s="7" t="s">
        <v>1067</v>
      </c>
      <c r="C81" s="4">
        <v>2</v>
      </c>
      <c r="D81" s="4" t="s">
        <v>1068</v>
      </c>
      <c r="E81" s="1">
        <v>0.04</v>
      </c>
    </row>
    <row r="82" spans="1:5" ht="51" x14ac:dyDescent="0.25">
      <c r="A82" s="10" t="s">
        <v>37</v>
      </c>
      <c r="B82" s="7" t="s">
        <v>432</v>
      </c>
      <c r="C82" s="4">
        <v>4</v>
      </c>
      <c r="D82" s="4" t="s">
        <v>934</v>
      </c>
      <c r="E82" s="1">
        <v>0.04</v>
      </c>
    </row>
    <row r="83" spans="1:5" ht="102" x14ac:dyDescent="0.25">
      <c r="A83" s="10" t="s">
        <v>37</v>
      </c>
      <c r="B83" s="7" t="s">
        <v>349</v>
      </c>
      <c r="C83" s="4">
        <v>8</v>
      </c>
      <c r="D83" s="4" t="s">
        <v>350</v>
      </c>
      <c r="E83" s="1">
        <v>0.04</v>
      </c>
    </row>
    <row r="84" spans="1:5" x14ac:dyDescent="0.25">
      <c r="A84" s="10" t="s">
        <v>37</v>
      </c>
      <c r="B84" s="7" t="s">
        <v>935</v>
      </c>
      <c r="C84" s="4">
        <v>1</v>
      </c>
      <c r="D84" s="4" t="s">
        <v>428</v>
      </c>
      <c r="E84" s="1">
        <v>0.03</v>
      </c>
    </row>
    <row r="85" spans="1:5" ht="102" x14ac:dyDescent="0.25">
      <c r="A85" s="10" t="s">
        <v>37</v>
      </c>
      <c r="B85" s="7" t="s">
        <v>339</v>
      </c>
      <c r="C85" s="4">
        <v>8</v>
      </c>
      <c r="D85" s="4" t="s">
        <v>340</v>
      </c>
      <c r="E85" s="1">
        <v>0.02</v>
      </c>
    </row>
    <row r="86" spans="1:5" x14ac:dyDescent="0.25">
      <c r="A86" s="10" t="s">
        <v>312</v>
      </c>
      <c r="B86" s="7" t="s">
        <v>1256</v>
      </c>
      <c r="C86" s="4">
        <v>1</v>
      </c>
      <c r="D86" s="4" t="s">
        <v>1255</v>
      </c>
      <c r="E86" s="1">
        <v>0.7</v>
      </c>
    </row>
  </sheetData>
  <sheetProtection algorithmName="SHA-512" hashValue="qRydZiTu9lY2KXNOojs8CXk/5JdBbbGqkVvZTO7Lkqf+R1cgSza4wWHwaHYEK9My1mbV6ZzNE71sHf4OZ6FpNg==" saltValue="jxQbHImo7sr1NaEpq0UUHA==" spinCount="100000" sheet="1" formatCells="0" formatColumns="0" formatRows="0" insertColumns="0" insertRows="0" insertHyperlinks="0" deleteColumns="0" deleteRows="0" sort="0"/>
  <sortState xmlns:xlrd2="http://schemas.microsoft.com/office/spreadsheetml/2017/richdata2" ref="A2:E77">
    <sortCondition ref="A2:A77"/>
    <sortCondition descending="1" ref="E2:E77"/>
  </sortState>
  <phoneticPr fontId="29" type="noConversion"/>
  <pageMargins left="0.7" right="0.7" top="0.75" bottom="0.75" header="0.3" footer="0.3"/>
  <pageSetup orientation="portrait" horizontalDpi="4294967295" verticalDpi="4294967295" r:id="rId1"/>
  <headerFooter>
    <oddFooter xml:space="preserve">&amp;L_x000D_&amp;1#&amp;"Aptos"&amp;12&amp;K000000 Información Pública.        Todos los derechos reservados para XM S.A E.S.P.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1">
    <tabColor theme="8" tint="0.79998168889431442"/>
  </sheetPr>
  <dimension ref="A1:S62"/>
  <sheetViews>
    <sheetView zoomScale="115" zoomScaleNormal="115" workbookViewId="0"/>
  </sheetViews>
  <sheetFormatPr defaultColWidth="0" defaultRowHeight="15" x14ac:dyDescent="0.25"/>
  <cols>
    <col min="1" max="1" width="12.28515625" bestFit="1" customWidth="1"/>
    <col min="2" max="4" width="24.28515625" customWidth="1"/>
    <col min="5" max="8" width="15" customWidth="1"/>
    <col min="9" max="9" width="11" style="5" bestFit="1" customWidth="1"/>
    <col min="10" max="10" width="11.7109375" style="5" bestFit="1" customWidth="1"/>
    <col min="11" max="14" width="11.28515625" hidden="1" customWidth="1"/>
    <col min="15" max="19" width="0" hidden="1" customWidth="1"/>
    <col min="20" max="16384" width="11.28515625" hidden="1"/>
  </cols>
  <sheetData>
    <row r="1" spans="1:10" ht="23.65" customHeight="1" thickBot="1" x14ac:dyDescent="0.3">
      <c r="A1" s="22" t="s">
        <v>28</v>
      </c>
      <c r="B1" s="23" t="s">
        <v>433</v>
      </c>
      <c r="C1" s="169" t="s">
        <v>1066</v>
      </c>
      <c r="D1" s="23" t="s">
        <v>30</v>
      </c>
      <c r="E1" s="23" t="s">
        <v>434</v>
      </c>
      <c r="F1" s="23" t="s">
        <v>435</v>
      </c>
      <c r="G1" s="23" t="s">
        <v>436</v>
      </c>
      <c r="H1" s="23" t="s">
        <v>437</v>
      </c>
      <c r="I1" s="23" t="s">
        <v>438</v>
      </c>
      <c r="J1" s="23" t="s">
        <v>439</v>
      </c>
    </row>
    <row r="2" spans="1:10" ht="18" customHeight="1" x14ac:dyDescent="0.25">
      <c r="A2" s="45" t="s">
        <v>38</v>
      </c>
      <c r="B2" s="3" t="s">
        <v>440</v>
      </c>
      <c r="C2" s="3" t="s">
        <v>946</v>
      </c>
      <c r="D2" s="3" t="s">
        <v>947</v>
      </c>
      <c r="E2" s="54">
        <v>227</v>
      </c>
      <c r="F2" s="54">
        <v>234</v>
      </c>
      <c r="G2" s="54">
        <v>223</v>
      </c>
      <c r="H2" s="54">
        <v>230</v>
      </c>
      <c r="I2" s="54">
        <v>226</v>
      </c>
      <c r="J2" s="54">
        <v>231</v>
      </c>
    </row>
    <row r="3" spans="1:10" ht="18" customHeight="1" x14ac:dyDescent="0.25">
      <c r="A3" s="45" t="s">
        <v>38</v>
      </c>
      <c r="B3" s="3" t="s">
        <v>441</v>
      </c>
      <c r="C3" s="3" t="s">
        <v>948</v>
      </c>
      <c r="D3" s="3" t="s">
        <v>949</v>
      </c>
      <c r="E3" s="54">
        <v>111</v>
      </c>
      <c r="F3" s="54">
        <v>115</v>
      </c>
      <c r="G3" s="54">
        <v>108</v>
      </c>
      <c r="H3" s="54">
        <v>112</v>
      </c>
      <c r="I3" s="54">
        <v>110</v>
      </c>
      <c r="J3" s="54">
        <v>113</v>
      </c>
    </row>
    <row r="4" spans="1:10" ht="18" customHeight="1" x14ac:dyDescent="0.25">
      <c r="A4" s="45" t="s">
        <v>38</v>
      </c>
      <c r="B4" s="3" t="s">
        <v>442</v>
      </c>
      <c r="C4" s="3" t="s">
        <v>950</v>
      </c>
      <c r="D4" s="3" t="s">
        <v>951</v>
      </c>
      <c r="E4" s="54">
        <v>111</v>
      </c>
      <c r="F4" s="54">
        <v>115</v>
      </c>
      <c r="G4" s="54">
        <v>108</v>
      </c>
      <c r="H4" s="54">
        <v>112</v>
      </c>
      <c r="I4" s="54">
        <v>110</v>
      </c>
      <c r="J4" s="54">
        <v>113</v>
      </c>
    </row>
    <row r="5" spans="1:10" ht="18" customHeight="1" x14ac:dyDescent="0.25">
      <c r="A5" s="45" t="s">
        <v>38</v>
      </c>
      <c r="B5" s="3" t="s">
        <v>443</v>
      </c>
      <c r="C5" s="3" t="s">
        <v>952</v>
      </c>
      <c r="D5" s="3" t="s">
        <v>953</v>
      </c>
      <c r="E5" s="54">
        <v>111</v>
      </c>
      <c r="F5" s="54">
        <v>117</v>
      </c>
      <c r="G5" s="54">
        <v>107</v>
      </c>
      <c r="H5" s="54">
        <v>115</v>
      </c>
      <c r="I5" s="54">
        <v>106</v>
      </c>
      <c r="J5" s="54">
        <v>115</v>
      </c>
    </row>
    <row r="6" spans="1:10" ht="18" customHeight="1" x14ac:dyDescent="0.25">
      <c r="A6" s="45" t="s">
        <v>38</v>
      </c>
      <c r="B6" s="3" t="s">
        <v>444</v>
      </c>
      <c r="C6" s="3" t="s">
        <v>954</v>
      </c>
      <c r="D6" s="3" t="s">
        <v>955</v>
      </c>
      <c r="E6" s="54">
        <v>228</v>
      </c>
      <c r="F6" s="54">
        <v>235</v>
      </c>
      <c r="G6" s="54">
        <v>224</v>
      </c>
      <c r="H6" s="54">
        <v>230</v>
      </c>
      <c r="I6" s="54">
        <v>226</v>
      </c>
      <c r="J6" s="54">
        <v>232</v>
      </c>
    </row>
    <row r="7" spans="1:10" ht="18" customHeight="1" x14ac:dyDescent="0.25">
      <c r="A7" s="45" t="s">
        <v>38</v>
      </c>
      <c r="B7" s="3" t="s">
        <v>445</v>
      </c>
      <c r="C7" s="3" t="s">
        <v>956</v>
      </c>
      <c r="D7" s="3" t="s">
        <v>957</v>
      </c>
      <c r="E7" s="54">
        <v>226</v>
      </c>
      <c r="F7" s="54">
        <v>233</v>
      </c>
      <c r="G7" s="54">
        <v>222</v>
      </c>
      <c r="H7" s="54">
        <v>228</v>
      </c>
      <c r="I7" s="54">
        <v>224</v>
      </c>
      <c r="J7" s="54">
        <v>230</v>
      </c>
    </row>
    <row r="8" spans="1:10" ht="18" customHeight="1" x14ac:dyDescent="0.25">
      <c r="A8" s="45" t="s">
        <v>38</v>
      </c>
      <c r="B8" s="3" t="s">
        <v>446</v>
      </c>
      <c r="C8" s="3" t="s">
        <v>958</v>
      </c>
      <c r="D8" s="3" t="s">
        <v>959</v>
      </c>
      <c r="E8" s="54">
        <v>232</v>
      </c>
      <c r="F8" s="54">
        <v>237</v>
      </c>
      <c r="G8" s="54">
        <v>233</v>
      </c>
      <c r="H8" s="54">
        <v>238</v>
      </c>
      <c r="I8" s="54">
        <v>234</v>
      </c>
      <c r="J8" s="54">
        <v>239</v>
      </c>
    </row>
    <row r="9" spans="1:10" ht="18" customHeight="1" x14ac:dyDescent="0.25">
      <c r="A9" s="45" t="s">
        <v>38</v>
      </c>
      <c r="B9" s="3" t="s">
        <v>447</v>
      </c>
      <c r="C9" s="3" t="s">
        <v>960</v>
      </c>
      <c r="D9" s="3" t="s">
        <v>961</v>
      </c>
      <c r="E9" s="54">
        <v>113</v>
      </c>
      <c r="F9" s="54">
        <v>116</v>
      </c>
      <c r="G9" s="54">
        <v>113</v>
      </c>
      <c r="H9" s="54">
        <v>116</v>
      </c>
      <c r="I9" s="54">
        <v>113</v>
      </c>
      <c r="J9" s="54">
        <v>116</v>
      </c>
    </row>
    <row r="10" spans="1:10" ht="18" customHeight="1" x14ac:dyDescent="0.25">
      <c r="A10" s="45" t="s">
        <v>38</v>
      </c>
      <c r="B10" s="3" t="s">
        <v>448</v>
      </c>
      <c r="C10" s="3" t="s">
        <v>962</v>
      </c>
      <c r="D10" s="3" t="s">
        <v>963</v>
      </c>
      <c r="E10" s="54">
        <v>234</v>
      </c>
      <c r="F10" s="54">
        <v>239</v>
      </c>
      <c r="G10" s="54">
        <v>233</v>
      </c>
      <c r="H10" s="54">
        <v>238</v>
      </c>
      <c r="I10" s="54">
        <v>234</v>
      </c>
      <c r="J10" s="54">
        <v>239</v>
      </c>
    </row>
    <row r="11" spans="1:10" ht="18" customHeight="1" x14ac:dyDescent="0.25">
      <c r="A11" s="45" t="s">
        <v>38</v>
      </c>
      <c r="B11" s="3" t="s">
        <v>449</v>
      </c>
      <c r="C11" s="3" t="s">
        <v>964</v>
      </c>
      <c r="D11" s="3" t="s">
        <v>965</v>
      </c>
      <c r="E11" s="54">
        <v>228</v>
      </c>
      <c r="F11" s="54">
        <v>234</v>
      </c>
      <c r="G11" s="54">
        <v>231</v>
      </c>
      <c r="H11" s="54">
        <v>237</v>
      </c>
      <c r="I11" s="54">
        <v>231</v>
      </c>
      <c r="J11" s="54">
        <v>237</v>
      </c>
    </row>
    <row r="12" spans="1:10" ht="18" customHeight="1" x14ac:dyDescent="0.25">
      <c r="A12" s="45" t="s">
        <v>38</v>
      </c>
      <c r="B12" s="3" t="s">
        <v>450</v>
      </c>
      <c r="C12" s="3" t="s">
        <v>966</v>
      </c>
      <c r="D12" s="3" t="s">
        <v>967</v>
      </c>
      <c r="E12" s="54">
        <v>495</v>
      </c>
      <c r="F12" s="54">
        <v>509</v>
      </c>
      <c r="G12" s="54">
        <v>498</v>
      </c>
      <c r="H12" s="54">
        <v>506</v>
      </c>
      <c r="I12" s="54">
        <v>499</v>
      </c>
      <c r="J12" s="54">
        <v>508</v>
      </c>
    </row>
    <row r="13" spans="1:10" ht="18" customHeight="1" x14ac:dyDescent="0.25">
      <c r="A13" s="45" t="s">
        <v>32</v>
      </c>
      <c r="B13" s="1" t="s">
        <v>451</v>
      </c>
      <c r="C13" s="1" t="s">
        <v>968</v>
      </c>
      <c r="D13" s="1" t="s">
        <v>969</v>
      </c>
      <c r="E13" s="1">
        <v>232</v>
      </c>
      <c r="F13" s="1">
        <v>238</v>
      </c>
      <c r="G13" s="1">
        <v>229</v>
      </c>
      <c r="H13" s="1">
        <v>233</v>
      </c>
      <c r="I13" s="55">
        <v>229</v>
      </c>
      <c r="J13" s="55">
        <v>232</v>
      </c>
    </row>
    <row r="14" spans="1:10" ht="18" customHeight="1" x14ac:dyDescent="0.25">
      <c r="A14" s="45" t="s">
        <v>32</v>
      </c>
      <c r="B14" s="1" t="s">
        <v>452</v>
      </c>
      <c r="C14" s="1" t="s">
        <v>970</v>
      </c>
      <c r="D14" s="1" t="s">
        <v>971</v>
      </c>
      <c r="E14" s="1">
        <v>495</v>
      </c>
      <c r="F14" s="1">
        <v>505</v>
      </c>
      <c r="G14" s="1">
        <v>495</v>
      </c>
      <c r="H14" s="1">
        <v>505</v>
      </c>
      <c r="I14" s="1">
        <v>495</v>
      </c>
      <c r="J14" s="1">
        <v>505</v>
      </c>
    </row>
    <row r="15" spans="1:10" ht="18" customHeight="1" x14ac:dyDescent="0.25">
      <c r="A15" s="45" t="s">
        <v>32</v>
      </c>
      <c r="B15" s="1" t="s">
        <v>453</v>
      </c>
      <c r="C15" s="1" t="s">
        <v>972</v>
      </c>
      <c r="D15" s="1" t="s">
        <v>973</v>
      </c>
      <c r="E15" s="1">
        <v>233</v>
      </c>
      <c r="F15" s="1">
        <v>235</v>
      </c>
      <c r="G15" s="1">
        <v>231</v>
      </c>
      <c r="H15" s="1">
        <v>234</v>
      </c>
      <c r="I15" s="55">
        <v>230</v>
      </c>
      <c r="J15" s="55">
        <v>234</v>
      </c>
    </row>
    <row r="16" spans="1:10" ht="18" customHeight="1" x14ac:dyDescent="0.25">
      <c r="A16" s="45" t="s">
        <v>32</v>
      </c>
      <c r="B16" s="1" t="s">
        <v>454</v>
      </c>
      <c r="C16" s="1" t="s">
        <v>974</v>
      </c>
      <c r="D16" s="1" t="s">
        <v>975</v>
      </c>
      <c r="E16" s="1">
        <v>117</v>
      </c>
      <c r="F16" s="1">
        <v>119</v>
      </c>
      <c r="G16" s="1">
        <v>117</v>
      </c>
      <c r="H16" s="1">
        <v>119</v>
      </c>
      <c r="I16" s="55">
        <v>117</v>
      </c>
      <c r="J16" s="55">
        <v>119</v>
      </c>
    </row>
    <row r="17" spans="1:10" ht="18" customHeight="1" x14ac:dyDescent="0.25">
      <c r="A17" s="45" t="s">
        <v>32</v>
      </c>
      <c r="B17" s="1" t="s">
        <v>455</v>
      </c>
      <c r="C17" s="1" t="s">
        <v>976</v>
      </c>
      <c r="D17" s="1" t="s">
        <v>977</v>
      </c>
      <c r="E17" s="1">
        <v>503</v>
      </c>
      <c r="F17" s="1">
        <v>510</v>
      </c>
      <c r="G17" s="1">
        <v>505</v>
      </c>
      <c r="H17" s="1">
        <v>510</v>
      </c>
      <c r="I17" s="1">
        <v>505</v>
      </c>
      <c r="J17" s="1">
        <v>510</v>
      </c>
    </row>
    <row r="18" spans="1:10" ht="18" customHeight="1" x14ac:dyDescent="0.25">
      <c r="A18" s="45" t="s">
        <v>32</v>
      </c>
      <c r="B18" s="1" t="s">
        <v>456</v>
      </c>
      <c r="C18" s="1" t="s">
        <v>978</v>
      </c>
      <c r="D18" s="1" t="s">
        <v>979</v>
      </c>
      <c r="E18" s="1">
        <v>66</v>
      </c>
      <c r="F18" s="1">
        <v>69</v>
      </c>
      <c r="G18" s="1">
        <v>66</v>
      </c>
      <c r="H18" s="1">
        <v>69</v>
      </c>
      <c r="I18" s="55">
        <v>66</v>
      </c>
      <c r="J18" s="55">
        <v>69</v>
      </c>
    </row>
    <row r="19" spans="1:10" ht="18" customHeight="1" x14ac:dyDescent="0.25">
      <c r="A19" s="45" t="s">
        <v>32</v>
      </c>
      <c r="B19" s="1" t="s">
        <v>457</v>
      </c>
      <c r="C19" s="1" t="s">
        <v>980</v>
      </c>
      <c r="D19" s="1" t="s">
        <v>981</v>
      </c>
      <c r="E19" s="1">
        <v>66</v>
      </c>
      <c r="F19" s="1">
        <v>69</v>
      </c>
      <c r="G19" s="1">
        <v>66</v>
      </c>
      <c r="H19" s="1">
        <v>69</v>
      </c>
      <c r="I19" s="55">
        <v>66</v>
      </c>
      <c r="J19" s="55">
        <v>69</v>
      </c>
    </row>
    <row r="20" spans="1:10" ht="18" customHeight="1" x14ac:dyDescent="0.25">
      <c r="A20" s="45" t="s">
        <v>32</v>
      </c>
      <c r="B20" s="1" t="s">
        <v>458</v>
      </c>
      <c r="C20" s="1" t="s">
        <v>982</v>
      </c>
      <c r="D20" s="1" t="s">
        <v>983</v>
      </c>
      <c r="E20" s="1">
        <v>117</v>
      </c>
      <c r="F20" s="1">
        <v>118</v>
      </c>
      <c r="G20" s="1">
        <v>117</v>
      </c>
      <c r="H20" s="1">
        <v>118</v>
      </c>
      <c r="I20" s="55">
        <v>117</v>
      </c>
      <c r="J20" s="55">
        <v>118</v>
      </c>
    </row>
    <row r="21" spans="1:10" ht="18" customHeight="1" x14ac:dyDescent="0.25">
      <c r="A21" s="45" t="s">
        <v>32</v>
      </c>
      <c r="B21" s="1" t="s">
        <v>459</v>
      </c>
      <c r="C21" s="1" t="s">
        <v>984</v>
      </c>
      <c r="D21" s="1" t="s">
        <v>985</v>
      </c>
      <c r="E21" s="1">
        <v>234</v>
      </c>
      <c r="F21" s="1">
        <v>238</v>
      </c>
      <c r="G21" s="1">
        <v>233</v>
      </c>
      <c r="H21" s="1">
        <v>237</v>
      </c>
      <c r="I21" s="55">
        <v>232</v>
      </c>
      <c r="J21" s="55">
        <v>237</v>
      </c>
    </row>
    <row r="22" spans="1:10" ht="18" customHeight="1" x14ac:dyDescent="0.25">
      <c r="A22" s="45" t="s">
        <v>32</v>
      </c>
      <c r="B22" s="1" t="s">
        <v>460</v>
      </c>
      <c r="C22" s="1" t="s">
        <v>986</v>
      </c>
      <c r="D22" s="1" t="s">
        <v>987</v>
      </c>
      <c r="E22" s="1">
        <v>502</v>
      </c>
      <c r="F22" s="1">
        <v>510</v>
      </c>
      <c r="G22" s="1">
        <v>500</v>
      </c>
      <c r="H22" s="1">
        <v>510</v>
      </c>
      <c r="I22" s="55">
        <v>500</v>
      </c>
      <c r="J22" s="55">
        <v>510</v>
      </c>
    </row>
    <row r="23" spans="1:10" ht="18" customHeight="1" x14ac:dyDescent="0.25">
      <c r="A23" s="45" t="s">
        <v>32</v>
      </c>
      <c r="B23" s="1" t="s">
        <v>461</v>
      </c>
      <c r="C23" s="1" t="s">
        <v>988</v>
      </c>
      <c r="D23" s="1" t="s">
        <v>989</v>
      </c>
      <c r="E23" s="1">
        <v>230</v>
      </c>
      <c r="F23" s="1">
        <v>236</v>
      </c>
      <c r="G23" s="1">
        <v>230</v>
      </c>
      <c r="H23" s="1">
        <v>236</v>
      </c>
      <c r="I23" s="55">
        <v>230</v>
      </c>
      <c r="J23" s="55">
        <v>236</v>
      </c>
    </row>
    <row r="24" spans="1:10" ht="18" customHeight="1" x14ac:dyDescent="0.25">
      <c r="A24" s="45" t="s">
        <v>32</v>
      </c>
      <c r="B24" s="1" t="s">
        <v>462</v>
      </c>
      <c r="C24" s="1" t="s">
        <v>990</v>
      </c>
      <c r="D24" s="1" t="s">
        <v>991</v>
      </c>
      <c r="E24" s="1">
        <v>115</v>
      </c>
      <c r="F24" s="1">
        <v>117</v>
      </c>
      <c r="G24" s="1">
        <v>115</v>
      </c>
      <c r="H24" s="1">
        <v>117</v>
      </c>
      <c r="I24" s="55">
        <v>115</v>
      </c>
      <c r="J24" s="55">
        <v>117</v>
      </c>
    </row>
    <row r="25" spans="1:10" ht="18" customHeight="1" x14ac:dyDescent="0.25">
      <c r="A25" s="45" t="s">
        <v>32</v>
      </c>
      <c r="B25" s="1" t="s">
        <v>463</v>
      </c>
      <c r="C25" s="1" t="s">
        <v>992</v>
      </c>
      <c r="D25" s="1" t="s">
        <v>993</v>
      </c>
      <c r="E25" s="1">
        <v>230</v>
      </c>
      <c r="F25" s="1">
        <v>235</v>
      </c>
      <c r="G25" s="1">
        <v>230</v>
      </c>
      <c r="H25" s="1">
        <v>235</v>
      </c>
      <c r="I25" s="55">
        <v>230</v>
      </c>
      <c r="J25" s="55">
        <v>235</v>
      </c>
    </row>
    <row r="26" spans="1:10" ht="18" customHeight="1" x14ac:dyDescent="0.25">
      <c r="A26" s="45" t="s">
        <v>32</v>
      </c>
      <c r="B26" s="1" t="s">
        <v>464</v>
      </c>
      <c r="C26" s="1" t="s">
        <v>994</v>
      </c>
      <c r="D26" s="1" t="s">
        <v>995</v>
      </c>
      <c r="E26" s="1">
        <v>500</v>
      </c>
      <c r="F26" s="1">
        <v>507</v>
      </c>
      <c r="G26" s="1">
        <v>495</v>
      </c>
      <c r="H26" s="1">
        <v>507</v>
      </c>
      <c r="I26" s="1">
        <v>495</v>
      </c>
      <c r="J26" s="1">
        <v>507</v>
      </c>
    </row>
    <row r="27" spans="1:10" ht="18" customHeight="1" x14ac:dyDescent="0.25">
      <c r="A27" s="45" t="s">
        <v>32</v>
      </c>
      <c r="B27" s="1" t="s">
        <v>465</v>
      </c>
      <c r="C27" s="1" t="s">
        <v>996</v>
      </c>
      <c r="D27" s="1" t="s">
        <v>997</v>
      </c>
      <c r="E27" s="1">
        <v>115</v>
      </c>
      <c r="F27" s="1">
        <v>117</v>
      </c>
      <c r="G27" s="1">
        <v>115</v>
      </c>
      <c r="H27" s="1">
        <v>117</v>
      </c>
      <c r="I27" s="55">
        <v>115</v>
      </c>
      <c r="J27" s="55">
        <v>117</v>
      </c>
    </row>
    <row r="28" spans="1:10" x14ac:dyDescent="0.25">
      <c r="A28" s="45" t="s">
        <v>32</v>
      </c>
      <c r="B28" s="1" t="s">
        <v>466</v>
      </c>
      <c r="C28" s="1" t="s">
        <v>998</v>
      </c>
      <c r="D28" s="1" t="s">
        <v>999</v>
      </c>
      <c r="E28" s="1">
        <v>115</v>
      </c>
      <c r="F28" s="1">
        <v>117</v>
      </c>
      <c r="G28" s="1">
        <v>115</v>
      </c>
      <c r="H28" s="1">
        <v>117</v>
      </c>
      <c r="I28" s="55">
        <v>115</v>
      </c>
      <c r="J28" s="55">
        <v>117</v>
      </c>
    </row>
    <row r="29" spans="1:10" x14ac:dyDescent="0.25">
      <c r="A29" s="45" t="s">
        <v>32</v>
      </c>
      <c r="B29" s="1" t="s">
        <v>467</v>
      </c>
      <c r="C29" s="1" t="s">
        <v>1000</v>
      </c>
      <c r="D29" s="1" t="s">
        <v>1001</v>
      </c>
      <c r="E29" s="1">
        <v>117</v>
      </c>
      <c r="F29" s="1">
        <v>118</v>
      </c>
      <c r="G29" s="1">
        <v>117</v>
      </c>
      <c r="H29" s="1">
        <v>118</v>
      </c>
      <c r="I29" s="55">
        <v>117</v>
      </c>
      <c r="J29" s="55">
        <v>118</v>
      </c>
    </row>
    <row r="30" spans="1:10" x14ac:dyDescent="0.25">
      <c r="A30" s="45" t="s">
        <v>32</v>
      </c>
      <c r="B30" s="1" t="s">
        <v>468</v>
      </c>
      <c r="C30" s="1" t="s">
        <v>1002</v>
      </c>
      <c r="D30" s="1" t="s">
        <v>1003</v>
      </c>
      <c r="E30" s="1">
        <v>116</v>
      </c>
      <c r="F30" s="1">
        <v>118</v>
      </c>
      <c r="G30" s="1">
        <v>116</v>
      </c>
      <c r="H30" s="1">
        <v>118</v>
      </c>
      <c r="I30" s="55">
        <v>116</v>
      </c>
      <c r="J30" s="55">
        <v>118</v>
      </c>
    </row>
    <row r="31" spans="1:10" x14ac:dyDescent="0.25">
      <c r="A31" s="45" t="s">
        <v>32</v>
      </c>
      <c r="B31" s="1" t="s">
        <v>469</v>
      </c>
      <c r="C31" s="1" t="s">
        <v>1004</v>
      </c>
      <c r="D31" s="1" t="s">
        <v>1005</v>
      </c>
      <c r="E31" s="1">
        <v>117</v>
      </c>
      <c r="F31" s="1">
        <v>118</v>
      </c>
      <c r="G31" s="1">
        <v>117</v>
      </c>
      <c r="H31" s="1">
        <v>118</v>
      </c>
      <c r="I31" s="55">
        <v>117</v>
      </c>
      <c r="J31" s="55">
        <v>118</v>
      </c>
    </row>
    <row r="32" spans="1:10" x14ac:dyDescent="0.25">
      <c r="A32" s="45" t="s">
        <v>32</v>
      </c>
      <c r="B32" s="1" t="s">
        <v>470</v>
      </c>
      <c r="C32" s="1" t="s">
        <v>1006</v>
      </c>
      <c r="D32" s="1" t="s">
        <v>1007</v>
      </c>
      <c r="E32" s="1">
        <v>230</v>
      </c>
      <c r="F32" s="1">
        <v>236</v>
      </c>
      <c r="G32" s="1">
        <v>230</v>
      </c>
      <c r="H32" s="1">
        <v>236</v>
      </c>
      <c r="I32" s="1">
        <v>230</v>
      </c>
      <c r="J32" s="1">
        <v>236</v>
      </c>
    </row>
    <row r="33" spans="1:10" x14ac:dyDescent="0.25">
      <c r="A33" s="45" t="s">
        <v>35</v>
      </c>
      <c r="B33" s="1" t="s">
        <v>478</v>
      </c>
      <c r="C33" s="1" t="s">
        <v>1008</v>
      </c>
      <c r="D33" s="1" t="s">
        <v>1009</v>
      </c>
      <c r="E33" s="1">
        <v>118</v>
      </c>
      <c r="F33" s="1">
        <v>120</v>
      </c>
      <c r="G33" s="1">
        <v>118</v>
      </c>
      <c r="H33" s="1">
        <v>119</v>
      </c>
      <c r="I33" s="55">
        <v>119</v>
      </c>
      <c r="J33" s="55">
        <v>121</v>
      </c>
    </row>
    <row r="34" spans="1:10" x14ac:dyDescent="0.25">
      <c r="A34" s="45" t="s">
        <v>35</v>
      </c>
      <c r="B34" s="1" t="s">
        <v>477</v>
      </c>
      <c r="C34" s="1" t="s">
        <v>1010</v>
      </c>
      <c r="D34" s="1" t="s">
        <v>1011</v>
      </c>
      <c r="E34" s="56">
        <v>118</v>
      </c>
      <c r="F34" s="56">
        <v>122</v>
      </c>
      <c r="G34" s="56">
        <v>116</v>
      </c>
      <c r="H34" s="56">
        <v>121</v>
      </c>
      <c r="I34" s="55">
        <v>118</v>
      </c>
      <c r="J34" s="55">
        <v>121</v>
      </c>
    </row>
    <row r="35" spans="1:10" x14ac:dyDescent="0.25">
      <c r="A35" s="45" t="s">
        <v>35</v>
      </c>
      <c r="B35" s="1" t="s">
        <v>479</v>
      </c>
      <c r="C35" s="1" t="s">
        <v>1012</v>
      </c>
      <c r="D35" s="1" t="s">
        <v>1013</v>
      </c>
      <c r="E35" s="56">
        <v>118</v>
      </c>
      <c r="F35" s="56">
        <v>121</v>
      </c>
      <c r="G35" s="56">
        <v>117</v>
      </c>
      <c r="H35" s="56">
        <v>120</v>
      </c>
      <c r="I35" s="55">
        <v>118</v>
      </c>
      <c r="J35" s="55">
        <v>122</v>
      </c>
    </row>
    <row r="36" spans="1:10" x14ac:dyDescent="0.25">
      <c r="A36" s="45" t="s">
        <v>35</v>
      </c>
      <c r="B36" s="1" t="s">
        <v>480</v>
      </c>
      <c r="C36" s="1" t="s">
        <v>1014</v>
      </c>
      <c r="D36" s="1" t="s">
        <v>1015</v>
      </c>
      <c r="E36" s="56">
        <v>118</v>
      </c>
      <c r="F36" s="56">
        <v>119</v>
      </c>
      <c r="G36" s="56">
        <v>117</v>
      </c>
      <c r="H36" s="56">
        <v>118</v>
      </c>
      <c r="I36" s="55">
        <v>119</v>
      </c>
      <c r="J36" s="55">
        <v>120</v>
      </c>
    </row>
    <row r="37" spans="1:10" x14ac:dyDescent="0.25">
      <c r="A37" s="45" t="s">
        <v>35</v>
      </c>
      <c r="B37" s="1" t="s">
        <v>481</v>
      </c>
      <c r="C37" s="1" t="s">
        <v>1016</v>
      </c>
      <c r="D37" s="1" t="s">
        <v>1017</v>
      </c>
      <c r="E37" s="56">
        <v>120</v>
      </c>
      <c r="F37" s="56">
        <v>122</v>
      </c>
      <c r="G37" s="56">
        <v>120</v>
      </c>
      <c r="H37" s="56">
        <v>121</v>
      </c>
      <c r="I37" s="55">
        <v>121</v>
      </c>
      <c r="J37" s="55">
        <v>122</v>
      </c>
    </row>
    <row r="38" spans="1:10" x14ac:dyDescent="0.25">
      <c r="A38" s="45" t="s">
        <v>35</v>
      </c>
      <c r="B38" s="1" t="s">
        <v>482</v>
      </c>
      <c r="C38" s="1" t="s">
        <v>1018</v>
      </c>
      <c r="D38" s="1" t="s">
        <v>1019</v>
      </c>
      <c r="E38" s="56">
        <v>118</v>
      </c>
      <c r="F38" s="56">
        <v>120</v>
      </c>
      <c r="G38" s="56">
        <v>118</v>
      </c>
      <c r="H38" s="56">
        <v>119</v>
      </c>
      <c r="I38" s="55">
        <v>119</v>
      </c>
      <c r="J38" s="55">
        <v>121</v>
      </c>
    </row>
    <row r="39" spans="1:10" ht="15" customHeight="1" x14ac:dyDescent="0.25">
      <c r="A39" s="45" t="s">
        <v>35</v>
      </c>
      <c r="B39" s="1" t="s">
        <v>852</v>
      </c>
      <c r="C39" s="1" t="s">
        <v>1020</v>
      </c>
      <c r="D39" s="1" t="s">
        <v>1021</v>
      </c>
      <c r="E39" s="56">
        <v>119</v>
      </c>
      <c r="F39" s="56">
        <v>121</v>
      </c>
      <c r="G39" s="56">
        <v>117</v>
      </c>
      <c r="H39" s="56">
        <v>120</v>
      </c>
      <c r="I39" s="55">
        <v>118</v>
      </c>
      <c r="J39" s="55">
        <v>121</v>
      </c>
    </row>
    <row r="40" spans="1:10" x14ac:dyDescent="0.25">
      <c r="A40" s="45" t="s">
        <v>35</v>
      </c>
      <c r="B40" s="53" t="s">
        <v>853</v>
      </c>
      <c r="C40" s="53" t="s">
        <v>1022</v>
      </c>
      <c r="D40" s="53" t="s">
        <v>1023</v>
      </c>
      <c r="E40" s="56">
        <v>228</v>
      </c>
      <c r="F40" s="56">
        <v>233</v>
      </c>
      <c r="G40" s="56">
        <v>228</v>
      </c>
      <c r="H40" s="56">
        <v>231</v>
      </c>
      <c r="I40" s="55">
        <v>228</v>
      </c>
      <c r="J40" s="55">
        <v>232</v>
      </c>
    </row>
    <row r="41" spans="1:10" ht="14.65" customHeight="1" x14ac:dyDescent="0.25">
      <c r="A41" s="45" t="s">
        <v>35</v>
      </c>
      <c r="B41" s="1" t="s">
        <v>854</v>
      </c>
      <c r="C41" s="1" t="s">
        <v>1024</v>
      </c>
      <c r="D41" s="1" t="s">
        <v>1025</v>
      </c>
      <c r="E41" s="56">
        <v>228</v>
      </c>
      <c r="F41" s="56">
        <v>234</v>
      </c>
      <c r="G41" s="56">
        <v>228</v>
      </c>
      <c r="H41" s="56">
        <v>232</v>
      </c>
      <c r="I41" s="55">
        <v>229</v>
      </c>
      <c r="J41" s="55">
        <v>233</v>
      </c>
    </row>
    <row r="42" spans="1:10" ht="14.65" customHeight="1" x14ac:dyDescent="0.25">
      <c r="A42" s="45" t="s">
        <v>35</v>
      </c>
      <c r="B42" s="1" t="s">
        <v>483</v>
      </c>
      <c r="C42" s="1" t="s">
        <v>1026</v>
      </c>
      <c r="D42" s="1" t="s">
        <v>1027</v>
      </c>
      <c r="E42" s="56">
        <v>494</v>
      </c>
      <c r="F42" s="56">
        <v>498</v>
      </c>
      <c r="G42" s="56">
        <v>492</v>
      </c>
      <c r="H42" s="56">
        <v>496</v>
      </c>
      <c r="I42" s="55">
        <v>494</v>
      </c>
      <c r="J42" s="55">
        <v>499</v>
      </c>
    </row>
    <row r="43" spans="1:10" ht="14.65" customHeight="1" x14ac:dyDescent="0.25">
      <c r="A43" s="45" t="s">
        <v>36</v>
      </c>
      <c r="B43" s="1" t="s">
        <v>471</v>
      </c>
      <c r="C43" s="1" t="s">
        <v>1028</v>
      </c>
      <c r="D43" s="1" t="s">
        <v>1029</v>
      </c>
      <c r="E43" s="1">
        <v>501</v>
      </c>
      <c r="F43" s="1">
        <v>510</v>
      </c>
      <c r="G43" s="1">
        <v>499</v>
      </c>
      <c r="H43" s="1">
        <v>507</v>
      </c>
      <c r="I43" s="55">
        <v>502</v>
      </c>
      <c r="J43" s="55">
        <v>509</v>
      </c>
    </row>
    <row r="44" spans="1:10" ht="14.65" customHeight="1" x14ac:dyDescent="0.25">
      <c r="A44" s="45" t="s">
        <v>36</v>
      </c>
      <c r="B44" s="1" t="s">
        <v>855</v>
      </c>
      <c r="C44" s="1" t="s">
        <v>1030</v>
      </c>
      <c r="D44" s="1" t="s">
        <v>1031</v>
      </c>
      <c r="E44" s="1">
        <v>236</v>
      </c>
      <c r="F44" s="1">
        <v>239</v>
      </c>
      <c r="G44" s="1">
        <v>235</v>
      </c>
      <c r="H44" s="1">
        <v>238</v>
      </c>
      <c r="I44" s="55">
        <v>236</v>
      </c>
      <c r="J44" s="55">
        <v>239</v>
      </c>
    </row>
    <row r="45" spans="1:10" ht="14.65" customHeight="1" x14ac:dyDescent="0.25">
      <c r="A45" s="45" t="s">
        <v>36</v>
      </c>
      <c r="B45" s="1" t="s">
        <v>856</v>
      </c>
      <c r="C45" s="1" t="s">
        <v>1032</v>
      </c>
      <c r="D45" s="1" t="s">
        <v>1033</v>
      </c>
      <c r="E45" s="1">
        <v>232</v>
      </c>
      <c r="F45" s="1">
        <v>235</v>
      </c>
      <c r="G45" s="1">
        <v>228</v>
      </c>
      <c r="H45" s="1">
        <v>233</v>
      </c>
      <c r="I45" s="55">
        <v>231</v>
      </c>
      <c r="J45" s="55">
        <v>235</v>
      </c>
    </row>
    <row r="46" spans="1:10" ht="14.65" customHeight="1" x14ac:dyDescent="0.25">
      <c r="A46" s="45" t="s">
        <v>36</v>
      </c>
      <c r="B46" s="1" t="s">
        <v>857</v>
      </c>
      <c r="C46" s="1" t="s">
        <v>1034</v>
      </c>
      <c r="D46" s="1" t="s">
        <v>1035</v>
      </c>
      <c r="E46" s="1">
        <v>233</v>
      </c>
      <c r="F46" s="1">
        <v>237</v>
      </c>
      <c r="G46" s="1">
        <v>233</v>
      </c>
      <c r="H46" s="1">
        <v>236</v>
      </c>
      <c r="I46" s="55">
        <v>233</v>
      </c>
      <c r="J46" s="55">
        <v>237</v>
      </c>
    </row>
    <row r="47" spans="1:10" ht="14.65" customHeight="1" x14ac:dyDescent="0.25">
      <c r="A47" s="45" t="s">
        <v>36</v>
      </c>
      <c r="B47" s="1" t="s">
        <v>472</v>
      </c>
      <c r="C47" s="1" t="s">
        <v>1036</v>
      </c>
      <c r="D47" s="1" t="s">
        <v>1037</v>
      </c>
      <c r="E47" s="56">
        <v>227</v>
      </c>
      <c r="F47" s="56">
        <v>233</v>
      </c>
      <c r="G47" s="56">
        <v>225</v>
      </c>
      <c r="H47" s="56">
        <v>230</v>
      </c>
      <c r="I47" s="55">
        <v>226</v>
      </c>
      <c r="J47" s="55">
        <v>231</v>
      </c>
    </row>
    <row r="48" spans="1:10" ht="14.65" customHeight="1" x14ac:dyDescent="0.25">
      <c r="A48" s="45" t="s">
        <v>36</v>
      </c>
      <c r="B48" s="1" t="s">
        <v>858</v>
      </c>
      <c r="C48" s="1" t="s">
        <v>1038</v>
      </c>
      <c r="D48" s="1" t="s">
        <v>1039</v>
      </c>
      <c r="E48" s="1">
        <v>221</v>
      </c>
      <c r="F48" s="1">
        <v>232</v>
      </c>
      <c r="G48" s="1">
        <v>218</v>
      </c>
      <c r="H48" s="1">
        <v>228</v>
      </c>
      <c r="I48" s="55">
        <v>219</v>
      </c>
      <c r="J48" s="55">
        <v>228</v>
      </c>
    </row>
    <row r="49" spans="1:10" ht="14.65" customHeight="1" x14ac:dyDescent="0.25">
      <c r="A49" s="45" t="s">
        <v>36</v>
      </c>
      <c r="B49" s="1" t="s">
        <v>473</v>
      </c>
      <c r="C49" s="1" t="s">
        <v>1040</v>
      </c>
      <c r="D49" s="1" t="s">
        <v>1041</v>
      </c>
      <c r="E49" s="1">
        <v>119</v>
      </c>
      <c r="F49" s="1">
        <v>122</v>
      </c>
      <c r="G49" s="1">
        <v>119</v>
      </c>
      <c r="H49" s="1">
        <v>121</v>
      </c>
      <c r="I49" s="55">
        <v>119</v>
      </c>
      <c r="J49" s="55">
        <v>122</v>
      </c>
    </row>
    <row r="50" spans="1:10" ht="14.65" customHeight="1" x14ac:dyDescent="0.25">
      <c r="A50" s="45" t="s">
        <v>36</v>
      </c>
      <c r="B50" s="1" t="s">
        <v>474</v>
      </c>
      <c r="C50" s="1" t="s">
        <v>1042</v>
      </c>
      <c r="D50" s="1" t="s">
        <v>1043</v>
      </c>
      <c r="E50" s="1">
        <v>120</v>
      </c>
      <c r="F50" s="1">
        <v>122</v>
      </c>
      <c r="G50" s="1">
        <v>117</v>
      </c>
      <c r="H50" s="1">
        <v>119</v>
      </c>
      <c r="I50" s="55">
        <v>118</v>
      </c>
      <c r="J50" s="55">
        <v>120</v>
      </c>
    </row>
    <row r="51" spans="1:10" x14ac:dyDescent="0.25">
      <c r="A51" s="45" t="s">
        <v>36</v>
      </c>
      <c r="B51" s="1" t="s">
        <v>475</v>
      </c>
      <c r="C51" s="1" t="s">
        <v>1044</v>
      </c>
      <c r="D51" s="1" t="s">
        <v>1045</v>
      </c>
      <c r="E51" s="1">
        <v>117</v>
      </c>
      <c r="F51" s="1">
        <v>121</v>
      </c>
      <c r="G51" s="1">
        <v>114</v>
      </c>
      <c r="H51" s="1">
        <v>119</v>
      </c>
      <c r="I51" s="55">
        <v>116</v>
      </c>
      <c r="J51" s="55">
        <v>121</v>
      </c>
    </row>
    <row r="52" spans="1:10" x14ac:dyDescent="0.25">
      <c r="A52" s="45" t="s">
        <v>36</v>
      </c>
      <c r="B52" s="1" t="s">
        <v>476</v>
      </c>
      <c r="C52" s="1" t="s">
        <v>1046</v>
      </c>
      <c r="D52" s="1" t="s">
        <v>1047</v>
      </c>
      <c r="E52" s="1">
        <v>118</v>
      </c>
      <c r="F52" s="1">
        <v>120</v>
      </c>
      <c r="G52" s="1">
        <v>117</v>
      </c>
      <c r="H52" s="1">
        <v>119</v>
      </c>
      <c r="I52" s="55">
        <v>117</v>
      </c>
      <c r="J52" s="55">
        <v>119</v>
      </c>
    </row>
    <row r="53" spans="1:10" x14ac:dyDescent="0.25">
      <c r="A53" s="45" t="s">
        <v>37</v>
      </c>
      <c r="B53" s="1" t="s">
        <v>484</v>
      </c>
      <c r="C53" s="1" t="s">
        <v>1048</v>
      </c>
      <c r="D53" s="1" t="s">
        <v>1049</v>
      </c>
      <c r="E53" s="54">
        <v>230</v>
      </c>
      <c r="F53" s="54">
        <v>234</v>
      </c>
      <c r="G53" s="54">
        <v>229</v>
      </c>
      <c r="H53" s="54">
        <v>232</v>
      </c>
      <c r="I53" s="54">
        <v>230</v>
      </c>
      <c r="J53" s="54">
        <v>233</v>
      </c>
    </row>
    <row r="54" spans="1:10" x14ac:dyDescent="0.25">
      <c r="A54" s="45" t="s">
        <v>37</v>
      </c>
      <c r="B54" s="1" t="s">
        <v>485</v>
      </c>
      <c r="C54" s="1" t="s">
        <v>1050</v>
      </c>
      <c r="D54" s="1" t="s">
        <v>1051</v>
      </c>
      <c r="E54" s="54">
        <v>231</v>
      </c>
      <c r="F54" s="54">
        <v>235</v>
      </c>
      <c r="G54" s="54">
        <v>230</v>
      </c>
      <c r="H54" s="54">
        <v>233</v>
      </c>
      <c r="I54" s="54">
        <v>230</v>
      </c>
      <c r="J54" s="54">
        <v>234</v>
      </c>
    </row>
    <row r="55" spans="1:10" x14ac:dyDescent="0.25">
      <c r="A55" s="45" t="s">
        <v>37</v>
      </c>
      <c r="B55" s="1" t="s">
        <v>486</v>
      </c>
      <c r="C55" s="1" t="s">
        <v>1052</v>
      </c>
      <c r="D55" s="1" t="s">
        <v>1053</v>
      </c>
      <c r="E55" s="54">
        <v>236</v>
      </c>
      <c r="F55" s="54">
        <v>240</v>
      </c>
      <c r="G55" s="54">
        <v>235</v>
      </c>
      <c r="H55" s="54">
        <v>238</v>
      </c>
      <c r="I55" s="54">
        <v>236</v>
      </c>
      <c r="J55" s="54">
        <v>239</v>
      </c>
    </row>
    <row r="56" spans="1:10" x14ac:dyDescent="0.25">
      <c r="A56" s="45" t="s">
        <v>37</v>
      </c>
      <c r="B56" s="1" t="s">
        <v>487</v>
      </c>
      <c r="C56" s="1" t="s">
        <v>1054</v>
      </c>
      <c r="D56" s="1" t="s">
        <v>1055</v>
      </c>
      <c r="E56" s="54">
        <v>230</v>
      </c>
      <c r="F56" s="54">
        <v>234</v>
      </c>
      <c r="G56" s="54">
        <v>229</v>
      </c>
      <c r="H56" s="54">
        <v>232</v>
      </c>
      <c r="I56" s="54">
        <v>230</v>
      </c>
      <c r="J56" s="54">
        <v>233</v>
      </c>
    </row>
    <row r="57" spans="1:10" x14ac:dyDescent="0.25">
      <c r="A57" s="45" t="s">
        <v>37</v>
      </c>
      <c r="B57" s="1" t="s">
        <v>488</v>
      </c>
      <c r="C57" s="1" t="s">
        <v>1056</v>
      </c>
      <c r="D57" s="1" t="s">
        <v>1057</v>
      </c>
      <c r="E57" s="54">
        <v>236</v>
      </c>
      <c r="F57" s="54">
        <v>240</v>
      </c>
      <c r="G57" s="54">
        <v>236</v>
      </c>
      <c r="H57" s="54">
        <v>239</v>
      </c>
      <c r="I57" s="54">
        <v>236</v>
      </c>
      <c r="J57" s="54">
        <v>240</v>
      </c>
    </row>
    <row r="58" spans="1:10" x14ac:dyDescent="0.25">
      <c r="A58" s="45" t="s">
        <v>37</v>
      </c>
      <c r="B58" s="1" t="s">
        <v>489</v>
      </c>
      <c r="C58" s="1" t="s">
        <v>1058</v>
      </c>
      <c r="D58" s="1" t="s">
        <v>1059</v>
      </c>
      <c r="E58" s="54">
        <v>235</v>
      </c>
      <c r="F58" s="54">
        <v>239</v>
      </c>
      <c r="G58" s="54">
        <v>234</v>
      </c>
      <c r="H58" s="54">
        <v>237</v>
      </c>
      <c r="I58" s="54">
        <v>235</v>
      </c>
      <c r="J58" s="54">
        <v>239</v>
      </c>
    </row>
    <row r="59" spans="1:10" x14ac:dyDescent="0.25">
      <c r="A59" s="45" t="s">
        <v>37</v>
      </c>
      <c r="B59" s="1" t="s">
        <v>490</v>
      </c>
      <c r="C59" s="1" t="s">
        <v>1060</v>
      </c>
      <c r="D59" s="1" t="s">
        <v>1061</v>
      </c>
      <c r="E59" s="54">
        <v>233</v>
      </c>
      <c r="F59" s="54">
        <v>237</v>
      </c>
      <c r="G59" s="54">
        <v>235</v>
      </c>
      <c r="H59" s="54">
        <v>239</v>
      </c>
      <c r="I59" s="54">
        <v>237</v>
      </c>
      <c r="J59" s="54">
        <v>241</v>
      </c>
    </row>
    <row r="60" spans="1:10" x14ac:dyDescent="0.25">
      <c r="A60" s="45" t="s">
        <v>37</v>
      </c>
      <c r="B60" s="8" t="s">
        <v>491</v>
      </c>
      <c r="C60" s="8" t="s">
        <v>1062</v>
      </c>
      <c r="D60" s="8" t="s">
        <v>1063</v>
      </c>
      <c r="E60" s="54">
        <v>496</v>
      </c>
      <c r="F60" s="54">
        <v>504</v>
      </c>
      <c r="G60" s="54">
        <v>497</v>
      </c>
      <c r="H60" s="54">
        <v>504</v>
      </c>
      <c r="I60" s="54">
        <v>498</v>
      </c>
      <c r="J60" s="54">
        <v>505</v>
      </c>
    </row>
    <row r="61" spans="1:10" x14ac:dyDescent="0.25">
      <c r="A61" s="45" t="s">
        <v>37</v>
      </c>
      <c r="B61" s="8" t="s">
        <v>492</v>
      </c>
      <c r="C61" s="8" t="s">
        <v>1064</v>
      </c>
      <c r="D61" s="8" t="s">
        <v>1065</v>
      </c>
      <c r="E61" s="54">
        <v>234</v>
      </c>
      <c r="F61" s="54">
        <v>238</v>
      </c>
      <c r="G61" s="54">
        <v>234</v>
      </c>
      <c r="H61" s="54">
        <v>237</v>
      </c>
      <c r="I61" s="54">
        <v>235</v>
      </c>
      <c r="J61" s="54">
        <v>238</v>
      </c>
    </row>
    <row r="62" spans="1:10" x14ac:dyDescent="0.25">
      <c r="A62" s="45" t="s">
        <v>37</v>
      </c>
      <c r="B62" s="8" t="s">
        <v>493</v>
      </c>
      <c r="C62" s="8" t="s">
        <v>1064</v>
      </c>
      <c r="D62" s="8" t="s">
        <v>1065</v>
      </c>
      <c r="E62" s="54">
        <v>499</v>
      </c>
      <c r="F62" s="54">
        <v>507</v>
      </c>
      <c r="G62" s="54">
        <v>498</v>
      </c>
      <c r="H62" s="54">
        <v>504</v>
      </c>
      <c r="I62" s="54">
        <v>500</v>
      </c>
      <c r="J62" s="54">
        <v>506</v>
      </c>
    </row>
  </sheetData>
  <sheetProtection algorithmName="SHA-512" hashValue="qKAzqfl4nTBNkKdIua5ApPDMd2FGrWDnjW28J/iBdUsM6jlPUU7bdm1BFjs/AvSvhfPnM/Pzf2KPSUe0nU0pEA==" saltValue="ROPk6WAUgM7M48+Iu34Skg==" spinCount="100000" sheet="1" formatCells="0" formatColumns="0" formatRows="0" insertColumns="0" insertRows="0" insertHyperlinks="0" deleteColumns="0" deleteRows="0" sort="0" autoFilter="0" pivotTables="0"/>
  <sortState xmlns:xlrd2="http://schemas.microsoft.com/office/spreadsheetml/2017/richdata2" ref="A2:J58">
    <sortCondition ref="A7:A58"/>
    <sortCondition ref="B7:B58"/>
    <sortCondition ref="I7:I58"/>
    <sortCondition ref="J7:J58"/>
  </sortState>
  <pageMargins left="0.7" right="0.7" top="0.75" bottom="0.75" header="0.3" footer="0.3"/>
  <pageSetup orientation="portrait" horizontalDpi="4294967295" verticalDpi="4294967295" r:id="rId1"/>
  <headerFooter>
    <oddFooter xml:space="preserve">&amp;L_x000D_&amp;1#&amp;"Aptos"&amp;12&amp;K000000 Información Pública.        Todos los derechos reservados para XM S.A E.S.P.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892B2-4501-4B71-B5CC-81379DE5EE9C}">
  <sheetPr codeName="Hoja12"/>
  <dimension ref="A1:D4"/>
  <sheetViews>
    <sheetView workbookViewId="0"/>
  </sheetViews>
  <sheetFormatPr defaultColWidth="11.28515625" defaultRowHeight="15" x14ac:dyDescent="0.25"/>
  <cols>
    <col min="1" max="1" width="15.85546875" bestFit="1" customWidth="1"/>
    <col min="2" max="2" width="20.5703125" bestFit="1" customWidth="1"/>
    <col min="3" max="3" width="44.28515625" customWidth="1"/>
  </cols>
  <sheetData>
    <row r="1" spans="1:4" ht="15.75" thickBot="1" x14ac:dyDescent="0.3">
      <c r="A1" s="22" t="s">
        <v>28</v>
      </c>
      <c r="B1" s="23" t="s">
        <v>494</v>
      </c>
      <c r="C1" s="23" t="s">
        <v>30</v>
      </c>
      <c r="D1" s="23" t="s">
        <v>495</v>
      </c>
    </row>
    <row r="2" spans="1:4" ht="45" x14ac:dyDescent="0.25">
      <c r="A2" s="2" t="s">
        <v>326</v>
      </c>
      <c r="B2" s="19" t="s">
        <v>326</v>
      </c>
      <c r="C2" s="40" t="s">
        <v>1120</v>
      </c>
      <c r="D2" s="19" t="s">
        <v>496</v>
      </c>
    </row>
    <row r="3" spans="1:4" ht="60" x14ac:dyDescent="0.25">
      <c r="A3" s="2" t="s">
        <v>35</v>
      </c>
      <c r="B3" s="40" t="s">
        <v>1297</v>
      </c>
      <c r="C3" s="19" t="s">
        <v>1293</v>
      </c>
      <c r="D3" s="19" t="s">
        <v>496</v>
      </c>
    </row>
    <row r="4" spans="1:4" x14ac:dyDescent="0.25">
      <c r="A4" s="2" t="s">
        <v>312</v>
      </c>
      <c r="B4" s="19" t="s">
        <v>327</v>
      </c>
      <c r="C4" s="19" t="s">
        <v>497</v>
      </c>
      <c r="D4" s="19" t="s">
        <v>496</v>
      </c>
    </row>
  </sheetData>
  <sheetProtection algorithmName="SHA-512" hashValue="vI13zjOSg8350f5d2k5QIgO6mG+N+Ie1s72jBlsh2rcY8LE+rgZ8me9ucgMi7LXCHfvbr2iMsdp6z1phcQYOyw==" saltValue="QsHtYKZR/K6RG1LVLOGulQ==" spinCount="100000" sheet="1" formatCells="0" formatColumns="0" formatRows="0" insertColumns="0" insertRows="0" insertHyperlinks="0" deleteColumns="0" deleteRows="0" sort="0" autoFilter="0" pivotTables="0"/>
  <pageMargins left="0.7" right="0.7" top="0.75" bottom="0.75" header="0.3" footer="0.3"/>
  <headerFooter>
    <oddFooter xml:space="preserve">&amp;L_x000D_&amp;1#&amp;"Aptos"&amp;12&amp;K000000 Información Pública.        Todos los derechos reservados para XM S.A E.S.P.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C3455-DFF7-456C-BF56-E5928C9B0043}">
  <sheetPr codeName="Hoja13"/>
  <dimension ref="A1:H48"/>
  <sheetViews>
    <sheetView zoomScale="70" zoomScaleNormal="70" workbookViewId="0">
      <selection activeCell="I20" sqref="I20"/>
    </sheetView>
  </sheetViews>
  <sheetFormatPr defaultColWidth="11.28515625" defaultRowHeight="15" x14ac:dyDescent="0.25"/>
  <cols>
    <col min="1" max="1" width="19" customWidth="1"/>
    <col min="2" max="2" width="17.5703125" bestFit="1" customWidth="1"/>
    <col min="3" max="3" width="17.5703125" customWidth="1"/>
    <col min="4" max="5" width="21.85546875" customWidth="1"/>
    <col min="6" max="6" width="14.28515625" customWidth="1"/>
    <col min="7" max="7" width="18" customWidth="1"/>
  </cols>
  <sheetData>
    <row r="1" spans="1:8" ht="60.75" customHeight="1" thickBot="1" x14ac:dyDescent="0.3">
      <c r="A1" s="38" t="s">
        <v>498</v>
      </c>
      <c r="B1" s="31" t="s">
        <v>499</v>
      </c>
      <c r="C1" s="32" t="s">
        <v>500</v>
      </c>
      <c r="D1" s="33" t="s">
        <v>501</v>
      </c>
      <c r="E1" s="33" t="s">
        <v>859</v>
      </c>
      <c r="F1" s="33" t="s">
        <v>658</v>
      </c>
      <c r="G1" s="33" t="s">
        <v>502</v>
      </c>
    </row>
    <row r="2" spans="1:8" ht="15.75" thickTop="1" x14ac:dyDescent="0.25">
      <c r="A2" s="151" t="s">
        <v>38</v>
      </c>
      <c r="B2" s="34" t="s">
        <v>38</v>
      </c>
      <c r="C2" s="15">
        <f>COUNTIFS(Restricciones!$B:$B,Graficas!B2,Restricciones!$O:$O,0)</f>
        <v>7</v>
      </c>
      <c r="D2" s="35">
        <f>COUNTIFS(Restricciones!$B:$B,Graficas!B2,Restricciones!$O:$O,1)</f>
        <v>0</v>
      </c>
      <c r="E2" s="35">
        <f>COUNTIFS(Restricciones!$B:$B,Graficas!B2,Restricciones!$O:$O,3)</f>
        <v>12</v>
      </c>
      <c r="F2" s="35">
        <f>COUNTIFS(Restricciones!$B:$B,Graficas!B2,Restricciones!$O:$O,2)</f>
        <v>1</v>
      </c>
      <c r="G2" s="35">
        <f>+C2+D2+E2+F2</f>
        <v>20</v>
      </c>
    </row>
    <row r="3" spans="1:8" x14ac:dyDescent="0.25">
      <c r="A3" s="252" t="s">
        <v>32</v>
      </c>
      <c r="B3" s="16" t="s">
        <v>61</v>
      </c>
      <c r="C3" s="15">
        <f>COUNTIFS(Restricciones!$B:$B,Graficas!B3,Restricciones!$O:$O,0)</f>
        <v>6</v>
      </c>
      <c r="D3" s="35">
        <f>COUNTIFS(Restricciones!$B:$B,Graficas!B3,Restricciones!$O:$O,1)</f>
        <v>3</v>
      </c>
      <c r="E3" s="35">
        <f>COUNTIFS(Restricciones!$B:$B,Graficas!B3,Restricciones!$O:$O,3)</f>
        <v>9</v>
      </c>
      <c r="F3" s="35">
        <f>COUNTIFS(Restricciones!$B:$B,Graficas!B3,Restricciones!$O:$O,2)</f>
        <v>13</v>
      </c>
      <c r="G3" s="35">
        <f t="shared" ref="G3:G18" si="0">+C3+D3+E3+F3</f>
        <v>31</v>
      </c>
      <c r="H3" s="39"/>
    </row>
    <row r="4" spans="1:8" x14ac:dyDescent="0.25">
      <c r="A4" s="253"/>
      <c r="B4" s="16" t="s">
        <v>131</v>
      </c>
      <c r="C4" s="15">
        <f>COUNTIFS(Restricciones!$B:$B,Graficas!B4,Restricciones!$O:$O,0)</f>
        <v>3</v>
      </c>
      <c r="D4" s="35">
        <f>COUNTIFS(Restricciones!$B:$B,Graficas!B4,Restricciones!$O:$O,1)</f>
        <v>1</v>
      </c>
      <c r="E4" s="35">
        <f>COUNTIFS(Restricciones!$B:$B,Graficas!B4,Restricciones!$O:$O,3)</f>
        <v>4</v>
      </c>
      <c r="F4" s="35">
        <f>COUNTIFS(Restricciones!$B:$B,Graficas!B4,Restricciones!$O:$O,2)</f>
        <v>3</v>
      </c>
      <c r="G4" s="35">
        <f t="shared" si="0"/>
        <v>11</v>
      </c>
    </row>
    <row r="5" spans="1:8" x14ac:dyDescent="0.25">
      <c r="A5" s="253"/>
      <c r="B5" s="16" t="s">
        <v>547</v>
      </c>
      <c r="C5" s="15">
        <f>COUNTIFS(Restricciones!$B:$B,Graficas!B5,Restricciones!$O:$O,0)</f>
        <v>3</v>
      </c>
      <c r="D5" s="35">
        <f>COUNTIFS(Restricciones!$B:$B,Graficas!B5,Restricciones!$O:$O,1)</f>
        <v>0</v>
      </c>
      <c r="E5" s="35">
        <f>COUNTIFS(Restricciones!$B:$B,Graficas!B5,Restricciones!$O:$O,3)</f>
        <v>0</v>
      </c>
      <c r="F5" s="35">
        <f>COUNTIFS(Restricciones!$B:$B,Graficas!B5,Restricciones!$O:$O,2)</f>
        <v>1</v>
      </c>
      <c r="G5" s="35">
        <f t="shared" si="0"/>
        <v>4</v>
      </c>
    </row>
    <row r="6" spans="1:8" x14ac:dyDescent="0.25">
      <c r="A6" s="253"/>
      <c r="B6" s="16" t="s">
        <v>883</v>
      </c>
      <c r="C6" s="15">
        <f>COUNTIFS(Restricciones!$B:$B,Graficas!B6,Restricciones!$O:$O,0)</f>
        <v>11</v>
      </c>
      <c r="D6" s="35">
        <f>COUNTIFS(Restricciones!$B:$B,Graficas!B6,Restricciones!$O:$O,1)</f>
        <v>7</v>
      </c>
      <c r="E6" s="35">
        <f>COUNTIFS(Restricciones!$B:$B,Graficas!B6,Restricciones!$O:$O,3)</f>
        <v>3</v>
      </c>
      <c r="F6" s="35">
        <f>COUNTIFS(Restricciones!$B:$B,Graficas!B6,Restricciones!$O:$O,2)</f>
        <v>1</v>
      </c>
      <c r="G6" s="35">
        <f t="shared" si="0"/>
        <v>22</v>
      </c>
    </row>
    <row r="7" spans="1:8" x14ac:dyDescent="0.25">
      <c r="A7" s="253"/>
      <c r="B7" s="16" t="s">
        <v>192</v>
      </c>
      <c r="C7" s="15">
        <f>COUNTIFS(Restricciones!$B:$B,Graficas!B7,Restricciones!$O:$O,0)</f>
        <v>4</v>
      </c>
      <c r="D7" s="35">
        <f>COUNTIFS(Restricciones!$B:$B,Graficas!B7,Restricciones!$O:$O,1)</f>
        <v>10</v>
      </c>
      <c r="E7" s="35">
        <f>COUNTIFS(Restricciones!$B:$B,Graficas!B7,Restricciones!$O:$O,3)</f>
        <v>4</v>
      </c>
      <c r="F7" s="35">
        <f>COUNTIFS(Restricciones!$B:$B,Graficas!B7,Restricciones!$O:$O,2)</f>
        <v>0</v>
      </c>
      <c r="G7" s="35">
        <f t="shared" si="0"/>
        <v>18</v>
      </c>
    </row>
    <row r="8" spans="1:8" x14ac:dyDescent="0.25">
      <c r="A8" s="252" t="s">
        <v>36</v>
      </c>
      <c r="B8" s="16" t="s">
        <v>312</v>
      </c>
      <c r="C8" s="15">
        <f>COUNTIFS(Restricciones!$B:$B,Graficas!B8,Restricciones!$O:$O,0)</f>
        <v>0</v>
      </c>
      <c r="D8" s="35">
        <f>COUNTIFS(Restricciones!$B:$B,Graficas!B8,Restricciones!$O:$O,1)</f>
        <v>0</v>
      </c>
      <c r="E8" s="35">
        <f>COUNTIFS(Restricciones!$B:$B,Graficas!B8,Restricciones!$O:$O,3)</f>
        <v>10</v>
      </c>
      <c r="F8" s="35">
        <f>COUNTIFS(Restricciones!$B:$B,Graficas!B8,Restricciones!$O:$O,2)</f>
        <v>0</v>
      </c>
      <c r="G8" s="35">
        <f t="shared" si="0"/>
        <v>10</v>
      </c>
      <c r="H8" s="218"/>
    </row>
    <row r="9" spans="1:8" x14ac:dyDescent="0.25">
      <c r="A9" s="253"/>
      <c r="B9" s="16" t="s">
        <v>321</v>
      </c>
      <c r="C9" s="15">
        <f>COUNTIFS(Restricciones!$B:$B,Graficas!B9,Restricciones!$O:$O,0)</f>
        <v>2</v>
      </c>
      <c r="D9" s="35">
        <f>COUNTIFS(Restricciones!$B:$B,Graficas!B9,Restricciones!$O:$O,1)</f>
        <v>0</v>
      </c>
      <c r="E9" s="35">
        <f>COUNTIFS(Restricciones!$B:$B,Graficas!B9,Restricciones!$O:$O,3)</f>
        <v>5</v>
      </c>
      <c r="F9" s="35">
        <f>COUNTIFS(Restricciones!$B:$B,Graficas!B9,Restricciones!$O:$O,2)</f>
        <v>0</v>
      </c>
      <c r="G9" s="35">
        <f t="shared" si="0"/>
        <v>7</v>
      </c>
    </row>
    <row r="10" spans="1:8" x14ac:dyDescent="0.25">
      <c r="A10" s="253"/>
      <c r="B10" s="16" t="s">
        <v>503</v>
      </c>
      <c r="C10" s="15">
        <f>COUNTIFS(Restricciones!$B:$B,Graficas!B10,Restricciones!$O:$O,0)</f>
        <v>0</v>
      </c>
      <c r="D10" s="35">
        <f>COUNTIFS(Restricciones!$B:$B,Graficas!B10,Restricciones!$O:$O,1)</f>
        <v>0</v>
      </c>
      <c r="E10" s="35">
        <f>COUNTIFS(Restricciones!$B:$B,Graficas!B10,Restricciones!$O:$O,3)</f>
        <v>1</v>
      </c>
      <c r="F10" s="35">
        <f>COUNTIFS(Restricciones!$B:$B,Graficas!B10,Restricciones!$O:$O,2)</f>
        <v>0</v>
      </c>
      <c r="G10" s="35">
        <f t="shared" si="0"/>
        <v>1</v>
      </c>
    </row>
    <row r="11" spans="1:8" x14ac:dyDescent="0.25">
      <c r="A11" s="254"/>
      <c r="B11" s="16" t="s">
        <v>311</v>
      </c>
      <c r="C11" s="15">
        <f>COUNTIFS(Restricciones!$B:$B,Graficas!B11,Restricciones!$O:$O,0)</f>
        <v>0</v>
      </c>
      <c r="D11" s="35">
        <f>COUNTIFS(Restricciones!$B:$B,Graficas!B11,Restricciones!$O:$O,1)</f>
        <v>0</v>
      </c>
      <c r="E11" s="35">
        <f>COUNTIFS(Restricciones!$B:$B,Graficas!B11,Restricciones!$O:$O,3)</f>
        <v>0</v>
      </c>
      <c r="F11" s="35">
        <f>COUNTIFS(Restricciones!$B:$B,Graficas!B11,Restricciones!$O:$O,2)</f>
        <v>0</v>
      </c>
      <c r="G11" s="35">
        <f t="shared" si="0"/>
        <v>0</v>
      </c>
    </row>
    <row r="12" spans="1:8" x14ac:dyDescent="0.25">
      <c r="A12" s="252" t="s">
        <v>35</v>
      </c>
      <c r="B12" s="16" t="s">
        <v>243</v>
      </c>
      <c r="C12" s="15">
        <f>COUNTIFS(Restricciones!$B:$B,Graficas!B12,Restricciones!$O:$O,0)</f>
        <v>4</v>
      </c>
      <c r="D12" s="35">
        <f>COUNTIFS(Restricciones!$B:$B,Graficas!B12,Restricciones!$O:$O,1)</f>
        <v>1</v>
      </c>
      <c r="E12" s="35">
        <f>COUNTIFS(Restricciones!$B:$B,Graficas!B12,Restricciones!$O:$O,3)</f>
        <v>25</v>
      </c>
      <c r="F12" s="35">
        <f>COUNTIFS(Restricciones!$B:$B,Graficas!B12,Restricciones!$O:$O,2)</f>
        <v>8</v>
      </c>
      <c r="G12" s="35">
        <f t="shared" si="0"/>
        <v>38</v>
      </c>
      <c r="H12" s="218"/>
    </row>
    <row r="13" spans="1:8" x14ac:dyDescent="0.25">
      <c r="A13" s="254"/>
      <c r="B13" s="16" t="s">
        <v>302</v>
      </c>
      <c r="C13" s="15">
        <f>COUNTIFS(Restricciones!$B:$B,Graficas!B13,Restricciones!$O:$O,0)</f>
        <v>5</v>
      </c>
      <c r="D13" s="35">
        <f>COUNTIFS(Restricciones!$B:$B,Graficas!B13,Restricciones!$O:$O,1)</f>
        <v>1</v>
      </c>
      <c r="E13" s="35">
        <f>COUNTIFS(Restricciones!$B:$B,Graficas!B13,Restricciones!$O:$O,3)</f>
        <v>2</v>
      </c>
      <c r="F13" s="35">
        <f>COUNTIFS(Restricciones!$B:$B,Graficas!B13,Restricciones!$O:$O,2)</f>
        <v>0</v>
      </c>
      <c r="G13" s="35">
        <f t="shared" si="0"/>
        <v>8</v>
      </c>
    </row>
    <row r="14" spans="1:8" x14ac:dyDescent="0.25">
      <c r="A14" s="252" t="s">
        <v>37</v>
      </c>
      <c r="B14" s="16" t="s">
        <v>228</v>
      </c>
      <c r="C14" s="15">
        <f>COUNTIFS(Restricciones!$B:$B,Graficas!B14,Restricciones!$O:$O,0)</f>
        <v>2</v>
      </c>
      <c r="D14" s="35">
        <f>COUNTIFS(Restricciones!$B:$B,Graficas!B14,Restricciones!$O:$O,1)</f>
        <v>0</v>
      </c>
      <c r="E14" s="35">
        <f>COUNTIFS(Restricciones!$B:$B,Graficas!B14,Restricciones!$O:$O,3)</f>
        <v>5</v>
      </c>
      <c r="F14" s="35">
        <f>COUNTIFS(Restricciones!$B:$B,Graficas!B14,Restricciones!$O:$O,2)</f>
        <v>0</v>
      </c>
      <c r="G14" s="35">
        <f t="shared" si="0"/>
        <v>7</v>
      </c>
      <c r="H14" s="39"/>
    </row>
    <row r="15" spans="1:8" x14ac:dyDescent="0.25">
      <c r="A15" s="253"/>
      <c r="B15" s="16" t="s">
        <v>242</v>
      </c>
      <c r="C15" s="15">
        <f>COUNTIFS(Restricciones!$B:$B,Graficas!B15,Restricciones!$O:$O,0)</f>
        <v>0</v>
      </c>
      <c r="D15" s="35">
        <f>COUNTIFS(Restricciones!$B:$B,Graficas!B15,Restricciones!$O:$O,1)</f>
        <v>0</v>
      </c>
      <c r="E15" s="35">
        <f>COUNTIFS(Restricciones!$B:$B,Graficas!B15,Restricciones!$O:$O,3)</f>
        <v>8</v>
      </c>
      <c r="F15" s="35">
        <f>COUNTIFS(Restricciones!$B:$B,Graficas!B15,Restricciones!$O:$O,2)</f>
        <v>0</v>
      </c>
      <c r="G15" s="35">
        <f t="shared" si="0"/>
        <v>8</v>
      </c>
    </row>
    <row r="16" spans="1:8" x14ac:dyDescent="0.25">
      <c r="A16" s="253"/>
      <c r="B16" s="16" t="s">
        <v>239</v>
      </c>
      <c r="C16" s="15">
        <f>COUNTIFS(Restricciones!$B:$B,Graficas!B16,Restricciones!$O:$O,0)</f>
        <v>0</v>
      </c>
      <c r="D16" s="35">
        <f>COUNTIFS(Restricciones!$B:$B,Graficas!B16,Restricciones!$O:$O,1)</f>
        <v>0</v>
      </c>
      <c r="E16" s="35">
        <f>COUNTIFS(Restricciones!$B:$B,Graficas!B16,Restricciones!$O:$O,3)</f>
        <v>3</v>
      </c>
      <c r="F16" s="35">
        <f>COUNTIFS(Restricciones!$B:$B,Graficas!B16,Restricciones!$O:$O,2)</f>
        <v>0</v>
      </c>
      <c r="G16" s="35">
        <f t="shared" si="0"/>
        <v>3</v>
      </c>
    </row>
    <row r="17" spans="1:7" x14ac:dyDescent="0.25">
      <c r="A17" s="253"/>
      <c r="B17" s="16" t="s">
        <v>620</v>
      </c>
      <c r="C17" s="15">
        <f>COUNTIFS(Restricciones!$B:$B,Graficas!B17,Restricciones!$O:$O,0)</f>
        <v>0</v>
      </c>
      <c r="D17" s="35">
        <f>COUNTIFS(Restricciones!$B:$B,Graficas!B17,Restricciones!$O:$O,1)</f>
        <v>0</v>
      </c>
      <c r="E17" s="35">
        <f>COUNTIFS(Restricciones!$B:$B,Graficas!B17,Restricciones!$O:$O,3)</f>
        <v>2</v>
      </c>
      <c r="F17" s="35">
        <f>COUNTIFS(Restricciones!$B:$B,Graficas!B17,Restricciones!$O:$O,2)</f>
        <v>0</v>
      </c>
      <c r="G17" s="35">
        <f t="shared" si="0"/>
        <v>2</v>
      </c>
    </row>
    <row r="18" spans="1:7" x14ac:dyDescent="0.25">
      <c r="A18" s="254"/>
      <c r="B18" s="16" t="s">
        <v>225</v>
      </c>
      <c r="C18" s="15">
        <f>COUNTIFS(Restricciones!$B:$B,Graficas!B18,Restricciones!$O:$O,0)</f>
        <v>0</v>
      </c>
      <c r="D18" s="35">
        <f>COUNTIFS(Restricciones!$B:$B,Graficas!B18,Restricciones!$O:$O,1)</f>
        <v>0</v>
      </c>
      <c r="E18" s="35">
        <f>COUNTIFS(Restricciones!$B:$B,Graficas!B18,Restricciones!$O:$O,3)</f>
        <v>5</v>
      </c>
      <c r="F18" s="35">
        <f>COUNTIFS(Restricciones!$B:$B,Graficas!B18,Restricciones!$O:$O,2)</f>
        <v>0</v>
      </c>
      <c r="G18" s="35">
        <f t="shared" si="0"/>
        <v>5</v>
      </c>
    </row>
    <row r="19" spans="1:7" x14ac:dyDescent="0.25">
      <c r="A19" s="250" t="s">
        <v>504</v>
      </c>
      <c r="B19" s="251"/>
      <c r="C19" s="37">
        <f>+SUM(C2:C17)</f>
        <v>47</v>
      </c>
      <c r="D19" s="37">
        <f>+SUM(D2:D17)</f>
        <v>23</v>
      </c>
      <c r="E19" s="37">
        <f>+SUM(E2:E17)</f>
        <v>93</v>
      </c>
      <c r="F19" s="37">
        <f>+SUM(F2:F17)</f>
        <v>27</v>
      </c>
      <c r="G19" s="37">
        <f>+SUM(G2:G18)</f>
        <v>195</v>
      </c>
    </row>
    <row r="20" spans="1:7" x14ac:dyDescent="0.25">
      <c r="G20" s="164"/>
    </row>
    <row r="21" spans="1:7" x14ac:dyDescent="0.25">
      <c r="G21" s="164"/>
    </row>
    <row r="22" spans="1:7" x14ac:dyDescent="0.25">
      <c r="G22" s="164"/>
    </row>
    <row r="23" spans="1:7" x14ac:dyDescent="0.25">
      <c r="G23" s="164"/>
    </row>
    <row r="24" spans="1:7" x14ac:dyDescent="0.25">
      <c r="G24" s="164"/>
    </row>
    <row r="25" spans="1:7" x14ac:dyDescent="0.25">
      <c r="G25" s="164"/>
    </row>
    <row r="26" spans="1:7" x14ac:dyDescent="0.25">
      <c r="G26" s="164"/>
    </row>
    <row r="27" spans="1:7" x14ac:dyDescent="0.25">
      <c r="G27" s="164"/>
    </row>
    <row r="28" spans="1:7" x14ac:dyDescent="0.25">
      <c r="G28" s="164"/>
    </row>
    <row r="29" spans="1:7" x14ac:dyDescent="0.25">
      <c r="G29" s="164"/>
    </row>
    <row r="30" spans="1:7" x14ac:dyDescent="0.25">
      <c r="G30" s="164"/>
    </row>
    <row r="31" spans="1:7" x14ac:dyDescent="0.25">
      <c r="G31" s="164"/>
    </row>
    <row r="32" spans="1:7" x14ac:dyDescent="0.25">
      <c r="G32" s="164"/>
    </row>
    <row r="33" spans="1:7" x14ac:dyDescent="0.25">
      <c r="G33" s="164"/>
    </row>
    <row r="34" spans="1:7" x14ac:dyDescent="0.25">
      <c r="G34" s="164"/>
    </row>
    <row r="35" spans="1:7" x14ac:dyDescent="0.25">
      <c r="G35" s="164"/>
    </row>
    <row r="36" spans="1:7" x14ac:dyDescent="0.25">
      <c r="G36" s="164"/>
    </row>
    <row r="37" spans="1:7" x14ac:dyDescent="0.25">
      <c r="G37" s="164"/>
    </row>
    <row r="38" spans="1:7" x14ac:dyDescent="0.25">
      <c r="G38" s="164"/>
    </row>
    <row r="39" spans="1:7" x14ac:dyDescent="0.25">
      <c r="G39" s="164"/>
    </row>
    <row r="40" spans="1:7" x14ac:dyDescent="0.25">
      <c r="G40" s="164"/>
    </row>
    <row r="41" spans="1:7" x14ac:dyDescent="0.25">
      <c r="A41" s="164"/>
      <c r="B41" s="164"/>
      <c r="C41" s="164"/>
      <c r="D41" s="164"/>
      <c r="E41" s="164"/>
      <c r="F41" s="164"/>
      <c r="G41" s="164"/>
    </row>
    <row r="42" spans="1:7" x14ac:dyDescent="0.25">
      <c r="A42" s="164"/>
      <c r="B42" s="164"/>
      <c r="C42" s="164"/>
      <c r="D42" s="164"/>
      <c r="E42" s="164"/>
      <c r="F42" s="164"/>
      <c r="G42" s="164"/>
    </row>
    <row r="43" spans="1:7" x14ac:dyDescent="0.25">
      <c r="A43" s="164"/>
      <c r="B43" s="164"/>
      <c r="C43" s="164"/>
      <c r="D43" s="164"/>
      <c r="E43" s="164"/>
      <c r="F43" s="164"/>
      <c r="G43" s="164"/>
    </row>
    <row r="44" spans="1:7" x14ac:dyDescent="0.25">
      <c r="A44" s="164"/>
      <c r="B44" s="164"/>
      <c r="C44" s="164"/>
      <c r="D44" s="164"/>
      <c r="E44" s="164"/>
      <c r="F44" s="164"/>
      <c r="G44" s="164"/>
    </row>
    <row r="45" spans="1:7" x14ac:dyDescent="0.25">
      <c r="A45" s="164"/>
      <c r="B45" s="164"/>
      <c r="C45" s="164"/>
      <c r="D45" s="164"/>
      <c r="E45" s="164"/>
      <c r="F45" s="164"/>
      <c r="G45" s="164"/>
    </row>
    <row r="46" spans="1:7" x14ac:dyDescent="0.25">
      <c r="A46" s="164"/>
      <c r="B46" s="164"/>
      <c r="C46" s="164"/>
      <c r="D46" s="164"/>
      <c r="E46" s="164"/>
      <c r="F46" s="164"/>
      <c r="G46" s="164"/>
    </row>
    <row r="47" spans="1:7" x14ac:dyDescent="0.25">
      <c r="A47" s="164"/>
      <c r="B47" s="164"/>
      <c r="C47" s="164"/>
      <c r="D47" s="164"/>
      <c r="E47" s="164"/>
      <c r="F47" s="164"/>
      <c r="G47" s="164"/>
    </row>
    <row r="48" spans="1:7" x14ac:dyDescent="0.25">
      <c r="A48" s="163"/>
      <c r="B48" s="163"/>
      <c r="C48" s="163"/>
      <c r="D48" s="163"/>
      <c r="E48" s="163"/>
      <c r="F48" s="163"/>
      <c r="G48" s="163"/>
    </row>
  </sheetData>
  <sheetProtection algorithmName="SHA-512" hashValue="PRsY0aIJtrITEGyJCa5bBIMnSHIjQuDXQJpd+AQ/gsxAQKO65L7KUuFe9sDVHIvXD+Is33mgrLdB222yFuCSuA==" saltValue="1MkkYES7W0tLjQ0K8ReCqw==" spinCount="100000" sheet="1" formatCells="0" formatColumns="0" formatRows="0" insertColumns="0" insertRows="0" insertHyperlinks="0" deleteColumns="0" deleteRows="0" sort="0" autoFilter="0" pivotTables="0"/>
  <mergeCells count="5">
    <mergeCell ref="A19:B19"/>
    <mergeCell ref="A3:A7"/>
    <mergeCell ref="A12:A13"/>
    <mergeCell ref="A8:A11"/>
    <mergeCell ref="A14:A18"/>
  </mergeCells>
  <pageMargins left="0.7" right="0.7" top="0.75" bottom="0.75" header="0.3" footer="0.3"/>
  <pageSetup orientation="portrait" horizontalDpi="4294967295" verticalDpi="4294967295" r:id="rId1"/>
  <headerFooter>
    <oddFooter xml:space="preserve">&amp;L_x000D_&amp;1#&amp;"Aptos"&amp;12&amp;K000000 Información Pública.        Todos los derechos reservados para XM S.A E.S.P. </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20661-4B79-4E42-9B78-7AF4F1A0395F}">
  <sheetPr codeName="Hoja14"/>
  <dimension ref="A1:E112"/>
  <sheetViews>
    <sheetView workbookViewId="0">
      <selection activeCell="C11" sqref="C11"/>
    </sheetView>
  </sheetViews>
  <sheetFormatPr defaultColWidth="11.28515625" defaultRowHeight="15" x14ac:dyDescent="0.25"/>
  <cols>
    <col min="1" max="1" width="13" customWidth="1"/>
    <col min="2" max="2" width="18.28515625" customWidth="1"/>
    <col min="3" max="3" width="39" customWidth="1"/>
  </cols>
  <sheetData>
    <row r="1" spans="1:5" x14ac:dyDescent="0.25">
      <c r="A1" s="65" t="s">
        <v>505</v>
      </c>
      <c r="B1" s="63" t="s">
        <v>39</v>
      </c>
      <c r="C1" s="63" t="s">
        <v>506</v>
      </c>
    </row>
    <row r="2" spans="1:5" x14ac:dyDescent="0.25">
      <c r="A2" s="104" t="s">
        <v>38</v>
      </c>
      <c r="B2" s="104" t="s">
        <v>38</v>
      </c>
      <c r="C2" s="104" t="s">
        <v>507</v>
      </c>
      <c r="E2" s="105" t="s">
        <v>841</v>
      </c>
    </row>
    <row r="3" spans="1:5" x14ac:dyDescent="0.25">
      <c r="A3" s="12" t="s">
        <v>38</v>
      </c>
      <c r="B3" s="12" t="s">
        <v>38</v>
      </c>
      <c r="C3" s="12" t="s">
        <v>508</v>
      </c>
    </row>
    <row r="4" spans="1:5" x14ac:dyDescent="0.25">
      <c r="A4" s="12" t="s">
        <v>38</v>
      </c>
      <c r="B4" s="12" t="s">
        <v>38</v>
      </c>
      <c r="C4" s="12" t="s">
        <v>509</v>
      </c>
    </row>
    <row r="5" spans="1:5" x14ac:dyDescent="0.25">
      <c r="A5" s="12" t="s">
        <v>38</v>
      </c>
      <c r="B5" s="12" t="s">
        <v>38</v>
      </c>
      <c r="C5" s="12" t="s">
        <v>510</v>
      </c>
    </row>
    <row r="6" spans="1:5" x14ac:dyDescent="0.25">
      <c r="A6" s="12" t="s">
        <v>38</v>
      </c>
      <c r="B6" s="12" t="s">
        <v>38</v>
      </c>
      <c r="C6" s="12" t="s">
        <v>511</v>
      </c>
    </row>
    <row r="7" spans="1:5" x14ac:dyDescent="0.25">
      <c r="A7" s="12" t="s">
        <v>38</v>
      </c>
      <c r="B7" s="12" t="s">
        <v>38</v>
      </c>
      <c r="C7" s="12" t="s">
        <v>512</v>
      </c>
    </row>
    <row r="8" spans="1:5" x14ac:dyDescent="0.25">
      <c r="A8" s="12" t="s">
        <v>38</v>
      </c>
      <c r="B8" s="12" t="s">
        <v>38</v>
      </c>
      <c r="C8" s="12" t="s">
        <v>513</v>
      </c>
    </row>
    <row r="9" spans="1:5" x14ac:dyDescent="0.25">
      <c r="A9" s="104" t="s">
        <v>38</v>
      </c>
      <c r="B9" s="104" t="s">
        <v>38</v>
      </c>
      <c r="C9" s="104" t="s">
        <v>514</v>
      </c>
    </row>
    <row r="10" spans="1:5" x14ac:dyDescent="0.25">
      <c r="A10" s="104" t="s">
        <v>38</v>
      </c>
      <c r="B10" s="104" t="s">
        <v>38</v>
      </c>
      <c r="C10" s="104" t="s">
        <v>515</v>
      </c>
    </row>
    <row r="11" spans="1:5" x14ac:dyDescent="0.25">
      <c r="A11" s="104" t="s">
        <v>38</v>
      </c>
      <c r="B11" s="104" t="s">
        <v>38</v>
      </c>
      <c r="C11" s="104" t="s">
        <v>516</v>
      </c>
    </row>
    <row r="12" spans="1:5" x14ac:dyDescent="0.25">
      <c r="A12" s="104" t="s">
        <v>38</v>
      </c>
      <c r="B12" s="104" t="s">
        <v>38</v>
      </c>
      <c r="C12" s="107" t="s">
        <v>517</v>
      </c>
    </row>
    <row r="13" spans="1:5" x14ac:dyDescent="0.25">
      <c r="A13" s="104" t="s">
        <v>38</v>
      </c>
      <c r="B13" s="104" t="s">
        <v>38</v>
      </c>
      <c r="C13" s="107" t="s">
        <v>518</v>
      </c>
    </row>
    <row r="14" spans="1:5" x14ac:dyDescent="0.25">
      <c r="A14" s="107" t="s">
        <v>519</v>
      </c>
      <c r="B14" s="107" t="s">
        <v>520</v>
      </c>
      <c r="C14" s="107" t="s">
        <v>521</v>
      </c>
    </row>
    <row r="15" spans="1:5" x14ac:dyDescent="0.25">
      <c r="A15" s="104" t="s">
        <v>32</v>
      </c>
      <c r="B15" s="104" t="s">
        <v>192</v>
      </c>
      <c r="C15" s="104" t="s">
        <v>522</v>
      </c>
    </row>
    <row r="16" spans="1:5" x14ac:dyDescent="0.25">
      <c r="A16" s="104" t="s">
        <v>32</v>
      </c>
      <c r="B16" s="104" t="s">
        <v>192</v>
      </c>
      <c r="C16" s="104" t="s">
        <v>523</v>
      </c>
    </row>
    <row r="17" spans="1:3" x14ac:dyDescent="0.25">
      <c r="A17" s="104" t="s">
        <v>32</v>
      </c>
      <c r="B17" s="104" t="s">
        <v>192</v>
      </c>
      <c r="C17" s="104" t="s">
        <v>524</v>
      </c>
    </row>
    <row r="18" spans="1:3" x14ac:dyDescent="0.25">
      <c r="A18" s="104" t="s">
        <v>32</v>
      </c>
      <c r="B18" s="104" t="s">
        <v>192</v>
      </c>
      <c r="C18" s="104" t="s">
        <v>525</v>
      </c>
    </row>
    <row r="19" spans="1:3" x14ac:dyDescent="0.25">
      <c r="A19" s="104" t="s">
        <v>32</v>
      </c>
      <c r="B19" s="104" t="s">
        <v>192</v>
      </c>
      <c r="C19" s="104" t="s">
        <v>526</v>
      </c>
    </row>
    <row r="20" spans="1:3" x14ac:dyDescent="0.25">
      <c r="A20" s="104" t="s">
        <v>32</v>
      </c>
      <c r="B20" s="104" t="s">
        <v>192</v>
      </c>
      <c r="C20" s="104" t="s">
        <v>527</v>
      </c>
    </row>
    <row r="21" spans="1:3" x14ac:dyDescent="0.25">
      <c r="A21" s="104" t="s">
        <v>32</v>
      </c>
      <c r="B21" s="104" t="s">
        <v>192</v>
      </c>
      <c r="C21" s="104" t="s">
        <v>528</v>
      </c>
    </row>
    <row r="22" spans="1:3" x14ac:dyDescent="0.25">
      <c r="A22" s="104" t="s">
        <v>32</v>
      </c>
      <c r="B22" s="104" t="s">
        <v>192</v>
      </c>
      <c r="C22" s="104" t="s">
        <v>529</v>
      </c>
    </row>
    <row r="23" spans="1:3" x14ac:dyDescent="0.25">
      <c r="A23" s="104" t="s">
        <v>32</v>
      </c>
      <c r="B23" s="104" t="s">
        <v>530</v>
      </c>
      <c r="C23" s="104" t="s">
        <v>531</v>
      </c>
    </row>
    <row r="24" spans="1:3" x14ac:dyDescent="0.25">
      <c r="A24" s="104" t="s">
        <v>32</v>
      </c>
      <c r="B24" s="104" t="s">
        <v>530</v>
      </c>
      <c r="C24" s="104" t="s">
        <v>532</v>
      </c>
    </row>
    <row r="25" spans="1:3" x14ac:dyDescent="0.25">
      <c r="A25" s="104" t="s">
        <v>32</v>
      </c>
      <c r="B25" s="104" t="s">
        <v>530</v>
      </c>
      <c r="C25" s="104" t="s">
        <v>533</v>
      </c>
    </row>
    <row r="26" spans="1:3" x14ac:dyDescent="0.25">
      <c r="A26" s="104" t="s">
        <v>32</v>
      </c>
      <c r="B26" s="104" t="s">
        <v>530</v>
      </c>
      <c r="C26" s="104" t="s">
        <v>534</v>
      </c>
    </row>
    <row r="27" spans="1:3" x14ac:dyDescent="0.25">
      <c r="A27" s="104" t="s">
        <v>32</v>
      </c>
      <c r="B27" s="104" t="s">
        <v>530</v>
      </c>
      <c r="C27" s="104" t="s">
        <v>535</v>
      </c>
    </row>
    <row r="28" spans="1:3" x14ac:dyDescent="0.25">
      <c r="A28" s="104" t="s">
        <v>32</v>
      </c>
      <c r="B28" s="104" t="s">
        <v>530</v>
      </c>
      <c r="C28" s="104" t="s">
        <v>536</v>
      </c>
    </row>
    <row r="29" spans="1:3" x14ac:dyDescent="0.25">
      <c r="A29" s="104" t="s">
        <v>32</v>
      </c>
      <c r="B29" s="104" t="s">
        <v>530</v>
      </c>
      <c r="C29" s="104" t="s">
        <v>537</v>
      </c>
    </row>
    <row r="30" spans="1:3" x14ac:dyDescent="0.25">
      <c r="A30" s="104" t="s">
        <v>32</v>
      </c>
      <c r="B30" s="104" t="s">
        <v>530</v>
      </c>
      <c r="C30" s="104" t="s">
        <v>538</v>
      </c>
    </row>
    <row r="31" spans="1:3" x14ac:dyDescent="0.25">
      <c r="A31" s="104" t="s">
        <v>32</v>
      </c>
      <c r="B31" s="104" t="s">
        <v>539</v>
      </c>
      <c r="C31" s="104" t="s">
        <v>540</v>
      </c>
    </row>
    <row r="32" spans="1:3" x14ac:dyDescent="0.25">
      <c r="A32" s="104" t="s">
        <v>32</v>
      </c>
      <c r="B32" s="104" t="s">
        <v>539</v>
      </c>
      <c r="C32" s="104" t="s">
        <v>541</v>
      </c>
    </row>
    <row r="33" spans="1:3" x14ac:dyDescent="0.25">
      <c r="A33" s="104" t="s">
        <v>32</v>
      </c>
      <c r="B33" s="104" t="s">
        <v>539</v>
      </c>
      <c r="C33" s="104" t="s">
        <v>542</v>
      </c>
    </row>
    <row r="34" spans="1:3" x14ac:dyDescent="0.25">
      <c r="A34" s="104" t="s">
        <v>32</v>
      </c>
      <c r="B34" s="104" t="s">
        <v>539</v>
      </c>
      <c r="C34" s="104" t="s">
        <v>543</v>
      </c>
    </row>
    <row r="35" spans="1:3" x14ac:dyDescent="0.25">
      <c r="A35" s="104" t="s">
        <v>32</v>
      </c>
      <c r="B35" s="104" t="s">
        <v>539</v>
      </c>
      <c r="C35" s="104" t="s">
        <v>544</v>
      </c>
    </row>
    <row r="36" spans="1:3" x14ac:dyDescent="0.25">
      <c r="A36" s="104" t="s">
        <v>32</v>
      </c>
      <c r="B36" s="104" t="s">
        <v>539</v>
      </c>
      <c r="C36" s="104" t="s">
        <v>545</v>
      </c>
    </row>
    <row r="37" spans="1:3" x14ac:dyDescent="0.25">
      <c r="A37" s="104" t="s">
        <v>32</v>
      </c>
      <c r="B37" s="104" t="s">
        <v>539</v>
      </c>
      <c r="C37" s="104" t="s">
        <v>546</v>
      </c>
    </row>
    <row r="38" spans="1:3" x14ac:dyDescent="0.25">
      <c r="A38" s="104" t="s">
        <v>32</v>
      </c>
      <c r="B38" s="104" t="s">
        <v>547</v>
      </c>
      <c r="C38" s="104" t="s">
        <v>548</v>
      </c>
    </row>
    <row r="39" spans="1:3" x14ac:dyDescent="0.25">
      <c r="A39" s="104" t="s">
        <v>32</v>
      </c>
      <c r="B39" s="104" t="s">
        <v>549</v>
      </c>
      <c r="C39" s="104" t="s">
        <v>550</v>
      </c>
    </row>
    <row r="40" spans="1:3" x14ac:dyDescent="0.25">
      <c r="A40" s="104" t="s">
        <v>32</v>
      </c>
      <c r="B40" s="104" t="s">
        <v>549</v>
      </c>
      <c r="C40" s="104" t="s">
        <v>551</v>
      </c>
    </row>
    <row r="41" spans="1:3" x14ac:dyDescent="0.25">
      <c r="A41" s="145" t="s">
        <v>32</v>
      </c>
      <c r="B41" s="145" t="s">
        <v>192</v>
      </c>
      <c r="C41" s="145" t="s">
        <v>552</v>
      </c>
    </row>
    <row r="42" spans="1:3" x14ac:dyDescent="0.25">
      <c r="A42" s="145" t="s">
        <v>32</v>
      </c>
      <c r="B42" s="145" t="s">
        <v>192</v>
      </c>
      <c r="C42" s="145" t="s">
        <v>553</v>
      </c>
    </row>
    <row r="43" spans="1:3" x14ac:dyDescent="0.25">
      <c r="A43" s="104" t="s">
        <v>36</v>
      </c>
      <c r="B43" s="104" t="s">
        <v>311</v>
      </c>
      <c r="C43" s="104" t="s">
        <v>554</v>
      </c>
    </row>
    <row r="44" spans="1:3" x14ac:dyDescent="0.25">
      <c r="A44" s="104" t="s">
        <v>36</v>
      </c>
      <c r="B44" s="104" t="s">
        <v>311</v>
      </c>
      <c r="C44" s="104" t="s">
        <v>555</v>
      </c>
    </row>
    <row r="45" spans="1:3" x14ac:dyDescent="0.25">
      <c r="A45" s="104" t="s">
        <v>36</v>
      </c>
      <c r="B45" s="104" t="s">
        <v>311</v>
      </c>
      <c r="C45" s="104" t="s">
        <v>556</v>
      </c>
    </row>
    <row r="46" spans="1:3" x14ac:dyDescent="0.25">
      <c r="A46" s="104" t="s">
        <v>36</v>
      </c>
      <c r="B46" s="104" t="s">
        <v>311</v>
      </c>
      <c r="C46" s="104" t="s">
        <v>557</v>
      </c>
    </row>
    <row r="47" spans="1:3" x14ac:dyDescent="0.25">
      <c r="A47" s="104" t="s">
        <v>36</v>
      </c>
      <c r="B47" s="104" t="s">
        <v>311</v>
      </c>
      <c r="C47" s="104" t="s">
        <v>558</v>
      </c>
    </row>
    <row r="48" spans="1:3" x14ac:dyDescent="0.25">
      <c r="A48" s="12" t="s">
        <v>36</v>
      </c>
      <c r="B48" s="12" t="s">
        <v>503</v>
      </c>
      <c r="C48" s="12" t="s">
        <v>559</v>
      </c>
    </row>
    <row r="49" spans="1:3" x14ac:dyDescent="0.25">
      <c r="A49" s="12" t="s">
        <v>36</v>
      </c>
      <c r="B49" s="12" t="s">
        <v>503</v>
      </c>
      <c r="C49" s="12" t="s">
        <v>560</v>
      </c>
    </row>
    <row r="50" spans="1:3" x14ac:dyDescent="0.25">
      <c r="A50" s="12" t="s">
        <v>36</v>
      </c>
      <c r="B50" s="12" t="s">
        <v>503</v>
      </c>
      <c r="C50" s="12" t="s">
        <v>561</v>
      </c>
    </row>
    <row r="51" spans="1:3" x14ac:dyDescent="0.25">
      <c r="A51" s="12" t="s">
        <v>36</v>
      </c>
      <c r="B51" s="12" t="s">
        <v>503</v>
      </c>
      <c r="C51" s="12" t="s">
        <v>562</v>
      </c>
    </row>
    <row r="52" spans="1:3" x14ac:dyDescent="0.25">
      <c r="A52" s="12" t="s">
        <v>36</v>
      </c>
      <c r="B52" s="12" t="s">
        <v>312</v>
      </c>
      <c r="C52" s="12" t="s">
        <v>563</v>
      </c>
    </row>
    <row r="53" spans="1:3" x14ac:dyDescent="0.25">
      <c r="A53" s="12" t="s">
        <v>36</v>
      </c>
      <c r="B53" s="12" t="s">
        <v>312</v>
      </c>
      <c r="C53" s="12" t="s">
        <v>564</v>
      </c>
    </row>
    <row r="54" spans="1:3" x14ac:dyDescent="0.25">
      <c r="A54" s="12" t="s">
        <v>36</v>
      </c>
      <c r="B54" s="12" t="s">
        <v>312</v>
      </c>
      <c r="C54" s="12" t="s">
        <v>565</v>
      </c>
    </row>
    <row r="55" spans="1:3" x14ac:dyDescent="0.25">
      <c r="A55" s="104" t="s">
        <v>36</v>
      </c>
      <c r="B55" s="104" t="s">
        <v>312</v>
      </c>
      <c r="C55" s="104" t="s">
        <v>566</v>
      </c>
    </row>
    <row r="56" spans="1:3" x14ac:dyDescent="0.25">
      <c r="A56" s="104" t="s">
        <v>36</v>
      </c>
      <c r="B56" s="104" t="s">
        <v>312</v>
      </c>
      <c r="C56" s="104" t="s">
        <v>567</v>
      </c>
    </row>
    <row r="57" spans="1:3" x14ac:dyDescent="0.25">
      <c r="A57" s="104" t="s">
        <v>36</v>
      </c>
      <c r="B57" s="104" t="s">
        <v>312</v>
      </c>
      <c r="C57" s="104" t="s">
        <v>568</v>
      </c>
    </row>
    <row r="58" spans="1:3" x14ac:dyDescent="0.25">
      <c r="A58" s="12" t="s">
        <v>36</v>
      </c>
      <c r="B58" s="12" t="s">
        <v>312</v>
      </c>
      <c r="C58" s="12" t="s">
        <v>569</v>
      </c>
    </row>
    <row r="59" spans="1:3" x14ac:dyDescent="0.25">
      <c r="A59" s="12" t="s">
        <v>36</v>
      </c>
      <c r="B59" s="12" t="s">
        <v>312</v>
      </c>
      <c r="C59" s="12" t="s">
        <v>570</v>
      </c>
    </row>
    <row r="60" spans="1:3" x14ac:dyDescent="0.25">
      <c r="A60" s="12" t="s">
        <v>36</v>
      </c>
      <c r="B60" s="12" t="s">
        <v>312</v>
      </c>
      <c r="C60" s="12" t="s">
        <v>571</v>
      </c>
    </row>
    <row r="61" spans="1:3" x14ac:dyDescent="0.25">
      <c r="A61" s="12" t="s">
        <v>36</v>
      </c>
      <c r="B61" s="12" t="s">
        <v>312</v>
      </c>
      <c r="C61" s="12" t="s">
        <v>572</v>
      </c>
    </row>
    <row r="62" spans="1:3" x14ac:dyDescent="0.25">
      <c r="A62" s="12" t="s">
        <v>36</v>
      </c>
      <c r="B62" s="12" t="s">
        <v>312</v>
      </c>
      <c r="C62" s="12" t="s">
        <v>573</v>
      </c>
    </row>
    <row r="63" spans="1:3" x14ac:dyDescent="0.25">
      <c r="A63" s="12" t="s">
        <v>36</v>
      </c>
      <c r="B63" s="12" t="s">
        <v>321</v>
      </c>
      <c r="C63" s="12" t="s">
        <v>574</v>
      </c>
    </row>
    <row r="64" spans="1:3" x14ac:dyDescent="0.25">
      <c r="A64" s="104" t="s">
        <v>36</v>
      </c>
      <c r="B64" s="104" t="s">
        <v>312</v>
      </c>
      <c r="C64" s="104" t="s">
        <v>575</v>
      </c>
    </row>
    <row r="65" spans="1:3" x14ac:dyDescent="0.25">
      <c r="A65" s="104" t="s">
        <v>36</v>
      </c>
      <c r="B65" s="104" t="s">
        <v>311</v>
      </c>
      <c r="C65" s="104" t="s">
        <v>576</v>
      </c>
    </row>
    <row r="66" spans="1:3" x14ac:dyDescent="0.25">
      <c r="A66" s="104" t="s">
        <v>35</v>
      </c>
      <c r="B66" s="104" t="s">
        <v>302</v>
      </c>
      <c r="C66" s="104" t="s">
        <v>577</v>
      </c>
    </row>
    <row r="67" spans="1:3" x14ac:dyDescent="0.25">
      <c r="A67" s="104" t="s">
        <v>35</v>
      </c>
      <c r="B67" s="104" t="s">
        <v>302</v>
      </c>
      <c r="C67" s="104" t="s">
        <v>578</v>
      </c>
    </row>
    <row r="68" spans="1:3" x14ac:dyDescent="0.25">
      <c r="A68" s="104" t="s">
        <v>35</v>
      </c>
      <c r="B68" s="106" t="s">
        <v>302</v>
      </c>
      <c r="C68" s="106" t="s">
        <v>579</v>
      </c>
    </row>
    <row r="69" spans="1:3" x14ac:dyDescent="0.25">
      <c r="A69" s="104" t="s">
        <v>35</v>
      </c>
      <c r="B69" s="106" t="s">
        <v>302</v>
      </c>
      <c r="C69" s="106" t="s">
        <v>580</v>
      </c>
    </row>
    <row r="70" spans="1:3" x14ac:dyDescent="0.25">
      <c r="A70" s="104" t="s">
        <v>35</v>
      </c>
      <c r="B70" s="106" t="s">
        <v>243</v>
      </c>
      <c r="C70" s="106" t="s">
        <v>581</v>
      </c>
    </row>
    <row r="71" spans="1:3" x14ac:dyDescent="0.25">
      <c r="A71" s="104" t="s">
        <v>35</v>
      </c>
      <c r="B71" s="106" t="s">
        <v>243</v>
      </c>
      <c r="C71" s="106" t="s">
        <v>582</v>
      </c>
    </row>
    <row r="72" spans="1:3" x14ac:dyDescent="0.25">
      <c r="A72" s="104" t="s">
        <v>35</v>
      </c>
      <c r="B72" s="106" t="s">
        <v>243</v>
      </c>
      <c r="C72" s="106" t="s">
        <v>583</v>
      </c>
    </row>
    <row r="73" spans="1:3" x14ac:dyDescent="0.25">
      <c r="A73" s="12" t="s">
        <v>35</v>
      </c>
      <c r="B73" s="46" t="s">
        <v>243</v>
      </c>
      <c r="C73" s="46" t="s">
        <v>584</v>
      </c>
    </row>
    <row r="74" spans="1:3" x14ac:dyDescent="0.25">
      <c r="A74" s="12" t="s">
        <v>35</v>
      </c>
      <c r="B74" s="46" t="s">
        <v>243</v>
      </c>
      <c r="C74" s="46" t="s">
        <v>585</v>
      </c>
    </row>
    <row r="75" spans="1:3" x14ac:dyDescent="0.25">
      <c r="A75" s="12" t="s">
        <v>35</v>
      </c>
      <c r="B75" s="46" t="s">
        <v>243</v>
      </c>
      <c r="C75" s="46" t="s">
        <v>586</v>
      </c>
    </row>
    <row r="76" spans="1:3" x14ac:dyDescent="0.25">
      <c r="A76" s="12" t="s">
        <v>35</v>
      </c>
      <c r="B76" s="46" t="s">
        <v>243</v>
      </c>
      <c r="C76" s="46" t="s">
        <v>587</v>
      </c>
    </row>
    <row r="77" spans="1:3" x14ac:dyDescent="0.25">
      <c r="A77" s="104" t="s">
        <v>35</v>
      </c>
      <c r="B77" s="106" t="s">
        <v>243</v>
      </c>
      <c r="C77" s="106" t="s">
        <v>588</v>
      </c>
    </row>
    <row r="78" spans="1:3" x14ac:dyDescent="0.25">
      <c r="A78" s="104" t="s">
        <v>35</v>
      </c>
      <c r="B78" s="106" t="s">
        <v>243</v>
      </c>
      <c r="C78" s="106" t="s">
        <v>589</v>
      </c>
    </row>
    <row r="79" spans="1:3" x14ac:dyDescent="0.25">
      <c r="A79" s="104" t="s">
        <v>35</v>
      </c>
      <c r="B79" s="106" t="s">
        <v>243</v>
      </c>
      <c r="C79" s="106" t="s">
        <v>590</v>
      </c>
    </row>
    <row r="80" spans="1:3" x14ac:dyDescent="0.25">
      <c r="A80" s="12" t="s">
        <v>35</v>
      </c>
      <c r="B80" s="46" t="s">
        <v>243</v>
      </c>
      <c r="C80" s="46" t="s">
        <v>591</v>
      </c>
    </row>
    <row r="81" spans="1:3" x14ac:dyDescent="0.25">
      <c r="A81" s="104" t="s">
        <v>35</v>
      </c>
      <c r="B81" s="106" t="s">
        <v>243</v>
      </c>
      <c r="C81" s="106" t="s">
        <v>592</v>
      </c>
    </row>
    <row r="82" spans="1:3" x14ac:dyDescent="0.25">
      <c r="A82" s="104" t="s">
        <v>35</v>
      </c>
      <c r="B82" s="106" t="s">
        <v>243</v>
      </c>
      <c r="C82" s="106" t="s">
        <v>593</v>
      </c>
    </row>
    <row r="83" spans="1:3" x14ac:dyDescent="0.25">
      <c r="A83" s="12" t="s">
        <v>35</v>
      </c>
      <c r="B83" s="46" t="s">
        <v>243</v>
      </c>
      <c r="C83" s="46" t="s">
        <v>594</v>
      </c>
    </row>
    <row r="84" spans="1:3" x14ac:dyDescent="0.25">
      <c r="A84" s="12" t="s">
        <v>35</v>
      </c>
      <c r="B84" s="46" t="s">
        <v>243</v>
      </c>
      <c r="C84" s="46" t="s">
        <v>595</v>
      </c>
    </row>
    <row r="85" spans="1:3" x14ac:dyDescent="0.25">
      <c r="A85" s="12" t="s">
        <v>35</v>
      </c>
      <c r="B85" s="46" t="s">
        <v>243</v>
      </c>
      <c r="C85" s="46" t="s">
        <v>596</v>
      </c>
    </row>
    <row r="86" spans="1:3" x14ac:dyDescent="0.25">
      <c r="A86" s="12" t="s">
        <v>35</v>
      </c>
      <c r="B86" s="46" t="s">
        <v>243</v>
      </c>
      <c r="C86" s="46" t="s">
        <v>597</v>
      </c>
    </row>
    <row r="87" spans="1:3" x14ac:dyDescent="0.25">
      <c r="A87" s="104" t="s">
        <v>37</v>
      </c>
      <c r="B87" s="106" t="s">
        <v>242</v>
      </c>
      <c r="C87" s="106" t="s">
        <v>598</v>
      </c>
    </row>
    <row r="88" spans="1:3" x14ac:dyDescent="0.25">
      <c r="A88" s="104" t="s">
        <v>37</v>
      </c>
      <c r="B88" s="106" t="s">
        <v>242</v>
      </c>
      <c r="C88" s="106" t="s">
        <v>599</v>
      </c>
    </row>
    <row r="89" spans="1:3" x14ac:dyDescent="0.25">
      <c r="A89" s="12" t="s">
        <v>37</v>
      </c>
      <c r="B89" s="46" t="s">
        <v>600</v>
      </c>
      <c r="C89" s="46" t="s">
        <v>601</v>
      </c>
    </row>
    <row r="90" spans="1:3" x14ac:dyDescent="0.25">
      <c r="A90" s="12" t="s">
        <v>37</v>
      </c>
      <c r="B90" s="46" t="s">
        <v>600</v>
      </c>
      <c r="C90" s="46" t="s">
        <v>602</v>
      </c>
    </row>
    <row r="91" spans="1:3" x14ac:dyDescent="0.25">
      <c r="A91" s="12" t="s">
        <v>37</v>
      </c>
      <c r="B91" s="46" t="s">
        <v>600</v>
      </c>
      <c r="C91" s="46" t="s">
        <v>603</v>
      </c>
    </row>
    <row r="92" spans="1:3" x14ac:dyDescent="0.25">
      <c r="A92" s="12" t="s">
        <v>37</v>
      </c>
      <c r="B92" s="46" t="s">
        <v>600</v>
      </c>
      <c r="C92" s="46" t="s">
        <v>604</v>
      </c>
    </row>
    <row r="93" spans="1:3" x14ac:dyDescent="0.25">
      <c r="A93" s="12" t="s">
        <v>37</v>
      </c>
      <c r="B93" s="46" t="s">
        <v>600</v>
      </c>
      <c r="C93" s="46" t="s">
        <v>605</v>
      </c>
    </row>
    <row r="94" spans="1:3" x14ac:dyDescent="0.25">
      <c r="A94" s="12" t="s">
        <v>37</v>
      </c>
      <c r="B94" s="46" t="s">
        <v>600</v>
      </c>
      <c r="C94" s="46" t="s">
        <v>606</v>
      </c>
    </row>
    <row r="95" spans="1:3" x14ac:dyDescent="0.25">
      <c r="A95" s="104" t="s">
        <v>37</v>
      </c>
      <c r="B95" s="106" t="s">
        <v>607</v>
      </c>
      <c r="C95" s="106" t="s">
        <v>608</v>
      </c>
    </row>
    <row r="96" spans="1:3" x14ac:dyDescent="0.25">
      <c r="A96" s="104" t="s">
        <v>37</v>
      </c>
      <c r="B96" s="106" t="s">
        <v>607</v>
      </c>
      <c r="C96" s="106" t="s">
        <v>609</v>
      </c>
    </row>
    <row r="97" spans="1:3" x14ac:dyDescent="0.25">
      <c r="A97" s="104" t="s">
        <v>37</v>
      </c>
      <c r="B97" s="106" t="s">
        <v>607</v>
      </c>
      <c r="C97" s="106" t="s">
        <v>610</v>
      </c>
    </row>
    <row r="98" spans="1:3" x14ac:dyDescent="0.25">
      <c r="A98" s="104" t="s">
        <v>37</v>
      </c>
      <c r="B98" s="106" t="s">
        <v>607</v>
      </c>
      <c r="C98" s="106" t="s">
        <v>611</v>
      </c>
    </row>
    <row r="99" spans="1:3" x14ac:dyDescent="0.25">
      <c r="A99" s="12" t="s">
        <v>37</v>
      </c>
      <c r="B99" s="46" t="s">
        <v>607</v>
      </c>
      <c r="C99" s="46" t="s">
        <v>612</v>
      </c>
    </row>
    <row r="100" spans="1:3" x14ac:dyDescent="0.25">
      <c r="A100" s="104" t="s">
        <v>37</v>
      </c>
      <c r="B100" s="106" t="s">
        <v>607</v>
      </c>
      <c r="C100" s="106" t="s">
        <v>613</v>
      </c>
    </row>
    <row r="101" spans="1:3" x14ac:dyDescent="0.25">
      <c r="A101" s="12" t="s">
        <v>37</v>
      </c>
      <c r="B101" s="46" t="s">
        <v>607</v>
      </c>
      <c r="C101" s="46" t="s">
        <v>614</v>
      </c>
    </row>
    <row r="102" spans="1:3" x14ac:dyDescent="0.25">
      <c r="A102" s="12" t="s">
        <v>37</v>
      </c>
      <c r="B102" s="46" t="s">
        <v>607</v>
      </c>
      <c r="C102" s="46" t="s">
        <v>615</v>
      </c>
    </row>
    <row r="103" spans="1:3" x14ac:dyDescent="0.25">
      <c r="A103" s="104" t="s">
        <v>37</v>
      </c>
      <c r="B103" s="106" t="s">
        <v>616</v>
      </c>
      <c r="C103" s="106" t="s">
        <v>617</v>
      </c>
    </row>
    <row r="104" spans="1:3" x14ac:dyDescent="0.25">
      <c r="A104" s="12" t="s">
        <v>37</v>
      </c>
      <c r="B104" s="46" t="s">
        <v>616</v>
      </c>
      <c r="C104" s="46" t="s">
        <v>618</v>
      </c>
    </row>
    <row r="105" spans="1:3" x14ac:dyDescent="0.25">
      <c r="A105" s="104" t="s">
        <v>37</v>
      </c>
      <c r="B105" s="106" t="s">
        <v>616</v>
      </c>
      <c r="C105" s="106" t="s">
        <v>619</v>
      </c>
    </row>
    <row r="106" spans="1:3" x14ac:dyDescent="0.25">
      <c r="A106" s="104" t="s">
        <v>37</v>
      </c>
      <c r="B106" s="106" t="s">
        <v>620</v>
      </c>
      <c r="C106" s="106" t="s">
        <v>621</v>
      </c>
    </row>
    <row r="107" spans="1:3" x14ac:dyDescent="0.25">
      <c r="A107" s="104" t="s">
        <v>37</v>
      </c>
      <c r="B107" s="106" t="s">
        <v>620</v>
      </c>
      <c r="C107" s="106" t="s">
        <v>622</v>
      </c>
    </row>
    <row r="108" spans="1:3" x14ac:dyDescent="0.25">
      <c r="A108" s="104" t="s">
        <v>37</v>
      </c>
      <c r="B108" s="106" t="s">
        <v>620</v>
      </c>
      <c r="C108" s="106" t="s">
        <v>623</v>
      </c>
    </row>
    <row r="109" spans="1:3" x14ac:dyDescent="0.25">
      <c r="A109" s="104" t="s">
        <v>37</v>
      </c>
      <c r="B109" s="106" t="s">
        <v>624</v>
      </c>
      <c r="C109" s="106" t="s">
        <v>625</v>
      </c>
    </row>
    <row r="110" spans="1:3" x14ac:dyDescent="0.25">
      <c r="A110" s="104" t="s">
        <v>37</v>
      </c>
      <c r="B110" s="106" t="s">
        <v>624</v>
      </c>
      <c r="C110" s="106" t="s">
        <v>626</v>
      </c>
    </row>
    <row r="111" spans="1:3" x14ac:dyDescent="0.25">
      <c r="A111" s="104" t="s">
        <v>37</v>
      </c>
      <c r="B111" s="106" t="s">
        <v>624</v>
      </c>
      <c r="C111" s="106" t="s">
        <v>627</v>
      </c>
    </row>
    <row r="112" spans="1:3" x14ac:dyDescent="0.25">
      <c r="A112" s="104" t="s">
        <v>37</v>
      </c>
      <c r="B112" s="106" t="s">
        <v>616</v>
      </c>
      <c r="C112" s="105" t="s">
        <v>628</v>
      </c>
    </row>
  </sheetData>
  <sheetProtection algorithmName="SHA-512" hashValue="naPRw6Iwm2R50UdWCYrJf04RQs8QDMmSftOLEaKSaP72ZYVempLgvMej4k8Kv0pBSU+Hzhe92AzffhzCK1xB+A==" saltValue="Va67GQoyLkV+P7GXkbKjig==" spinCount="100000" sheet="1" formatCells="0" formatColumns="0" formatRows="0" insertColumns="0" insertRows="0" insertHyperlinks="0" deleteColumns="0" deleteRows="0" autoFilter="0" pivotTables="0"/>
  <autoFilter ref="A1:C112" xr:uid="{CB220661-4B79-4E42-9B78-7AF4F1A0395F}">
    <sortState xmlns:xlrd2="http://schemas.microsoft.com/office/spreadsheetml/2017/richdata2" ref="A2:C112">
      <sortCondition ref="A1:A112"/>
    </sortState>
  </autoFilter>
  <pageMargins left="0.7" right="0.7" top="0.75" bottom="0.75" header="0.3" footer="0.3"/>
  <headerFooter>
    <oddFooter xml:space="preserve">&amp;L_x000D_&amp;1#&amp;"Aptos"&amp;12&amp;K000000 Información Pública.        Todos los derechos reservados para XM S.A E.S.P.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484DF-E4F0-4A91-8CAF-E670F62C1CE5}">
  <sheetPr codeName="Hoja15"/>
  <dimension ref="A1:E217"/>
  <sheetViews>
    <sheetView zoomScale="160" zoomScaleNormal="160" workbookViewId="0"/>
  </sheetViews>
  <sheetFormatPr defaultColWidth="11.28515625" defaultRowHeight="15" x14ac:dyDescent="0.25"/>
  <cols>
    <col min="1" max="1" width="23.28515625" customWidth="1"/>
    <col min="2" max="2" width="17.28515625" customWidth="1"/>
  </cols>
  <sheetData>
    <row r="1" spans="1:5" x14ac:dyDescent="0.25">
      <c r="A1" s="60" t="s">
        <v>629</v>
      </c>
      <c r="B1" s="60" t="s">
        <v>630</v>
      </c>
      <c r="C1" s="61" t="s">
        <v>631</v>
      </c>
      <c r="D1" s="62" t="s">
        <v>632</v>
      </c>
      <c r="E1" s="61" t="s">
        <v>633</v>
      </c>
    </row>
    <row r="2" spans="1:5" x14ac:dyDescent="0.25">
      <c r="A2" s="57" t="s">
        <v>634</v>
      </c>
      <c r="B2" s="57" t="s">
        <v>635</v>
      </c>
      <c r="C2" s="57">
        <v>1</v>
      </c>
      <c r="D2" s="57">
        <v>225</v>
      </c>
      <c r="E2" s="57">
        <v>235</v>
      </c>
    </row>
    <row r="3" spans="1:5" x14ac:dyDescent="0.25">
      <c r="A3" s="57" t="s">
        <v>634</v>
      </c>
      <c r="B3" s="57" t="s">
        <v>635</v>
      </c>
      <c r="C3" s="57">
        <v>2</v>
      </c>
      <c r="D3" s="57">
        <v>225</v>
      </c>
      <c r="E3" s="57">
        <v>235</v>
      </c>
    </row>
    <row r="4" spans="1:5" x14ac:dyDescent="0.25">
      <c r="A4" s="57" t="s">
        <v>634</v>
      </c>
      <c r="B4" s="57" t="s">
        <v>635</v>
      </c>
      <c r="C4" s="57">
        <v>3</v>
      </c>
      <c r="D4" s="57">
        <v>225</v>
      </c>
      <c r="E4" s="57">
        <v>235</v>
      </c>
    </row>
    <row r="5" spans="1:5" x14ac:dyDescent="0.25">
      <c r="A5" s="57" t="s">
        <v>634</v>
      </c>
      <c r="B5" s="57" t="s">
        <v>635</v>
      </c>
      <c r="C5" s="57">
        <v>4</v>
      </c>
      <c r="D5" s="57">
        <v>225</v>
      </c>
      <c r="E5" s="57">
        <v>235</v>
      </c>
    </row>
    <row r="6" spans="1:5" x14ac:dyDescent="0.25">
      <c r="A6" s="57" t="s">
        <v>634</v>
      </c>
      <c r="B6" s="57" t="s">
        <v>635</v>
      </c>
      <c r="C6" s="57">
        <v>5</v>
      </c>
      <c r="D6" s="57">
        <v>226</v>
      </c>
      <c r="E6" s="57">
        <v>236</v>
      </c>
    </row>
    <row r="7" spans="1:5" x14ac:dyDescent="0.25">
      <c r="A7" s="57" t="s">
        <v>634</v>
      </c>
      <c r="B7" s="57" t="s">
        <v>635</v>
      </c>
      <c r="C7" s="57">
        <v>6</v>
      </c>
      <c r="D7" s="57">
        <v>226</v>
      </c>
      <c r="E7" s="57">
        <v>236</v>
      </c>
    </row>
    <row r="8" spans="1:5" x14ac:dyDescent="0.25">
      <c r="A8" s="57" t="s">
        <v>634</v>
      </c>
      <c r="B8" s="57" t="s">
        <v>635</v>
      </c>
      <c r="C8" s="57">
        <v>7</v>
      </c>
      <c r="D8" s="57">
        <v>226</v>
      </c>
      <c r="E8" s="57">
        <v>236</v>
      </c>
    </row>
    <row r="9" spans="1:5" x14ac:dyDescent="0.25">
      <c r="A9" s="57" t="s">
        <v>634</v>
      </c>
      <c r="B9" s="57" t="s">
        <v>635</v>
      </c>
      <c r="C9" s="57">
        <v>8</v>
      </c>
      <c r="D9" s="57">
        <v>228</v>
      </c>
      <c r="E9" s="57">
        <v>238</v>
      </c>
    </row>
    <row r="10" spans="1:5" x14ac:dyDescent="0.25">
      <c r="A10" s="57" t="s">
        <v>634</v>
      </c>
      <c r="B10" s="57" t="s">
        <v>635</v>
      </c>
      <c r="C10" s="57">
        <v>9</v>
      </c>
      <c r="D10" s="57">
        <v>228</v>
      </c>
      <c r="E10" s="57">
        <v>238</v>
      </c>
    </row>
    <row r="11" spans="1:5" x14ac:dyDescent="0.25">
      <c r="A11" s="57" t="s">
        <v>634</v>
      </c>
      <c r="B11" s="57" t="s">
        <v>635</v>
      </c>
      <c r="C11" s="57">
        <v>10</v>
      </c>
      <c r="D11" s="57">
        <v>228</v>
      </c>
      <c r="E11" s="57">
        <v>238</v>
      </c>
    </row>
    <row r="12" spans="1:5" x14ac:dyDescent="0.25">
      <c r="A12" s="57" t="s">
        <v>634</v>
      </c>
      <c r="B12" s="57" t="s">
        <v>635</v>
      </c>
      <c r="C12" s="57">
        <v>11</v>
      </c>
      <c r="D12" s="57">
        <v>228</v>
      </c>
      <c r="E12" s="57">
        <v>238</v>
      </c>
    </row>
    <row r="13" spans="1:5" x14ac:dyDescent="0.25">
      <c r="A13" s="57" t="s">
        <v>634</v>
      </c>
      <c r="B13" s="57" t="s">
        <v>635</v>
      </c>
      <c r="C13" s="57">
        <v>12</v>
      </c>
      <c r="D13" s="57">
        <v>228</v>
      </c>
      <c r="E13" s="57">
        <v>238</v>
      </c>
    </row>
    <row r="14" spans="1:5" x14ac:dyDescent="0.25">
      <c r="A14" s="57" t="s">
        <v>634</v>
      </c>
      <c r="B14" s="57" t="s">
        <v>635</v>
      </c>
      <c r="C14" s="57">
        <v>13</v>
      </c>
      <c r="D14" s="57">
        <v>228</v>
      </c>
      <c r="E14" s="57">
        <v>238</v>
      </c>
    </row>
    <row r="15" spans="1:5" x14ac:dyDescent="0.25">
      <c r="A15" s="57" t="s">
        <v>634</v>
      </c>
      <c r="B15" s="57" t="s">
        <v>635</v>
      </c>
      <c r="C15" s="57">
        <v>14</v>
      </c>
      <c r="D15" s="57">
        <v>228</v>
      </c>
      <c r="E15" s="57">
        <v>238</v>
      </c>
    </row>
    <row r="16" spans="1:5" x14ac:dyDescent="0.25">
      <c r="A16" s="57" t="s">
        <v>634</v>
      </c>
      <c r="B16" s="57" t="s">
        <v>635</v>
      </c>
      <c r="C16" s="57">
        <v>15</v>
      </c>
      <c r="D16" s="57">
        <v>228</v>
      </c>
      <c r="E16" s="57">
        <v>238</v>
      </c>
    </row>
    <row r="17" spans="1:5" x14ac:dyDescent="0.25">
      <c r="A17" s="57" t="s">
        <v>634</v>
      </c>
      <c r="B17" s="57" t="s">
        <v>635</v>
      </c>
      <c r="C17" s="57">
        <v>16</v>
      </c>
      <c r="D17" s="57">
        <v>228</v>
      </c>
      <c r="E17" s="57">
        <v>238</v>
      </c>
    </row>
    <row r="18" spans="1:5" x14ac:dyDescent="0.25">
      <c r="A18" s="57" t="s">
        <v>634</v>
      </c>
      <c r="B18" s="57" t="s">
        <v>635</v>
      </c>
      <c r="C18" s="57">
        <v>17</v>
      </c>
      <c r="D18" s="57">
        <v>227</v>
      </c>
      <c r="E18" s="57">
        <v>237</v>
      </c>
    </row>
    <row r="19" spans="1:5" x14ac:dyDescent="0.25">
      <c r="A19" s="57" t="s">
        <v>634</v>
      </c>
      <c r="B19" s="57" t="s">
        <v>635</v>
      </c>
      <c r="C19" s="57">
        <v>18</v>
      </c>
      <c r="D19" s="57">
        <v>227</v>
      </c>
      <c r="E19" s="57">
        <v>237</v>
      </c>
    </row>
    <row r="20" spans="1:5" x14ac:dyDescent="0.25">
      <c r="A20" s="57" t="s">
        <v>634</v>
      </c>
      <c r="B20" s="57" t="s">
        <v>635</v>
      </c>
      <c r="C20" s="57">
        <v>19</v>
      </c>
      <c r="D20" s="57">
        <v>227</v>
      </c>
      <c r="E20" s="57">
        <v>237</v>
      </c>
    </row>
    <row r="21" spans="1:5" x14ac:dyDescent="0.25">
      <c r="A21" s="57" t="s">
        <v>634</v>
      </c>
      <c r="B21" s="57" t="s">
        <v>635</v>
      </c>
      <c r="C21" s="57">
        <v>20</v>
      </c>
      <c r="D21" s="57">
        <v>227</v>
      </c>
      <c r="E21" s="57">
        <v>237</v>
      </c>
    </row>
    <row r="22" spans="1:5" x14ac:dyDescent="0.25">
      <c r="A22" s="57" t="s">
        <v>634</v>
      </c>
      <c r="B22" s="57" t="s">
        <v>635</v>
      </c>
      <c r="C22" s="57">
        <v>21</v>
      </c>
      <c r="D22" s="57">
        <v>227</v>
      </c>
      <c r="E22" s="57">
        <v>237</v>
      </c>
    </row>
    <row r="23" spans="1:5" x14ac:dyDescent="0.25">
      <c r="A23" s="57" t="s">
        <v>634</v>
      </c>
      <c r="B23" s="57" t="s">
        <v>635</v>
      </c>
      <c r="C23" s="57">
        <v>22</v>
      </c>
      <c r="D23" s="57">
        <v>225</v>
      </c>
      <c r="E23" s="57">
        <v>235</v>
      </c>
    </row>
    <row r="24" spans="1:5" x14ac:dyDescent="0.25">
      <c r="A24" s="57" t="s">
        <v>634</v>
      </c>
      <c r="B24" s="57" t="s">
        <v>635</v>
      </c>
      <c r="C24" s="57">
        <v>23</v>
      </c>
      <c r="D24" s="57">
        <v>225</v>
      </c>
      <c r="E24" s="57">
        <v>235</v>
      </c>
    </row>
    <row r="25" spans="1:5" x14ac:dyDescent="0.25">
      <c r="A25" s="57" t="s">
        <v>634</v>
      </c>
      <c r="B25" s="57" t="s">
        <v>635</v>
      </c>
      <c r="C25" s="57">
        <v>24</v>
      </c>
      <c r="D25" s="57">
        <v>225</v>
      </c>
      <c r="E25" s="57">
        <v>235</v>
      </c>
    </row>
    <row r="26" spans="1:5" x14ac:dyDescent="0.25">
      <c r="A26" s="59" t="s">
        <v>636</v>
      </c>
      <c r="B26" s="59" t="s">
        <v>635</v>
      </c>
      <c r="C26" s="59">
        <v>1</v>
      </c>
      <c r="D26" s="59">
        <v>228</v>
      </c>
      <c r="E26" s="59">
        <v>238</v>
      </c>
    </row>
    <row r="27" spans="1:5" x14ac:dyDescent="0.25">
      <c r="A27" s="59" t="s">
        <v>636</v>
      </c>
      <c r="B27" s="59" t="s">
        <v>635</v>
      </c>
      <c r="C27" s="59">
        <v>2</v>
      </c>
      <c r="D27" s="59">
        <v>228</v>
      </c>
      <c r="E27" s="59">
        <v>238</v>
      </c>
    </row>
    <row r="28" spans="1:5" x14ac:dyDescent="0.25">
      <c r="A28" s="59" t="s">
        <v>636</v>
      </c>
      <c r="B28" s="59" t="s">
        <v>635</v>
      </c>
      <c r="C28" s="59">
        <v>3</v>
      </c>
      <c r="D28" s="59">
        <v>228</v>
      </c>
      <c r="E28" s="59">
        <v>238</v>
      </c>
    </row>
    <row r="29" spans="1:5" x14ac:dyDescent="0.25">
      <c r="A29" s="59" t="s">
        <v>636</v>
      </c>
      <c r="B29" s="59" t="s">
        <v>635</v>
      </c>
      <c r="C29" s="59">
        <v>4</v>
      </c>
      <c r="D29" s="59">
        <v>228</v>
      </c>
      <c r="E29" s="59">
        <v>238</v>
      </c>
    </row>
    <row r="30" spans="1:5" x14ac:dyDescent="0.25">
      <c r="A30" s="59" t="s">
        <v>636</v>
      </c>
      <c r="B30" s="59" t="s">
        <v>635</v>
      </c>
      <c r="C30" s="59">
        <v>5</v>
      </c>
      <c r="D30" s="59">
        <v>229</v>
      </c>
      <c r="E30" s="59">
        <v>239</v>
      </c>
    </row>
    <row r="31" spans="1:5" x14ac:dyDescent="0.25">
      <c r="A31" s="59" t="s">
        <v>636</v>
      </c>
      <c r="B31" s="59" t="s">
        <v>635</v>
      </c>
      <c r="C31" s="59">
        <v>6</v>
      </c>
      <c r="D31" s="59">
        <v>230</v>
      </c>
      <c r="E31" s="59">
        <v>240</v>
      </c>
    </row>
    <row r="32" spans="1:5" x14ac:dyDescent="0.25">
      <c r="A32" s="59" t="s">
        <v>636</v>
      </c>
      <c r="B32" s="59" t="s">
        <v>635</v>
      </c>
      <c r="C32" s="59">
        <v>7</v>
      </c>
      <c r="D32" s="59">
        <v>231</v>
      </c>
      <c r="E32" s="59">
        <v>241</v>
      </c>
    </row>
    <row r="33" spans="1:5" x14ac:dyDescent="0.25">
      <c r="A33" s="59" t="s">
        <v>636</v>
      </c>
      <c r="B33" s="59" t="s">
        <v>635</v>
      </c>
      <c r="C33" s="59">
        <v>8</v>
      </c>
      <c r="D33" s="59">
        <v>232</v>
      </c>
      <c r="E33" s="59">
        <v>242</v>
      </c>
    </row>
    <row r="34" spans="1:5" x14ac:dyDescent="0.25">
      <c r="A34" s="59" t="s">
        <v>636</v>
      </c>
      <c r="B34" s="59" t="s">
        <v>635</v>
      </c>
      <c r="C34" s="59">
        <v>9</v>
      </c>
      <c r="D34" s="59">
        <v>232</v>
      </c>
      <c r="E34" s="59">
        <v>242</v>
      </c>
    </row>
    <row r="35" spans="1:5" x14ac:dyDescent="0.25">
      <c r="A35" s="59" t="s">
        <v>636</v>
      </c>
      <c r="B35" s="59" t="s">
        <v>635</v>
      </c>
      <c r="C35" s="59">
        <v>10</v>
      </c>
      <c r="D35" s="59">
        <v>232</v>
      </c>
      <c r="E35" s="59">
        <v>242</v>
      </c>
    </row>
    <row r="36" spans="1:5" x14ac:dyDescent="0.25">
      <c r="A36" s="59" t="s">
        <v>636</v>
      </c>
      <c r="B36" s="59" t="s">
        <v>635</v>
      </c>
      <c r="C36" s="59">
        <v>11</v>
      </c>
      <c r="D36" s="59">
        <v>232</v>
      </c>
      <c r="E36" s="59">
        <v>242</v>
      </c>
    </row>
    <row r="37" spans="1:5" x14ac:dyDescent="0.25">
      <c r="A37" s="59" t="s">
        <v>636</v>
      </c>
      <c r="B37" s="59" t="s">
        <v>635</v>
      </c>
      <c r="C37" s="59">
        <v>12</v>
      </c>
      <c r="D37" s="59">
        <v>232</v>
      </c>
      <c r="E37" s="59">
        <v>242</v>
      </c>
    </row>
    <row r="38" spans="1:5" x14ac:dyDescent="0.25">
      <c r="A38" s="59" t="s">
        <v>636</v>
      </c>
      <c r="B38" s="59" t="s">
        <v>635</v>
      </c>
      <c r="C38" s="59">
        <v>13</v>
      </c>
      <c r="D38" s="59">
        <v>231</v>
      </c>
      <c r="E38" s="59">
        <v>241</v>
      </c>
    </row>
    <row r="39" spans="1:5" x14ac:dyDescent="0.25">
      <c r="A39" s="59" t="s">
        <v>636</v>
      </c>
      <c r="B39" s="59" t="s">
        <v>635</v>
      </c>
      <c r="C39" s="59">
        <v>14</v>
      </c>
      <c r="D39" s="59">
        <v>230</v>
      </c>
      <c r="E39" s="59">
        <v>240</v>
      </c>
    </row>
    <row r="40" spans="1:5" x14ac:dyDescent="0.25">
      <c r="A40" s="59" t="s">
        <v>636</v>
      </c>
      <c r="B40" s="59" t="s">
        <v>635</v>
      </c>
      <c r="C40" s="59">
        <v>15</v>
      </c>
      <c r="D40" s="59">
        <v>230</v>
      </c>
      <c r="E40" s="59">
        <v>240</v>
      </c>
    </row>
    <row r="41" spans="1:5" x14ac:dyDescent="0.25">
      <c r="A41" s="59" t="s">
        <v>636</v>
      </c>
      <c r="B41" s="59" t="s">
        <v>635</v>
      </c>
      <c r="C41" s="59">
        <v>16</v>
      </c>
      <c r="D41" s="59">
        <v>230</v>
      </c>
      <c r="E41" s="59">
        <v>240</v>
      </c>
    </row>
    <row r="42" spans="1:5" x14ac:dyDescent="0.25">
      <c r="A42" s="59" t="s">
        <v>636</v>
      </c>
      <c r="B42" s="59" t="s">
        <v>635</v>
      </c>
      <c r="C42" s="59">
        <v>17</v>
      </c>
      <c r="D42" s="59">
        <v>231</v>
      </c>
      <c r="E42" s="59">
        <v>241</v>
      </c>
    </row>
    <row r="43" spans="1:5" x14ac:dyDescent="0.25">
      <c r="A43" s="59" t="s">
        <v>636</v>
      </c>
      <c r="B43" s="59" t="s">
        <v>635</v>
      </c>
      <c r="C43" s="59">
        <v>18</v>
      </c>
      <c r="D43" s="59">
        <v>232</v>
      </c>
      <c r="E43" s="59">
        <v>242</v>
      </c>
    </row>
    <row r="44" spans="1:5" x14ac:dyDescent="0.25">
      <c r="A44" s="59" t="s">
        <v>636</v>
      </c>
      <c r="B44" s="59" t="s">
        <v>635</v>
      </c>
      <c r="C44" s="59">
        <v>19</v>
      </c>
      <c r="D44" s="59">
        <v>233</v>
      </c>
      <c r="E44" s="59">
        <v>242</v>
      </c>
    </row>
    <row r="45" spans="1:5" x14ac:dyDescent="0.25">
      <c r="A45" s="59" t="s">
        <v>636</v>
      </c>
      <c r="B45" s="59" t="s">
        <v>635</v>
      </c>
      <c r="C45" s="59">
        <v>20</v>
      </c>
      <c r="D45" s="59">
        <v>232</v>
      </c>
      <c r="E45" s="59">
        <v>242</v>
      </c>
    </row>
    <row r="46" spans="1:5" x14ac:dyDescent="0.25">
      <c r="A46" s="59" t="s">
        <v>636</v>
      </c>
      <c r="B46" s="59" t="s">
        <v>635</v>
      </c>
      <c r="C46" s="59">
        <v>21</v>
      </c>
      <c r="D46" s="59">
        <v>230</v>
      </c>
      <c r="E46" s="59">
        <v>240</v>
      </c>
    </row>
    <row r="47" spans="1:5" x14ac:dyDescent="0.25">
      <c r="A47" s="59" t="s">
        <v>636</v>
      </c>
      <c r="B47" s="59" t="s">
        <v>635</v>
      </c>
      <c r="C47" s="59">
        <v>22</v>
      </c>
      <c r="D47" s="59">
        <v>230</v>
      </c>
      <c r="E47" s="59">
        <v>240</v>
      </c>
    </row>
    <row r="48" spans="1:5" x14ac:dyDescent="0.25">
      <c r="A48" s="59" t="s">
        <v>636</v>
      </c>
      <c r="B48" s="59" t="s">
        <v>635</v>
      </c>
      <c r="C48" s="59">
        <v>23</v>
      </c>
      <c r="D48" s="59">
        <v>228</v>
      </c>
      <c r="E48" s="59">
        <v>238</v>
      </c>
    </row>
    <row r="49" spans="1:5" x14ac:dyDescent="0.25">
      <c r="A49" s="59" t="s">
        <v>636</v>
      </c>
      <c r="B49" s="59" t="s">
        <v>635</v>
      </c>
      <c r="C49" s="59">
        <v>24</v>
      </c>
      <c r="D49" s="59">
        <v>228</v>
      </c>
      <c r="E49" s="59">
        <v>238</v>
      </c>
    </row>
    <row r="50" spans="1:5" x14ac:dyDescent="0.25">
      <c r="A50" s="57" t="s">
        <v>636</v>
      </c>
      <c r="B50" s="57" t="s">
        <v>637</v>
      </c>
      <c r="C50" s="57">
        <v>1</v>
      </c>
      <c r="D50" s="57">
        <v>227</v>
      </c>
      <c r="E50" s="57">
        <v>237</v>
      </c>
    </row>
    <row r="51" spans="1:5" x14ac:dyDescent="0.25">
      <c r="A51" s="57" t="s">
        <v>636</v>
      </c>
      <c r="B51" s="57" t="s">
        <v>637</v>
      </c>
      <c r="C51" s="57">
        <v>2</v>
      </c>
      <c r="D51" s="57">
        <v>227</v>
      </c>
      <c r="E51" s="57">
        <v>237</v>
      </c>
    </row>
    <row r="52" spans="1:5" x14ac:dyDescent="0.25">
      <c r="A52" s="57" t="s">
        <v>636</v>
      </c>
      <c r="B52" s="57" t="s">
        <v>637</v>
      </c>
      <c r="C52" s="57">
        <v>3</v>
      </c>
      <c r="D52" s="57">
        <v>227</v>
      </c>
      <c r="E52" s="57">
        <v>237</v>
      </c>
    </row>
    <row r="53" spans="1:5" x14ac:dyDescent="0.25">
      <c r="A53" s="57" t="s">
        <v>636</v>
      </c>
      <c r="B53" s="57" t="s">
        <v>637</v>
      </c>
      <c r="C53" s="57">
        <v>4</v>
      </c>
      <c r="D53" s="57">
        <v>227</v>
      </c>
      <c r="E53" s="57">
        <v>237</v>
      </c>
    </row>
    <row r="54" spans="1:5" x14ac:dyDescent="0.25">
      <c r="A54" s="57" t="s">
        <v>636</v>
      </c>
      <c r="B54" s="57" t="s">
        <v>637</v>
      </c>
      <c r="C54" s="57">
        <v>5</v>
      </c>
      <c r="D54" s="57">
        <v>228</v>
      </c>
      <c r="E54" s="57">
        <v>238</v>
      </c>
    </row>
    <row r="55" spans="1:5" x14ac:dyDescent="0.25">
      <c r="A55" s="57" t="s">
        <v>636</v>
      </c>
      <c r="B55" s="57" t="s">
        <v>637</v>
      </c>
      <c r="C55" s="57">
        <v>6</v>
      </c>
      <c r="D55" s="57">
        <v>228</v>
      </c>
      <c r="E55" s="57">
        <v>238</v>
      </c>
    </row>
    <row r="56" spans="1:5" x14ac:dyDescent="0.25">
      <c r="A56" s="57" t="s">
        <v>636</v>
      </c>
      <c r="B56" s="57" t="s">
        <v>637</v>
      </c>
      <c r="C56" s="57">
        <v>7</v>
      </c>
      <c r="D56" s="57">
        <v>229</v>
      </c>
      <c r="E56" s="57">
        <v>239</v>
      </c>
    </row>
    <row r="57" spans="1:5" x14ac:dyDescent="0.25">
      <c r="A57" s="57" t="s">
        <v>636</v>
      </c>
      <c r="B57" s="57" t="s">
        <v>637</v>
      </c>
      <c r="C57" s="57">
        <v>8</v>
      </c>
      <c r="D57" s="57">
        <v>229</v>
      </c>
      <c r="E57" s="57">
        <v>239</v>
      </c>
    </row>
    <row r="58" spans="1:5" x14ac:dyDescent="0.25">
      <c r="A58" s="57" t="s">
        <v>636</v>
      </c>
      <c r="B58" s="57" t="s">
        <v>637</v>
      </c>
      <c r="C58" s="57">
        <v>9</v>
      </c>
      <c r="D58" s="57">
        <v>229</v>
      </c>
      <c r="E58" s="57">
        <v>239</v>
      </c>
    </row>
    <row r="59" spans="1:5" x14ac:dyDescent="0.25">
      <c r="A59" s="57" t="s">
        <v>636</v>
      </c>
      <c r="B59" s="57" t="s">
        <v>637</v>
      </c>
      <c r="C59" s="57">
        <v>10</v>
      </c>
      <c r="D59" s="57">
        <v>229</v>
      </c>
      <c r="E59" s="57">
        <v>239</v>
      </c>
    </row>
    <row r="60" spans="1:5" x14ac:dyDescent="0.25">
      <c r="A60" s="57" t="s">
        <v>636</v>
      </c>
      <c r="B60" s="57" t="s">
        <v>637</v>
      </c>
      <c r="C60" s="57">
        <v>11</v>
      </c>
      <c r="D60" s="57">
        <v>229</v>
      </c>
      <c r="E60" s="57">
        <v>239</v>
      </c>
    </row>
    <row r="61" spans="1:5" x14ac:dyDescent="0.25">
      <c r="A61" s="57" t="s">
        <v>636</v>
      </c>
      <c r="B61" s="57" t="s">
        <v>637</v>
      </c>
      <c r="C61" s="57">
        <v>12</v>
      </c>
      <c r="D61" s="57">
        <v>229</v>
      </c>
      <c r="E61" s="57">
        <v>239</v>
      </c>
    </row>
    <row r="62" spans="1:5" x14ac:dyDescent="0.25">
      <c r="A62" s="57" t="s">
        <v>636</v>
      </c>
      <c r="B62" s="57" t="s">
        <v>637</v>
      </c>
      <c r="C62" s="57">
        <v>13</v>
      </c>
      <c r="D62" s="57">
        <v>229</v>
      </c>
      <c r="E62" s="57">
        <v>239</v>
      </c>
    </row>
    <row r="63" spans="1:5" x14ac:dyDescent="0.25">
      <c r="A63" s="57" t="s">
        <v>636</v>
      </c>
      <c r="B63" s="57" t="s">
        <v>637</v>
      </c>
      <c r="C63" s="57">
        <v>14</v>
      </c>
      <c r="D63" s="57">
        <v>229</v>
      </c>
      <c r="E63" s="57">
        <v>239</v>
      </c>
    </row>
    <row r="64" spans="1:5" x14ac:dyDescent="0.25">
      <c r="A64" s="57" t="s">
        <v>636</v>
      </c>
      <c r="B64" s="57" t="s">
        <v>637</v>
      </c>
      <c r="C64" s="57">
        <v>15</v>
      </c>
      <c r="D64" s="57">
        <v>229</v>
      </c>
      <c r="E64" s="57">
        <v>239</v>
      </c>
    </row>
    <row r="65" spans="1:5" x14ac:dyDescent="0.25">
      <c r="A65" s="57" t="s">
        <v>636</v>
      </c>
      <c r="B65" s="57" t="s">
        <v>637</v>
      </c>
      <c r="C65" s="57">
        <v>16</v>
      </c>
      <c r="D65" s="57">
        <v>229</v>
      </c>
      <c r="E65" s="57">
        <v>239</v>
      </c>
    </row>
    <row r="66" spans="1:5" x14ac:dyDescent="0.25">
      <c r="A66" s="57" t="s">
        <v>636</v>
      </c>
      <c r="B66" s="57" t="s">
        <v>637</v>
      </c>
      <c r="C66" s="57">
        <v>17</v>
      </c>
      <c r="D66" s="57">
        <v>229</v>
      </c>
      <c r="E66" s="57">
        <v>239</v>
      </c>
    </row>
    <row r="67" spans="1:5" x14ac:dyDescent="0.25">
      <c r="A67" s="57" t="s">
        <v>636</v>
      </c>
      <c r="B67" s="57" t="s">
        <v>637</v>
      </c>
      <c r="C67" s="57">
        <v>18</v>
      </c>
      <c r="D67" s="57">
        <v>230</v>
      </c>
      <c r="E67" s="57">
        <v>240</v>
      </c>
    </row>
    <row r="68" spans="1:5" x14ac:dyDescent="0.25">
      <c r="A68" s="57" t="s">
        <v>636</v>
      </c>
      <c r="B68" s="57" t="s">
        <v>637</v>
      </c>
      <c r="C68" s="57">
        <v>19</v>
      </c>
      <c r="D68" s="57">
        <v>231</v>
      </c>
      <c r="E68" s="57">
        <v>241</v>
      </c>
    </row>
    <row r="69" spans="1:5" x14ac:dyDescent="0.25">
      <c r="A69" s="57" t="s">
        <v>636</v>
      </c>
      <c r="B69" s="57" t="s">
        <v>637</v>
      </c>
      <c r="C69" s="57">
        <v>20</v>
      </c>
      <c r="D69" s="57">
        <v>231</v>
      </c>
      <c r="E69" s="57">
        <v>241</v>
      </c>
    </row>
    <row r="70" spans="1:5" x14ac:dyDescent="0.25">
      <c r="A70" s="57" t="s">
        <v>636</v>
      </c>
      <c r="B70" s="57" t="s">
        <v>637</v>
      </c>
      <c r="C70" s="57">
        <v>21</v>
      </c>
      <c r="D70" s="57">
        <v>229</v>
      </c>
      <c r="E70" s="57">
        <v>239</v>
      </c>
    </row>
    <row r="71" spans="1:5" x14ac:dyDescent="0.25">
      <c r="A71" s="57" t="s">
        <v>636</v>
      </c>
      <c r="B71" s="57" t="s">
        <v>637</v>
      </c>
      <c r="C71" s="57">
        <v>22</v>
      </c>
      <c r="D71" s="57">
        <v>229</v>
      </c>
      <c r="E71" s="57">
        <v>239</v>
      </c>
    </row>
    <row r="72" spans="1:5" x14ac:dyDescent="0.25">
      <c r="A72" s="57" t="s">
        <v>636</v>
      </c>
      <c r="B72" s="57" t="s">
        <v>637</v>
      </c>
      <c r="C72" s="57">
        <v>23</v>
      </c>
      <c r="D72" s="57">
        <v>227</v>
      </c>
      <c r="E72" s="57">
        <v>237</v>
      </c>
    </row>
    <row r="73" spans="1:5" x14ac:dyDescent="0.25">
      <c r="A73" s="57" t="s">
        <v>636</v>
      </c>
      <c r="B73" s="57" t="s">
        <v>637</v>
      </c>
      <c r="C73" s="57">
        <v>24</v>
      </c>
      <c r="D73" s="57">
        <v>227</v>
      </c>
      <c r="E73" s="57">
        <v>237</v>
      </c>
    </row>
    <row r="74" spans="1:5" x14ac:dyDescent="0.25">
      <c r="A74" s="57" t="s">
        <v>638</v>
      </c>
      <c r="B74" s="59" t="s">
        <v>635</v>
      </c>
      <c r="C74" s="57">
        <v>1</v>
      </c>
      <c r="D74" s="57">
        <v>227</v>
      </c>
      <c r="E74" s="57">
        <v>237</v>
      </c>
    </row>
    <row r="75" spans="1:5" x14ac:dyDescent="0.25">
      <c r="A75" s="57" t="s">
        <v>638</v>
      </c>
      <c r="B75" s="59" t="s">
        <v>635</v>
      </c>
      <c r="C75" s="57">
        <v>2</v>
      </c>
      <c r="D75" s="57">
        <v>227</v>
      </c>
      <c r="E75" s="57">
        <v>237</v>
      </c>
    </row>
    <row r="76" spans="1:5" x14ac:dyDescent="0.25">
      <c r="A76" s="57" t="s">
        <v>638</v>
      </c>
      <c r="B76" s="59" t="s">
        <v>635</v>
      </c>
      <c r="C76" s="57">
        <v>3</v>
      </c>
      <c r="D76" s="57">
        <v>227</v>
      </c>
      <c r="E76" s="57">
        <v>237</v>
      </c>
    </row>
    <row r="77" spans="1:5" x14ac:dyDescent="0.25">
      <c r="A77" s="57" t="s">
        <v>638</v>
      </c>
      <c r="B77" s="59" t="s">
        <v>635</v>
      </c>
      <c r="C77" s="57">
        <v>4</v>
      </c>
      <c r="D77" s="57">
        <v>227</v>
      </c>
      <c r="E77" s="57">
        <v>237</v>
      </c>
    </row>
    <row r="78" spans="1:5" x14ac:dyDescent="0.25">
      <c r="A78" s="57" t="s">
        <v>638</v>
      </c>
      <c r="B78" s="59" t="s">
        <v>635</v>
      </c>
      <c r="C78" s="57">
        <v>5</v>
      </c>
      <c r="D78" s="57">
        <v>227</v>
      </c>
      <c r="E78" s="57">
        <v>237</v>
      </c>
    </row>
    <row r="79" spans="1:5" x14ac:dyDescent="0.25">
      <c r="A79" s="57" t="s">
        <v>638</v>
      </c>
      <c r="B79" s="59" t="s">
        <v>635</v>
      </c>
      <c r="C79" s="57">
        <v>6</v>
      </c>
      <c r="D79" s="57">
        <v>228</v>
      </c>
      <c r="E79" s="57">
        <v>238</v>
      </c>
    </row>
    <row r="80" spans="1:5" x14ac:dyDescent="0.25">
      <c r="A80" s="57" t="s">
        <v>638</v>
      </c>
      <c r="B80" s="59" t="s">
        <v>635</v>
      </c>
      <c r="C80" s="57">
        <v>7</v>
      </c>
      <c r="D80" s="57">
        <v>228</v>
      </c>
      <c r="E80" s="57">
        <v>238</v>
      </c>
    </row>
    <row r="81" spans="1:5" x14ac:dyDescent="0.25">
      <c r="A81" s="57" t="s">
        <v>638</v>
      </c>
      <c r="B81" s="59" t="s">
        <v>635</v>
      </c>
      <c r="C81" s="57">
        <v>8</v>
      </c>
      <c r="D81" s="57">
        <v>229</v>
      </c>
      <c r="E81" s="57">
        <v>239</v>
      </c>
    </row>
    <row r="82" spans="1:5" x14ac:dyDescent="0.25">
      <c r="A82" s="57" t="s">
        <v>638</v>
      </c>
      <c r="B82" s="59" t="s">
        <v>635</v>
      </c>
      <c r="C82" s="57">
        <v>9</v>
      </c>
      <c r="D82" s="57">
        <v>230</v>
      </c>
      <c r="E82" s="57">
        <v>240</v>
      </c>
    </row>
    <row r="83" spans="1:5" x14ac:dyDescent="0.25">
      <c r="A83" s="57" t="s">
        <v>638</v>
      </c>
      <c r="B83" s="59" t="s">
        <v>635</v>
      </c>
      <c r="C83" s="57">
        <v>10</v>
      </c>
      <c r="D83" s="57">
        <v>231</v>
      </c>
      <c r="E83" s="57">
        <v>241</v>
      </c>
    </row>
    <row r="84" spans="1:5" x14ac:dyDescent="0.25">
      <c r="A84" s="57" t="s">
        <v>638</v>
      </c>
      <c r="B84" s="59" t="s">
        <v>635</v>
      </c>
      <c r="C84" s="57">
        <v>11</v>
      </c>
      <c r="D84" s="57">
        <v>232</v>
      </c>
      <c r="E84" s="57">
        <v>242</v>
      </c>
    </row>
    <row r="85" spans="1:5" x14ac:dyDescent="0.25">
      <c r="A85" s="57" t="s">
        <v>638</v>
      </c>
      <c r="B85" s="59" t="s">
        <v>635</v>
      </c>
      <c r="C85" s="57">
        <v>12</v>
      </c>
      <c r="D85" s="57">
        <v>232</v>
      </c>
      <c r="E85" s="57">
        <v>242</v>
      </c>
    </row>
    <row r="86" spans="1:5" x14ac:dyDescent="0.25">
      <c r="A86" s="57" t="s">
        <v>638</v>
      </c>
      <c r="B86" s="59" t="s">
        <v>635</v>
      </c>
      <c r="C86" s="57">
        <v>13</v>
      </c>
      <c r="D86" s="57">
        <v>231</v>
      </c>
      <c r="E86" s="57">
        <v>241</v>
      </c>
    </row>
    <row r="87" spans="1:5" x14ac:dyDescent="0.25">
      <c r="A87" s="57" t="s">
        <v>638</v>
      </c>
      <c r="B87" s="59" t="s">
        <v>635</v>
      </c>
      <c r="C87" s="57">
        <v>14</v>
      </c>
      <c r="D87" s="57">
        <v>230</v>
      </c>
      <c r="E87" s="57">
        <v>240</v>
      </c>
    </row>
    <row r="88" spans="1:5" x14ac:dyDescent="0.25">
      <c r="A88" s="57" t="s">
        <v>638</v>
      </c>
      <c r="B88" s="59" t="s">
        <v>635</v>
      </c>
      <c r="C88" s="57">
        <v>15</v>
      </c>
      <c r="D88" s="57">
        <v>230</v>
      </c>
      <c r="E88" s="57">
        <v>240</v>
      </c>
    </row>
    <row r="89" spans="1:5" x14ac:dyDescent="0.25">
      <c r="A89" s="57" t="s">
        <v>638</v>
      </c>
      <c r="B89" s="59" t="s">
        <v>635</v>
      </c>
      <c r="C89" s="57">
        <v>16</v>
      </c>
      <c r="D89" s="57">
        <v>230</v>
      </c>
      <c r="E89" s="57">
        <v>240</v>
      </c>
    </row>
    <row r="90" spans="1:5" x14ac:dyDescent="0.25">
      <c r="A90" s="57" t="s">
        <v>638</v>
      </c>
      <c r="B90" s="59" t="s">
        <v>635</v>
      </c>
      <c r="C90" s="57">
        <v>17</v>
      </c>
      <c r="D90" s="57">
        <v>230</v>
      </c>
      <c r="E90" s="57">
        <v>240</v>
      </c>
    </row>
    <row r="91" spans="1:5" x14ac:dyDescent="0.25">
      <c r="A91" s="57" t="s">
        <v>638</v>
      </c>
      <c r="B91" s="59" t="s">
        <v>635</v>
      </c>
      <c r="C91" s="57">
        <v>18</v>
      </c>
      <c r="D91" s="57">
        <v>231</v>
      </c>
      <c r="E91" s="57">
        <v>241</v>
      </c>
    </row>
    <row r="92" spans="1:5" x14ac:dyDescent="0.25">
      <c r="A92" s="57" t="s">
        <v>638</v>
      </c>
      <c r="B92" s="59" t="s">
        <v>635</v>
      </c>
      <c r="C92" s="57">
        <v>19</v>
      </c>
      <c r="D92" s="57">
        <v>232</v>
      </c>
      <c r="E92" s="57">
        <v>242</v>
      </c>
    </row>
    <row r="93" spans="1:5" x14ac:dyDescent="0.25">
      <c r="A93" s="57" t="s">
        <v>638</v>
      </c>
      <c r="B93" s="59" t="s">
        <v>635</v>
      </c>
      <c r="C93" s="57">
        <v>20</v>
      </c>
      <c r="D93" s="57">
        <v>232</v>
      </c>
      <c r="E93" s="57">
        <v>242</v>
      </c>
    </row>
    <row r="94" spans="1:5" x14ac:dyDescent="0.25">
      <c r="A94" s="57" t="s">
        <v>638</v>
      </c>
      <c r="B94" s="59" t="s">
        <v>635</v>
      </c>
      <c r="C94" s="57">
        <v>21</v>
      </c>
      <c r="D94" s="57">
        <v>231</v>
      </c>
      <c r="E94" s="57">
        <v>241</v>
      </c>
    </row>
    <row r="95" spans="1:5" x14ac:dyDescent="0.25">
      <c r="A95" s="57" t="s">
        <v>638</v>
      </c>
      <c r="B95" s="59" t="s">
        <v>635</v>
      </c>
      <c r="C95" s="57">
        <v>22</v>
      </c>
      <c r="D95" s="57">
        <v>229</v>
      </c>
      <c r="E95" s="57">
        <v>239</v>
      </c>
    </row>
    <row r="96" spans="1:5" x14ac:dyDescent="0.25">
      <c r="A96" s="57" t="s">
        <v>638</v>
      </c>
      <c r="B96" s="59" t="s">
        <v>635</v>
      </c>
      <c r="C96" s="57">
        <v>23</v>
      </c>
      <c r="D96" s="57">
        <v>227</v>
      </c>
      <c r="E96" s="57">
        <v>237</v>
      </c>
    </row>
    <row r="97" spans="1:5" x14ac:dyDescent="0.25">
      <c r="A97" s="57" t="s">
        <v>638</v>
      </c>
      <c r="B97" s="59" t="s">
        <v>635</v>
      </c>
      <c r="C97" s="57">
        <v>24</v>
      </c>
      <c r="D97" s="57">
        <v>227</v>
      </c>
      <c r="E97" s="57">
        <v>237</v>
      </c>
    </row>
    <row r="98" spans="1:5" x14ac:dyDescent="0.25">
      <c r="A98" s="57" t="s">
        <v>638</v>
      </c>
      <c r="B98" s="57" t="s">
        <v>637</v>
      </c>
      <c r="C98" s="57">
        <v>1</v>
      </c>
      <c r="D98" s="57">
        <v>226</v>
      </c>
      <c r="E98" s="57">
        <v>236</v>
      </c>
    </row>
    <row r="99" spans="1:5" x14ac:dyDescent="0.25">
      <c r="A99" s="57" t="s">
        <v>638</v>
      </c>
      <c r="B99" s="57" t="s">
        <v>637</v>
      </c>
      <c r="C99" s="57">
        <v>2</v>
      </c>
      <c r="D99" s="57">
        <v>226</v>
      </c>
      <c r="E99" s="57">
        <v>236</v>
      </c>
    </row>
    <row r="100" spans="1:5" x14ac:dyDescent="0.25">
      <c r="A100" s="57" t="s">
        <v>638</v>
      </c>
      <c r="B100" s="57" t="s">
        <v>637</v>
      </c>
      <c r="C100" s="57">
        <v>3</v>
      </c>
      <c r="D100" s="57">
        <v>226</v>
      </c>
      <c r="E100" s="57">
        <v>236</v>
      </c>
    </row>
    <row r="101" spans="1:5" x14ac:dyDescent="0.25">
      <c r="A101" s="57" t="s">
        <v>638</v>
      </c>
      <c r="B101" s="57" t="s">
        <v>637</v>
      </c>
      <c r="C101" s="57">
        <v>4</v>
      </c>
      <c r="D101" s="57">
        <v>226</v>
      </c>
      <c r="E101" s="57">
        <v>236</v>
      </c>
    </row>
    <row r="102" spans="1:5" x14ac:dyDescent="0.25">
      <c r="A102" s="57" t="s">
        <v>638</v>
      </c>
      <c r="B102" s="57" t="s">
        <v>637</v>
      </c>
      <c r="C102" s="57">
        <v>5</v>
      </c>
      <c r="D102" s="57">
        <v>226</v>
      </c>
      <c r="E102" s="57">
        <v>236</v>
      </c>
    </row>
    <row r="103" spans="1:5" x14ac:dyDescent="0.25">
      <c r="A103" s="57" t="s">
        <v>638</v>
      </c>
      <c r="B103" s="57" t="s">
        <v>637</v>
      </c>
      <c r="C103" s="57">
        <v>6</v>
      </c>
      <c r="D103" s="57">
        <v>227</v>
      </c>
      <c r="E103" s="57">
        <v>237</v>
      </c>
    </row>
    <row r="104" spans="1:5" x14ac:dyDescent="0.25">
      <c r="A104" s="57" t="s">
        <v>638</v>
      </c>
      <c r="B104" s="57" t="s">
        <v>637</v>
      </c>
      <c r="C104" s="57">
        <v>7</v>
      </c>
      <c r="D104" s="57">
        <v>227</v>
      </c>
      <c r="E104" s="57">
        <v>237</v>
      </c>
    </row>
    <row r="105" spans="1:5" x14ac:dyDescent="0.25">
      <c r="A105" s="57" t="s">
        <v>638</v>
      </c>
      <c r="B105" s="57" t="s">
        <v>637</v>
      </c>
      <c r="C105" s="57">
        <v>8</v>
      </c>
      <c r="D105" s="57">
        <v>228</v>
      </c>
      <c r="E105" s="57">
        <v>238</v>
      </c>
    </row>
    <row r="106" spans="1:5" x14ac:dyDescent="0.25">
      <c r="A106" s="57" t="s">
        <v>638</v>
      </c>
      <c r="B106" s="57" t="s">
        <v>637</v>
      </c>
      <c r="C106" s="57">
        <v>9</v>
      </c>
      <c r="D106" s="57">
        <v>228</v>
      </c>
      <c r="E106" s="57">
        <v>238</v>
      </c>
    </row>
    <row r="107" spans="1:5" x14ac:dyDescent="0.25">
      <c r="A107" s="57" t="s">
        <v>638</v>
      </c>
      <c r="B107" s="57" t="s">
        <v>637</v>
      </c>
      <c r="C107" s="57">
        <v>10</v>
      </c>
      <c r="D107" s="57">
        <v>229</v>
      </c>
      <c r="E107" s="57">
        <v>239</v>
      </c>
    </row>
    <row r="108" spans="1:5" x14ac:dyDescent="0.25">
      <c r="A108" s="57" t="s">
        <v>638</v>
      </c>
      <c r="B108" s="57" t="s">
        <v>637</v>
      </c>
      <c r="C108" s="57">
        <v>11</v>
      </c>
      <c r="D108" s="57">
        <v>229</v>
      </c>
      <c r="E108" s="57">
        <v>239</v>
      </c>
    </row>
    <row r="109" spans="1:5" x14ac:dyDescent="0.25">
      <c r="A109" s="57" t="s">
        <v>638</v>
      </c>
      <c r="B109" s="57" t="s">
        <v>637</v>
      </c>
      <c r="C109" s="57">
        <v>12</v>
      </c>
      <c r="D109" s="57">
        <v>229</v>
      </c>
      <c r="E109" s="57">
        <v>239</v>
      </c>
    </row>
    <row r="110" spans="1:5" x14ac:dyDescent="0.25">
      <c r="A110" s="57" t="s">
        <v>638</v>
      </c>
      <c r="B110" s="57" t="s">
        <v>637</v>
      </c>
      <c r="C110" s="57">
        <v>13</v>
      </c>
      <c r="D110" s="57">
        <v>229</v>
      </c>
      <c r="E110" s="57">
        <v>239</v>
      </c>
    </row>
    <row r="111" spans="1:5" x14ac:dyDescent="0.25">
      <c r="A111" s="57" t="s">
        <v>638</v>
      </c>
      <c r="B111" s="57" t="s">
        <v>637</v>
      </c>
      <c r="C111" s="57">
        <v>14</v>
      </c>
      <c r="D111" s="57">
        <v>229</v>
      </c>
      <c r="E111" s="57">
        <v>239</v>
      </c>
    </row>
    <row r="112" spans="1:5" x14ac:dyDescent="0.25">
      <c r="A112" s="57" t="s">
        <v>638</v>
      </c>
      <c r="B112" s="57" t="s">
        <v>637</v>
      </c>
      <c r="C112" s="57">
        <v>15</v>
      </c>
      <c r="D112" s="57">
        <v>229</v>
      </c>
      <c r="E112" s="57">
        <v>239</v>
      </c>
    </row>
    <row r="113" spans="1:5" x14ac:dyDescent="0.25">
      <c r="A113" s="57" t="s">
        <v>638</v>
      </c>
      <c r="B113" s="57" t="s">
        <v>637</v>
      </c>
      <c r="C113" s="57">
        <v>16</v>
      </c>
      <c r="D113" s="57">
        <v>229</v>
      </c>
      <c r="E113" s="57">
        <v>239</v>
      </c>
    </row>
    <row r="114" spans="1:5" x14ac:dyDescent="0.25">
      <c r="A114" s="57" t="s">
        <v>638</v>
      </c>
      <c r="B114" s="57" t="s">
        <v>637</v>
      </c>
      <c r="C114" s="57">
        <v>17</v>
      </c>
      <c r="D114" s="57">
        <v>229</v>
      </c>
      <c r="E114" s="57">
        <v>239</v>
      </c>
    </row>
    <row r="115" spans="1:5" x14ac:dyDescent="0.25">
      <c r="A115" s="57" t="s">
        <v>638</v>
      </c>
      <c r="B115" s="57" t="s">
        <v>637</v>
      </c>
      <c r="C115" s="57">
        <v>18</v>
      </c>
      <c r="D115" s="57">
        <v>229</v>
      </c>
      <c r="E115" s="57">
        <v>239</v>
      </c>
    </row>
    <row r="116" spans="1:5" x14ac:dyDescent="0.25">
      <c r="A116" s="57" t="s">
        <v>638</v>
      </c>
      <c r="B116" s="57" t="s">
        <v>637</v>
      </c>
      <c r="C116" s="57">
        <v>19</v>
      </c>
      <c r="D116" s="57">
        <v>230</v>
      </c>
      <c r="E116" s="57">
        <v>240</v>
      </c>
    </row>
    <row r="117" spans="1:5" x14ac:dyDescent="0.25">
      <c r="A117" s="57" t="s">
        <v>638</v>
      </c>
      <c r="B117" s="57" t="s">
        <v>637</v>
      </c>
      <c r="C117" s="57">
        <v>20</v>
      </c>
      <c r="D117" s="57">
        <v>230</v>
      </c>
      <c r="E117" s="57">
        <v>240</v>
      </c>
    </row>
    <row r="118" spans="1:5" x14ac:dyDescent="0.25">
      <c r="A118" s="57" t="s">
        <v>638</v>
      </c>
      <c r="B118" s="57" t="s">
        <v>637</v>
      </c>
      <c r="C118" s="57">
        <v>21</v>
      </c>
      <c r="D118" s="57">
        <v>230</v>
      </c>
      <c r="E118" s="57">
        <v>240</v>
      </c>
    </row>
    <row r="119" spans="1:5" x14ac:dyDescent="0.25">
      <c r="A119" s="57" t="s">
        <v>638</v>
      </c>
      <c r="B119" s="57" t="s">
        <v>637</v>
      </c>
      <c r="C119" s="57">
        <v>22</v>
      </c>
      <c r="D119" s="57">
        <v>228</v>
      </c>
      <c r="E119" s="57">
        <v>238</v>
      </c>
    </row>
    <row r="120" spans="1:5" x14ac:dyDescent="0.25">
      <c r="A120" s="57" t="s">
        <v>638</v>
      </c>
      <c r="B120" s="57" t="s">
        <v>637</v>
      </c>
      <c r="C120" s="57">
        <v>23</v>
      </c>
      <c r="D120" s="57">
        <v>226</v>
      </c>
      <c r="E120" s="57">
        <v>236</v>
      </c>
    </row>
    <row r="121" spans="1:5" x14ac:dyDescent="0.25">
      <c r="A121" s="57" t="s">
        <v>638</v>
      </c>
      <c r="B121" s="57" t="s">
        <v>637</v>
      </c>
      <c r="C121" s="57">
        <v>24</v>
      </c>
      <c r="D121" s="57">
        <v>226</v>
      </c>
      <c r="E121" s="57">
        <v>236</v>
      </c>
    </row>
    <row r="122" spans="1:5" x14ac:dyDescent="0.25">
      <c r="A122" s="58" t="s">
        <v>639</v>
      </c>
      <c r="B122" s="59" t="s">
        <v>635</v>
      </c>
      <c r="C122" s="58">
        <v>1</v>
      </c>
      <c r="D122" s="58">
        <v>491</v>
      </c>
      <c r="E122" s="58">
        <v>506</v>
      </c>
    </row>
    <row r="123" spans="1:5" x14ac:dyDescent="0.25">
      <c r="A123" s="58" t="s">
        <v>639</v>
      </c>
      <c r="B123" s="59" t="s">
        <v>635</v>
      </c>
      <c r="C123" s="58">
        <v>2</v>
      </c>
      <c r="D123" s="58">
        <v>491</v>
      </c>
      <c r="E123" s="58">
        <v>507</v>
      </c>
    </row>
    <row r="124" spans="1:5" x14ac:dyDescent="0.25">
      <c r="A124" s="58" t="s">
        <v>639</v>
      </c>
      <c r="B124" s="59" t="s">
        <v>635</v>
      </c>
      <c r="C124" s="58">
        <v>3</v>
      </c>
      <c r="D124" s="58">
        <v>491</v>
      </c>
      <c r="E124" s="58">
        <v>509</v>
      </c>
    </row>
    <row r="125" spans="1:5" x14ac:dyDescent="0.25">
      <c r="A125" s="58" t="s">
        <v>639</v>
      </c>
      <c r="B125" s="59" t="s">
        <v>635</v>
      </c>
      <c r="C125" s="58">
        <v>4</v>
      </c>
      <c r="D125" s="58">
        <v>491</v>
      </c>
      <c r="E125" s="58">
        <v>509</v>
      </c>
    </row>
    <row r="126" spans="1:5" x14ac:dyDescent="0.25">
      <c r="A126" s="58" t="s">
        <v>639</v>
      </c>
      <c r="B126" s="59" t="s">
        <v>635</v>
      </c>
      <c r="C126" s="58">
        <v>5</v>
      </c>
      <c r="D126" s="58">
        <v>491</v>
      </c>
      <c r="E126" s="58">
        <v>508</v>
      </c>
    </row>
    <row r="127" spans="1:5" x14ac:dyDescent="0.25">
      <c r="A127" s="58" t="s">
        <v>639</v>
      </c>
      <c r="B127" s="59" t="s">
        <v>635</v>
      </c>
      <c r="C127" s="58">
        <v>6</v>
      </c>
      <c r="D127" s="58">
        <v>494</v>
      </c>
      <c r="E127" s="58">
        <v>507</v>
      </c>
    </row>
    <row r="128" spans="1:5" x14ac:dyDescent="0.25">
      <c r="A128" s="58" t="s">
        <v>639</v>
      </c>
      <c r="B128" s="59" t="s">
        <v>635</v>
      </c>
      <c r="C128" s="58">
        <v>7</v>
      </c>
      <c r="D128" s="58">
        <v>492</v>
      </c>
      <c r="E128" s="58">
        <v>505</v>
      </c>
    </row>
    <row r="129" spans="1:5" x14ac:dyDescent="0.25">
      <c r="A129" s="58" t="s">
        <v>639</v>
      </c>
      <c r="B129" s="59" t="s">
        <v>635</v>
      </c>
      <c r="C129" s="58">
        <v>8</v>
      </c>
      <c r="D129" s="58">
        <v>491</v>
      </c>
      <c r="E129" s="58">
        <v>503</v>
      </c>
    </row>
    <row r="130" spans="1:5" x14ac:dyDescent="0.25">
      <c r="A130" s="58" t="s">
        <v>639</v>
      </c>
      <c r="B130" s="59" t="s">
        <v>635</v>
      </c>
      <c r="C130" s="58">
        <v>9</v>
      </c>
      <c r="D130" s="58">
        <v>493</v>
      </c>
      <c r="E130" s="58">
        <v>505</v>
      </c>
    </row>
    <row r="131" spans="1:5" x14ac:dyDescent="0.25">
      <c r="A131" s="58" t="s">
        <v>639</v>
      </c>
      <c r="B131" s="59" t="s">
        <v>635</v>
      </c>
      <c r="C131" s="58">
        <v>10</v>
      </c>
      <c r="D131" s="58">
        <v>494</v>
      </c>
      <c r="E131" s="58">
        <v>507</v>
      </c>
    </row>
    <row r="132" spans="1:5" x14ac:dyDescent="0.25">
      <c r="A132" s="58" t="s">
        <v>639</v>
      </c>
      <c r="B132" s="59" t="s">
        <v>635</v>
      </c>
      <c r="C132" s="58">
        <v>11</v>
      </c>
      <c r="D132" s="58">
        <v>494</v>
      </c>
      <c r="E132" s="58">
        <v>507</v>
      </c>
    </row>
    <row r="133" spans="1:5" x14ac:dyDescent="0.25">
      <c r="A133" s="58" t="s">
        <v>639</v>
      </c>
      <c r="B133" s="59" t="s">
        <v>635</v>
      </c>
      <c r="C133" s="58">
        <v>12</v>
      </c>
      <c r="D133" s="58">
        <v>494</v>
      </c>
      <c r="E133" s="58">
        <v>507</v>
      </c>
    </row>
    <row r="134" spans="1:5" x14ac:dyDescent="0.25">
      <c r="A134" s="58" t="s">
        <v>639</v>
      </c>
      <c r="B134" s="59" t="s">
        <v>635</v>
      </c>
      <c r="C134" s="58">
        <v>13</v>
      </c>
      <c r="D134" s="58">
        <v>493</v>
      </c>
      <c r="E134" s="58">
        <v>505</v>
      </c>
    </row>
    <row r="135" spans="1:5" x14ac:dyDescent="0.25">
      <c r="A135" s="58" t="s">
        <v>639</v>
      </c>
      <c r="B135" s="59" t="s">
        <v>635</v>
      </c>
      <c r="C135" s="58">
        <v>14</v>
      </c>
      <c r="D135" s="58">
        <v>493</v>
      </c>
      <c r="E135" s="58">
        <v>505</v>
      </c>
    </row>
    <row r="136" spans="1:5" x14ac:dyDescent="0.25">
      <c r="A136" s="58" t="s">
        <v>639</v>
      </c>
      <c r="B136" s="59" t="s">
        <v>635</v>
      </c>
      <c r="C136" s="58">
        <v>15</v>
      </c>
      <c r="D136" s="58">
        <v>493</v>
      </c>
      <c r="E136" s="58">
        <v>505</v>
      </c>
    </row>
    <row r="137" spans="1:5" x14ac:dyDescent="0.25">
      <c r="A137" s="58" t="s">
        <v>639</v>
      </c>
      <c r="B137" s="59" t="s">
        <v>635</v>
      </c>
      <c r="C137" s="58">
        <v>16</v>
      </c>
      <c r="D137" s="58">
        <v>493</v>
      </c>
      <c r="E137" s="58">
        <v>505</v>
      </c>
    </row>
    <row r="138" spans="1:5" x14ac:dyDescent="0.25">
      <c r="A138" s="58" t="s">
        <v>639</v>
      </c>
      <c r="B138" s="59" t="s">
        <v>635</v>
      </c>
      <c r="C138" s="58">
        <v>17</v>
      </c>
      <c r="D138" s="58">
        <v>493</v>
      </c>
      <c r="E138" s="58">
        <v>505</v>
      </c>
    </row>
    <row r="139" spans="1:5" x14ac:dyDescent="0.25">
      <c r="A139" s="58" t="s">
        <v>639</v>
      </c>
      <c r="B139" s="59" t="s">
        <v>635</v>
      </c>
      <c r="C139" s="58">
        <v>18</v>
      </c>
      <c r="D139" s="58">
        <v>491</v>
      </c>
      <c r="E139" s="58">
        <v>506</v>
      </c>
    </row>
    <row r="140" spans="1:5" x14ac:dyDescent="0.25">
      <c r="A140" s="58" t="s">
        <v>639</v>
      </c>
      <c r="B140" s="59" t="s">
        <v>635</v>
      </c>
      <c r="C140" s="58">
        <v>19</v>
      </c>
      <c r="D140" s="58">
        <v>491</v>
      </c>
      <c r="E140" s="58">
        <v>507</v>
      </c>
    </row>
    <row r="141" spans="1:5" x14ac:dyDescent="0.25">
      <c r="A141" s="58" t="s">
        <v>639</v>
      </c>
      <c r="B141" s="59" t="s">
        <v>635</v>
      </c>
      <c r="C141" s="58">
        <v>20</v>
      </c>
      <c r="D141" s="58">
        <v>491</v>
      </c>
      <c r="E141" s="58">
        <v>507</v>
      </c>
    </row>
    <row r="142" spans="1:5" x14ac:dyDescent="0.25">
      <c r="A142" s="58" t="s">
        <v>639</v>
      </c>
      <c r="B142" s="59" t="s">
        <v>635</v>
      </c>
      <c r="C142" s="58">
        <v>21</v>
      </c>
      <c r="D142" s="58">
        <v>492</v>
      </c>
      <c r="E142" s="58">
        <v>507</v>
      </c>
    </row>
    <row r="143" spans="1:5" x14ac:dyDescent="0.25">
      <c r="A143" s="58" t="s">
        <v>639</v>
      </c>
      <c r="B143" s="59" t="s">
        <v>635</v>
      </c>
      <c r="C143" s="58">
        <v>22</v>
      </c>
      <c r="D143" s="58">
        <v>493</v>
      </c>
      <c r="E143" s="58">
        <v>507</v>
      </c>
    </row>
    <row r="144" spans="1:5" x14ac:dyDescent="0.25">
      <c r="A144" s="58" t="s">
        <v>639</v>
      </c>
      <c r="B144" s="59" t="s">
        <v>635</v>
      </c>
      <c r="C144" s="58">
        <v>23</v>
      </c>
      <c r="D144" s="58">
        <v>493</v>
      </c>
      <c r="E144" s="58">
        <v>507</v>
      </c>
    </row>
    <row r="145" spans="1:5" x14ac:dyDescent="0.25">
      <c r="A145" s="58" t="s">
        <v>639</v>
      </c>
      <c r="B145" s="59" t="s">
        <v>635</v>
      </c>
      <c r="C145" s="58">
        <v>24</v>
      </c>
      <c r="D145" s="58">
        <v>493</v>
      </c>
      <c r="E145" s="58">
        <v>507</v>
      </c>
    </row>
    <row r="146" spans="1:5" x14ac:dyDescent="0.25">
      <c r="A146" s="58" t="s">
        <v>640</v>
      </c>
      <c r="B146" s="57" t="s">
        <v>635</v>
      </c>
      <c r="C146" s="58">
        <v>1</v>
      </c>
      <c r="D146" s="58">
        <v>229</v>
      </c>
      <c r="E146" s="58">
        <v>237</v>
      </c>
    </row>
    <row r="147" spans="1:5" x14ac:dyDescent="0.25">
      <c r="A147" s="58" t="s">
        <v>640</v>
      </c>
      <c r="B147" s="57" t="s">
        <v>635</v>
      </c>
      <c r="C147" s="58">
        <v>2</v>
      </c>
      <c r="D147" s="58">
        <v>229</v>
      </c>
      <c r="E147" s="58">
        <v>237</v>
      </c>
    </row>
    <row r="148" spans="1:5" x14ac:dyDescent="0.25">
      <c r="A148" s="58" t="s">
        <v>640</v>
      </c>
      <c r="B148" s="57" t="s">
        <v>635</v>
      </c>
      <c r="C148" s="58">
        <v>3</v>
      </c>
      <c r="D148" s="58">
        <v>229</v>
      </c>
      <c r="E148" s="58">
        <v>237</v>
      </c>
    </row>
    <row r="149" spans="1:5" x14ac:dyDescent="0.25">
      <c r="A149" s="58" t="s">
        <v>640</v>
      </c>
      <c r="B149" s="57" t="s">
        <v>635</v>
      </c>
      <c r="C149" s="58">
        <v>4</v>
      </c>
      <c r="D149" s="58">
        <v>229</v>
      </c>
      <c r="E149" s="58">
        <v>237</v>
      </c>
    </row>
    <row r="150" spans="1:5" x14ac:dyDescent="0.25">
      <c r="A150" s="58" t="s">
        <v>640</v>
      </c>
      <c r="B150" s="57" t="s">
        <v>635</v>
      </c>
      <c r="C150" s="58">
        <v>5</v>
      </c>
      <c r="D150" s="58">
        <v>230</v>
      </c>
      <c r="E150" s="58">
        <v>238</v>
      </c>
    </row>
    <row r="151" spans="1:5" x14ac:dyDescent="0.25">
      <c r="A151" s="58" t="s">
        <v>640</v>
      </c>
      <c r="B151" s="57" t="s">
        <v>635</v>
      </c>
      <c r="C151" s="58">
        <v>6</v>
      </c>
      <c r="D151" s="58">
        <v>231</v>
      </c>
      <c r="E151" s="58">
        <v>239</v>
      </c>
    </row>
    <row r="152" spans="1:5" x14ac:dyDescent="0.25">
      <c r="A152" s="58" t="s">
        <v>640</v>
      </c>
      <c r="B152" s="57" t="s">
        <v>635</v>
      </c>
      <c r="C152" s="58">
        <v>7</v>
      </c>
      <c r="D152" s="58">
        <v>232</v>
      </c>
      <c r="E152" s="58">
        <v>240</v>
      </c>
    </row>
    <row r="153" spans="1:5" x14ac:dyDescent="0.25">
      <c r="A153" s="58" t="s">
        <v>640</v>
      </c>
      <c r="B153" s="57" t="s">
        <v>635</v>
      </c>
      <c r="C153" s="58">
        <v>8</v>
      </c>
      <c r="D153" s="58">
        <v>233</v>
      </c>
      <c r="E153" s="58">
        <v>241</v>
      </c>
    </row>
    <row r="154" spans="1:5" x14ac:dyDescent="0.25">
      <c r="A154" s="58" t="s">
        <v>640</v>
      </c>
      <c r="B154" s="57" t="s">
        <v>635</v>
      </c>
      <c r="C154" s="58">
        <v>9</v>
      </c>
      <c r="D154" s="58">
        <v>234</v>
      </c>
      <c r="E154" s="58">
        <v>242</v>
      </c>
    </row>
    <row r="155" spans="1:5" x14ac:dyDescent="0.25">
      <c r="A155" s="58" t="s">
        <v>640</v>
      </c>
      <c r="B155" s="57" t="s">
        <v>635</v>
      </c>
      <c r="C155" s="58">
        <v>10</v>
      </c>
      <c r="D155" s="58">
        <v>234</v>
      </c>
      <c r="E155" s="58">
        <v>242</v>
      </c>
    </row>
    <row r="156" spans="1:5" x14ac:dyDescent="0.25">
      <c r="A156" s="58" t="s">
        <v>640</v>
      </c>
      <c r="B156" s="57" t="s">
        <v>635</v>
      </c>
      <c r="C156" s="58">
        <v>11</v>
      </c>
      <c r="D156" s="58">
        <v>234</v>
      </c>
      <c r="E156" s="58">
        <v>242</v>
      </c>
    </row>
    <row r="157" spans="1:5" x14ac:dyDescent="0.25">
      <c r="A157" s="58" t="s">
        <v>640</v>
      </c>
      <c r="B157" s="57" t="s">
        <v>635</v>
      </c>
      <c r="C157" s="58">
        <v>12</v>
      </c>
      <c r="D157" s="58">
        <v>234</v>
      </c>
      <c r="E157" s="58">
        <v>242</v>
      </c>
    </row>
    <row r="158" spans="1:5" x14ac:dyDescent="0.25">
      <c r="A158" s="58" t="s">
        <v>640</v>
      </c>
      <c r="B158" s="57" t="s">
        <v>635</v>
      </c>
      <c r="C158" s="58">
        <v>13</v>
      </c>
      <c r="D158" s="58">
        <v>233</v>
      </c>
      <c r="E158" s="58">
        <v>241</v>
      </c>
    </row>
    <row r="159" spans="1:5" x14ac:dyDescent="0.25">
      <c r="A159" s="58" t="s">
        <v>640</v>
      </c>
      <c r="B159" s="57" t="s">
        <v>635</v>
      </c>
      <c r="C159" s="58">
        <v>14</v>
      </c>
      <c r="D159" s="58">
        <v>232</v>
      </c>
      <c r="E159" s="58">
        <v>240</v>
      </c>
    </row>
    <row r="160" spans="1:5" x14ac:dyDescent="0.25">
      <c r="A160" s="58" t="s">
        <v>640</v>
      </c>
      <c r="B160" s="57" t="s">
        <v>635</v>
      </c>
      <c r="C160" s="58">
        <v>15</v>
      </c>
      <c r="D160" s="58">
        <v>232</v>
      </c>
      <c r="E160" s="58">
        <v>240</v>
      </c>
    </row>
    <row r="161" spans="1:5" x14ac:dyDescent="0.25">
      <c r="A161" s="58" t="s">
        <v>640</v>
      </c>
      <c r="B161" s="57" t="s">
        <v>635</v>
      </c>
      <c r="C161" s="58">
        <v>16</v>
      </c>
      <c r="D161" s="58">
        <v>232</v>
      </c>
      <c r="E161" s="58">
        <v>240</v>
      </c>
    </row>
    <row r="162" spans="1:5" x14ac:dyDescent="0.25">
      <c r="A162" s="58" t="s">
        <v>640</v>
      </c>
      <c r="B162" s="57" t="s">
        <v>635</v>
      </c>
      <c r="C162" s="58">
        <v>17</v>
      </c>
      <c r="D162" s="58">
        <v>233</v>
      </c>
      <c r="E162" s="58">
        <v>241</v>
      </c>
    </row>
    <row r="163" spans="1:5" x14ac:dyDescent="0.25">
      <c r="A163" s="58" t="s">
        <v>640</v>
      </c>
      <c r="B163" s="57" t="s">
        <v>635</v>
      </c>
      <c r="C163" s="58">
        <v>18</v>
      </c>
      <c r="D163" s="58">
        <v>234</v>
      </c>
      <c r="E163" s="58">
        <v>242</v>
      </c>
    </row>
    <row r="164" spans="1:5" x14ac:dyDescent="0.25">
      <c r="A164" s="58" t="s">
        <v>640</v>
      </c>
      <c r="B164" s="57" t="s">
        <v>635</v>
      </c>
      <c r="C164" s="58">
        <v>19</v>
      </c>
      <c r="D164" s="58">
        <v>233</v>
      </c>
      <c r="E164" s="58">
        <v>241</v>
      </c>
    </row>
    <row r="165" spans="1:5" x14ac:dyDescent="0.25">
      <c r="A165" s="58" t="s">
        <v>640</v>
      </c>
      <c r="B165" s="57" t="s">
        <v>635</v>
      </c>
      <c r="C165" s="58">
        <v>20</v>
      </c>
      <c r="D165" s="58">
        <v>233</v>
      </c>
      <c r="E165" s="58">
        <v>241</v>
      </c>
    </row>
    <row r="166" spans="1:5" x14ac:dyDescent="0.25">
      <c r="A166" s="58" t="s">
        <v>640</v>
      </c>
      <c r="B166" s="57" t="s">
        <v>635</v>
      </c>
      <c r="C166" s="58">
        <v>21</v>
      </c>
      <c r="D166" s="58">
        <v>231</v>
      </c>
      <c r="E166" s="58">
        <v>239</v>
      </c>
    </row>
    <row r="167" spans="1:5" x14ac:dyDescent="0.25">
      <c r="A167" s="58" t="s">
        <v>640</v>
      </c>
      <c r="B167" s="57" t="s">
        <v>635</v>
      </c>
      <c r="C167" s="58">
        <v>22</v>
      </c>
      <c r="D167" s="58">
        <v>230</v>
      </c>
      <c r="E167" s="58">
        <v>239</v>
      </c>
    </row>
    <row r="168" spans="1:5" x14ac:dyDescent="0.25">
      <c r="A168" s="58" t="s">
        <v>640</v>
      </c>
      <c r="B168" s="57" t="s">
        <v>635</v>
      </c>
      <c r="C168" s="58">
        <v>23</v>
      </c>
      <c r="D168" s="58">
        <v>230</v>
      </c>
      <c r="E168" s="58">
        <v>238</v>
      </c>
    </row>
    <row r="169" spans="1:5" x14ac:dyDescent="0.25">
      <c r="A169" s="58" t="s">
        <v>640</v>
      </c>
      <c r="B169" s="57" t="s">
        <v>635</v>
      </c>
      <c r="C169" s="58">
        <v>24</v>
      </c>
      <c r="D169" s="58">
        <v>229</v>
      </c>
      <c r="E169" s="58">
        <v>237</v>
      </c>
    </row>
    <row r="170" spans="1:5" x14ac:dyDescent="0.25">
      <c r="A170" s="58" t="s">
        <v>641</v>
      </c>
      <c r="B170" s="59" t="s">
        <v>635</v>
      </c>
      <c r="C170" s="58">
        <v>1</v>
      </c>
      <c r="D170" s="58">
        <v>494</v>
      </c>
      <c r="E170" s="58">
        <v>507</v>
      </c>
    </row>
    <row r="171" spans="1:5" x14ac:dyDescent="0.25">
      <c r="A171" s="58" t="s">
        <v>641</v>
      </c>
      <c r="B171" s="59" t="s">
        <v>635</v>
      </c>
      <c r="C171" s="58">
        <v>2</v>
      </c>
      <c r="D171" s="58">
        <v>494</v>
      </c>
      <c r="E171" s="58">
        <v>507</v>
      </c>
    </row>
    <row r="172" spans="1:5" x14ac:dyDescent="0.25">
      <c r="A172" s="58" t="s">
        <v>641</v>
      </c>
      <c r="B172" s="59" t="s">
        <v>635</v>
      </c>
      <c r="C172" s="58">
        <v>3</v>
      </c>
      <c r="D172" s="58">
        <v>495</v>
      </c>
      <c r="E172" s="58">
        <v>508</v>
      </c>
    </row>
    <row r="173" spans="1:5" x14ac:dyDescent="0.25">
      <c r="A173" s="58" t="s">
        <v>641</v>
      </c>
      <c r="B173" s="59" t="s">
        <v>635</v>
      </c>
      <c r="C173" s="58">
        <v>4</v>
      </c>
      <c r="D173" s="58">
        <v>495</v>
      </c>
      <c r="E173" s="58">
        <v>508</v>
      </c>
    </row>
    <row r="174" spans="1:5" x14ac:dyDescent="0.25">
      <c r="A174" s="58" t="s">
        <v>641</v>
      </c>
      <c r="B174" s="59" t="s">
        <v>635</v>
      </c>
      <c r="C174" s="58">
        <v>5</v>
      </c>
      <c r="D174" s="58">
        <v>494</v>
      </c>
      <c r="E174" s="58">
        <v>506</v>
      </c>
    </row>
    <row r="175" spans="1:5" x14ac:dyDescent="0.25">
      <c r="A175" s="58" t="s">
        <v>641</v>
      </c>
      <c r="B175" s="59" t="s">
        <v>635</v>
      </c>
      <c r="C175" s="58">
        <v>6</v>
      </c>
      <c r="D175" s="58">
        <v>494</v>
      </c>
      <c r="E175" s="58">
        <v>506</v>
      </c>
    </row>
    <row r="176" spans="1:5" x14ac:dyDescent="0.25">
      <c r="A176" s="58" t="s">
        <v>641</v>
      </c>
      <c r="B176" s="59" t="s">
        <v>635</v>
      </c>
      <c r="C176" s="58">
        <v>7</v>
      </c>
      <c r="D176" s="58">
        <v>494</v>
      </c>
      <c r="E176" s="58">
        <v>506</v>
      </c>
    </row>
    <row r="177" spans="1:5" x14ac:dyDescent="0.25">
      <c r="A177" s="58" t="s">
        <v>641</v>
      </c>
      <c r="B177" s="59" t="s">
        <v>635</v>
      </c>
      <c r="C177" s="58">
        <v>8</v>
      </c>
      <c r="D177" s="58">
        <v>494</v>
      </c>
      <c r="E177" s="58">
        <v>506</v>
      </c>
    </row>
    <row r="178" spans="1:5" x14ac:dyDescent="0.25">
      <c r="A178" s="58" t="s">
        <v>641</v>
      </c>
      <c r="B178" s="59" t="s">
        <v>635</v>
      </c>
      <c r="C178" s="58">
        <v>9</v>
      </c>
      <c r="D178" s="58">
        <v>492</v>
      </c>
      <c r="E178" s="58">
        <v>504</v>
      </c>
    </row>
    <row r="179" spans="1:5" x14ac:dyDescent="0.25">
      <c r="A179" s="58" t="s">
        <v>641</v>
      </c>
      <c r="B179" s="59" t="s">
        <v>635</v>
      </c>
      <c r="C179" s="58">
        <v>10</v>
      </c>
      <c r="D179" s="58">
        <v>492</v>
      </c>
      <c r="E179" s="58">
        <v>504</v>
      </c>
    </row>
    <row r="180" spans="1:5" x14ac:dyDescent="0.25">
      <c r="A180" s="58" t="s">
        <v>641</v>
      </c>
      <c r="B180" s="59" t="s">
        <v>635</v>
      </c>
      <c r="C180" s="58">
        <v>11</v>
      </c>
      <c r="D180" s="58">
        <v>492</v>
      </c>
      <c r="E180" s="58">
        <v>504</v>
      </c>
    </row>
    <row r="181" spans="1:5" x14ac:dyDescent="0.25">
      <c r="A181" s="58" t="s">
        <v>641</v>
      </c>
      <c r="B181" s="59" t="s">
        <v>635</v>
      </c>
      <c r="C181" s="58">
        <v>12</v>
      </c>
      <c r="D181" s="58">
        <v>492</v>
      </c>
      <c r="E181" s="58">
        <v>504</v>
      </c>
    </row>
    <row r="182" spans="1:5" x14ac:dyDescent="0.25">
      <c r="A182" s="58" t="s">
        <v>641</v>
      </c>
      <c r="B182" s="59" t="s">
        <v>635</v>
      </c>
      <c r="C182" s="58">
        <v>13</v>
      </c>
      <c r="D182" s="58">
        <v>492</v>
      </c>
      <c r="E182" s="58">
        <v>504</v>
      </c>
    </row>
    <row r="183" spans="1:5" x14ac:dyDescent="0.25">
      <c r="A183" s="58" t="s">
        <v>641</v>
      </c>
      <c r="B183" s="59" t="s">
        <v>635</v>
      </c>
      <c r="C183" s="58">
        <v>14</v>
      </c>
      <c r="D183" s="58">
        <v>492</v>
      </c>
      <c r="E183" s="58">
        <v>504</v>
      </c>
    </row>
    <row r="184" spans="1:5" x14ac:dyDescent="0.25">
      <c r="A184" s="58" t="s">
        <v>641</v>
      </c>
      <c r="B184" s="59" t="s">
        <v>635</v>
      </c>
      <c r="C184" s="58">
        <v>15</v>
      </c>
      <c r="D184" s="58">
        <v>492</v>
      </c>
      <c r="E184" s="58">
        <v>504</v>
      </c>
    </row>
    <row r="185" spans="1:5" x14ac:dyDescent="0.25">
      <c r="A185" s="58" t="s">
        <v>641</v>
      </c>
      <c r="B185" s="59" t="s">
        <v>635</v>
      </c>
      <c r="C185" s="58">
        <v>16</v>
      </c>
      <c r="D185" s="58">
        <v>492</v>
      </c>
      <c r="E185" s="58">
        <v>504</v>
      </c>
    </row>
    <row r="186" spans="1:5" x14ac:dyDescent="0.25">
      <c r="A186" s="58" t="s">
        <v>641</v>
      </c>
      <c r="B186" s="59" t="s">
        <v>635</v>
      </c>
      <c r="C186" s="58">
        <v>17</v>
      </c>
      <c r="D186" s="58">
        <v>493</v>
      </c>
      <c r="E186" s="58">
        <v>505</v>
      </c>
    </row>
    <row r="187" spans="1:5" x14ac:dyDescent="0.25">
      <c r="A187" s="58" t="s">
        <v>641</v>
      </c>
      <c r="B187" s="59" t="s">
        <v>635</v>
      </c>
      <c r="C187" s="58">
        <v>18</v>
      </c>
      <c r="D187" s="58">
        <v>493</v>
      </c>
      <c r="E187" s="58">
        <v>505</v>
      </c>
    </row>
    <row r="188" spans="1:5" x14ac:dyDescent="0.25">
      <c r="A188" s="58" t="s">
        <v>641</v>
      </c>
      <c r="B188" s="59" t="s">
        <v>635</v>
      </c>
      <c r="C188" s="58">
        <v>19</v>
      </c>
      <c r="D188" s="58">
        <v>493</v>
      </c>
      <c r="E188" s="58">
        <v>506</v>
      </c>
    </row>
    <row r="189" spans="1:5" x14ac:dyDescent="0.25">
      <c r="A189" s="58" t="s">
        <v>641</v>
      </c>
      <c r="B189" s="59" t="s">
        <v>635</v>
      </c>
      <c r="C189" s="58">
        <v>20</v>
      </c>
      <c r="D189" s="58">
        <v>493</v>
      </c>
      <c r="E189" s="58">
        <v>506</v>
      </c>
    </row>
    <row r="190" spans="1:5" x14ac:dyDescent="0.25">
      <c r="A190" s="58" t="s">
        <v>641</v>
      </c>
      <c r="B190" s="59" t="s">
        <v>635</v>
      </c>
      <c r="C190" s="58">
        <v>21</v>
      </c>
      <c r="D190" s="58">
        <v>493</v>
      </c>
      <c r="E190" s="58">
        <v>506</v>
      </c>
    </row>
    <row r="191" spans="1:5" x14ac:dyDescent="0.25">
      <c r="A191" s="58" t="s">
        <v>641</v>
      </c>
      <c r="B191" s="59" t="s">
        <v>635</v>
      </c>
      <c r="C191" s="58">
        <v>22</v>
      </c>
      <c r="D191" s="58">
        <v>494</v>
      </c>
      <c r="E191" s="58">
        <v>506</v>
      </c>
    </row>
    <row r="192" spans="1:5" x14ac:dyDescent="0.25">
      <c r="A192" s="58" t="s">
        <v>641</v>
      </c>
      <c r="B192" s="59" t="s">
        <v>635</v>
      </c>
      <c r="C192" s="58">
        <v>23</v>
      </c>
      <c r="D192" s="58">
        <v>494</v>
      </c>
      <c r="E192" s="58">
        <v>507</v>
      </c>
    </row>
    <row r="193" spans="1:5" x14ac:dyDescent="0.25">
      <c r="A193" s="58" t="s">
        <v>641</v>
      </c>
      <c r="B193" s="59" t="s">
        <v>635</v>
      </c>
      <c r="C193" s="58">
        <v>24</v>
      </c>
      <c r="D193" s="58">
        <v>494</v>
      </c>
      <c r="E193" s="58">
        <v>507</v>
      </c>
    </row>
    <row r="194" spans="1:5" x14ac:dyDescent="0.25">
      <c r="A194" s="58" t="s">
        <v>642</v>
      </c>
      <c r="B194" s="57" t="s">
        <v>635</v>
      </c>
      <c r="C194" s="58">
        <v>1</v>
      </c>
      <c r="D194" s="58">
        <v>229</v>
      </c>
      <c r="E194" s="58">
        <v>239</v>
      </c>
    </row>
    <row r="195" spans="1:5" x14ac:dyDescent="0.25">
      <c r="A195" s="58" t="s">
        <v>642</v>
      </c>
      <c r="B195" s="57" t="s">
        <v>635</v>
      </c>
      <c r="C195" s="58">
        <v>2</v>
      </c>
      <c r="D195" s="58">
        <v>229</v>
      </c>
      <c r="E195" s="58">
        <v>239</v>
      </c>
    </row>
    <row r="196" spans="1:5" x14ac:dyDescent="0.25">
      <c r="A196" s="58" t="s">
        <v>642</v>
      </c>
      <c r="B196" s="57" t="s">
        <v>635</v>
      </c>
      <c r="C196" s="58">
        <v>3</v>
      </c>
      <c r="D196" s="58">
        <v>229</v>
      </c>
      <c r="E196" s="58">
        <v>239</v>
      </c>
    </row>
    <row r="197" spans="1:5" x14ac:dyDescent="0.25">
      <c r="A197" s="58" t="s">
        <v>642</v>
      </c>
      <c r="B197" s="57" t="s">
        <v>635</v>
      </c>
      <c r="C197" s="58">
        <v>4</v>
      </c>
      <c r="D197" s="58">
        <v>229</v>
      </c>
      <c r="E197" s="58">
        <v>239</v>
      </c>
    </row>
    <row r="198" spans="1:5" x14ac:dyDescent="0.25">
      <c r="A198" s="58" t="s">
        <v>642</v>
      </c>
      <c r="B198" s="57" t="s">
        <v>635</v>
      </c>
      <c r="C198" s="58">
        <v>5</v>
      </c>
      <c r="D198" s="58">
        <v>229</v>
      </c>
      <c r="E198" s="58">
        <v>239</v>
      </c>
    </row>
    <row r="199" spans="1:5" x14ac:dyDescent="0.25">
      <c r="A199" s="58" t="s">
        <v>642</v>
      </c>
      <c r="B199" s="57" t="s">
        <v>635</v>
      </c>
      <c r="C199" s="58">
        <v>6</v>
      </c>
      <c r="D199" s="58">
        <v>229</v>
      </c>
      <c r="E199" s="58">
        <v>239</v>
      </c>
    </row>
    <row r="200" spans="1:5" x14ac:dyDescent="0.25">
      <c r="A200" s="58" t="s">
        <v>642</v>
      </c>
      <c r="B200" s="57" t="s">
        <v>635</v>
      </c>
      <c r="C200" s="58">
        <v>7</v>
      </c>
      <c r="D200" s="58">
        <v>231</v>
      </c>
      <c r="E200" s="58">
        <v>241</v>
      </c>
    </row>
    <row r="201" spans="1:5" x14ac:dyDescent="0.25">
      <c r="A201" s="58" t="s">
        <v>642</v>
      </c>
      <c r="B201" s="57" t="s">
        <v>635</v>
      </c>
      <c r="C201" s="58">
        <v>8</v>
      </c>
      <c r="D201" s="58">
        <v>233</v>
      </c>
      <c r="E201" s="58">
        <v>241</v>
      </c>
    </row>
    <row r="202" spans="1:5" x14ac:dyDescent="0.25">
      <c r="A202" s="58" t="s">
        <v>642</v>
      </c>
      <c r="B202" s="57" t="s">
        <v>635</v>
      </c>
      <c r="C202" s="58">
        <v>9</v>
      </c>
      <c r="D202" s="58">
        <v>234</v>
      </c>
      <c r="E202" s="58">
        <v>242</v>
      </c>
    </row>
    <row r="203" spans="1:5" x14ac:dyDescent="0.25">
      <c r="A203" s="58" t="s">
        <v>642</v>
      </c>
      <c r="B203" s="57" t="s">
        <v>635</v>
      </c>
      <c r="C203" s="58">
        <v>10</v>
      </c>
      <c r="D203" s="58">
        <v>234</v>
      </c>
      <c r="E203" s="58">
        <v>242</v>
      </c>
    </row>
    <row r="204" spans="1:5" x14ac:dyDescent="0.25">
      <c r="A204" s="58" t="s">
        <v>642</v>
      </c>
      <c r="B204" s="57" t="s">
        <v>635</v>
      </c>
      <c r="C204" s="58">
        <v>11</v>
      </c>
      <c r="D204" s="58">
        <v>234</v>
      </c>
      <c r="E204" s="58">
        <v>242</v>
      </c>
    </row>
    <row r="205" spans="1:5" x14ac:dyDescent="0.25">
      <c r="A205" s="58" t="s">
        <v>642</v>
      </c>
      <c r="B205" s="57" t="s">
        <v>635</v>
      </c>
      <c r="C205" s="58">
        <v>12</v>
      </c>
      <c r="D205" s="58">
        <v>234</v>
      </c>
      <c r="E205" s="58">
        <v>242</v>
      </c>
    </row>
    <row r="206" spans="1:5" x14ac:dyDescent="0.25">
      <c r="A206" s="58" t="s">
        <v>642</v>
      </c>
      <c r="B206" s="57" t="s">
        <v>635</v>
      </c>
      <c r="C206" s="58">
        <v>13</v>
      </c>
      <c r="D206" s="58">
        <v>232</v>
      </c>
      <c r="E206" s="58">
        <v>241</v>
      </c>
    </row>
    <row r="207" spans="1:5" x14ac:dyDescent="0.25">
      <c r="A207" s="58" t="s">
        <v>642</v>
      </c>
      <c r="B207" s="57" t="s">
        <v>635</v>
      </c>
      <c r="C207" s="58">
        <v>14</v>
      </c>
      <c r="D207" s="58">
        <v>231</v>
      </c>
      <c r="E207" s="58">
        <v>239</v>
      </c>
    </row>
    <row r="208" spans="1:5" x14ac:dyDescent="0.25">
      <c r="A208" s="58" t="s">
        <v>642</v>
      </c>
      <c r="B208" s="57" t="s">
        <v>635</v>
      </c>
      <c r="C208" s="58">
        <v>15</v>
      </c>
      <c r="D208" s="58">
        <v>231</v>
      </c>
      <c r="E208" s="58">
        <v>239</v>
      </c>
    </row>
    <row r="209" spans="1:5" x14ac:dyDescent="0.25">
      <c r="A209" s="58" t="s">
        <v>642</v>
      </c>
      <c r="B209" s="57" t="s">
        <v>635</v>
      </c>
      <c r="C209" s="58">
        <v>16</v>
      </c>
      <c r="D209" s="58">
        <v>231</v>
      </c>
      <c r="E209" s="58">
        <v>239</v>
      </c>
    </row>
    <row r="210" spans="1:5" x14ac:dyDescent="0.25">
      <c r="A210" s="58" t="s">
        <v>642</v>
      </c>
      <c r="B210" s="57" t="s">
        <v>635</v>
      </c>
      <c r="C210" s="58">
        <v>17</v>
      </c>
      <c r="D210" s="58">
        <v>231</v>
      </c>
      <c r="E210" s="58">
        <v>241</v>
      </c>
    </row>
    <row r="211" spans="1:5" x14ac:dyDescent="0.25">
      <c r="A211" s="58" t="s">
        <v>642</v>
      </c>
      <c r="B211" s="57" t="s">
        <v>635</v>
      </c>
      <c r="C211" s="58">
        <v>18</v>
      </c>
      <c r="D211" s="58">
        <v>232</v>
      </c>
      <c r="E211" s="58">
        <v>242</v>
      </c>
    </row>
    <row r="212" spans="1:5" x14ac:dyDescent="0.25">
      <c r="A212" s="58" t="s">
        <v>642</v>
      </c>
      <c r="B212" s="57" t="s">
        <v>635</v>
      </c>
      <c r="C212" s="58">
        <v>19</v>
      </c>
      <c r="D212" s="58">
        <v>232</v>
      </c>
      <c r="E212" s="58">
        <v>241</v>
      </c>
    </row>
    <row r="213" spans="1:5" x14ac:dyDescent="0.25">
      <c r="A213" s="58" t="s">
        <v>642</v>
      </c>
      <c r="B213" s="57" t="s">
        <v>635</v>
      </c>
      <c r="C213" s="58">
        <v>20</v>
      </c>
      <c r="D213" s="58">
        <v>231</v>
      </c>
      <c r="E213" s="58">
        <v>240</v>
      </c>
    </row>
    <row r="214" spans="1:5" x14ac:dyDescent="0.25">
      <c r="A214" s="58" t="s">
        <v>642</v>
      </c>
      <c r="B214" s="57" t="s">
        <v>635</v>
      </c>
      <c r="C214" s="58">
        <v>21</v>
      </c>
      <c r="D214" s="58">
        <v>230</v>
      </c>
      <c r="E214" s="58">
        <v>239</v>
      </c>
    </row>
    <row r="215" spans="1:5" x14ac:dyDescent="0.25">
      <c r="A215" s="58" t="s">
        <v>642</v>
      </c>
      <c r="B215" s="57" t="s">
        <v>635</v>
      </c>
      <c r="C215" s="58">
        <v>22</v>
      </c>
      <c r="D215" s="58">
        <v>229</v>
      </c>
      <c r="E215" s="58">
        <v>239</v>
      </c>
    </row>
    <row r="216" spans="1:5" x14ac:dyDescent="0.25">
      <c r="A216" s="58" t="s">
        <v>642</v>
      </c>
      <c r="B216" s="57" t="s">
        <v>635</v>
      </c>
      <c r="C216" s="58">
        <v>23</v>
      </c>
      <c r="D216" s="58">
        <v>229</v>
      </c>
      <c r="E216" s="58">
        <v>239</v>
      </c>
    </row>
    <row r="217" spans="1:5" x14ac:dyDescent="0.25">
      <c r="A217" s="58" t="s">
        <v>642</v>
      </c>
      <c r="B217" s="57" t="s">
        <v>635</v>
      </c>
      <c r="C217" s="58">
        <v>24</v>
      </c>
      <c r="D217" s="58">
        <v>229</v>
      </c>
      <c r="E217" s="58">
        <v>239</v>
      </c>
    </row>
  </sheetData>
  <sheetProtection algorithmName="SHA-512" hashValue="ooLCWnIq+IC47toYiKr+K8a/KKl3PyQkBLe0JxTALb7ZsueG2CewoY6qX968TSuQga3qyaKudBWVKVTCON6/4w==" saltValue="BwMGglzhVgwnu6oAUHbrMA==" spinCount="100000" sheet="1" formatCells="0" formatColumns="0" formatRows="0" insertColumns="0" insertRows="0" insertHyperlinks="0" deleteColumns="0" deleteRows="0" autoFilter="0" pivotTables="0"/>
  <pageMargins left="0.7" right="0.7" top="0.75" bottom="0.75" header="0.3" footer="0.3"/>
  <headerFooter>
    <oddFooter xml:space="preserve">&amp;L_x000D_&amp;1#&amp;"Aptos"&amp;12&amp;K000000 Información Pública.        Todos los derechos reservados para XM S.A E.S.P.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9BBC90FE8135F478CD3601E6B8AC07A" ma:contentTypeVersion="18" ma:contentTypeDescription="Crear nuevo documento." ma:contentTypeScope="" ma:versionID="22769f3a9448c79ea074952d1cef6cd4">
  <xsd:schema xmlns:xsd="http://www.w3.org/2001/XMLSchema" xmlns:xs="http://www.w3.org/2001/XMLSchema" xmlns:p="http://schemas.microsoft.com/office/2006/metadata/properties" xmlns:ns2="989b1e11-a068-4583-a6a1-cc1405ad85f9" xmlns:ns3="f1512734-388f-43f9-bff2-293896e39176" targetNamespace="http://schemas.microsoft.com/office/2006/metadata/properties" ma:root="true" ma:fieldsID="19c800eaca6e67951928cb295bc32068" ns2:_="" ns3:_="">
    <xsd:import namespace="989b1e11-a068-4583-a6a1-cc1405ad85f9"/>
    <xsd:import namespace="f1512734-388f-43f9-bff2-293896e3917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gestionad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9b1e11-a068-4583-a6a1-cc1405ad8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74ade5ec-1dc6-4b12-84e9-18d8060fcf9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gestionado" ma:index="25" nillable="true" ma:displayName="gestionado" ma:default="1" ma:format="Dropdown" ma:internalName="gestionado">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f1512734-388f-43f9-bff2-293896e39176"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5cd68d27-7522-4f3b-81d6-a03916c5a055}" ma:internalName="TaxCatchAll" ma:showField="CatchAllData" ma:web="f1512734-388f-43f9-bff2-293896e391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1512734-388f-43f9-bff2-293896e39176" xsi:nil="true"/>
    <lcf76f155ced4ddcb4097134ff3c332f xmlns="989b1e11-a068-4583-a6a1-cc1405ad85f9">
      <Terms xmlns="http://schemas.microsoft.com/office/infopath/2007/PartnerControls"/>
    </lcf76f155ced4ddcb4097134ff3c332f>
    <gestionado xmlns="989b1e11-a068-4583-a6a1-cc1405ad85f9">true</gestionado>
  </documentManagement>
</p:properties>
</file>

<file path=customXml/itemProps1.xml><?xml version="1.0" encoding="utf-8"?>
<ds:datastoreItem xmlns:ds="http://schemas.openxmlformats.org/officeDocument/2006/customXml" ds:itemID="{6619355B-30C8-43FF-9878-E3F868AE6A8F}">
  <ds:schemaRefs>
    <ds:schemaRef ds:uri="http://schemas.microsoft.com/sharepoint/v3/contenttype/forms"/>
  </ds:schemaRefs>
</ds:datastoreItem>
</file>

<file path=customXml/itemProps2.xml><?xml version="1.0" encoding="utf-8"?>
<ds:datastoreItem xmlns:ds="http://schemas.openxmlformats.org/officeDocument/2006/customXml" ds:itemID="{EBC84782-8514-4EAB-9E49-5AC646E791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9b1e11-a068-4583-a6a1-cc1405ad85f9"/>
    <ds:schemaRef ds:uri="f1512734-388f-43f9-bff2-293896e391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839EDED-8A11-4A6D-B47E-E6AF67B7BF93}">
  <ds:schemaRefs>
    <ds:schemaRef ds:uri="http://purl.org/dc/elements/1.1/"/>
    <ds:schemaRef ds:uri="http://purl.org/dc/terms/"/>
    <ds:schemaRef ds:uri="http://schemas.microsoft.com/office/2006/metadata/properties"/>
    <ds:schemaRef ds:uri="http://schemas.microsoft.com/office/infopath/2007/PartnerControls"/>
    <ds:schemaRef ds:uri="http://purl.org/dc/dcmitype/"/>
    <ds:schemaRef ds:uri="f1512734-388f-43f9-bff2-293896e39176"/>
    <ds:schemaRef ds:uri="989b1e11-a068-4583-a6a1-cc1405ad85f9"/>
    <ds:schemaRef ds:uri="http://schemas.microsoft.com/office/2006/documentManagement/types"/>
    <ds:schemaRef ds:uri="http://schemas.openxmlformats.org/package/2006/metadata/core-properties"/>
    <ds:schemaRef ds:uri="http://www.w3.org/XML/1998/namespace"/>
  </ds:schemaRefs>
</ds:datastoreItem>
</file>

<file path=docMetadata/LabelInfo.xml><?xml version="1.0" encoding="utf-8"?>
<clbl:labelList xmlns:clbl="http://schemas.microsoft.com/office/2020/mipLabelMetadata">
  <clbl:label id="{6e564f96-8130-4c93-87c9-9b17f8a5a25b}" enabled="1" method="Privileged" siteId="{c980e410-0b5c-48bc-bd1a-8b91cabc84bc}"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2</vt:i4>
      </vt:variant>
    </vt:vector>
  </HeadingPairs>
  <TitlesOfParts>
    <vt:vector size="22" baseType="lpstr">
      <vt:lpstr>LEEME</vt:lpstr>
      <vt:lpstr>LimitesImport</vt:lpstr>
      <vt:lpstr>Restricciones</vt:lpstr>
      <vt:lpstr>Restricciones SDL</vt:lpstr>
      <vt:lpstr>Restricciones nuevas</vt:lpstr>
      <vt:lpstr>Restricciones_Futuras</vt:lpstr>
      <vt:lpstr>Restricciones_Eliminadas</vt:lpstr>
      <vt:lpstr>ReqUnidades_Caribe2</vt:lpstr>
      <vt:lpstr>ReqUnidades_Suroccidental</vt:lpstr>
      <vt:lpstr>ReqUnidades_BoyacaCasanare</vt:lpstr>
      <vt:lpstr>ReqUnidades_NSantander</vt:lpstr>
      <vt:lpstr>ReqUnidades_Antioquia</vt:lpstr>
      <vt:lpstr>ReqUnidades_Oriental</vt:lpstr>
      <vt:lpstr>DemandaMínima</vt:lpstr>
      <vt:lpstr>EquivUnid</vt:lpstr>
      <vt:lpstr>Tensiones</vt:lpstr>
      <vt:lpstr>Info_Elems_Condiciones</vt:lpstr>
      <vt:lpstr>Graficas</vt:lpstr>
      <vt:lpstr>RADIALIDADES</vt:lpstr>
      <vt:lpstr>Bandas VQC</vt:lpstr>
      <vt:lpstr>EquivUnid!_Hlk45015439</vt:lpstr>
      <vt:lpstr>Restricciones!_Hlk75254411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Tabla de restricciones IPOEL_II_2026</dc:title>
  <dc:subject>Tabla de restricciones IPOEMP</dc:subject>
  <dc:creator>XM S.A. E.S.P.</dc:creator>
  <cp:keywords>Tabla de restricciones IPOEL_II_2026</cp:keywords>
  <dc:description/>
  <cp:lastModifiedBy>Daniel Lindo</cp:lastModifiedBy>
  <cp:revision/>
  <dcterms:created xsi:type="dcterms:W3CDTF">2020-12-08T01:26:50Z</dcterms:created>
  <dcterms:modified xsi:type="dcterms:W3CDTF">2026-08-31T01:43:11Z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0x01010069BBC90FE8135F478CD3601E6B8AC07A</vt:lpwstr>
  </property>
  <property fmtid="{D5CDD505-2E9C-101B-9397-08002B2CF9AE}" pid="3" name="MediaServiceImageTags">
    <vt:lpwstr/>
  </property>
</Properties>
</file>