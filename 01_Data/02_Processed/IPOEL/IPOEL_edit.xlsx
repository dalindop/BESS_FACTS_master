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2_Processed\IPOEL\"/>
    </mc:Choice>
  </mc:AlternateContent>
  <xr:revisionPtr revIDLastSave="0" documentId="13_ncr:1_{718DA82E-E7DD-4B7F-9569-F49381D3E4F4}" xr6:coauthVersionLast="47" xr6:coauthVersionMax="47" xr10:uidLastSave="{00000000-0000-0000-0000-000000000000}"/>
  <bookViews>
    <workbookView xWindow="-120" yWindow="-120" windowWidth="29040" windowHeight="15720" activeTab="1" xr2:uid="{6808E6EC-DECD-4F7F-87B6-61FC448F7C13}"/>
  </bookViews>
  <sheets>
    <sheet name="LimitesImport" sheetId="3" r:id="rId1"/>
    <sheet name="Restricciones" sheetId="1" r:id="rId2"/>
  </sheets>
  <definedNames>
    <definedName name="_xlnm._FilterDatabase" localSheetId="1" hidden="1">Restricciones!$A$1:$P$200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E59EBF9C-501F-48AE-AA15-4131DA27A5B8}">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
3: En estado normal</t>
        </r>
      </text>
    </comment>
    <comment ref="P1" authorId="1" shapeId="0" xr:uid="{169D2646-2347-436A-96C5-6868019793F5}">
      <text>
        <r>
          <rPr>
            <b/>
            <sz val="9"/>
            <color indexed="81"/>
            <rFont val="Tahoma"/>
            <family val="2"/>
          </rPr>
          <t>0: Restricción operativa
1: Restricción eléctrica</t>
        </r>
        <r>
          <rPr>
            <sz val="9"/>
            <color indexed="81"/>
            <rFont val="Tahoma"/>
            <family val="2"/>
          </rPr>
          <t xml:space="preserve">
</t>
        </r>
      </text>
    </comment>
  </commentList>
</comments>
</file>

<file path=xl/sharedStrings.xml><?xml version="1.0" encoding="utf-8"?>
<sst xmlns="http://schemas.openxmlformats.org/spreadsheetml/2006/main" count="1926" uniqueCount="737">
  <si>
    <t>Paipa</t>
  </si>
  <si>
    <t>No aplica</t>
  </si>
  <si>
    <t>No hay obra de expansión definida en el horizonte de Mediano Plazo</t>
  </si>
  <si>
    <t>1. Mejorar el perfil de tensiones en Paipa 115 kV.
2. Programar unidades en Paipa.</t>
  </si>
  <si>
    <t xml:space="preserve">Demanda máxima. 
Baja generación en Paipa y en las menores conectadas en la S/E San Gil 115 kV y Oiba 115 kV. </t>
  </si>
  <si>
    <t>NO</t>
  </si>
  <si>
    <t>Mesa del Sol - Piedecuesta 1 115k V / baja tensión en Mesa del Sol 115 kV, San Gil 115 kV, Oiba 115 kV</t>
  </si>
  <si>
    <t>Santander</t>
  </si>
  <si>
    <t>Nordeste</t>
  </si>
  <si>
    <t>Tasajero1 y 2.
Guavio.
Porce III.
San Carlos.</t>
  </si>
  <si>
    <t>Generación en el norte del país</t>
  </si>
  <si>
    <t xml:space="preserve">1. Subir generación en Nordeste, Antioquia y Oriental, preferiblemente en Tasajero, Guavio, San Carlos o Porce III.
2. Disminuir generación en el norte del país. </t>
  </si>
  <si>
    <t xml:space="preserve">Demanda máxima, media y mínima.
Alta generación en el norte del país.
Baja generación en Oriental, Antioquia y Nordeste. </t>
  </si>
  <si>
    <t>"-Brk10097","+TrfOca5231"</t>
  </si>
  <si>
    <t>Interruptor 5M200 Ocaña 500 kV (Barra 2 a Barra 1) / Ocaña 1 500/230 kV</t>
  </si>
  <si>
    <t>Norte de Santander</t>
  </si>
  <si>
    <t>"-Brk10097","-Brk06615"</t>
  </si>
  <si>
    <t>Interruptor 5M200 Ocaña 500 kV (Barra 2 a Barra 1) / Interruptor 2B200 Ocaña 220 kV (Barra 2 a Barra 1)</t>
  </si>
  <si>
    <t>Tasajero1 y 2</t>
  </si>
  <si>
    <t>Programación de unidades mínimas en Norte de Santander</t>
  </si>
  <si>
    <t>Demanda máxima, media y mínima</t>
  </si>
  <si>
    <t>SI</t>
  </si>
  <si>
    <t>Ocaña - San Mateo 230 kV / bajas tensiones Norte de Santander</t>
  </si>
  <si>
    <t>Belén (Cúcuta) 230/115 kV / bajas tensiones Norte de Santander</t>
  </si>
  <si>
    <t>San Mateo - Sevilla 115 kV  / bajas tensiones Norte de Santander</t>
  </si>
  <si>
    <t>Se recomienda al OR evaluar la implementación de un esquema suplementario que desconecte un condensandor automaticamente cuando se tenga una sobretensión.</t>
  </si>
  <si>
    <t>Se recomienda operar con un solo paso la compensación en Tibú 115 kV para evitar altas tensiones en esta subestación ante la contingencia Tibú – Zulia 115 kV.</t>
  </si>
  <si>
    <t>Demanda máxima, media y mínima
En operación los dos capacitores en Tibú 115 kV</t>
  </si>
  <si>
    <t xml:space="preserve">Convención - Tibú 115 kV / altas tensiones en Tibú 115 kV  </t>
  </si>
  <si>
    <t xml:space="preserve">Tibú – Zulia 115 kV / altas tensiones en Tibú 115 kV  </t>
  </si>
  <si>
    <t>Paipa 4, Tasajero 1 y 2</t>
  </si>
  <si>
    <t>Termoyopal, Villanueva, Termomechero</t>
  </si>
  <si>
    <t xml:space="preserve">Evaluar la capacidad de transporte del circuito, ya que actualmente tiene capacidad de sobrecarga del 100%. </t>
  </si>
  <si>
    <t xml:space="preserve">No hay obra de expansión definida en el horizonte de Mediano Plazo </t>
  </si>
  <si>
    <t>1) Limitar generación en cualquiera de las siguientes plantas: Alta generación en Autog Argos 15MW, Autog Argos Sogamoso Menor Termobolivar y en MYopal 1, Termomechero 4, Termomechero 5, Termomechero 6,, Villanueva, Yopal 2, Yopal 3, Yopal 4, Yopal 5.</t>
  </si>
  <si>
    <t>Demanda máxima, media y mínima.
Alta generación en Boyacá - Casanare</t>
  </si>
  <si>
    <t>"+linChvAguc11","+LinSAnSmx11"</t>
  </si>
  <si>
    <t>Aguaclara - Chivor 1 115 kV / San Antonio - Suamox 1 115 kV</t>
  </si>
  <si>
    <t>Boyaca-Casanare</t>
  </si>
  <si>
    <t>Paipa 1 y 2</t>
  </si>
  <si>
    <t xml:space="preserve">Paipa 3 </t>
  </si>
  <si>
    <t xml:space="preserve">Incrementar generación en Paipa 1 y 2 115 kV, Yopal, Villanueva y Termomechero.
Incrementar generación en Oriental.
Abrir interruptor de acople de Paipa 115 kV. </t>
  </si>
  <si>
    <t>Demanda máxima y media en Oriental y Nordeste.
Baja generación en Paipa 1 y 2 115 kV, Yopal y Termomechero.
Baja generación en Oriental.</t>
  </si>
  <si>
    <t>"+TrfPai2171","-Brk07690"</t>
  </si>
  <si>
    <t>Paipa 1 220/115 180 MVA / Interruptor 1320 Paipa 115 kV (Barra 1-Sección 2 a Barra 1-Sección 1)</t>
  </si>
  <si>
    <t>Termoyopal y Paipas</t>
  </si>
  <si>
    <t>Programación de unidades mínimas en Boyacá Casanare</t>
  </si>
  <si>
    <t>Chivor - Agua Clara 115 kV / Bajas tensiones en Aguaclara 115 kV, Aguazul 115 kV, Yopal 115 kV</t>
  </si>
  <si>
    <t>Termoyopal y Termomechero</t>
  </si>
  <si>
    <t>Paipa 1,2,3,4</t>
  </si>
  <si>
    <r>
      <t xml:space="preserve">PTRA18507 </t>
    </r>
    <r>
      <rPr>
        <sz val="10"/>
        <color theme="1"/>
        <rFont val="Arial"/>
        <family val="2"/>
      </rPr>
      <t>Repotenciación Anillo Suamox - San Antonio 115 kV</t>
    </r>
  </si>
  <si>
    <t>Subir generación en Termoyopal, Villanueva y Termomechero es la acción mas efectiva
Limitar generación en Paipa 1-4 y Tasajero</t>
  </si>
  <si>
    <t>Demanda máxima y media.
* Baja Generación en Boyacá - Casanare, exceptuando la generación en Paipa.
* Alta Generación en Paipa 4 y Tasajero.</t>
  </si>
  <si>
    <t>"-linChvAguc11","-LinSAnSmx11"</t>
  </si>
  <si>
    <t>Chivor - Agua Clara 115 kV /Suamox - San Antonio 115 kV</t>
  </si>
  <si>
    <t>"-LinSAnScg11","-LinSAnSmx11"</t>
  </si>
  <si>
    <t>Sochagota - San Antonio 1 115 kV / Suamox - San Antonio 1 115 kV</t>
  </si>
  <si>
    <t>Paipa 4, Tasajero 1  y 2</t>
  </si>
  <si>
    <t>Subir generación en Termoyopal, Villanueva y Termomechero es la acción mas efectiva
Limitar generación en Paipa 4 y Tasajero</t>
  </si>
  <si>
    <t>"-LinSAnSmx11","-LinApaSmx11"</t>
  </si>
  <si>
    <t>Suamox - San Antonio 1 115 kV / Suamox - Belencito 1 115 kV</t>
  </si>
  <si>
    <t>"-LinApaSmx11","-LinSAnSmx11"</t>
  </si>
  <si>
    <t xml:space="preserve"> Suamox - Belencito 1 115 kV / Suamox - San Antonio 1 115 kV</t>
  </si>
  <si>
    <t>Termoyopal, Termomechero</t>
  </si>
  <si>
    <t>1) Limitar generación en cualquiera de las siguientes plantas: Alta generación en Autog Argos 15MW, Autog Argos Sogamoso Menor Termobolivar y en MYopal 1, Termomechero 4, Termomechero 5, Termomechero 6, Yopal 2, Yopal 3, Yopal 4, Yopal 5.
2) Incrementar generación en Paipa 4 y Tasajero</t>
  </si>
  <si>
    <t xml:space="preserve">Demanda máxima, media y mínima.
Alta generación en Boyacá - Casanare, exceptuando la generación en Paipa
Baja generación en Tasajero.  </t>
  </si>
  <si>
    <t>"-LinSAnApa11","+LinSAnSmx11"</t>
  </si>
  <si>
    <t xml:space="preserve"> San Antonio - Belencito 1 115 kV / San Antonio - Suamox 1 115 kV </t>
  </si>
  <si>
    <t>1) Limitar generación en cualquiera de las siguientes plantas: Alta generación en Autog Argos 15MW, Autog Argos Sogamoso Menor Termobolivar y en MYopal 1, Termomechero 4, Termomechero 5, Termomechero 6, Yopal 2, Yopal 3, Yopal 4, Yopal 5.</t>
  </si>
  <si>
    <t>"-linAguAzu11","+LinSAnSmx11"</t>
  </si>
  <si>
    <t xml:space="preserve">Aguazul - Aguaclara 1 115 kV / San Antonio - Suamox 1 115 kV </t>
  </si>
  <si>
    <t>"-linAguYop11","+LinSAnSmx11"</t>
  </si>
  <si>
    <t xml:space="preserve">Yopal - Aguazul 1 115 kV / San Antonio - Suamox 1 115 kV </t>
  </si>
  <si>
    <t>Generación en S/E Puerto Gaitán 115 kV y Generación en Campobonito 115 kV</t>
  </si>
  <si>
    <t xml:space="preserve">Este escenario puede presentar problemas de estabilidad de tensión debido a la conexión de más de 100 MW entre plantas menores de generación (solar y gas), por lo tanto, la solución más directa corresponde a limitar genneración en Campobonito 115 kV y Puerto Gaitán 115 kV. </t>
  </si>
  <si>
    <t>Demanda máxima, media y mínima.
Con generación solar en las S/E Puerto Gaitán 115 kV y 34,5 kV. 
Con generación en Campobonito 115 kV.</t>
  </si>
  <si>
    <t xml:space="preserve">Campobonito - Puerto Lopez 1 115 kV / bajas tensiones en Puerto Gaitan 115 kV  Campobonito 115 kV y Puerto Lopez 115 kV. </t>
  </si>
  <si>
    <t>Meta</t>
  </si>
  <si>
    <t>Oriental</t>
  </si>
  <si>
    <t>Entrada de proyectos.</t>
  </si>
  <si>
    <t>PTRA00623</t>
  </si>
  <si>
    <r>
      <rPr>
        <b/>
        <sz val="10"/>
        <rFont val="Arial"/>
        <family val="2"/>
      </rPr>
      <t>Proyectos que reducen el impacto de la restricción: PTRA00623:</t>
    </r>
    <r>
      <rPr>
        <sz val="10"/>
        <rFont val="Arial"/>
        <family val="2"/>
      </rPr>
      <t xml:space="preserve"> Etapa 2 Traslado del segundo circuito Suria - Puerto Lopez 115 kV a Santa Helena - Puerto Lopez 115 kV</t>
    </r>
  </si>
  <si>
    <t xml:space="preserve">Controlar tensiones con los capacitores de la subárea. 
Controlar tensiones con los taps de los transformadores Santa Helena y La Reforma.
Limitar genneración en Campobonito 115 kV y Puerto Gaitán 115 kV. </t>
  </si>
  <si>
    <t xml:space="preserve">Suria - La Reforma 1 220 kV / altas tensiones en las S/E Santa Helena 115 kV, Santa Helena 220 kV, Ocoa 115 kV, Suria 220 kV, Suria 115 kV, Puerto Lopez 115 kV, Campobonito 115 kV y Puerto Gaitán 115 kV. </t>
  </si>
  <si>
    <t>Entrada de proyectos.
Evaluar la implementacion de un ESP</t>
  </si>
  <si>
    <t>En demanda máxima donde la subárea Meta importe energía, existen escenarios donde puede ser necesaria limitación en la demanda.</t>
  </si>
  <si>
    <t>Demanda máxima y media.
Sin generación solar en las S/E Puerto Gaitán 115 kV y 34,5 kV. 
Sin generación en Campobonito 115 kV.</t>
  </si>
  <si>
    <t>Puerto Lopez - Suria 2 115 kV / bajas tensiones en Puerto Gaitan 115 kV, Campobonito 115 kV, Puerto Lopez 115 kV</t>
  </si>
  <si>
    <t>Puerto Lopez - Suria 1 115 kV / bajas tensiones en Puerto Gaitan 115 kV, Campobonito 115 kV, Puerto Lopez 115 kV</t>
  </si>
  <si>
    <t>Puerto Lopez - Campobonito1 115 /  bajas tensiones en Puerto Gaitan 115 kV, Campobonito 115 kV, Puerto Lopez 115 kV, Suria 115 kV</t>
  </si>
  <si>
    <t>Campobonito - Puerto Gaitan 1 115 kV /  bajas tensiones en Puerto Gaitan 115 kV, Campobonito 115 kV, Puerto Lopez 115 kV, Suria 115 kV</t>
  </si>
  <si>
    <t>Puerto Lopez - Puerto Gaitan 1 115 kV / bajas tensiones en Puerto Gaitan 115 kV, Campobonito 115 kV, Puerto Lopez 115 kV, Suria 115 kV</t>
  </si>
  <si>
    <r>
      <rPr>
        <b/>
        <sz val="10"/>
        <rFont val="Arial"/>
        <family val="2"/>
      </rPr>
      <t>Proyectos que eliminan la restricción: PTRA00623:</t>
    </r>
    <r>
      <rPr>
        <sz val="10"/>
        <rFont val="Arial"/>
        <family val="2"/>
      </rPr>
      <t xml:space="preserve"> Etapa 2 Traslado del segundo circuito Suria - Puerto Lopez 115 kV a Santa Helena - Puerto Lopez 115 kV
</t>
    </r>
  </si>
  <si>
    <t>En demanda máxima donde la subárea Meta importe energía, existen escenarios donde puede ser necesaria limitación en la demanda</t>
  </si>
  <si>
    <t>"+LinSHeSur11"</t>
  </si>
  <si>
    <t xml:space="preserve">Santa Helena - Suria 115 kV </t>
  </si>
  <si>
    <t>Evaluar la pertinencia de disminuir el número y unidades en línea</t>
  </si>
  <si>
    <t>En línea un alto número de recursos de generación cercanos eléctricamente</t>
  </si>
  <si>
    <t>Agotamiento capacidad de cortocircuito de Veraguas 57.5 kV</t>
  </si>
  <si>
    <t>Bogotá</t>
  </si>
  <si>
    <t>Agotamiento capacidad de cortocircuito de Salitre 57.5 kV</t>
  </si>
  <si>
    <t>Agotamiento capacidad de cortocircuito de Mesa 220 kV</t>
  </si>
  <si>
    <t>Agotamiento capacidad de cortocircuito de Tunal 115 kV</t>
  </si>
  <si>
    <t>Agotamiento capacidad de cortocircuito de Salitre 115 kV</t>
  </si>
  <si>
    <t>Agotamiento capacidad de cortocircuito de Circo 115 kV</t>
  </si>
  <si>
    <t>Agotamiento capacidad de cortocircuito de Concordia 57.5 kV</t>
  </si>
  <si>
    <t>Agotamiento capacidad de cortocircuito de Gorgonzola 57.5 kV</t>
  </si>
  <si>
    <t>Guavio, Chivor</t>
  </si>
  <si>
    <t>Incrementar generación al interior de Oriental, siendo las más efectivas Guavio y Chivor</t>
  </si>
  <si>
    <t>Demanda máxima en el Meta
Baja generación en Oriental</t>
  </si>
  <si>
    <t>"+LinNEsSMa21","+TrfNvE5171"</t>
  </si>
  <si>
    <t>Nva Esperanza - San Mateo 1 230 kV / Nva Esperanza 3 500/115/11.4 kV</t>
  </si>
  <si>
    <t>Incrementar generación en Chivor y Guavio</t>
  </si>
  <si>
    <t>Demanda máxima en el Meta
Baja generación en Chivor y Guavio</t>
  </si>
  <si>
    <t>"-LinCirNEs21","+LinNEsSMa21"</t>
  </si>
  <si>
    <t>Nva Esperanza - Circo 1 230 kV / Nva Esperanza - San Mateo 1 230 kV</t>
  </si>
  <si>
    <t xml:space="preserve">Guavio, Chivor, Pagua, Zipa </t>
  </si>
  <si>
    <t>Controlar mediante taps de transformadores Bacatá 500/115 kV y compensación reactiva en la red de 115 kV. Si no es suficiente, incrementar generación al interior del área.</t>
  </si>
  <si>
    <t>Demanda máxima, media
Baja generación al interior del área Oriental</t>
  </si>
  <si>
    <t>"-Brk05478","+TrfBac5172"</t>
  </si>
  <si>
    <t>Acople 5M200 S/E Bacatá 500 kV (Barra 2 a Barra 1) / Bacata 2 500/120 kV</t>
  </si>
  <si>
    <t>"+TrfBac5171","+TrfBac5172"</t>
  </si>
  <si>
    <t>Bacata 1 500/120 kV  / Bacata 2 500/120 kV</t>
  </si>
  <si>
    <t>"+TrfBac5172","+TrfBac5171"</t>
  </si>
  <si>
    <t>Bacata 2 500/120 kV  / Bacata 1 500/120 kV</t>
  </si>
  <si>
    <t>Zipa, Dario Valencia, Guavio, Chivor, Paraíso y Guaca</t>
  </si>
  <si>
    <t xml:space="preserve">Transformador Nueva Esperanza 3 500/115/11.4 kV </t>
  </si>
  <si>
    <t>Incrementar generación al interior de Oriental</t>
  </si>
  <si>
    <t>"+TrfNvE5171"</t>
  </si>
  <si>
    <t>Nva Esperanza 3 500/115/11.4 kV</t>
  </si>
  <si>
    <t>"+TrfNvE5231","+TrfNvE5171"</t>
  </si>
  <si>
    <t>Nva Esperanza 1 500/230/13.8 kV / Nva Esperanza 3 500/115/11.4 kV</t>
  </si>
  <si>
    <t xml:space="preserve">Bajar los taps de los transformadores, buscando bajar la tensión en la S/E Balsillas 115 kV. </t>
  </si>
  <si>
    <t xml:space="preserve">Demanda máxima y media.
Alto transporte de reactivos por los transformadores.
</t>
  </si>
  <si>
    <t>"+TrfBal2171","+TrfBal2173"</t>
  </si>
  <si>
    <t>Balsillas 1 220/115/13.8 kV / Balsillas 3 220/115/13.8 kV</t>
  </si>
  <si>
    <t>TermoZipa</t>
  </si>
  <si>
    <t xml:space="preserve">Programar generación en TermoZipa </t>
  </si>
  <si>
    <t xml:space="preserve">Demanda máxima y media.
Baja generación en Oriental.
Sin generación en TermoZipa
</t>
  </si>
  <si>
    <t>Bacata - El Sol 115 kV  / bajas tensiones en S/Es de la  Sabana Norte de Bogotá</t>
  </si>
  <si>
    <t>Bacata - Chia 1 115 kV  / bajas tensiones en S/Es de la  Sabana Norte de Bogotá</t>
  </si>
  <si>
    <t>Noroeste - Tenjo 1 115 kV  /  bajas tensiones en S/Es de la  Sabana Norte de Bogotá</t>
  </si>
  <si>
    <t>Zipa</t>
  </si>
  <si>
    <t>Con Guateque Sesquilé 115 kV Abierto:
Incremento de generación en Zipa.
Mantener adecuado perfil de tensiones en el área y hacer uso de los compensadores existentes de la S/E Ubaté y El Sol 115 kV</t>
  </si>
  <si>
    <t>Guateque Sesquilé 115 kV Abierto.
Baja generación en Zipa.</t>
  </si>
  <si>
    <t>"+LinBacSol11","+LinChiDic11"</t>
  </si>
  <si>
    <t>Bacata - El Sol 1 115 kV / Chia - Diaco 1 115 kV</t>
  </si>
  <si>
    <t>Esta sobrecarga no es posible controlarla mediante balances de generación, por lo cual se recomienda operar con los capacitores encendidos, y en caso de no ser suficiente, considerar la desatención de demanda.</t>
  </si>
  <si>
    <t>Demanda máxima en la Sabana Norte
Demanda máxima en la Sabana  Norte y sin los capacitores de la S/E Ubaté 115 kV</t>
  </si>
  <si>
    <t>"+LinSolZip11"</t>
  </si>
  <si>
    <t xml:space="preserve">El Sol - Zipaquira 1 115 </t>
  </si>
  <si>
    <t>Chivor y Guavio</t>
  </si>
  <si>
    <t xml:space="preserve">Paipa, Yopal, Termomechero, Sogamoso, Merieléctrica </t>
  </si>
  <si>
    <t xml:space="preserve">* Con Guateque Sesquilé 115 kV Abierto:
Limitación de generación en Paipas, Termomechero y Yopal.
Incremento de generación en Chivor y Guavio.
Limitación Merielectrica, Sogamoso.
</t>
  </si>
  <si>
    <t xml:space="preserve">Guateque Sesquilé 115 kV Abierto.
Alta generación Nordeste: Paipa, Yopal, Termomechero, Tunjita, AutogeneradorGuavio, Sogamoso, Merielectrica y Tasajero.
Baja generación Oriental. </t>
  </si>
  <si>
    <t>"-TrfChv2171","-linGvioMamb11"</t>
  </si>
  <si>
    <t>Chivor 1 150 MVA 115/13.8/230 kV / Mambita - Guavio 1 115 kV</t>
  </si>
  <si>
    <t>"-TrfChv2171","-TrfGua217"</t>
  </si>
  <si>
    <t>Chivor 1 150 MVA 115/13.8/230 kV / Guavio 115/13.2/230 kV</t>
  </si>
  <si>
    <t>Zipa, Paipas, Yopal</t>
  </si>
  <si>
    <t xml:space="preserve">Chivor, Guavio </t>
  </si>
  <si>
    <t>Con Guateque Sesquilé 115 kV Cerrado:
Incremento de generación en Zipa es la acción más efectiva.
Incremento de generación en Paipas y Yopal.
Limitación de generación en Chivor y Guavio (son los recursos de menos sensibilidad al corte, pero debido a su CEN regulan el corte)</t>
  </si>
  <si>
    <t>Guateque Sesquilé 115 kV Cerrado.
Alta generación de Chivor, Guavio y menor Guavio.  Baja generación en Zipa, Yopal, Paipas y menor Tunjita</t>
  </si>
  <si>
    <t>"+LinChvTja11","+linGvioMamb11"</t>
  </si>
  <si>
    <t>Chivor - Tunjita 1 115 kV / Guavio – Mámbita 115 kV</t>
  </si>
  <si>
    <t>Chivor, Guavio, Paipas, Yopal</t>
  </si>
  <si>
    <t>Con Guateque Sesquilé 115 kV Cerrado:
Incremento de generación en Zipa es la acción más efectiva
Limitación de generación en Paipas y Yopal.
Limitación de generación en Chivor y Guavio (son los recursos de menos sensibilidad al corte, pero debido a su CEN regulan el corte)</t>
  </si>
  <si>
    <t>Guateque Sesquilé 115 kV Cerrado.
Alta generación de Chivor, Guavio, Yopal, Paipas, menor Tunjita y menor Guavio.  Baja generación en Zipa</t>
  </si>
  <si>
    <t>"+LinBacCh11","+linGuatSesq11"</t>
  </si>
  <si>
    <t>Bacatá-Chia 115 kV / Guateque-Sesquilé 115 kV</t>
  </si>
  <si>
    <t>Con Guateque Sesquilé 115 kV Cerrado:
Incremento de generación en Zipa es la acción más efectiva.
Limitación de generación en Paipas y Yopal.
Limitación de generación en Chivor y Guavio (son los recursos de menos sensibilidad al corte, pero debido a su CEN regulan el corte)</t>
  </si>
  <si>
    <t>"+linGuatSesq11"</t>
  </si>
  <si>
    <t>Sobrecarga Guateque – Sesquilé 115 kV</t>
  </si>
  <si>
    <t>Zipa, Paipas</t>
  </si>
  <si>
    <t>Chivor, Guavio, Yopal</t>
  </si>
  <si>
    <t>Con Guateque Sesquilé 115 kV Cerrado:
Incremento de generación en Zipa es la acción más efectiva.
Incremento en generación de Paipas.
Limitación de generación de Yopal.
Limitación de generación en Chivor y Guavio (son los recursos de menos sensibilidad al corte, pero debido a su CEN regulan el corte)</t>
  </si>
  <si>
    <t>Guateque Sesquilé 115 kV Cerrado.
Alta generación de Chivor, Guavio, Yopal, menor tunjita y menor Guavio.  Baja generación en Zipa y Paipas</t>
  </si>
  <si>
    <t>"+LinBacCh11","-LinGuaTja11"</t>
  </si>
  <si>
    <t>Bacatá-Chia 115 kV / Tunjita-Guateque 115 kV</t>
  </si>
  <si>
    <t>"-LinGuaTja11"</t>
  </si>
  <si>
    <t>Sobrecarga de Tunjita-Guateque 115 kV</t>
  </si>
  <si>
    <t>Paipas, Yopal y Zipas (Si cerrado)</t>
  </si>
  <si>
    <t>* Con Guateque Sesquilé 115 kV Abierto:
Incremento de generación en Paipas y Yopal.
Limitación de generación en Chivor y Guavio (son los recursos de menos sensibilidad al corte, pero debido a su CEN regulan el corte).
* Con Guateque Sesquilé 115 kV Cerrado:
Incremento de generación en Zipa, Paipas y Yopal.
Limitación de generación en Chivor y Guavio (son los recursos de menos sensibilidad al corte, pero debido a su CEN regulan el corte)</t>
  </si>
  <si>
    <t>Guateque Sesquilé 115 kV Abierto.
Alta generación de Chivor, menor Guavio y Guavio.  Baja generación en Yopal, Paipas y menor Tunjita</t>
  </si>
  <si>
    <t>"+TrfChv2171","+linGvioMamb11"</t>
  </si>
  <si>
    <t>Chivor 1 150 MVA 230/115/13.8 kV / Guavio - Mambita 1 115 kV</t>
  </si>
  <si>
    <t>Guateque Sesquilé 115 kV Abierto.
Alta generación de Chivor y Guavio.  Baja generación en Yopal, Paipas,  menor Guavio y menor Tunjita</t>
  </si>
  <si>
    <t>"+TrfChv2171","+TrfGua217"</t>
  </si>
  <si>
    <t>Chivor 1 150 MVA 230/115/13.8 kV / Guavio 230/115/13.2 kV</t>
  </si>
  <si>
    <t>Guavio, Paraíso, Guaca, Zipa, D Valencia y Etapa 2 de Chivor</t>
  </si>
  <si>
    <t>Etapa 1 de Chivor</t>
  </si>
  <si>
    <t>La acción más efectiva para mitigar el corte es balancear la generación entre las dos etapas de Chivor.
Adicionalmente, se recomienda aumentar la generación en los recursos Paraíso, Guaca, Guavio y bajar generación en Chivor y en las plantas de Nordeste.</t>
  </si>
  <si>
    <t>Escenarios con baja generación en las unidades Chivor 5 - 8, baja generación en Guavio y alta generación en las unidades Chivor 1 - 4</t>
  </si>
  <si>
    <t>"+Brk06467","+LinChvGvo22"</t>
  </si>
  <si>
    <t>S200 Chivor 230 kV (Barra 1-Sección 1 a Barra 1-Sección 2) / Chivor - Guavio 2 230 kV</t>
  </si>
  <si>
    <t>Betania, Miel</t>
  </si>
  <si>
    <t>Pagua, Darío Valencia, Chivor, Guavio</t>
  </si>
  <si>
    <t>Limitar generación en Pagua es la acción más efectiva.
Limitar generación en Darío Valencia</t>
  </si>
  <si>
    <t xml:space="preserve">Demanda mínima
Alta generción en Pagua, Darío Valencia y Oriental
Baja generación en Betania y Quimbo
Baja demanda en Guaca, San Mateo y Tunal
</t>
  </si>
  <si>
    <t>"+LinGcaLme22","+LinGcaLme21"</t>
  </si>
  <si>
    <t>Guaca - Mesa 2 230 kV / Guaca - Mesa 1 230 kV</t>
  </si>
  <si>
    <t>"+LinGcaLme21","+LinGcaLme22"</t>
  </si>
  <si>
    <t>Guaca - Mesa 1 230 kV / Guaca - Mesa 2 230 kV</t>
  </si>
  <si>
    <t>Paraiso, Guaca</t>
  </si>
  <si>
    <t>Limitar la generación en Paraíso y Guaca es la acción más efectiva.
Incremento de generación en Guavio y Chivor</t>
  </si>
  <si>
    <t>Demanda máxima, media
Alta generación en Paraíso y Guaca
Baja generación en Guavio y Chivor
Alta demanda en San Mateo, Barzal y Granada</t>
  </si>
  <si>
    <t>"-LinNEsPar21","-LinNEsPar22"</t>
  </si>
  <si>
    <t>Paraiso - Nva Esperanza 1 230 kV / Paraiso - Nva Esperanza 2 230 kV</t>
  </si>
  <si>
    <t>Limitar la generación en Paraíso y Guaca es la acción más efectiva
Incremento de generación en Guavio y Chivor</t>
  </si>
  <si>
    <t>"-LinNEsPar22","-LinNEsPar21"</t>
  </si>
  <si>
    <t>Paraiso - Nva Esperanza 2 230 kV / Paraiso - Nva Esperanza 1 230 kV</t>
  </si>
  <si>
    <t>Guavio</t>
  </si>
  <si>
    <t>Chivor</t>
  </si>
  <si>
    <t>Limitar la generación de Chivor.
Incremento de la generación en Guavio.
En caso de que sea asignado el AGC a la planta Chivor, se debe verificar el escenario de generación: Chivor = generación programada + holgura asignada.</t>
  </si>
  <si>
    <t>Demanda máxima, media, mínima
Alta generación en Chivor, Termoyopal y Paipa
Baja generación en Guavio, Pagua
Baja demanda en Rubiales y Guateque</t>
  </si>
  <si>
    <t>"+LinChvGvo21","+LinChvGvo22"</t>
  </si>
  <si>
    <t>Chivor - Guavio 1 230 kV / Chivor - Guavio 2 230 kV</t>
  </si>
  <si>
    <t>"+LinChvGvo22","+LinChvGvo21"</t>
  </si>
  <si>
    <t xml:space="preserve">Chivor - Guavio 2 230 kV / Chivor - Guavio 1 230 kV </t>
  </si>
  <si>
    <t>Generación en Oriental</t>
  </si>
  <si>
    <t xml:space="preserve">Programar generación en TermoZipa o Pagua para mejorar tensiones en los nodos de la Sabana Norte, Villeta y nodos radiales del Meta. </t>
  </si>
  <si>
    <t>Primavera - Bacata 1 500 kV  / Bajas tensiones en las 
subestaciones a 115 kV Simijaca, Ubaté, Peldar, Zipaquirá, Sesquilé, Termozipa, Diaco, Gran Sabana, Villeta, Puerto Gaitan  y San José del Guaviare</t>
  </si>
  <si>
    <t>Termoemcali, Termovalle, Betania, Quimbo, Alto Anchicayá. Salvajina</t>
  </si>
  <si>
    <t>Calima, solares y menores conectadas en Palmaseca, Buga, Tulua y Zarzal.</t>
  </si>
  <si>
    <t>- Reducir generación en subestaciones Buga, Tulua, Calima, Zarzal y en frontera de Valle con CQR
- Aumentar generación en Termovalle, Termoemcali, Betania, Quimbo, Alto Anchicayá, Salvajina
- Reducir la exportación a Ecuador</t>
  </si>
  <si>
    <t>Todos los escenarios de demanda.
Alta generación en subestaciones Buga, Tulua, Calima, Zarzal y en frontera con CQR, 
Baja generación en Termovalle, Termoemcali, Betania, Quimbo, Alto Anchicayá, Salvajina y alta exportación a Ecuador.</t>
  </si>
  <si>
    <t>"+LinBugVij11","+CI0585"</t>
  </si>
  <si>
    <t xml:space="preserve">Buga - Vijes 115 kV / Buga - San Marcos 115 kV </t>
  </si>
  <si>
    <t>Valle</t>
  </si>
  <si>
    <t>Suroccidental</t>
  </si>
  <si>
    <t>Todos los escenarios de demanda.
Alta generación en subestaciones Buga, Tulua, Calima, Zarzal y en frontera de Valle con CQR.
Baja generación en Termovalle, Termoemcali, Betania, Quimbo, Alto Anchicayá, Salvajina y alta exportación a Ecuador.</t>
  </si>
  <si>
    <t>"+CI0585","+LinBugVij11"</t>
  </si>
  <si>
    <t>Buga - San Marcos 115 kV / Buga - Vijes 115 kV</t>
  </si>
  <si>
    <t>Betania, Quimbo, Alto Anchicayá. Salvajina</t>
  </si>
  <si>
    <t>Termoemcali, Termovalle, Calima, solares y menores conectadas en Palmaseca, Buga, Tulua y Zarzal.</t>
  </si>
  <si>
    <t>- Reducir generación en Termoemcali, Termovalle, Calima, solares y menores conectadas en Palmaseca, Buga, Tulua y Zarzal.
- Aumentar generación en Betania, Quimbo, Alto Anchicayá. Salvajina
- Reducir la exportación a Ecuador</t>
  </si>
  <si>
    <t xml:space="preserve">Todos los escenarios de demanda.
Alta generación en Termoemcali, Termovalle, Calima, solares y menores conectadas en Palmaseca, Buga, Tulua y Zarzal. 
Baja generación en Betania, Quimbo, Alto Anchicayá. Salvajina y alta exportación a Ecuador.  </t>
  </si>
  <si>
    <t>"-LinEstPal12","-LinEstPal11"</t>
  </si>
  <si>
    <t>Palmaseca - Estambul 2 115 kV / Palmaseca - Estambul 1 115 kV</t>
  </si>
  <si>
    <t>"-LinEstPal11","-LinEstPal12"</t>
  </si>
  <si>
    <t xml:space="preserve">Palmaseca - Estambul 1 115 kV / Palmaseca  - Estambul 2 115 kV </t>
  </si>
  <si>
    <t>Calima
PCH Alto Tuluá
PCH Bajo Tuluá</t>
  </si>
  <si>
    <t>Termovalle, Emcali, Betania, Quimbo</t>
  </si>
  <si>
    <t xml:space="preserve">No hay obra de expansión definida en el horizonte de mediano plazo </t>
  </si>
  <si>
    <t>"+CI0590","+CI0589"</t>
  </si>
  <si>
    <t>Guachal - San Marcos 2 115 kV / Guachal - San Marcos 1 115 kV</t>
  </si>
  <si>
    <t>- Dado que la restricción puede activarse por flujo de potencia reactiva, considerar modificar la consigna de tensión en Termovalle.
- Reducir generación en Termovalle, Termoemcali, Betania, Quimbo
- Aumentar la generación en Calima
- Reducir la importación de energía de ECuador</t>
  </si>
  <si>
    <t>Demanda media y baja con alta generación en Termovalle, Termoemcali, Betania, Quimbo, alta importación desde Ecuador y baja generación en Calima</t>
  </si>
  <si>
    <t>"+CI0589","+CI0590"</t>
  </si>
  <si>
    <t>Guachal - San Marcos 1 115 kV / Guachal - San Marcos 2 115 kV</t>
  </si>
  <si>
    <t>Solar La Victoria
Ingenio Rio Paila
Calima
Termovalle</t>
  </si>
  <si>
    <t>- Reducir generación en Rio Paila, Solar La Victoria (generación reflejada en Zarzal 115 kV)
- Reducir generación en Calima
- Reducir generación de las plantas conectadas o reflejadas en Tuluá
- Reducir generación en Termovalle
- Reducir generación en Alto Anchicayá</t>
  </si>
  <si>
    <t>Demanda baja con alta generación en las fuentes dispuestas en la subestación Zarzal como Rio Paila, Solar La Victoriam Solar La Paila, alta generación en Calima, centrales dispuestas en Tuluá y Termovalle</t>
  </si>
  <si>
    <t>"-CI0823","-CI0107"</t>
  </si>
  <si>
    <t>Zarzal - La Unión 115 kV / Zarzal - Cartago 115 kV</t>
  </si>
  <si>
    <t>Termovalle
Salvajina
Betania
Alto Anchicayá</t>
  </si>
  <si>
    <t>En orden impacto, se tiene:
- Aumentar generación en Calima
- Aumentar generación de las centrales dispuestas en Tuluá y Zarzal
- Disminuir generación en Termovalle
- Disminuir generación en Alto Anchicayá</t>
  </si>
  <si>
    <t>Alta demanda con baja generación en Calima y en el parque de generación dispuesto en las subestaciones Tuluá y Zarzal. Adicionalmente, alta generación en Termovalle, Alto Anchicayá, Salvajina, Betania y Quimbo</t>
  </si>
  <si>
    <t>"-CI0585","+LinSMaVij11"</t>
  </si>
  <si>
    <t>San Marcos - Buga 115 kV / San Marcos 1 - Vijes 115 kV</t>
  </si>
  <si>
    <t>Betania 1 y 2</t>
  </si>
  <si>
    <t>Betania 3, Quimbo, Termoemcali y Termovalle</t>
  </si>
  <si>
    <r>
      <rPr>
        <sz val="10"/>
        <color theme="1"/>
        <rFont val="Arial"/>
        <family val="2"/>
      </rPr>
      <t>Los siguientes proyectos permiten mitigar mas no eliminar la restricción (la nueva generación prevista vuelve a activarla)</t>
    </r>
    <r>
      <rPr>
        <b/>
        <sz val="10"/>
        <color theme="1"/>
        <rFont val="Arial"/>
        <family val="2"/>
      </rPr>
      <t xml:space="preserve">
- PROG08336: Campoalaegre Solar
- PTRA09586 y PTRA03843 (Huila 230/115 kV)</t>
    </r>
  </si>
  <si>
    <t>Reducir importaciones desde Ecuador
- Reducir generación en Quimbo
- Aumentar generación en Betania 1 y 2
- Disminuir generación en Betania 3</t>
  </si>
  <si>
    <t>Todos los escenarios de demanda. Alta generación en Betania 3 y Baja generación en Betania 1 y 2. Alta importación desde Ecuador. Alta generación en Quimbo, Termovalle y TermoEmcali.</t>
  </si>
  <si>
    <t>"-Brk06466","+CI0006"</t>
  </si>
  <si>
    <t>Interruptor S200 Betania 220 kV (Barra 1-Sección 2 a Barra 1-Sección 1) / Altamira - Hobo 115 kV</t>
  </si>
  <si>
    <t>Caquetá</t>
  </si>
  <si>
    <r>
      <rPr>
        <sz val="10"/>
        <color theme="1"/>
        <rFont val="Arial"/>
        <family val="2"/>
      </rPr>
      <t>Los siguientes proyectos permiten mitigar mas no eliminar la restricción (la nueva generación prevista vuelve a activarla)</t>
    </r>
    <r>
      <rPr>
        <b/>
        <sz val="10"/>
        <color theme="1"/>
        <rFont val="Arial"/>
        <family val="2"/>
      </rPr>
      <t xml:space="preserve">
- PROG08336: Campoalaegre Solar
- PROG05798: Primavera
- PTRA09586 y PTRA03843 (Huila 230/115 kV)</t>
    </r>
  </si>
  <si>
    <t xml:space="preserve">Reducir exportaciones a Ecuador
- Aumentar generación en Quimbo
- Disminuir generación en Betania 1 y 2
- Aumentar generación en Betania 3 </t>
  </si>
  <si>
    <t>Todos los escenarios de demanda. Alta generación en Betania 1 y 2 y Baja generación en Betania 3. Alta exportación hacia Ecuador. Baja generación en Quimbo, Termovalle y TermoEmcali.</t>
  </si>
  <si>
    <t>"+Brk06466","+CI0062"</t>
  </si>
  <si>
    <t>Interruptor S200 Betania 220 kV (Barra 1-Sección 1 a Barra 1-Sección 2) / Betania - Hobo 115 kV</t>
  </si>
  <si>
    <t>Amoya, Cucuana y Prado</t>
  </si>
  <si>
    <t>Quimbo, Betania</t>
  </si>
  <si>
    <t>"+CI0063","+LinBetSur11"</t>
  </si>
  <si>
    <t>Betania - El Bote 1 115 k V / Betania - Sur 1 115 kV</t>
  </si>
  <si>
    <t>Huila-Tolima</t>
  </si>
  <si>
    <t>El siguiente proyecto permite mitigar mas no eliminar las restricciones:
- PTRA09586 y PTRA03843 (Huila 230/115 kV)</t>
  </si>
  <si>
    <t>"+LinBetSbr11","+LinBetSur11"</t>
  </si>
  <si>
    <t>Betania - TSeboruco 1 115 k V / Betania - Sur 1 115 kV</t>
  </si>
  <si>
    <t>PTRA09586 y PTRA03843 (Huila 230/115 kV)</t>
  </si>
  <si>
    <t xml:space="preserve">La acción más efectiva para mitigar este corte es aumentar la generación en Prado, de igual manera se recomienda realizar los siguientes balances de generación:
- Bajar la generación en Betania y Quimbo, bajar la importación desde Ecuador y bajar la generación en el Valle
- Subir la generación menor de la subárea Huila -Tolima y subir la generación en Oriental </t>
  </si>
  <si>
    <t>Demandas máxima, media y mínima, en escenarios de alta generación en Betania, Quimbo, alta importación desde Ecuador, baja generación en el área oriental y alta generación en el Valle, baja generación a nivel de 115 kV en Huila-Tolima, Prado, Amoyá y Cucuana.</t>
  </si>
  <si>
    <t>"+TrfBet2175","+TrfBet2174"</t>
  </si>
  <si>
    <t>Betania 2 230/115 kV / Betania 1 230/115 kV</t>
  </si>
  <si>
    <t>Cualquier recurso diferente a Betania, Quimbo, Amoyá y Cucuana</t>
  </si>
  <si>
    <t>Betania, Quimbo, Amoyá y Cucuana</t>
  </si>
  <si>
    <t>La acción que mejor controla este corte es limitar la importación desde Ecuador. De igual manera, se puede balancear generación de la siguiente manera:
- Bajar la generación en Betania y Quimbo
- Subir la generación en Salvajina, Termoemcali, Termovalle, Alto Anchicayá y Calima.</t>
  </si>
  <si>
    <t>Demandas máxima, media y mínima, alta generación en Betania y Quimbo, alta importación desde Ecuador, baja generación en menores de Cauca-Nariño y baja generación en el Valle</t>
  </si>
  <si>
    <t>"+TrfJam2172","+TrfJam2171"</t>
  </si>
  <si>
    <t>Jamondino 2 230/115 kV / Jamondino 1 230/115 kV</t>
  </si>
  <si>
    <t>Cauca-Nariño</t>
  </si>
  <si>
    <t>Aumentar tensiones en la medida de lo posible en Jamondino 115 kV y Panamericana 115 kV. Reducir las exportaciones hacia Ecuador</t>
  </si>
  <si>
    <t>Alta demanda y alta exportación de energía hacia Ecuador</t>
  </si>
  <si>
    <t>Jamondino - Tesalia 230 kV / Bajas tensiones en Tumaco 115 kV y Junín 115 kV</t>
  </si>
  <si>
    <t>Salvajina
Alto Anchicayá</t>
  </si>
  <si>
    <t>CHP Incauca, Betania, Quimbo, Guavio y Chivor</t>
  </si>
  <si>
    <t>- Reducir generación en CHP Incauca
- Reducir importaciones desde Ecuador
- Reducir generación en Betania
- Reducir generación en Quimbo
- Aumentar generación en Salvajina</t>
  </si>
  <si>
    <t>Demanda media y mínima con alta generación en CHP Incauca, Proenca, Betania, Quimbo y altas importaciones desde Ecuador</t>
  </si>
  <si>
    <t>"-LrtPaeTSa21","+CI0380"</t>
  </si>
  <si>
    <t>Paez - Juanchito 230 kV / Cabaña (Cauca) - Santander 115 kV</t>
  </si>
  <si>
    <t>Conectar compensación capacitiva en Panamericana para reducir la cargabilidad en el corredor, aumentar tensiones en Jamondino 115 kV</t>
  </si>
  <si>
    <t>Alta demanda en las subestaciones Buchely, Junin, Panamericana y Jardinera o alto intercambio de energía hacia Ecuador a través del transformador Panamericana 115/138 kV</t>
  </si>
  <si>
    <t>"+CI0263","+LinJamJar11"</t>
  </si>
  <si>
    <t>Jamondino - Panamericana 115 kV / Jamondino - Jardinera 115 kV</t>
  </si>
  <si>
    <r>
      <t xml:space="preserve">PTRA13496: </t>
    </r>
    <r>
      <rPr>
        <sz val="10"/>
        <color theme="1"/>
        <rFont val="Arial"/>
        <family val="2"/>
      </rPr>
      <t>Enlace Olaya Herrera - Buchelly (Tumaco) 115 kV y segundo corredor Jardinera - Junín - Tumaco 115 kV (horizonte largo plazo)</t>
    </r>
  </si>
  <si>
    <t>- Conectar compensación capacitiva en Panamericana
- Emplear taps de Jamondino 220/115 kV para incrementar tensiones en el corredor</t>
  </si>
  <si>
    <t>Alta demanda en la subárea, especialmente la subestación Tumaco</t>
  </si>
  <si>
    <t>Jamondino - Jardinera 115 kV / Bajas tensiones en Tumaco 115 kV y Junín 115 kV</t>
  </si>
  <si>
    <t>"+TrfJam2171","+TrfJam2172"</t>
  </si>
  <si>
    <t>Jamondino 1 230/115 kV / Jamondino 2 230/115 kV</t>
  </si>
  <si>
    <t>Emcali y Termovalle, Altoanchicayá, Salvajina, Calima, Antioquia y Oriental</t>
  </si>
  <si>
    <t xml:space="preserve">Esta restricción tiene un ESP.
Si el ESP es insuficiente, se recomienda limitar la importación desde Ecuador. De igual manera, se puede balancear generación de la siguiente manera
*Bajar la generación en Betania y Quimbo
*Subir la generación en Salvajina, Termoemcali, Termovalle, Alto Anchicayá y Calima. </t>
  </si>
  <si>
    <t>"-CI0117","+CI0266"</t>
  </si>
  <si>
    <t>Jamondino – Catambuco 115 kV / Jamondino – Pasto 115 kV</t>
  </si>
  <si>
    <t>Betania, Alto Anchicayá, Salvajina, Quimbo, Termovalle y Termoemcali</t>
  </si>
  <si>
    <r>
      <t xml:space="preserve">PTRA03848: </t>
    </r>
    <r>
      <rPr>
        <sz val="10"/>
        <rFont val="Arial"/>
        <family val="2"/>
      </rPr>
      <t>Ampliación Subestación San Marcos- Reactor de Barras 500 kV</t>
    </r>
  </si>
  <si>
    <t xml:space="preserve">Programar generación en Alto Anchicayá, Salvajina, Quimbo, Betania. </t>
  </si>
  <si>
    <t>Demanda mínima con baja generación en el área Suroccidental</t>
  </si>
  <si>
    <t>San Marcos 500/230 kV / Altas tensiones en San Marcos 500/230 kV, Alférez 500/230 kV, San Bernardino 230 kV, Tesalia 230 kV, Jamondino 230 kV.</t>
  </si>
  <si>
    <t>Suroccidente</t>
  </si>
  <si>
    <t>Ituango</t>
  </si>
  <si>
    <r>
      <t xml:space="preserve">PTRA00073 </t>
    </r>
    <r>
      <rPr>
        <sz val="10"/>
        <rFont val="Arial"/>
        <family val="2"/>
      </rPr>
      <t xml:space="preserve">Refuerzo suroccidental </t>
    </r>
  </si>
  <si>
    <t>Reducir generación en unidades al interior del área suroccidental, especialmente Betania, Alto Anchicayá, Salvajina, Quimbo, Termovalle y Termoemcali</t>
  </si>
  <si>
    <t xml:space="preserve">Se presenta con SE Esmeralda 220 kV con seccionamiento cerrado en escenarios con excedentes en el área suroccidental. Alta importación de energía de Ecuador, alta generación en Betania, Alto Ancichayá, Salvajina, Quimbo, Termovalle y Termoemcali.  </t>
  </si>
  <si>
    <t>"-LrtSmaVir51r","-Brk06468"</t>
  </si>
  <si>
    <t>San Marcos - Virginia 500 kV / Interruptor S200 Esmeralda 220 kV (Barra 1-Sección 2 a Barra 1-Sección 1)</t>
  </si>
  <si>
    <t>Quimbo, Betania, Alto y bajo Anchicayá, Termoemcali, Termovalle, en general la generación de suroccidental</t>
  </si>
  <si>
    <t>PTRA00073 La virginia - Alferez 500 kV</t>
  </si>
  <si>
    <t>-Bajar la generación al interior del área Suroccidental 
-Subir la generación en las otras áreas del SIN, especialmente Antioquia y Oriental</t>
  </si>
  <si>
    <t>Demanda minima. Alta generación en suroccidental y alta importación desde Ecuador (altos excedentes desde el suroccidente)</t>
  </si>
  <si>
    <t>"-LrtSmaVir51r","-TrfVr55231"</t>
  </si>
  <si>
    <t>San Marcos - La Virginia 1 500 kV / Virginia 230/500 kV</t>
  </si>
  <si>
    <t>"+LinAlfSma51","-TrfSm55231"</t>
  </si>
  <si>
    <t>Alferez - San Marcos 1 500 kV / San Marcos 230/500 kV</t>
  </si>
  <si>
    <t>-Subir la generación al interior del área Suroccidental y Oriental
-Bajar la generación en áreas como Antioquia y Caribe
Solo en caso de ser necesario, considerar abrir el enlace Heliconia - La Virginia 500 kV</t>
  </si>
  <si>
    <t>Demandas máxima y media. Estas restricciones se activan cuando la importación del área es mayor a 650 MW, es decir, en un escenario con baja generación al interior del área suroccidental</t>
  </si>
  <si>
    <t>"+LrtSmaVir51r","+TrfVr55231"</t>
  </si>
  <si>
    <t>La Virginia - San Marcos 1 500 kV / Virginia 500/230 kV</t>
  </si>
  <si>
    <t>Jaguas, Guatapé, Playas, La Tasajera</t>
  </si>
  <si>
    <t>Evaluar la pertinencia de disminuir el número de unidades en línea. Con campos de la subestación redistribuidos en las distintas barras, abrir el interruptor de acople. En caso de requerirse, techar generación en: Jaguas, Guatapé, Playas o Tasajera</t>
  </si>
  <si>
    <t>Agotamiento capacidad de cortocircuito de Guatapé 220 kV</t>
  </si>
  <si>
    <t>Antioquia</t>
  </si>
  <si>
    <t>Ituango, Porce III, Urrá</t>
  </si>
  <si>
    <t>San Carlos, Termosierra</t>
  </si>
  <si>
    <t>No hay obra de expansión definida en el horizonte de mediano plazo</t>
  </si>
  <si>
    <t>En orden de impacto:
1. Bajar generación en San Carlos
2. Bajar generación en Termosierra
3. Bajar generación en Porce II
4. Subir generación en Porce III 
5. Subir generación Caribe</t>
  </si>
  <si>
    <t>Demanda máxima y media. Baja generación en Recursos de generación de Antioquia 500 kV y Caribe, alta generación de recursos de Antioquia 220 kV o inferiores.</t>
  </si>
  <si>
    <t>"-TrfSc55234","-TrfSc55232"</t>
  </si>
  <si>
    <t>San Carlos 4 230/500 kV / San Carlos 2 230/500 kV</t>
  </si>
  <si>
    <t>"-TrfSc55233","-TrfSc55234"</t>
  </si>
  <si>
    <t>San Carlos 3 230/500 kV / San Carlos 4 230/500 kV</t>
  </si>
  <si>
    <t>"-TrfSc55232","-TrfSc55233"</t>
  </si>
  <si>
    <t>San Carlos 2 230/500 kV / San Carlos 3 230/500 kV</t>
  </si>
  <si>
    <t>La Tasajera, Guadalupe, Porce II</t>
  </si>
  <si>
    <t>Bajar generación en La Tasajera, Guadalupe, Porce II, o subir generación en Ituango o Porce III</t>
  </si>
  <si>
    <t>Demanda baja con alta generación en San Carlos, Jaguas, Guatapé, La Tasajera y baja generación en Ituango, Porce III y Urrá</t>
  </si>
  <si>
    <t>"-LinMedOcc21"</t>
  </si>
  <si>
    <t>Sobrecarga en red completa Occidente - Heliconia 220 kV</t>
  </si>
  <si>
    <t>Porce II, Guaduaupe IV</t>
  </si>
  <si>
    <t>Guadalupe III, PCH San Andrés de Cuerquia, Carlos Lleras</t>
  </si>
  <si>
    <t>En orden de impacto:
1. Bajar generación en Guadalupe III
2. Subir generación en Porce II 
3. Bajar generación en PCH San Andrés de Cuerquia</t>
  </si>
  <si>
    <t>Demanda baja con alta generación en las fuentes dispuestas en la subestación El Salto, como Guadaulue III y Troneras. Baja generación en Porce II y Guadalupe IV</t>
  </si>
  <si>
    <t>"-TrfSlt2142","-TrfSlt2141"</t>
  </si>
  <si>
    <t>El Salto 2 110/220 kV / El Salto 1 110/220 kV</t>
  </si>
  <si>
    <t>"-TrfSlt2141","-TrfSlt2142"</t>
  </si>
  <si>
    <t>El Salto 1 110/220 kV / El Salto 2 110/220 kV</t>
  </si>
  <si>
    <t>Menor R Piedras, PCH Barroso, Mulatos II, PCH Agua Fresca</t>
  </si>
  <si>
    <t>Encender generación dispuesta en las subestaciones Amagá, Bolombolo, Hispania y Barroso</t>
  </si>
  <si>
    <t>Demanda máxima con baja generación en las centrales de generación de Amagá, Bolombolo, Hispania y Barroso. La restricción se activa tras la toma de carga de Ancón Sur 44 kV por parte de Caldas 115 kV</t>
  </si>
  <si>
    <t>"+LinAncCal11","-LinAmaAnc11"</t>
  </si>
  <si>
    <t>Ancón Sur - Caldas 110 kV / Ancón Sur - Amagá 110 kV</t>
  </si>
  <si>
    <t>Guavio, Gecelca 32, Gecelca III, Guaca, Paraiso, PV SHANGRI-LA, Chivor</t>
  </si>
  <si>
    <t>Sogamoso, Merielectrica, Termocentro, Solar, Tasajero, Solar Tamarindo, Sierra, San Carlos, Solar Amber, Porce II</t>
  </si>
  <si>
    <t>En orden de impacto:
1. Bajar generación en Termocentro
2. Bajar generación en Merielectrica
3. Bajar generación en Sogamoso
4. Bajar generación en La Sierra
5. Bajar generación en San Carlos
6. Subir Generación en Guavio
7. Subir Generación en Gecelca 32</t>
  </si>
  <si>
    <t>Demanda máxima y media. Alta generación en Antioquia y Nordeste (Sogamoso, Merielectrica y Tasajero), baja generación en Caribe.</t>
  </si>
  <si>
    <t>"+Brk06644","-TrfPmv5231"</t>
  </si>
  <si>
    <t>Interruptor 5M200 Primavera 500 kV (Barra 1 a Barra 2) / Primavera 230/500 kV</t>
  </si>
  <si>
    <t>Carlos Lleras, La Tasajera, Guadalupe IV, Porce II</t>
  </si>
  <si>
    <t>Ituango, Porce III, Gecelca 3, Gecelca 32, Candelaria</t>
  </si>
  <si>
    <t>En orden de impacto:
1. Bajar generación en Ituango.
2. Subir generación en Antioquia, principalmente Guadalupe y Porce II.
3. Bajar generación en Caribe.
4. Bajar generación en Porce III.</t>
  </si>
  <si>
    <t>Alta generación en Caribe, baja generación en Antioquia pero alta generación en Ituango y Porce III</t>
  </si>
  <si>
    <t>"+ExpTrf0081",'"+ExpTrf0048"</t>
  </si>
  <si>
    <t>Heliconia 2 500/230 kV / Heliconia 1 500/230 kV</t>
  </si>
  <si>
    <t>"+ExpTrf0048","+ExpTrf0081"</t>
  </si>
  <si>
    <t>Heliconia 1 500/230 kV / Heliconia 2 500/230 kV</t>
  </si>
  <si>
    <t>Carlos Lleras</t>
  </si>
  <si>
    <t>Aumentar la generación de Carlos lleras.</t>
  </si>
  <si>
    <t>Demanda máxima con baja generación de las plantas menores en Antioquia</t>
  </si>
  <si>
    <t>"+CI0807"</t>
  </si>
  <si>
    <t>Sobrecarga de Barbosa - Girardota 1 110 kV</t>
  </si>
  <si>
    <t xml:space="preserve">PCH Barroso </t>
  </si>
  <si>
    <t>-</t>
  </si>
  <si>
    <t>Amagá - Bolombolo 1 110 kV / Baja tensión red 115 kV Dispac</t>
  </si>
  <si>
    <r>
      <rPr>
        <b/>
        <sz val="10"/>
        <color theme="1"/>
        <rFont val="Arial"/>
        <family val="2"/>
      </rPr>
      <t>PTRA00476:</t>
    </r>
    <r>
      <rPr>
        <sz val="10"/>
        <color theme="1"/>
        <rFont val="Arial"/>
        <family val="2"/>
      </rPr>
      <t xml:space="preserve"> UPME 03-2021 Subestación Carrieles 230 kV (Antes S/E Hispania 230 kV)
</t>
    </r>
    <r>
      <rPr>
        <b/>
        <sz val="10"/>
        <color theme="1"/>
        <rFont val="Arial"/>
        <family val="2"/>
      </rPr>
      <t>PTRA01152:</t>
    </r>
    <r>
      <rPr>
        <sz val="10"/>
        <color theme="1"/>
        <rFont val="Arial"/>
        <family val="2"/>
      </rPr>
      <t xml:space="preserve"> Nueva subestación Carrieles 110 kV. Transformadores de conexión 220/110 - 2 x 180 MVA
</t>
    </r>
    <r>
      <rPr>
        <b/>
        <sz val="10"/>
        <color theme="1"/>
        <rFont val="Arial"/>
        <family val="2"/>
      </rPr>
      <t>PTRA13267:</t>
    </r>
    <r>
      <rPr>
        <sz val="10"/>
        <color theme="1"/>
        <rFont val="Arial"/>
        <family val="2"/>
      </rPr>
      <t xml:space="preserve"> UPME STR 01 - 2024 SVC de 30 MVAr en S/E Cértegui 115 kV. FPO:31/12/2027 (</t>
    </r>
    <r>
      <rPr>
        <sz val="10"/>
        <color rgb="FFFF0000"/>
        <rFont val="Arial"/>
        <family val="2"/>
      </rPr>
      <t>Declarada desierta</t>
    </r>
    <r>
      <rPr>
        <sz val="10"/>
        <color theme="1"/>
        <rFont val="Arial"/>
        <family val="2"/>
      </rPr>
      <t xml:space="preserve">)
</t>
    </r>
    <r>
      <rPr>
        <b/>
        <sz val="10"/>
        <color theme="1"/>
        <rFont val="Arial"/>
        <family val="2"/>
      </rPr>
      <t>PTRA00389:</t>
    </r>
    <r>
      <rPr>
        <sz val="10"/>
        <color theme="1"/>
        <rFont val="Arial"/>
        <family val="2"/>
      </rPr>
      <t xml:space="preserve"> S/E Nuevo Quibdó 115 kV y líneas asociadas. FPO:31/12/2030 (</t>
    </r>
    <r>
      <rPr>
        <sz val="10"/>
        <color rgb="FFFF0000"/>
        <rFont val="Arial"/>
        <family val="2"/>
      </rPr>
      <t>Sin Promotor</t>
    </r>
    <r>
      <rPr>
        <sz val="10"/>
        <color theme="1"/>
        <rFont val="Arial"/>
        <family val="2"/>
      </rPr>
      <t xml:space="preserve">).
</t>
    </r>
    <r>
      <rPr>
        <b/>
        <sz val="10"/>
        <color theme="1"/>
        <rFont val="Arial"/>
        <family val="2"/>
      </rPr>
      <t>PTRA13502:</t>
    </r>
    <r>
      <rPr>
        <sz val="10"/>
        <color theme="1"/>
        <rFont val="Arial"/>
        <family val="2"/>
      </rPr>
      <t xml:space="preserve"> S/E Nueva Quibdó 220 kV. FPO:31/12/2030 (</t>
    </r>
    <r>
      <rPr>
        <sz val="10"/>
        <color rgb="FFFF0000"/>
        <rFont val="Arial"/>
        <family val="2"/>
      </rPr>
      <t>Sin Promotor</t>
    </r>
    <r>
      <rPr>
        <sz val="10"/>
        <color theme="1"/>
        <rFont val="Arial"/>
        <family val="2"/>
      </rPr>
      <t>).</t>
    </r>
  </si>
  <si>
    <t>Emplear recursos de soporte de tensión en la zona, incluídas las centrales de generación Barroso 1 y 2, para aumentar el perfil de tensión en las subestaciones del departamento</t>
  </si>
  <si>
    <t>Demanda máxima con baja generación en Barroso y Bolombolo</t>
  </si>
  <si>
    <t>Ancón Sur (EPM) - Amagá 110 kV / Baja tensión red 115 kV Dispac</t>
  </si>
  <si>
    <t>Demanda máxima y media sin generación de la PCH Barroso</t>
  </si>
  <si>
    <t>Quibdó - Cértegui 115 kV  / Baja tensión red 115 kV Dispac</t>
  </si>
  <si>
    <t>Todos los escenarios de demanda</t>
  </si>
  <si>
    <t>Cértegui - Virginia 115 kV  / Baja tensión red 115 kV Dispac</t>
  </si>
  <si>
    <t>Quibdó - El Siete 115 kV  / Baja tensión red 115 kV Dispac</t>
  </si>
  <si>
    <t>Barroso - El Siete 115 kV  / Baja tensión red 115 kV Dispac</t>
  </si>
  <si>
    <r>
      <rPr>
        <b/>
        <sz val="10"/>
        <rFont val="Arial"/>
        <family val="2"/>
      </rPr>
      <t>PTRA13267:</t>
    </r>
    <r>
      <rPr>
        <sz val="10"/>
        <rFont val="Arial"/>
        <family val="2"/>
      </rPr>
      <t xml:space="preserve"> UPME STR 01 - 2024 SVC de 30 MVAr en S/E Cértegui 115 kV. FPO:31/12/2027 (</t>
    </r>
    <r>
      <rPr>
        <sz val="10"/>
        <color rgb="FFFF0000"/>
        <rFont val="Arial"/>
        <family val="2"/>
      </rPr>
      <t>Declarada desierta</t>
    </r>
    <r>
      <rPr>
        <sz val="10"/>
        <rFont val="Arial"/>
        <family val="2"/>
      </rPr>
      <t xml:space="preserve">)
</t>
    </r>
    <r>
      <rPr>
        <b/>
        <sz val="10"/>
        <rFont val="Arial"/>
        <family val="2"/>
      </rPr>
      <t>PTRA00389:</t>
    </r>
    <r>
      <rPr>
        <sz val="10"/>
        <rFont val="Arial"/>
        <family val="2"/>
      </rPr>
      <t xml:space="preserve"> S/E Nuevo Quibdó 115 kV y líneas asociadas. FPO:31/12/2030 (</t>
    </r>
    <r>
      <rPr>
        <sz val="10"/>
        <color rgb="FFFF0000"/>
        <rFont val="Arial"/>
        <family val="2"/>
      </rPr>
      <t>Sin Promoto</t>
    </r>
    <r>
      <rPr>
        <sz val="10"/>
        <rFont val="Arial"/>
        <family val="2"/>
      </rPr>
      <t xml:space="preserve">r).
</t>
    </r>
    <r>
      <rPr>
        <b/>
        <sz val="10"/>
        <rFont val="Arial"/>
        <family val="2"/>
      </rPr>
      <t>PTRA13502:</t>
    </r>
    <r>
      <rPr>
        <sz val="10"/>
        <rFont val="Arial"/>
        <family val="2"/>
      </rPr>
      <t xml:space="preserve"> S/E Nueva Quibdó 220 kV. FPO:31/12/2030 (</t>
    </r>
    <r>
      <rPr>
        <sz val="10"/>
        <color rgb="FFFF0000"/>
        <rFont val="Arial"/>
        <family val="2"/>
      </rPr>
      <t>Sin Promotor</t>
    </r>
    <r>
      <rPr>
        <sz val="10"/>
        <rFont val="Arial"/>
        <family val="2"/>
      </rPr>
      <t>).</t>
    </r>
  </si>
  <si>
    <t xml:space="preserve">Todos los escenarios de demanda sin generación de la PCH Barroso </t>
  </si>
  <si>
    <t>Bolombolo - Barroso 110 kV / Baja tensión red 115 kV Dispac</t>
  </si>
  <si>
    <t>San Carlos, Porce II, Porce III, La Tasajera</t>
  </si>
  <si>
    <t>Sierra</t>
  </si>
  <si>
    <t>Balancear generación entre todas las áreas del SIN. La acción de mayor efectividad para controlar el corte consiste en bajar generación en La Sierra.</t>
  </si>
  <si>
    <t>Demanda máxima, media y mínima. Baja generación en Antioquia y Caribe, alta generación en Oriental y en Termosierra.</t>
  </si>
  <si>
    <t>"+LinPmvSie21","+LinScaSie22"</t>
  </si>
  <si>
    <t>Sierra – Primavera 230 kV / Sierra - San Carlos 230 kV</t>
  </si>
  <si>
    <r>
      <rPr>
        <b/>
        <sz val="10"/>
        <rFont val="Arial"/>
        <family val="2"/>
      </rPr>
      <t xml:space="preserve">No hay obra de expansión definida en el horizonte de Mediano Plazo. 
</t>
    </r>
    <r>
      <rPr>
        <sz val="10"/>
        <rFont val="Arial"/>
        <family val="2"/>
      </rPr>
      <t>Se requiere evaluar la pertinencia de aumentar la capacidad de corto circuito de Cerromatoso 110 kV (capacidad actual 25 KA)</t>
    </r>
  </si>
  <si>
    <t>Con recursos de generación de la subárea en línea de identificar que se supera la capacidad de corto circuito de Cerromatoso 110 kV, validar la pertinencia de operar Cerromatoso con los campos repartidos en dos barras y el acoplamiento abierto para distribuir los aportes de corto circuito y mitigar esta condición</t>
  </si>
  <si>
    <t>Agotamiento capacidad de cortocircuito de Cerromatoso 110 kV</t>
  </si>
  <si>
    <t>Cerromatoso</t>
  </si>
  <si>
    <t>Caribe</t>
  </si>
  <si>
    <t>Gecelca III</t>
  </si>
  <si>
    <t>Programar generacion en Gecelca III</t>
  </si>
  <si>
    <t>Escenarios de alta demanda con baja generacion aguas debajo de Cerromatoso 110 kV</t>
  </si>
  <si>
    <t>+TrfCmt5131,"+TrfCmt5132","+TrfCmt3"</t>
  </si>
  <si>
    <t>Cerromatoso 4 500/110 kV / Cerromatoso 1 500/110 kV + Cerromatoso 2 500/110 kV</t>
  </si>
  <si>
    <t>Cerromatoso 2 500/110 kV / Cerromatoso 1 500/110 kV + Cerromatoso 4 500/110 kV</t>
  </si>
  <si>
    <t>Cerromatoso 1 500/110 kV / Cerromatoso 2 500/110 kV + Cerromatoso 4 500/110 kV</t>
  </si>
  <si>
    <r>
      <rPr>
        <b/>
        <sz val="10"/>
        <color theme="1"/>
        <rFont val="Arial"/>
        <family val="2"/>
      </rPr>
      <t>PTRA05302:</t>
    </r>
    <r>
      <rPr>
        <sz val="10"/>
        <color theme="1"/>
        <rFont val="Arial"/>
        <family val="2"/>
      </rPr>
      <t xml:space="preserve"> Nueva San Juan 110 kV</t>
    </r>
  </si>
  <si>
    <t>Evaluar realizar desatención de demanda.</t>
  </si>
  <si>
    <t>Demanda máxima</t>
  </si>
  <si>
    <t>"-LinGuaVal1"</t>
  </si>
  <si>
    <t>Sobrecarga en red completa Valledupar - Guatapurí 110 kV</t>
  </si>
  <si>
    <t>GCM</t>
  </si>
  <si>
    <t>No hay obra de expansión definida en el horizonte de Mediano Plazo.</t>
  </si>
  <si>
    <t>"+TrfVal3"</t>
  </si>
  <si>
    <t>Sobrecarga en red completa Valledupar 3 220/34.5/13.8 kV</t>
  </si>
  <si>
    <t>"+TrfVal2312"</t>
  </si>
  <si>
    <t>Sobrecarga en red completa Valledupar 12 220/34.5/13.8 kV</t>
  </si>
  <si>
    <t>"+TrfVal2372"</t>
  </si>
  <si>
    <t>Sobrecarga en red completa Valledupar 1 220/34.5/13.8 kV</t>
  </si>
  <si>
    <t xml:space="preserve">PTRA06813 </t>
  </si>
  <si>
    <r>
      <rPr>
        <b/>
        <sz val="10"/>
        <color theme="1"/>
        <rFont val="Arial"/>
        <family val="2"/>
      </rPr>
      <t xml:space="preserve">PTRA06813 </t>
    </r>
    <r>
      <rPr>
        <sz val="10"/>
        <color theme="1"/>
        <rFont val="Arial"/>
        <family val="2"/>
      </rPr>
      <t>Burechce 110 kV, Se recomienda evaluar traslados de carga de Santa Marta 34.5 kV</t>
    </r>
  </si>
  <si>
    <t>"+TrfSmt2133"</t>
  </si>
  <si>
    <t>Sobrecarga en red completa Santa Marta 9 220/110/34.5 kV</t>
  </si>
  <si>
    <t>"+TrfSmt2132"</t>
  </si>
  <si>
    <t>Sobrecarga en red completa Santa Marta 2 220/110/34.5 kV</t>
  </si>
  <si>
    <t>"+TrfSmt2131"</t>
  </si>
  <si>
    <t>Sobrecarga en red completa Santa Marta 1 220/110/34.5 kV</t>
  </si>
  <si>
    <t>Realizar gestión con recursos para el control de potencia reactiva, en caso de requerirse abrir uno o dos circuitos Nueva Cuestecitas - El Copey 1 y 2 500 kV</t>
  </si>
  <si>
    <t>Escenarios de media y baja demanda</t>
  </si>
  <si>
    <t>No</t>
  </si>
  <si>
    <t>Alta tensión en nodos de la subárea GCM en red completa</t>
  </si>
  <si>
    <t>Mantener un perfil de tensión en Copey 500 kV menor a 515 kV</t>
  </si>
  <si>
    <t>Cuestecitas 500/230 kV / Alta Tension en Cuestecitas 500  kV</t>
  </si>
  <si>
    <t>Operar con las barras de Copey 34.5 kV desacopladas (abrir interruptor 5100) y desacoplar el SDL aguas abajo.</t>
  </si>
  <si>
    <t>Con barras Copey 34.5 kV acopladas. Alta demanda en El Copey 34.5_kV B1 y El Copey 34.5_kV B2</t>
  </si>
  <si>
    <t>"+TrfCop25P","+TrfCop2131"</t>
  </si>
  <si>
    <t>Copey 5 220/110 kV / Copey 1 220/110 kV</t>
  </si>
  <si>
    <t>Guajira, Termonorte</t>
  </si>
  <si>
    <t>Latam y El Paso</t>
  </si>
  <si>
    <t>Evaluar aumento de capacidad del conductor. Implementar ESPS</t>
  </si>
  <si>
    <t>PTRA00325</t>
  </si>
  <si>
    <r>
      <rPr>
        <b/>
        <sz val="10"/>
        <color theme="1"/>
        <rFont val="Arial"/>
        <family val="2"/>
      </rPr>
      <t xml:space="preserve">PTRA00325 </t>
    </r>
    <r>
      <rPr>
        <sz val="10"/>
        <color theme="1"/>
        <rFont val="Arial"/>
        <family val="2"/>
      </rPr>
      <t>UPME 06 - 2017 S/E Colectora 1 500 kV, LT doble circuito Colectora - Cuestecitas 500 kV y LT Cuestecitas - La Loma 500 kV</t>
    </r>
  </si>
  <si>
    <t>• Balance de generación entre los rescursos solares Latam y El Paso y la generación al interior de la subárea</t>
  </si>
  <si>
    <t>Alta generación en la solar Latam y EL Paso con baja generación en otros recursos de la subárea GCM</t>
  </si>
  <si>
    <t>"-LinCopLom512","-LinCopEPa11"</t>
  </si>
  <si>
    <t xml:space="preserve">Loma – El Copey 500 kV / El Paso – EL Copey 110 kV </t>
  </si>
  <si>
    <t>"-LinCopLom512","-linCodJag11"</t>
  </si>
  <si>
    <t xml:space="preserve">Loma – El Copey 500 kV / La Jagua – Codazzi 110 kV </t>
  </si>
  <si>
    <t>No es controlable con generación. Al evaluar N-1 si la sobrecarga es BT 34,5 kV evaluar la pertinencia de desatención de demanda. Si es del devanado 110 kV, evaluar balance de potencia reactiva en la transformación Santa Marta y Rio Córdoba 220/110 kV o evaluar la pertinencia de desatención de demanda a nivel de 110 kV</t>
  </si>
  <si>
    <t>Dependiente de la demanda, evaluar suficiencia del ESPS por sobrecarga en esta transformación.
Tambien se puede generar sobrecarga por el devanado de 110 kV. (No cuenta con ESP)</t>
  </si>
  <si>
    <t>"+TrfSmt2133","+TrfSmt2131","+TrfSmt2132"</t>
  </si>
  <si>
    <t>Santa Marta 9 220/110/34,5 kV /Santa Marta 1 220/110/34,5 kV + Santa Marta 2 220/110/34,5 kV</t>
  </si>
  <si>
    <t>"+TrfSmt2132","+TrfSmt2131","+TrfSmt2133"</t>
  </si>
  <si>
    <t>Santa Marta 2 220/110/34,5 kV /Santa Marta 1 220/110/34,5 kV + Santa Marta 9 220/110/34,5 kV</t>
  </si>
  <si>
    <t>Dependiente de la demanda, evaluar suficiencia del ESPS por sobrecarga en esta transformación. 
Tambien se puede generar sobrecarga por el devanado de 110 kV. (No cuenta con ESP)</t>
  </si>
  <si>
    <t>"+TrfSmt2131","+TrfSmt2132","+TrfSmt2133"</t>
  </si>
  <si>
    <t>Santa Marta 1 220/110/34,5 kV /Santa Marta 2 220/110/34,5 kV + Santa Marta 9 220/110/34,5 kV</t>
  </si>
  <si>
    <t>PTRA05302</t>
  </si>
  <si>
    <t xml:space="preserve">Evaluar suficiencia ESPS asociados a sobrecarga de Valledupar 220/34,5/13,8 kV </t>
  </si>
  <si>
    <t>Dependiente de la demanda en Valledupar 34,5 y 13.8 kV</t>
  </si>
  <si>
    <t>"+TrfVal2312","+TrfVal2372"</t>
  </si>
  <si>
    <t xml:space="preserve">Valledupar 12 220/34,5/13,8 kV  / Valledupar 1 220/34,5/13,8 kV </t>
  </si>
  <si>
    <t>"+TrfVal2372","+TrfVal2312"</t>
  </si>
  <si>
    <t xml:space="preserve">Valledupar 1 220/34,5/13,8 kV  / Valledupar 12 220/34,5/13,8 kV </t>
  </si>
  <si>
    <r>
      <rPr>
        <b/>
        <sz val="10"/>
        <rFont val="Arial"/>
        <family val="2"/>
      </rPr>
      <t>PTRA13263:</t>
    </r>
    <r>
      <rPr>
        <sz val="10"/>
        <rFont val="Arial"/>
        <family val="2"/>
      </rPr>
      <t xml:space="preserve"> UPME 02 - 2024 S/E Magangué 500 kV y líneas de transmisión asociadas
</t>
    </r>
    <r>
      <rPr>
        <b/>
        <sz val="10"/>
        <rFont val="Arial"/>
        <family val="2"/>
      </rPr>
      <t>PTRA13265:</t>
    </r>
    <r>
      <rPr>
        <sz val="10"/>
        <rFont val="Arial"/>
        <family val="2"/>
      </rPr>
      <t xml:space="preserve"> Transformadores S/E Magangué 500/110 kV</t>
    </r>
  </si>
  <si>
    <t>Independiente del escenario.</t>
  </si>
  <si>
    <t>Baja tensión en El Banco 110 kV</t>
  </si>
  <si>
    <t>Agotamiento capacidad de cortocircuito de Chinú 110 kV</t>
  </si>
  <si>
    <t>Córdoba-Sucre</t>
  </si>
  <si>
    <t>• Hacer uso de los capacitores en Mompox 110 kV y 34.5 kV para controlar el transporte de reactivos a través de la línea.
• De no ser suficiente o posible, deberá evaluarse el realizar desatención de demanda.</t>
  </si>
  <si>
    <t>"-CI0816"</t>
  </si>
  <si>
    <t>Sobrecarga en red completa Sincé – Magangué 110 kV</t>
  </si>
  <si>
    <t>Obras del refuerzo Monteria</t>
  </si>
  <si>
    <t>Subir tensiones en Uraba 110 kV y Chinu 220 kV</t>
  </si>
  <si>
    <t>Urrá - Urabá 230 kV / baja tensión en Apartado, Nueva Colonia y Caucheras 110 kV</t>
  </si>
  <si>
    <t>Hacer uso del capacitor en Montería 110 kV y subir tensiones en Urra 110 kV y Chinú 110 kV para disminuir los Mvar en tránsito.</t>
  </si>
  <si>
    <t xml:space="preserve">"+TrfMon212,"+TrfMon211" </t>
  </si>
  <si>
    <t>Nueva Monteria 2 230/110 kV / Nueva Monteria 1 230/110  kV</t>
  </si>
  <si>
    <t xml:space="preserve">"+TrfMon211,"+TrfMon212" </t>
  </si>
  <si>
    <t>Nueva Monteria 1 230/110 kV / Nueva Monteria 2 230/110  kV</t>
  </si>
  <si>
    <t>PTRA00322, PTRA05304</t>
  </si>
  <si>
    <t>PTRA00322: UPME 05 - 2018 S/E Toluviejo 220 kV, LT Chinú - Toluviejo 220 kV y Toluviejo - Bolívar 220 kV
PTRA05304: Nueva Toluviejo 220/110 kV</t>
  </si>
  <si>
    <t>El esquema de los transformadores no opera en esos valores de sobrecarga.  Se recomienda gestionar la reactiva por los transformadores mediante los tapas de Chinú y Montería, para evitar/mitigar la DNA</t>
  </si>
  <si>
    <t>"+TrfChn3"</t>
  </si>
  <si>
    <t>Sobrecarga Transformador Chinú 3 500/110 kV</t>
  </si>
  <si>
    <t>"+TrfChn5132"</t>
  </si>
  <si>
    <t>Sobrecarga Transformador Chinú 2 500/110 kV</t>
  </si>
  <si>
    <t>"+TrfChn5131"</t>
  </si>
  <si>
    <t>Sobrecarga Transformador Chinú 1 500/110 kV</t>
  </si>
  <si>
    <t>PTRA00322, PTRA05304, PTRA01139, PTRA02158</t>
  </si>
  <si>
    <r>
      <rPr>
        <b/>
        <sz val="10"/>
        <rFont val="Arial"/>
        <family val="2"/>
      </rPr>
      <t xml:space="preserve">PTRA00322: </t>
    </r>
    <r>
      <rPr>
        <sz val="10"/>
        <rFont val="Arial"/>
        <family val="2"/>
      </rPr>
      <t>Toluviejo 220 kV y líneas asociadas</t>
    </r>
    <r>
      <rPr>
        <b/>
        <sz val="10"/>
        <rFont val="Arial"/>
        <family val="2"/>
      </rPr>
      <t xml:space="preserve">
PTRA05304: </t>
    </r>
    <r>
      <rPr>
        <sz val="10"/>
        <rFont val="Arial"/>
        <family val="2"/>
      </rPr>
      <t xml:space="preserve">Nueva Toluviejo 220/110 kV
</t>
    </r>
    <r>
      <rPr>
        <b/>
        <sz val="10"/>
        <rFont val="Arial"/>
        <family val="2"/>
      </rPr>
      <t xml:space="preserve">PTRA01139: </t>
    </r>
    <r>
      <rPr>
        <sz val="10"/>
        <rFont val="Arial"/>
        <family val="2"/>
      </rPr>
      <t>Carreto 500 kV y circuitos asociados.</t>
    </r>
    <r>
      <rPr>
        <b/>
        <sz val="10"/>
        <rFont val="Arial"/>
        <family val="2"/>
      </rPr>
      <t xml:space="preserve">
PTRA02158: </t>
    </r>
    <r>
      <rPr>
        <sz val="10"/>
        <rFont val="Arial"/>
        <family val="2"/>
      </rPr>
      <t>Carreto 66 kV y circuitos asociados.</t>
    </r>
  </si>
  <si>
    <t xml:space="preserve">•  Ante contingencia verificar suficiencia de los ESPS de Córdoba - Sucre (circuitos entre Chinú y Toluviejo 110 kV) y el ESPS por baja tensión en Boston 110 kV, San Jacinto 66 kV y Zambrano 66 kV </t>
  </si>
  <si>
    <t>En demanda máxima y media.</t>
  </si>
  <si>
    <t>Baja tensión en nodos El Carmen, Calamar, Zambrano, San Jacinto 66 kV y El Carmen 110 kV en red completa y ante contingencia sencilla</t>
  </si>
  <si>
    <t>Validar la suficiencia del ESPS de baja tensión en Zambrano y San Jacinto 66 kV, en caso contrario evaluar pertinencia si el caso de solicitar desconexión de demanda.</t>
  </si>
  <si>
    <t>Restricción dependiente de la demanda.</t>
  </si>
  <si>
    <t>Boston - Sierra flor 110 kV / Baja tensión en Toluviejo 110 kV, El Carmen 110/66 kV, Zambrano y San jacinto 66 kV</t>
  </si>
  <si>
    <t>Si aplica</t>
  </si>
  <si>
    <t>Limitar la generación de Urrá</t>
  </si>
  <si>
    <t xml:space="preserve">Demanda máxima y media.
Alta generación en Urrá
</t>
  </si>
  <si>
    <t>"-LinUrbUrr21","-CI0975"</t>
  </si>
  <si>
    <t>Urrá - Urabá 230 kV / Urrá - Tierra Alta 110 kV</t>
  </si>
  <si>
    <t>A través del generador Urra y el tap de Urra 230/115 kV, buscar un perfil de tensión seguro para Urra 110 kV que mitigue esta condición (comúnmente entre 117 – 118 kV).</t>
  </si>
  <si>
    <t>Baja generación en Urrá y al interior de Bolívar.</t>
  </si>
  <si>
    <t>Río Sinú – Tierra Alta 110 kV / Alta tensión en Urrá 110 kV, Tierra Alta 110 kV y Nueva Monteria 110 kV</t>
  </si>
  <si>
    <t>PTRA13477 Urrá - Tierralta 2 110 kV + Tierralta - Río Sinú 2 110 kV (promotor pendiente de asignación)</t>
  </si>
  <si>
    <t>• Validar suficiencia del ESPS de sobrecarga Urrá-Tierra Alta 110 kV</t>
  </si>
  <si>
    <t xml:space="preserve">Demanda máxima y media.
</t>
  </si>
  <si>
    <t>"+LinNMnRSn11","-CI0975</t>
  </si>
  <si>
    <t xml:space="preserve">Nueva Montería – Río Sinú 110 kV / Urrá - Tierra Alta 1 110 kV </t>
  </si>
  <si>
    <t>Programar generación en Urra y a través del tap de Urra 230/115 kV, buscar un perfil de tensión seguro para Urra 110 kV (comúnmente entre 117 – 118 kV)</t>
  </si>
  <si>
    <t xml:space="preserve">Demanda máxima y media.
Baja generación en Urrá
</t>
  </si>
  <si>
    <t xml:space="preserve">Nueva Montería – Río Sinú 110 kV / Baja tensión en Rio Sinú 110 kV </t>
  </si>
  <si>
    <r>
      <rPr>
        <b/>
        <sz val="10"/>
        <color theme="1"/>
        <rFont val="Arial"/>
        <family val="2"/>
      </rPr>
      <t>PTRA00322</t>
    </r>
    <r>
      <rPr>
        <sz val="10"/>
        <color theme="1"/>
        <rFont val="Arial"/>
        <family val="2"/>
      </rPr>
      <t xml:space="preserve">: UPME 05 - 2018 S/E Toluviejo 220 kV, LT Chinú - Toluviejo 220 kV y Toluviejo - Bolívar 220 kV
</t>
    </r>
    <r>
      <rPr>
        <b/>
        <sz val="10"/>
        <color theme="1"/>
        <rFont val="Arial"/>
        <family val="2"/>
      </rPr>
      <t>PTRA05304</t>
    </r>
    <r>
      <rPr>
        <sz val="10"/>
        <color theme="1"/>
        <rFont val="Arial"/>
        <family val="2"/>
      </rPr>
      <t>: Nueva Toluviejo 220/110 kV</t>
    </r>
  </si>
  <si>
    <t xml:space="preserve">• Validar suficiencia del ESPS de sobrecarga transfomadores Chinú 500/110 kV </t>
  </si>
  <si>
    <t>Baja generación en Urrá y al interior de Bolívar.
En demanda máxima y media.</t>
  </si>
  <si>
    <t>"+Brk05481","+TrfChn5131"</t>
  </si>
  <si>
    <t>Interruptor 7020 Chinú 110 kV (Barra 1 a Barra 2) / Chinú 1 500/110 kV</t>
  </si>
  <si>
    <r>
      <rPr>
        <b/>
        <sz val="10"/>
        <color theme="1"/>
        <rFont val="Arial"/>
        <family val="2"/>
      </rPr>
      <t>No hay obra de expansión definida en el horizonte de Mediano Plazo.</t>
    </r>
    <r>
      <rPr>
        <sz val="10"/>
        <color theme="1"/>
        <rFont val="Arial"/>
        <family val="2"/>
      </rPr>
      <t xml:space="preserve"> (PTRA00322 y PTRA05304: Nueva Toluviejo 220/110 kV y obras asociadas mitigan, pero no elimina la restricción).
4 TRF Chinu 500/110 kV elimina
</t>
    </r>
  </si>
  <si>
    <t>Demanda media y máxima</t>
  </si>
  <si>
    <t>"+TrfChn5131","+TrfChn3","+TrfChn5132"</t>
  </si>
  <si>
    <t>Chinú 1 500/110 kV / Chinú 3 500/110 kV + Chinú 2 500/110 kV</t>
  </si>
  <si>
    <t>"+TrfChn5132","+TrfChn5131","+TrfChn3"</t>
  </si>
  <si>
    <t>Chinú 2 500/110 kV / Chinú 1 500/110 kV + Chinú 3 500/110 kV</t>
  </si>
  <si>
    <t>"+TrfChn3","+TrfChn5131","+TrfChn5132"</t>
  </si>
  <si>
    <t>Chinú 3 500/110 kV / Chinú 1 500/110 kV + Chinú 2 500/110 kV</t>
  </si>
  <si>
    <t>Identificar obras entre los OR y la UPME para eliminar la condición radial</t>
  </si>
  <si>
    <r>
      <rPr>
        <b/>
        <sz val="10"/>
        <color theme="1"/>
        <rFont val="Arial"/>
        <family val="2"/>
      </rPr>
      <t xml:space="preserve">No hay obra de expansión definida en el horizonte de Mediano Plazo. (PTRA00686: </t>
    </r>
    <r>
      <rPr>
        <sz val="10"/>
        <color theme="1"/>
        <rFont val="Arial"/>
        <family val="2"/>
      </rPr>
      <t>Compensación capacitiva Mompox 2x8 Mvar mitiga, pero no elimina la restricción)</t>
    </r>
  </si>
  <si>
    <t>• Mejorar el perfil de tensión desde Chinú 110 kV (el corte esta calulado con tensión minima en Chinu de 117 kV)
• De no ser suficiente o posible, deberá evaluarse el realizar desatención de demanda.</t>
  </si>
  <si>
    <t xml:space="preserve">Baja tensión en Mompox 110 kV </t>
  </si>
  <si>
    <t>Candelaria,
Cartagena,
Proeléctrica</t>
  </si>
  <si>
    <t>• Validar suficiencia ESPS de sobrecarga de Boston – Sierra Flor 110 kV, Chinú – Boston 110 kV y ESPS baja tensión en Zambrano y San Jacinto 66 kV</t>
  </si>
  <si>
    <t>"+CI0817","+CI0800"</t>
  </si>
  <si>
    <t>Chinú - Coveñas 110 kV / Boston - Sierraflor 110 kV</t>
  </si>
  <si>
    <t xml:space="preserve">• Validar suficiencia ESPS de sobrecarga de Boston – Sierra Flor 110 kV, Chinú – Boston 110 kV y ESPS baja tensión en Zambrano 66 kV 
</t>
  </si>
  <si>
    <t>"+CI0817","-LrtBosChn2"</t>
  </si>
  <si>
    <t>Chinú - Coveñas 110 kV / Chinú - Boston 110 kV</t>
  </si>
  <si>
    <t xml:space="preserve">• Validar suficiencia ESPS de sobrecarga de Chinú – Boston 110 kV </t>
  </si>
  <si>
    <t>"-LrtBosChn2","-LinBosChn12"</t>
  </si>
  <si>
    <t>Chinú - Boston 1 110 kV / Chinú - Boston 2 110 kV</t>
  </si>
  <si>
    <t xml:space="preserve">No hay obra de expansión definida en el horizonte de Mediano Plazo. </t>
  </si>
  <si>
    <t>En operación gran numero de unidades de generación electricamente cercanas</t>
  </si>
  <si>
    <t>Agotamiento capacidad de cortocircuito de Ternera 66 kV</t>
  </si>
  <si>
    <t>Bolívar</t>
  </si>
  <si>
    <t>Agotamiento capacidad de cortocircuito de Cartagena 220 kV</t>
  </si>
  <si>
    <t>Agotamiento capacidad de cortocircuito de Bosque 66 kV</t>
  </si>
  <si>
    <t>Cartagena</t>
  </si>
  <si>
    <t xml:space="preserve"> Candelaria</t>
  </si>
  <si>
    <t>Subir la tension en Termocandelaria, poner en modo Bypass los SSSC de Termocandelaria, limitar Termocandelaria o programar generacion en Cartagena</t>
  </si>
  <si>
    <t>Maximo despacho en Caribe 2 sin Cartagena con los SSSC en Termocandelaria en modo reactancia inductiva</t>
  </si>
  <si>
    <t>"-LinCtgTcd22","-LinCtgTcd21"</t>
  </si>
  <si>
    <t>Termocandelaria - Cartagena 2 220 kV / Termocandelaria - Cartagena 1 220 kV</t>
  </si>
  <si>
    <t>"-LinCtgTcd21","-LinCtgTcd22"</t>
  </si>
  <si>
    <t>Termocandelaria - Cartagena 1 220 kV / Termocandelaria - Cartagena 2 220 kV</t>
  </si>
  <si>
    <t xml:space="preserve"> Candelaria, Cartagena</t>
  </si>
  <si>
    <t>Operar con los SSSC de Termocandelaria en 3.5 ohm de reactancia inductiva, limitar generacion en Termocandelaria y Cartagena</t>
  </si>
  <si>
    <t>Maximo Despacho en Termocandelaria y Cartagena con los SSSC en Termocandelaria en Bypass</t>
  </si>
  <si>
    <t>"+LinTcdTer22","+LinTcdTer21"</t>
  </si>
  <si>
    <t>Termocandelaria - Ternera 2 220 kV / Termocandelaria - Ternera 1 220 kV</t>
  </si>
  <si>
    <t>"+LinTcdTer21","+LinTcdTer22"</t>
  </si>
  <si>
    <t>Termocandelaria - Ternera 1 220 kV / Termocandelaria - Ternera 2 220 kV</t>
  </si>
  <si>
    <t>Candelaria</t>
  </si>
  <si>
    <t>Proeléctrica</t>
  </si>
  <si>
    <t>Aumentar perfil de tension en Ternera 66 kV, limitar generación en Proelectrica</t>
  </si>
  <si>
    <t>Maximo despacho en Proelectrica sin Termocandelaria
En demanda máxima con acople 6030 en Proelectrica 66 kV cerrado.</t>
  </si>
  <si>
    <t>"-CI0741","-CI1238"</t>
  </si>
  <si>
    <t>Proelectrica - Mamonal 66 kV / Proelectrica - Membrillal 66 kV</t>
  </si>
  <si>
    <t>PTRA01139, PTRA02158</t>
  </si>
  <si>
    <r>
      <rPr>
        <b/>
        <sz val="10"/>
        <rFont val="Arial"/>
        <family val="2"/>
      </rPr>
      <t xml:space="preserve">PTRA01139: </t>
    </r>
    <r>
      <rPr>
        <sz val="10"/>
        <rFont val="Arial"/>
        <family val="2"/>
      </rPr>
      <t>Carreto 500 kV y circuitos asociados.</t>
    </r>
    <r>
      <rPr>
        <b/>
        <sz val="10"/>
        <rFont val="Arial"/>
        <family val="2"/>
      </rPr>
      <t xml:space="preserve">
PTRA02158: </t>
    </r>
    <r>
      <rPr>
        <sz val="10"/>
        <rFont val="Arial"/>
        <family val="2"/>
      </rPr>
      <t>Carreto 66 kV y circuitos asociados.</t>
    </r>
  </si>
  <si>
    <t>Operar con tensión similar en los nodos de Ternera y Bosque 66 kV, para disminuir los Mvar en tránsito. En caso de sobrecarga o baja tensión, solicitar desatención de demanda en Gambote 66 kV</t>
  </si>
  <si>
    <t>Depende de la magnitud de carga en Gambote 66 kV</t>
  </si>
  <si>
    <t>"-CI0757"</t>
  </si>
  <si>
    <t>Baja tensión en Gambote 66 kV y Sobrecarga de Ternera – Gambote 66 kV en estado normal de operación</t>
  </si>
  <si>
    <r>
      <rPr>
        <b/>
        <sz val="10"/>
        <color theme="1"/>
        <rFont val="Arial"/>
        <family val="2"/>
      </rPr>
      <t>PTRA02446</t>
    </r>
    <r>
      <rPr>
        <sz val="10"/>
        <color theme="1"/>
        <rFont val="Arial"/>
        <family val="2"/>
      </rPr>
      <t>: Subestación Campestre 66 kV, mitiga pero no es suficiente</t>
    </r>
  </si>
  <si>
    <t xml:space="preserve">Validarse suficiencia del ESPS de sobrecarga de las líneas Ternera – Zaragocilla 66 kV y Cartagena – Zaragocilla 66 kV </t>
  </si>
  <si>
    <t>Depende de la magnitud de carga en Zaragocilla 66 kV</t>
  </si>
  <si>
    <t>"+ZarCar7","+CI0759"</t>
  </si>
  <si>
    <t>Cartagena - Zaragocilla 66 kV / Ternera - Zaragocilla 66 kV</t>
  </si>
  <si>
    <t>"+CI0759","+ZarCar7"</t>
  </si>
  <si>
    <t>Ternera - Zaragocilla 66 kV / Cartagena - Zaragocilla 66 kV</t>
  </si>
  <si>
    <t>Agotamiento capacidad de cortocircuito de Nv Barranquilla 220 kV</t>
  </si>
  <si>
    <t>Atlántico</t>
  </si>
  <si>
    <t>Agotamiento capacidad de cortocircuito de TermoFlores 220 kV</t>
  </si>
  <si>
    <t>PTRA13494</t>
  </si>
  <si>
    <r>
      <t xml:space="preserve">PTRA13494: </t>
    </r>
    <r>
      <rPr>
        <sz val="10"/>
        <rFont val="Arial"/>
        <family val="2"/>
      </rPr>
      <t>Reconfiguración de la Subestación Sabanalarga 220 Kv - FPO: 2026/11/30</t>
    </r>
  </si>
  <si>
    <t>Agotamiento capacidad de cortocircuito de Sabanalarga 220 kV</t>
  </si>
  <si>
    <t>Limitar el número de unidades en línea de la subárea Atlántico para mitigar la condición.</t>
  </si>
  <si>
    <t>Agotamiento capacidad de cortocircuito de Tebsa 220 kV</t>
  </si>
  <si>
    <t>Agotamiento capacidad de cortocircuito de Unión 110 kV</t>
  </si>
  <si>
    <t>Agotamiento capacidad de cortocircuito de Nueva Magdalena 110 kV</t>
  </si>
  <si>
    <t>Agotamiento capacidad de cortocircuito de Termoflores 110 kV</t>
  </si>
  <si>
    <t>Agotamiento capacidad de cortocircuito de Tebsa 110 kV</t>
  </si>
  <si>
    <t>Agotamiento capacidad de cortocircuito de Centro 110 kV</t>
  </si>
  <si>
    <t>Agotamiento capacidad de cortocircuito de El Río 110 kV</t>
  </si>
  <si>
    <t>Agotamiento capacidad de cortocircuito de Silencio 110 kV</t>
  </si>
  <si>
    <t>Agotamiento capacidad de cortocircuito de Oasis 110 kV</t>
  </si>
  <si>
    <r>
      <rPr>
        <b/>
        <sz val="10"/>
        <rFont val="Arial"/>
        <family val="2"/>
      </rPr>
      <t>No hay obra de expansión definida en el horizonte de Mediano Plazo</t>
    </r>
    <r>
      <rPr>
        <sz val="10"/>
        <rFont val="Arial"/>
        <family val="2"/>
      </rPr>
      <t>. Aumento de capacidad de corto circuito de Flores 110 kV (capacidad actual 31,5 kA de ambas subestaciones)</t>
    </r>
  </si>
  <si>
    <t>Con recursos de generación de la subárea en línea es posible superar la capacidad de cortocircuito de estas subestaciones por lo que se deben tomar las siguientes medidas, primero la apertura de la bahía de línea en Las Flores hacia El Río 110 kV, segundo desacoplar Termoflores 110 kV, y tercero limitar el número de unidades en línea para mitigar la condición.</t>
  </si>
  <si>
    <t>Agotamiento capacidad de cortocircuito de Las Flores 110 kV</t>
  </si>
  <si>
    <t>Verificar suficiencia ESP LINEAS TEBSA - VTE JULIO 110 kV</t>
  </si>
  <si>
    <t>Alta demanda en Veinte Julio 110 kV</t>
  </si>
  <si>
    <t>"+LinTebVte211","+LinTebVte221"</t>
  </si>
  <si>
    <t xml:space="preserve">Tebsa - Vte Julio 1 110 T2 / Tebsa - Vte Julio 2 110 T2 </t>
  </si>
  <si>
    <t>"+LinTebVte221","+LinTebVte211"</t>
  </si>
  <si>
    <t xml:space="preserve">Tebsa - Vte Julio 2 110 T2 / Tebsa - Vte Julio 1 110 T2 </t>
  </si>
  <si>
    <t>Tebsa 110 kV,
Flores 1,
Flores 4</t>
  </si>
  <si>
    <t>PTRA05299</t>
  </si>
  <si>
    <r>
      <rPr>
        <b/>
        <sz val="10"/>
        <color theme="1"/>
        <rFont val="Arial"/>
        <family val="2"/>
      </rPr>
      <t xml:space="preserve">PTRA05299: </t>
    </r>
    <r>
      <rPr>
        <sz val="10"/>
        <color theme="1"/>
        <rFont val="Arial"/>
        <family val="2"/>
      </rPr>
      <t>Nueva Río 220/110 kV</t>
    </r>
  </si>
  <si>
    <t xml:space="preserve">Programar generación en la red de 110 kV. </t>
  </si>
  <si>
    <t>Mínima generación en Atlantico
Alta demanda al interior de Atlántico</t>
  </si>
  <si>
    <t>"+TrfSab9","+TrfSab1"</t>
  </si>
  <si>
    <t>Sabana 9 220/115 kV / Sabana 1 220/115 kV</t>
  </si>
  <si>
    <t>Tebsa 220 kV, 
Barraquilla 220kV</t>
  </si>
  <si>
    <t>• Programar generación en la red de 110 kV. 
  * La transformación Tebsa 220/110 kV cuenta con un ESP ante contingencia de uno de los transformadores, sin embargo, debido a desviaciones de la demanda que se han presentado en la operación en tiempo real, es necesario cuidar este corte en red completa.</t>
  </si>
  <si>
    <t>Mínima generación en los recursos conectados en nodos de 110 kV
Alta demanda al interior de Atlántico</t>
  </si>
  <si>
    <t>"+TrfTbs215"</t>
  </si>
  <si>
    <t>Sobrecarga Tebsa 5 220/110 kV</t>
  </si>
  <si>
    <t>"+TrfTbs2017"</t>
  </si>
  <si>
    <t>Sobrecarga Tebsa 2 220/110 kV</t>
  </si>
  <si>
    <t>"+TrfTbs2146"</t>
  </si>
  <si>
    <t>Sobrecarga Tebsa 1 220/110 kV</t>
  </si>
  <si>
    <t>Flores 1,
Flores 4</t>
  </si>
  <si>
    <t>Tebsa,
Barranquilla</t>
  </si>
  <si>
    <t xml:space="preserve">• Disminuir la impedancia de los dispositivos SSSC ubicados en las lineas Sabanalarga - Tebsa 1 y 2 220 kV.
• Aumentar la impedancia de los dispositivos SSSC ubicados en las lineas Nv Barranquilla - Termoflores 1 y 2 220 kV. (Aplicar cuidando las corrientes de enganche del dispositivo).
• Balance de generacion entre Flores 1 - Flores 4 y Tebsa - Barranquilla. </t>
  </si>
  <si>
    <t>Maximo despacho en Tebsa y Barranquilla sin Flores 1 y Flores 4.
En demanda máxima.</t>
  </si>
  <si>
    <t>"-LinCrcTeb21","-LinRioTeb21"</t>
  </si>
  <si>
    <t>Tebsa - Caracoli  1 220 / Tebsa - El Rio 1 220</t>
  </si>
  <si>
    <r>
      <t xml:space="preserve">No hay obra de expansión definida en el horizonte de Mediano Plazo. </t>
    </r>
    <r>
      <rPr>
        <sz val="10"/>
        <rFont val="Arial"/>
        <family val="2"/>
      </rPr>
      <t>(PTRA05299: Nueva Río 220/110 kV) mitiga pero no elimina</t>
    </r>
  </si>
  <si>
    <t xml:space="preserve">• Balance de generación entre Flores 1 - Flores 4 y Tebsa - Barranquilla. </t>
  </si>
  <si>
    <t>Alta generación en Flores 1 y Flores 4 con baja generación en Tebsa y Barranquilla</t>
  </si>
  <si>
    <t>"-LinLflTfl11","-CI0564</t>
  </si>
  <si>
    <t>Termoflores - Las Flores 1 110 / Termoflores - Las Flores 2 110 kV</t>
  </si>
  <si>
    <t>Evaluar el aumeto de capacidad de transporte de corriente del circuito</t>
  </si>
  <si>
    <t>"-CI0564,"-LinLflTfl11"</t>
  </si>
  <si>
    <t>Termoflores - Las Flores 2 110 / Termoflores - Las Flores 1 110 kV</t>
  </si>
  <si>
    <t>Operar acoplada la subestación Termoflores 110 kV. Recomendación al OR y UPME aumentar capacidad de CC de las subestaciones Flores, Centro, Oasis 110 kV</t>
  </si>
  <si>
    <t>"-CI0890"</t>
  </si>
  <si>
    <t>Termoflores - Oasis 2 110 (acople abierto)</t>
  </si>
  <si>
    <t>Flores 1,
Tebsa,
Barranquilla</t>
  </si>
  <si>
    <t>Flores 4</t>
  </si>
  <si>
    <r>
      <rPr>
        <b/>
        <sz val="10"/>
        <color theme="1"/>
        <rFont val="Arial"/>
        <family val="2"/>
      </rPr>
      <t xml:space="preserve">PTRA05299: </t>
    </r>
    <r>
      <rPr>
        <sz val="10"/>
        <color theme="1"/>
        <rFont val="Arial"/>
        <family val="2"/>
      </rPr>
      <t>Nueva Río 220/110 kV (mitiga pero no elimina)</t>
    </r>
  </si>
  <si>
    <t>Con Termoflores 110 kV desacoplada. Aumentar generación en Flores 1. Disminuir en Flores IV. Aumentar en Tebsa - Barranquilla. De no ser posible controlar esta restricción con generación, verificar suficiencia ESPS sobrecargas Termoflores II – Oasis 110 kV</t>
  </si>
  <si>
    <t>Con Termoflores 110 kV desacoplada
Alta generación en Flores 4 y baja en Flores 1, Tebsa y Barranquilla</t>
  </si>
  <si>
    <t>"+TrfFls2012","-CI0890"</t>
  </si>
  <si>
    <t>Flores 2 220/110 kV /  Termoflores II - Oasis 1 110 kV</t>
  </si>
  <si>
    <t>Tebsa,
Barranquilla,
Flores 1</t>
  </si>
  <si>
    <t>Con Termoflores 110 kV desacoplada. Realizar balance de generación entre Flores 4, Tebsa y Barranquilla y/o programar generación en Flores 1. El valor del corte dependerá de la generación que se utilice para cubrirlo</t>
  </si>
  <si>
    <t>Con Termoflores 110 kV desacoplada. Alta generación en Flores 4 y baja generación en Flores 1, Tebsa y Barranquilla</t>
  </si>
  <si>
    <t>"-CI0890","+TrfFls2012"</t>
  </si>
  <si>
    <t>Termoflores II - Oasis 110 kV / Flores 2 220/110 kV</t>
  </si>
  <si>
    <t>Tebsa,
Barranquilla,
Flores 1,
Flores 4 110 kV</t>
  </si>
  <si>
    <t>Flores 4 220 kV</t>
  </si>
  <si>
    <r>
      <rPr>
        <b/>
        <sz val="10"/>
        <color theme="1"/>
        <rFont val="Arial"/>
        <family val="2"/>
      </rPr>
      <t>PTRA05299</t>
    </r>
    <r>
      <rPr>
        <sz val="10"/>
        <color theme="1"/>
        <rFont val="Arial"/>
        <family val="2"/>
      </rPr>
      <t>: Nueva Río 220/110 kV</t>
    </r>
  </si>
  <si>
    <t>Realizar balance de generación entre Flores y Tebsa y/o programar generación a nivel de 110 kV. El valor del corte dependerá del escenario de operación y si la S/E Termoflores 110 kV se opera acoplada o desacoplada</t>
  </si>
  <si>
    <t>Alta generación en Flores 4 a nivel de 220 kV y baja generación de Flores 1 y Flores 4 a nivel de 110 kV, Tebsa y Barranquilla</t>
  </si>
  <si>
    <t>"+TrfFls2012","+TrfFls2011"</t>
  </si>
  <si>
    <t>Flores 2 220/110 kV / Termoflores 1 220/110 kV</t>
  </si>
  <si>
    <r>
      <t xml:space="preserve">PTRA05299: </t>
    </r>
    <r>
      <rPr>
        <sz val="10"/>
        <color theme="1"/>
        <rFont val="Arial"/>
        <family val="2"/>
      </rPr>
      <t>Nueva Río 220/110 kV</t>
    </r>
  </si>
  <si>
    <t>"+TrfFls2011","+TrfFls2012"</t>
  </si>
  <si>
    <t>Termoflores 1 220/110 kV / Flores 2 220/110 kV</t>
  </si>
  <si>
    <t xml:space="preserve">Realizar balance de generación entre Flores y Tebsa 220 kV + Barranquilla y/o programar generación en la red de 110 kV. En caso de no ser suficiente validar la suficiencia del ESPS asociado a sobrecarga de la transformación Tebsa 220/110 kV </t>
  </si>
  <si>
    <t xml:space="preserve">Alta generación en Tebsa 220 kV y Barranquilla.
Baja generación en 110 kV y Flores 4 220 kV.
</t>
  </si>
  <si>
    <t>"+TrfTbs215","+TrfTbs2146,"+TrfTbs2017"</t>
  </si>
  <si>
    <t>Tebsa 5 220/110 kV / Tebsa 1 220/110 kV + Tebsa 2 220/110 kV</t>
  </si>
  <si>
    <r>
      <rPr>
        <b/>
        <sz val="10"/>
        <color theme="1"/>
        <rFont val="Arial"/>
        <family val="2"/>
      </rPr>
      <t xml:space="preserve">PTRA05299: </t>
    </r>
    <r>
      <rPr>
        <sz val="10"/>
        <color theme="1"/>
        <rFont val="Arial"/>
        <family val="2"/>
      </rPr>
      <t xml:space="preserve">Nueva Río 220/110 kV
</t>
    </r>
  </si>
  <si>
    <t>"+TrfTbs2017","+TrfTbs2146,"+TrfTbs215"</t>
  </si>
  <si>
    <t>Tebsa 2 220/110 kV / Tebsa 1 220/110 kV + Tebsa 5 220/110 kV</t>
  </si>
  <si>
    <t>"+TrfTbs2146","+TrfTbs2017","+TrfTbs215"</t>
  </si>
  <si>
    <t>Tebsa 1 220/110 kV / Tebsa 2 220/110 kV + Tebsa 5 220/110 kV</t>
  </si>
  <si>
    <t>Tebsa,
Barranquilla,
Flores 1,
Flores 4</t>
  </si>
  <si>
    <r>
      <t xml:space="preserve">No hay obra de expansión definida en el horizonte de Mediano Plazo. </t>
    </r>
    <r>
      <rPr>
        <sz val="10"/>
        <color theme="1"/>
        <rFont val="Arial"/>
        <family val="2"/>
      </rPr>
      <t xml:space="preserve"> (PTRA05299: Nueva Río 220/110 kV) Mitiga pero no elimina la restricción</t>
    </r>
  </si>
  <si>
    <t>Si bien, la subárea no tienen requerimiento de unidades definidos, se recomienda evaluar para demanda de Caribe 2 mayor 1671 MW la pertinencia de programar unidades al interior</t>
  </si>
  <si>
    <t>Alta demanda  y baja generación al interior de la subárea</t>
  </si>
  <si>
    <t xml:space="preserve">Baja tensión en nodos Atlántico 110 kV en red completa y ante N-1 </t>
  </si>
  <si>
    <t>Guajira,
Termonorte,
Tebsa,
Barranquilla,
Flores 1,
Flores 4,
Candelaria,
Cartagena,
Proeléctrica</t>
  </si>
  <si>
    <t>PTRA00203,
PTRA00322,
PTRA00482, 
PTRA00325, 
PTRA05304,
PTRA01139,</t>
  </si>
  <si>
    <r>
      <t xml:space="preserve">Aumenta la capacidad de importación
</t>
    </r>
    <r>
      <rPr>
        <b/>
        <sz val="10"/>
        <color theme="1"/>
        <rFont val="Arial"/>
        <family val="2"/>
      </rPr>
      <t xml:space="preserve">PTRA00322 </t>
    </r>
    <r>
      <rPr>
        <sz val="10"/>
        <color theme="1"/>
        <rFont val="Arial"/>
        <family val="2"/>
      </rPr>
      <t xml:space="preserve">Subestación Toluviejo 220 kV
PTRA00482 Circuito Cuestecitas – La Loma 500 kV
</t>
    </r>
    <r>
      <rPr>
        <b/>
        <sz val="10"/>
        <color theme="1"/>
        <rFont val="Arial"/>
        <family val="2"/>
      </rPr>
      <t>PTRA00325</t>
    </r>
    <r>
      <rPr>
        <sz val="10"/>
        <color theme="1"/>
        <rFont val="Arial"/>
        <family val="2"/>
      </rPr>
      <t xml:space="preserve"> UPME 06 - 2017 S/E Colectora 1 500 kV y circuitos asociados
</t>
    </r>
    <r>
      <rPr>
        <b/>
        <sz val="10"/>
        <color theme="1"/>
        <rFont val="Arial"/>
        <family val="2"/>
      </rPr>
      <t xml:space="preserve">PTRA05304 </t>
    </r>
    <r>
      <rPr>
        <sz val="10"/>
        <color theme="1"/>
        <rFont val="Arial"/>
        <family val="2"/>
      </rPr>
      <t xml:space="preserve">Nueva Toluviejo 220/110 kV
</t>
    </r>
    <r>
      <rPr>
        <b/>
        <sz val="10"/>
        <color theme="1"/>
        <rFont val="Arial"/>
        <family val="2"/>
      </rPr>
      <t xml:space="preserve">PTRA01139 </t>
    </r>
    <r>
      <rPr>
        <sz val="10"/>
        <color theme="1"/>
        <rFont val="Arial"/>
        <family val="2"/>
      </rPr>
      <t xml:space="preserve">UPME 06-2021 Subestación Carreto 500 kV y PTRA02158 Carreto 66 kV
</t>
    </r>
  </si>
  <si>
    <t>• Limitar la generacion en Caribe 2</t>
  </si>
  <si>
    <t>Alta exportacion de potencia del área Caribe 2.</t>
  </si>
  <si>
    <t>"-LrtSabChn51r","-LrtSabchn52r","+LinOcaLom512","-LinChnCop51T", "+LinBolTvj21"</t>
  </si>
  <si>
    <t>Chinú – Sabana 1 + Chinú – Sabana 2 500 kV + Ocaña – La Loma 500 kV + Chinú - El Copey 500 kV + Toluviejo – Bolívar 220 kV</t>
  </si>
  <si>
    <t>Caribe2</t>
  </si>
  <si>
    <t>• Programar generación de seguridad al interior del área Caribe de manera que se cubra el límite de importación y el número de unidades
• Hacer un uso adecuado de taps de transformadores y compensación reactiva del área y mantener adecuados perfiles de tensión en estado normal de operación.
• En caso de que no se puedan programar las unidades equivalentes mínimas requeridas, es necesario disminuir el intercambio de potencia entre el interior y el área Caribe 2 (alrededor de 100 MW por unidad),vericando en cada caso la respuesta del sistema en estado normal de operación y ante N-1</t>
  </si>
  <si>
    <t>Alta importación de potencia del área Caribe 2.</t>
  </si>
  <si>
    <t>"+LrtSabChn51r","+LrtSabchn52r","-LinOcaLom512","+LinChnCop51T", "-LinBolTvj21"</t>
  </si>
  <si>
    <t>• Limitar la generacion en Caribe</t>
  </si>
  <si>
    <t>Alta exportación de potencia del área Caribe.</t>
  </si>
  <si>
    <t>"+lrtCmt3Shn15","+LrtCmtPmv51r","+LinOcaLom512","-LinAntCer51r","-LinAntCer52r"</t>
  </si>
  <si>
    <t>Antioquia – Cerromatoso 1 500 kV + Antioquia – Cerromatoso 2 500 kV + Porce 3 – Cerromatoso 500 kV + Primavera – Cerromatoso 500 kV + Ocaña – La Loma 500 kV</t>
  </si>
  <si>
    <t>PTRA00203, 
PTRA00322,
PTRA00482, 
PTRA00325, 
PTRA05304,
PTRA01139,</t>
  </si>
  <si>
    <t>• Programar generación de seguridad al interior del área Caribe de manera que se cubra el límite de importación y el requerimiento del número de unidades equivalentes
• Hacer un uso adecuado de taps de transformadores y compensación reactiva del área y mantener adecuados perfiles de tensión en estado normal de operación.
• En caso de que no se puedan programar las unidades equivalentes mínimas requeridas, es necesario disminuir el intercambio de potencia entre el interior y el área Caribe 2 (alrededor de 100 MW por unidad), verficando en cada caso la respuesta del sistema en estado normal de operación y ante N-1</t>
  </si>
  <si>
    <t>Alta importación de potencia del área Caribe.</t>
  </si>
  <si>
    <t>"-lrtCmt3Shn15","-LrtCmtPmv51r","-LinOcaLom512","+LinAntCer51r","+LinAntCer52r"</t>
  </si>
  <si>
    <t>Origen de la restricción</t>
  </si>
  <si>
    <t>Estado restricción</t>
  </si>
  <si>
    <t>Generación a subir</t>
  </si>
  <si>
    <t>Generación a limitar</t>
  </si>
  <si>
    <t>Acciones de corto plazo recomendadas</t>
  </si>
  <si>
    <t>Codigo</t>
  </si>
  <si>
    <t>Proyecto de Expansión Mediano plazo</t>
  </si>
  <si>
    <t>Recomendación operativa</t>
  </si>
  <si>
    <t>Escenario</t>
  </si>
  <si>
    <t>ESPS</t>
  </si>
  <si>
    <t>Corte [MW]</t>
  </si>
  <si>
    <t>FKEYS</t>
  </si>
  <si>
    <t>Restricción</t>
  </si>
  <si>
    <t>Número</t>
  </si>
  <si>
    <t>Subárea</t>
  </si>
  <si>
    <t>Area</t>
  </si>
  <si>
    <t>ElemName</t>
  </si>
  <si>
    <t>LimiteSup [MW]</t>
  </si>
  <si>
    <t>Porce III – Cerromatoso 500 kV + 
Primavera – Cerromatoso 500 kV + 
Ocaña – La Loma 500 kV +
Antioquia - Cerromatoso 1 y 2 500 kV</t>
  </si>
  <si>
    <t>"-lrtCmt3Shn15","-LrtCmtPmv51r", "-LinOcaLom512, "+LinAntCer51r","+LinAntCer52r"</t>
  </si>
  <si>
    <t>Primavera – Bacatá 500 Kv + 
 La Virginia – Nueva Esperanza 500 kV</t>
  </si>
  <si>
    <t>"-PmvBac500","+ExpLne0135"</t>
  </si>
  <si>
    <t>Heliconia - La Virginia 500 kV +
La Virginia - San Carlos 500 Kv + 
 La Virginia  - Nueva Esperanza 500 Kv</t>
  </si>
  <si>
    <t>"+LinVirMed51r","-LrtVirSca51r","-ExpLne0135"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</si>
</sst>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10"/>
      <color theme="1"/>
      <name val="Arial"/>
      <family val="2"/>
    </font>
    <font>
      <b/>
      <sz val="10"/>
      <color theme="1"/>
      <name val="Arial"/>
      <family val="2"/>
    </font>
    <font>
      <sz val="10"/>
      <name val="Arial"/>
      <family val="2"/>
    </font>
    <font>
      <b/>
      <sz val="10"/>
      <name val="Arial"/>
      <family val="2"/>
    </font>
    <font>
      <sz val="10"/>
      <color rgb="FF000000"/>
      <name val="Arial"/>
      <family val="2"/>
    </font>
    <font>
      <sz val="11"/>
      <color theme="1"/>
      <name val="Arial"/>
      <family val="2"/>
    </font>
    <font>
      <sz val="10"/>
      <color rgb="FFFF0000"/>
      <name val="Arial"/>
      <family val="2"/>
    </font>
    <font>
      <sz val="9"/>
      <name val="Arial"/>
      <family val="2"/>
    </font>
    <font>
      <b/>
      <sz val="12"/>
      <color theme="0"/>
      <name val="Arial"/>
      <family val="2"/>
    </font>
    <font>
      <b/>
      <sz val="12"/>
      <color theme="1"/>
      <name val="Arial"/>
      <family val="2"/>
    </font>
    <font>
      <b/>
      <sz val="9"/>
      <color indexed="81"/>
      <name val="Tahoma"/>
      <family val="2"/>
    </font>
    <font>
      <sz val="9"/>
      <color indexed="81"/>
      <name val="Tahoma"/>
      <family val="2"/>
    </font>
    <font>
      <b/>
      <sz val="12"/>
      <color indexed="81"/>
      <name val="Tahoma"/>
      <family val="2"/>
    </font>
    <font>
      <b/>
      <sz val="9"/>
      <color theme="1"/>
      <name val="Tahoma"/>
      <family val="2"/>
    </font>
  </fonts>
  <fills count="6">
    <fill>
      <patternFill patternType="none"/>
    </fill>
    <fill>
      <patternFill patternType="gray125"/>
    </fill>
    <fill>
      <patternFill patternType="solid">
        <fgColor theme="0"/>
        <bgColor indexed="64"/>
      </patternFill>
    </fill>
    <fill>
      <patternFill patternType="solid">
        <fgColor rgb="FF4C216D"/>
        <bgColor indexed="64"/>
      </patternFill>
    </fill>
    <fill>
      <patternFill patternType="solid">
        <fgColor theme="5"/>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
    <xf numFmtId="0" fontId="0" fillId="0" borderId="0"/>
  </cellStyleXfs>
  <cellXfs count="85">
    <xf numFmtId="0" fontId="0" fillId="0" borderId="0" xfId="0"/>
    <xf numFmtId="0" fontId="1" fillId="0" borderId="0" xfId="0" applyFont="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applyAlignment="1">
      <alignment horizontal="left" vertical="center" wrapText="1"/>
    </xf>
    <xf numFmtId="0" fontId="3" fillId="0" borderId="1" xfId="0" applyFont="1" applyBorder="1" applyAlignment="1">
      <alignment vertical="center" wrapText="1"/>
    </xf>
    <xf numFmtId="0" fontId="2" fillId="0" borderId="1" xfId="0" applyFont="1" applyBorder="1" applyAlignment="1">
      <alignment horizontal="left" vertical="center" wrapText="1"/>
    </xf>
    <xf numFmtId="0" fontId="3" fillId="0" borderId="1" xfId="0" applyFont="1" applyBorder="1" applyAlignment="1">
      <alignment horizontal="center" vertic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3" fillId="0" borderId="0" xfId="0" applyFont="1" applyAlignment="1">
      <alignment vertical="center" wrapText="1"/>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0" borderId="1" xfId="0" applyFont="1" applyBorder="1" applyAlignment="1">
      <alignment horizontal="center" vertical="center"/>
    </xf>
    <xf numFmtId="0" fontId="3" fillId="0" borderId="3" xfId="0" applyFont="1" applyBorder="1" applyAlignment="1">
      <alignment horizontal="center" vertical="center" wrapText="1"/>
    </xf>
    <xf numFmtId="0" fontId="1" fillId="0" borderId="1" xfId="0" applyFont="1" applyBorder="1" applyAlignment="1">
      <alignment vertical="center" wrapText="1"/>
    </xf>
    <xf numFmtId="0" fontId="3" fillId="0" borderId="1" xfId="0" quotePrefix="1" applyFont="1" applyBorder="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vertical="center" wrapText="1"/>
    </xf>
    <xf numFmtId="0" fontId="1" fillId="0" borderId="3" xfId="0" quotePrefix="1" applyFont="1" applyBorder="1" applyAlignment="1">
      <alignment horizontal="left" vertical="center" wrapText="1"/>
    </xf>
    <xf numFmtId="0" fontId="1" fillId="0" borderId="3" xfId="0" quotePrefix="1" applyFont="1" applyBorder="1" applyAlignment="1">
      <alignment horizontal="center" vertical="center" wrapText="1"/>
    </xf>
    <xf numFmtId="0" fontId="1" fillId="0" borderId="1" xfId="0" quotePrefix="1" applyFont="1" applyBorder="1" applyAlignment="1">
      <alignment vertical="center" wrapText="1"/>
    </xf>
    <xf numFmtId="0" fontId="2" fillId="0" borderId="4" xfId="0" applyFont="1" applyBorder="1" applyAlignment="1">
      <alignment horizontal="left" vertical="center" wrapText="1"/>
    </xf>
    <xf numFmtId="0" fontId="1" fillId="0" borderId="4" xfId="0" applyFont="1" applyBorder="1" applyAlignment="1">
      <alignment horizontal="left" vertical="center" wrapText="1"/>
    </xf>
    <xf numFmtId="0" fontId="3" fillId="0" borderId="5" xfId="0" applyFont="1" applyBorder="1" applyAlignment="1">
      <alignment horizontal="center" vertical="center" wrapText="1"/>
    </xf>
    <xf numFmtId="0" fontId="2" fillId="2" borderId="4" xfId="0" applyFont="1" applyFill="1" applyBorder="1" applyAlignment="1">
      <alignment horizontal="left" vertical="center" wrapText="1"/>
    </xf>
    <xf numFmtId="0" fontId="2" fillId="0" borderId="1" xfId="0" applyFont="1" applyBorder="1" applyAlignment="1">
      <alignment horizontal="left" vertical="center" wrapText="1"/>
    </xf>
    <xf numFmtId="0" fontId="5" fillId="0" borderId="3" xfId="0" applyFont="1" applyBorder="1" applyAlignment="1">
      <alignment horizontal="center" vertical="center" wrapText="1"/>
    </xf>
    <xf numFmtId="0" fontId="1" fillId="0" borderId="1" xfId="0" applyFont="1" applyBorder="1" applyAlignment="1">
      <alignment horizontal="center" vertical="center" wrapText="1"/>
    </xf>
    <xf numFmtId="0" fontId="3" fillId="0" borderId="4" xfId="0" applyFont="1" applyBorder="1" applyAlignment="1">
      <alignment horizontal="center" vertical="center" wrapText="1"/>
    </xf>
    <xf numFmtId="0" fontId="1" fillId="0" borderId="4" xfId="0" applyFont="1" applyBorder="1" applyAlignment="1">
      <alignment horizontal="center" vertical="center" wrapText="1"/>
    </xf>
    <xf numFmtId="0" fontId="3" fillId="0" borderId="4" xfId="0" applyFont="1" applyBorder="1" applyAlignment="1">
      <alignment vertical="center" wrapText="1"/>
    </xf>
    <xf numFmtId="0" fontId="1" fillId="0" borderId="1" xfId="0" quotePrefix="1" applyFont="1" applyBorder="1" applyAlignment="1">
      <alignment horizontal="left" vertical="center" wrapText="1"/>
    </xf>
    <xf numFmtId="0" fontId="3" fillId="0" borderId="6" xfId="0" applyFont="1" applyBorder="1" applyAlignment="1">
      <alignment horizontal="center" vertical="center" wrapText="1"/>
    </xf>
    <xf numFmtId="0" fontId="1" fillId="0" borderId="4" xfId="0" quotePrefix="1" applyFont="1" applyBorder="1" applyAlignment="1">
      <alignment horizontal="left" vertical="center" wrapText="1"/>
    </xf>
    <xf numFmtId="0" fontId="2" fillId="2" borderId="1" xfId="0" applyFont="1" applyFill="1" applyBorder="1" applyAlignment="1">
      <alignment horizontal="left" vertical="center" wrapText="1"/>
    </xf>
    <xf numFmtId="0" fontId="3" fillId="0" borderId="7" xfId="0" applyFont="1" applyBorder="1" applyAlignment="1">
      <alignment horizontal="center" vertical="center" wrapText="1"/>
    </xf>
    <xf numFmtId="0" fontId="5" fillId="0" borderId="3" xfId="0" applyFont="1" applyBorder="1" applyAlignment="1">
      <alignment horizontal="center" vertical="center" wrapText="1"/>
    </xf>
    <xf numFmtId="0" fontId="1" fillId="0" borderId="4" xfId="0" applyFont="1" applyBorder="1" applyAlignment="1">
      <alignment vertical="center" wrapText="1"/>
    </xf>
    <xf numFmtId="0" fontId="2" fillId="0" borderId="4" xfId="0" applyFont="1" applyBorder="1" applyAlignment="1">
      <alignment vertical="center" wrapText="1"/>
    </xf>
    <xf numFmtId="0" fontId="1" fillId="0" borderId="3" xfId="0" quotePrefix="1" applyFont="1" applyBorder="1" applyAlignment="1">
      <alignment vertical="center" wrapText="1"/>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2" fillId="0" borderId="3" xfId="0" applyFont="1" applyBorder="1" applyAlignment="1">
      <alignment vertical="center" wrapText="1"/>
    </xf>
    <xf numFmtId="0" fontId="1" fillId="0" borderId="1" xfId="0" applyFont="1" applyBorder="1"/>
    <xf numFmtId="0" fontId="1" fillId="0" borderId="5" xfId="0" applyFont="1" applyBorder="1" applyAlignment="1">
      <alignment horizontal="center" vertical="center" wrapText="1"/>
    </xf>
    <xf numFmtId="0" fontId="3" fillId="0" borderId="1" xfId="0" quotePrefix="1" applyFont="1" applyBorder="1" applyAlignment="1">
      <alignment horizontal="center"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xf>
    <xf numFmtId="0" fontId="3" fillId="0" borderId="1" xfId="0" applyFont="1" applyBorder="1" applyAlignment="1">
      <alignment horizontal="left"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3" fillId="0" borderId="8" xfId="0" applyFont="1" applyBorder="1" applyAlignment="1">
      <alignment horizontal="center" vertical="center" wrapText="1"/>
    </xf>
    <xf numFmtId="0" fontId="3" fillId="0" borderId="3" xfId="0" applyFont="1" applyBorder="1" applyAlignment="1">
      <alignment horizontal="left" vertical="center" wrapText="1"/>
    </xf>
    <xf numFmtId="0" fontId="1" fillId="0" borderId="3" xfId="0" applyFont="1" applyBorder="1" applyAlignment="1">
      <alignment horizontal="left" vertical="center" wrapText="1"/>
    </xf>
    <xf numFmtId="0" fontId="3" fillId="0" borderId="9"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4" borderId="13" xfId="0" applyFont="1" applyFill="1" applyBorder="1" applyAlignment="1">
      <alignment horizontal="center" vertical="center" wrapText="1"/>
    </xf>
    <xf numFmtId="0" fontId="14" fillId="4" borderId="14"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0" fillId="0" borderId="1" xfId="0" applyBorder="1" applyAlignment="1">
      <alignment vertical="center"/>
    </xf>
    <xf numFmtId="0" fontId="0" fillId="0" borderId="1" xfId="0" applyBorder="1" applyAlignment="1">
      <alignment wrapText="1"/>
    </xf>
    <xf numFmtId="0" fontId="0" fillId="0" borderId="1" xfId="0" applyBorder="1" applyAlignment="1">
      <alignment horizontal="center" vertical="center"/>
    </xf>
    <xf numFmtId="0" fontId="0" fillId="0" borderId="1" xfId="0" applyBorder="1"/>
    <xf numFmtId="0" fontId="0" fillId="0" borderId="1" xfId="0" applyBorder="1" applyAlignment="1">
      <alignment vertical="center" wrapText="1"/>
    </xf>
    <xf numFmtId="0" fontId="3" fillId="5" borderId="1" xfId="0" applyFont="1" applyFill="1" applyBorder="1" applyAlignment="1">
      <alignment vertical="center" wrapText="1"/>
    </xf>
    <xf numFmtId="0" fontId="3" fillId="5" borderId="1" xfId="0" applyFont="1" applyFill="1" applyBorder="1" applyAlignment="1">
      <alignment horizontal="left" vertical="center" wrapText="1"/>
    </xf>
    <xf numFmtId="0" fontId="8" fillId="5" borderId="1" xfId="0" applyFont="1" applyFill="1" applyBorder="1" applyAlignment="1">
      <alignment horizontal="left" vertical="center"/>
    </xf>
    <xf numFmtId="0" fontId="3" fillId="5" borderId="4" xfId="0" applyFont="1" applyFill="1" applyBorder="1" applyAlignment="1">
      <alignment vertical="center" wrapText="1"/>
    </xf>
    <xf numFmtId="0" fontId="8" fillId="5" borderId="1" xfId="0" applyFont="1" applyFill="1" applyBorder="1" applyAlignment="1">
      <alignment horizontal="left" vertical="center" wrapText="1"/>
    </xf>
    <xf numFmtId="0" fontId="1" fillId="5" borderId="1" xfId="0" applyFont="1" applyFill="1" applyBorder="1" applyAlignment="1">
      <alignment vertical="center" wrapText="1"/>
    </xf>
    <xf numFmtId="0" fontId="3" fillId="5" borderId="3" xfId="0" applyFont="1" applyFill="1" applyBorder="1" applyAlignment="1">
      <alignment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FD071-F5C5-4F92-A6B1-3A505EF290D2}">
  <dimension ref="A1:D6"/>
  <sheetViews>
    <sheetView workbookViewId="0">
      <selection activeCell="B21" sqref="B21"/>
    </sheetView>
  </sheetViews>
  <sheetFormatPr defaultRowHeight="15" x14ac:dyDescent="0.25"/>
  <cols>
    <col min="1" max="1" width="13.28515625" bestFit="1" customWidth="1"/>
    <col min="2" max="2" width="61.5703125" customWidth="1"/>
    <col min="3" max="3" width="28" customWidth="1"/>
    <col min="4" max="4" width="13" customWidth="1"/>
  </cols>
  <sheetData>
    <row r="1" spans="1:4" ht="23.25" thickBot="1" x14ac:dyDescent="0.3">
      <c r="A1" s="71" t="s">
        <v>728</v>
      </c>
      <c r="B1" s="72" t="s">
        <v>729</v>
      </c>
      <c r="C1" s="72" t="s">
        <v>724</v>
      </c>
      <c r="D1" s="72" t="s">
        <v>730</v>
      </c>
    </row>
    <row r="2" spans="1:4" ht="75" x14ac:dyDescent="0.25">
      <c r="A2" s="73" t="s">
        <v>418</v>
      </c>
      <c r="B2" s="74" t="s">
        <v>731</v>
      </c>
      <c r="C2" s="74" t="s">
        <v>732</v>
      </c>
      <c r="D2" s="75">
        <v>2000</v>
      </c>
    </row>
    <row r="3" spans="1:4" ht="30" x14ac:dyDescent="0.25">
      <c r="A3" s="73" t="s">
        <v>78</v>
      </c>
      <c r="B3" s="74" t="s">
        <v>733</v>
      </c>
      <c r="C3" s="76" t="s">
        <v>734</v>
      </c>
      <c r="D3" s="75">
        <v>1320</v>
      </c>
    </row>
    <row r="4" spans="1:4" x14ac:dyDescent="0.25">
      <c r="A4" s="73" t="s">
        <v>8</v>
      </c>
      <c r="B4" s="74"/>
      <c r="C4" s="77"/>
      <c r="D4" s="75"/>
    </row>
    <row r="5" spans="1:4" ht="45" x14ac:dyDescent="0.25">
      <c r="A5" s="73" t="s">
        <v>229</v>
      </c>
      <c r="B5" s="74" t="s">
        <v>735</v>
      </c>
      <c r="C5" s="77" t="s">
        <v>736</v>
      </c>
      <c r="D5" s="75">
        <v>650</v>
      </c>
    </row>
    <row r="6" spans="1:4" x14ac:dyDescent="0.25">
      <c r="A6" s="73" t="s">
        <v>343</v>
      </c>
      <c r="B6" s="76"/>
      <c r="C6" s="76"/>
      <c r="D6" s="7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E5665-65B0-4848-829A-A9CE12892BC3}">
  <sheetPr filterMode="1"/>
  <dimension ref="A1:P200"/>
  <sheetViews>
    <sheetView tabSelected="1" topLeftCell="K1" workbookViewId="0">
      <selection activeCell="U2" sqref="U2"/>
    </sheetView>
  </sheetViews>
  <sheetFormatPr defaultRowHeight="15" x14ac:dyDescent="0.25"/>
  <cols>
    <col min="1" max="1" width="12.28515625" bestFit="1" customWidth="1"/>
    <col min="3" max="3" width="8.5703125" bestFit="1" customWidth="1"/>
    <col min="4" max="4" width="57.42578125" bestFit="1" customWidth="1"/>
    <col min="5" max="5" width="22.7109375" bestFit="1" customWidth="1"/>
    <col min="6" max="6" width="7.28515625" bestFit="1" customWidth="1"/>
    <col min="7" max="7" width="7.5703125" bestFit="1" customWidth="1"/>
    <col min="8" max="8" width="55.140625" bestFit="1" customWidth="1"/>
    <col min="9" max="9" width="72.140625" bestFit="1" customWidth="1"/>
    <col min="10" max="10" width="51.28515625" bestFit="1" customWidth="1"/>
    <col min="11" max="11" width="23.140625" bestFit="1" customWidth="1"/>
    <col min="12" max="12" width="16" customWidth="1"/>
    <col min="14" max="14" width="13.5703125" customWidth="1"/>
    <col min="15" max="15" width="9" bestFit="1" customWidth="1"/>
    <col min="16" max="16" width="8.5703125" bestFit="1" customWidth="1"/>
  </cols>
  <sheetData>
    <row r="1" spans="1:16" ht="63.75" thickBot="1" x14ac:dyDescent="0.3">
      <c r="A1" s="70" t="s">
        <v>728</v>
      </c>
      <c r="B1" s="70" t="s">
        <v>727</v>
      </c>
      <c r="C1" s="68" t="s">
        <v>726</v>
      </c>
      <c r="D1" s="68" t="s">
        <v>725</v>
      </c>
      <c r="E1" s="68" t="s">
        <v>724</v>
      </c>
      <c r="F1" s="68" t="s">
        <v>723</v>
      </c>
      <c r="G1" s="68" t="s">
        <v>722</v>
      </c>
      <c r="H1" s="68" t="s">
        <v>721</v>
      </c>
      <c r="I1" s="68" t="s">
        <v>720</v>
      </c>
      <c r="J1" s="69" t="s">
        <v>719</v>
      </c>
      <c r="K1" s="69" t="s">
        <v>718</v>
      </c>
      <c r="L1" s="68" t="s">
        <v>717</v>
      </c>
      <c r="M1" s="67" t="s">
        <v>716</v>
      </c>
      <c r="N1" s="67" t="s">
        <v>715</v>
      </c>
      <c r="O1" s="66" t="s">
        <v>714</v>
      </c>
      <c r="P1" s="65" t="s">
        <v>713</v>
      </c>
    </row>
    <row r="2" spans="1:16" ht="127.5" x14ac:dyDescent="0.25">
      <c r="A2" s="2" t="s">
        <v>418</v>
      </c>
      <c r="B2" s="41" t="s">
        <v>418</v>
      </c>
      <c r="C2" s="37">
        <v>1</v>
      </c>
      <c r="D2" s="81" t="s">
        <v>708</v>
      </c>
      <c r="E2" s="37" t="s">
        <v>712</v>
      </c>
      <c r="F2" s="38">
        <v>2000</v>
      </c>
      <c r="G2" s="38" t="s">
        <v>5</v>
      </c>
      <c r="H2" s="31" t="s">
        <v>711</v>
      </c>
      <c r="I2" s="31" t="s">
        <v>710</v>
      </c>
      <c r="J2" s="8" t="s">
        <v>696</v>
      </c>
      <c r="K2" s="15" t="s">
        <v>709</v>
      </c>
      <c r="L2" s="31"/>
      <c r="M2" s="38" t="s">
        <v>1</v>
      </c>
      <c r="N2" s="38" t="s">
        <v>694</v>
      </c>
      <c r="O2" s="64">
        <v>3</v>
      </c>
      <c r="P2" s="2">
        <v>0</v>
      </c>
    </row>
    <row r="3" spans="1:16" ht="178.5" x14ac:dyDescent="0.25">
      <c r="A3" s="2" t="s">
        <v>418</v>
      </c>
      <c r="B3" s="41" t="s">
        <v>418</v>
      </c>
      <c r="C3" s="37">
        <v>2</v>
      </c>
      <c r="D3" s="81" t="s">
        <v>708</v>
      </c>
      <c r="E3" s="37" t="s">
        <v>707</v>
      </c>
      <c r="F3" s="38">
        <v>2800</v>
      </c>
      <c r="G3" s="38" t="s">
        <v>5</v>
      </c>
      <c r="H3" s="31" t="s">
        <v>706</v>
      </c>
      <c r="I3" s="31" t="s">
        <v>705</v>
      </c>
      <c r="J3" s="8" t="s">
        <v>696</v>
      </c>
      <c r="K3" s="15" t="s">
        <v>695</v>
      </c>
      <c r="L3" s="31"/>
      <c r="M3" s="38" t="s">
        <v>694</v>
      </c>
      <c r="N3" s="4" t="s">
        <v>1</v>
      </c>
      <c r="O3" s="64">
        <v>3</v>
      </c>
      <c r="P3" s="2">
        <v>0</v>
      </c>
    </row>
    <row r="4" spans="1:16" ht="127.5" x14ac:dyDescent="0.25">
      <c r="A4" s="2" t="s">
        <v>418</v>
      </c>
      <c r="B4" s="32" t="s">
        <v>701</v>
      </c>
      <c r="C4" s="2">
        <v>1</v>
      </c>
      <c r="D4" s="78" t="s">
        <v>700</v>
      </c>
      <c r="E4" s="2" t="s">
        <v>704</v>
      </c>
      <c r="F4" s="4">
        <v>1400</v>
      </c>
      <c r="G4" s="4" t="s">
        <v>5</v>
      </c>
      <c r="H4" s="8" t="s">
        <v>703</v>
      </c>
      <c r="I4" s="8" t="s">
        <v>702</v>
      </c>
      <c r="J4" s="8" t="s">
        <v>696</v>
      </c>
      <c r="K4" s="15" t="s">
        <v>695</v>
      </c>
      <c r="L4" s="8"/>
      <c r="M4" s="4" t="s">
        <v>1</v>
      </c>
      <c r="N4" s="4" t="s">
        <v>694</v>
      </c>
      <c r="O4" s="3">
        <v>3</v>
      </c>
      <c r="P4" s="2">
        <v>0</v>
      </c>
    </row>
    <row r="5" spans="1:16" ht="178.5" x14ac:dyDescent="0.25">
      <c r="A5" s="2" t="s">
        <v>418</v>
      </c>
      <c r="B5" s="32" t="s">
        <v>701</v>
      </c>
      <c r="C5" s="2">
        <v>2</v>
      </c>
      <c r="D5" s="78" t="s">
        <v>700</v>
      </c>
      <c r="E5" s="2" t="s">
        <v>699</v>
      </c>
      <c r="F5" s="4">
        <v>2200</v>
      </c>
      <c r="G5" s="4" t="s">
        <v>5</v>
      </c>
      <c r="H5" s="8" t="s">
        <v>698</v>
      </c>
      <c r="I5" s="31" t="s">
        <v>697</v>
      </c>
      <c r="J5" s="8" t="s">
        <v>696</v>
      </c>
      <c r="K5" s="15" t="s">
        <v>695</v>
      </c>
      <c r="L5" s="8"/>
      <c r="M5" s="4" t="s">
        <v>694</v>
      </c>
      <c r="N5" s="4" t="s">
        <v>1</v>
      </c>
      <c r="O5" s="3">
        <v>3</v>
      </c>
      <c r="P5" s="2">
        <v>0</v>
      </c>
    </row>
    <row r="6" spans="1:16" ht="51" x14ac:dyDescent="0.25">
      <c r="A6" s="2" t="s">
        <v>418</v>
      </c>
      <c r="B6" s="32" t="s">
        <v>601</v>
      </c>
      <c r="C6" s="2">
        <v>1</v>
      </c>
      <c r="D6" s="5" t="s">
        <v>693</v>
      </c>
      <c r="E6" s="2"/>
      <c r="F6" s="4"/>
      <c r="G6" s="4"/>
      <c r="H6" s="8" t="s">
        <v>692</v>
      </c>
      <c r="I6" s="8" t="s">
        <v>691</v>
      </c>
      <c r="J6" s="10" t="s">
        <v>690</v>
      </c>
      <c r="K6" s="15"/>
      <c r="L6" s="8"/>
      <c r="M6" s="4" t="s">
        <v>1</v>
      </c>
      <c r="N6" s="4" t="s">
        <v>689</v>
      </c>
      <c r="O6" s="3">
        <v>3</v>
      </c>
      <c r="P6" s="2">
        <v>0</v>
      </c>
    </row>
    <row r="7" spans="1:16" ht="51" hidden="1" x14ac:dyDescent="0.25">
      <c r="A7" s="2" t="s">
        <v>418</v>
      </c>
      <c r="B7" s="32" t="s">
        <v>601</v>
      </c>
      <c r="C7" s="2">
        <v>2</v>
      </c>
      <c r="D7" s="79" t="s">
        <v>688</v>
      </c>
      <c r="E7" s="2" t="s">
        <v>687</v>
      </c>
      <c r="F7" s="2">
        <v>220</v>
      </c>
      <c r="G7" s="2" t="s">
        <v>21</v>
      </c>
      <c r="H7" s="8" t="s">
        <v>681</v>
      </c>
      <c r="I7" s="8" t="s">
        <v>680</v>
      </c>
      <c r="J7" s="8" t="s">
        <v>627</v>
      </c>
      <c r="K7" s="15" t="s">
        <v>626</v>
      </c>
      <c r="L7" s="8"/>
      <c r="M7" s="4" t="s">
        <v>632</v>
      </c>
      <c r="N7" s="4" t="s">
        <v>625</v>
      </c>
      <c r="O7" s="3">
        <v>0</v>
      </c>
      <c r="P7" s="2">
        <v>0</v>
      </c>
    </row>
    <row r="8" spans="1:16" ht="51" hidden="1" x14ac:dyDescent="0.25">
      <c r="A8" s="2" t="s">
        <v>418</v>
      </c>
      <c r="B8" s="32" t="s">
        <v>601</v>
      </c>
      <c r="C8" s="2">
        <v>3</v>
      </c>
      <c r="D8" s="79" t="s">
        <v>686</v>
      </c>
      <c r="E8" s="2" t="s">
        <v>685</v>
      </c>
      <c r="F8" s="2">
        <v>220</v>
      </c>
      <c r="G8" s="2" t="s">
        <v>21</v>
      </c>
      <c r="H8" s="8" t="s">
        <v>681</v>
      </c>
      <c r="I8" s="8" t="s">
        <v>680</v>
      </c>
      <c r="J8" s="8" t="s">
        <v>684</v>
      </c>
      <c r="K8" s="15" t="s">
        <v>626</v>
      </c>
      <c r="L8" s="8"/>
      <c r="M8" s="4" t="s">
        <v>632</v>
      </c>
      <c r="N8" s="4" t="s">
        <v>625</v>
      </c>
      <c r="O8" s="3">
        <v>0</v>
      </c>
      <c r="P8" s="2">
        <v>0</v>
      </c>
    </row>
    <row r="9" spans="1:16" ht="51" hidden="1" x14ac:dyDescent="0.25">
      <c r="A9" s="2" t="s">
        <v>418</v>
      </c>
      <c r="B9" s="32" t="s">
        <v>601</v>
      </c>
      <c r="C9" s="2">
        <v>4</v>
      </c>
      <c r="D9" s="79" t="s">
        <v>683</v>
      </c>
      <c r="E9" s="2" t="s">
        <v>682</v>
      </c>
      <c r="F9" s="2">
        <v>230</v>
      </c>
      <c r="G9" s="2" t="s">
        <v>21</v>
      </c>
      <c r="H9" s="8" t="s">
        <v>681</v>
      </c>
      <c r="I9" s="8" t="s">
        <v>680</v>
      </c>
      <c r="J9" s="8" t="s">
        <v>627</v>
      </c>
      <c r="K9" s="15" t="s">
        <v>626</v>
      </c>
      <c r="L9" s="8"/>
      <c r="M9" s="4" t="s">
        <v>632</v>
      </c>
      <c r="N9" s="4" t="s">
        <v>625</v>
      </c>
      <c r="O9" s="3">
        <v>0</v>
      </c>
      <c r="P9" s="2">
        <v>0</v>
      </c>
    </row>
    <row r="10" spans="1:16" ht="63.75" x14ac:dyDescent="0.25">
      <c r="A10" s="2" t="s">
        <v>418</v>
      </c>
      <c r="B10" s="32" t="s">
        <v>601</v>
      </c>
      <c r="C10" s="2">
        <v>5</v>
      </c>
      <c r="D10" s="79" t="s">
        <v>679</v>
      </c>
      <c r="E10" s="2" t="s">
        <v>678</v>
      </c>
      <c r="F10" s="2">
        <v>220</v>
      </c>
      <c r="G10" s="2" t="s">
        <v>5</v>
      </c>
      <c r="H10" s="8" t="s">
        <v>674</v>
      </c>
      <c r="I10" s="8" t="s">
        <v>673</v>
      </c>
      <c r="J10" s="10" t="s">
        <v>677</v>
      </c>
      <c r="K10" s="15" t="s">
        <v>626</v>
      </c>
      <c r="L10" s="8"/>
      <c r="M10" s="4" t="s">
        <v>671</v>
      </c>
      <c r="N10" s="4" t="s">
        <v>670</v>
      </c>
      <c r="O10" s="3">
        <v>3</v>
      </c>
      <c r="P10" s="2">
        <v>0</v>
      </c>
    </row>
    <row r="11" spans="1:16" ht="63.75" x14ac:dyDescent="0.25">
      <c r="A11" s="2" t="s">
        <v>418</v>
      </c>
      <c r="B11" s="32" t="s">
        <v>601</v>
      </c>
      <c r="C11" s="2">
        <v>6</v>
      </c>
      <c r="D11" s="79" t="s">
        <v>676</v>
      </c>
      <c r="E11" s="2" t="s">
        <v>675</v>
      </c>
      <c r="F11" s="2">
        <v>215</v>
      </c>
      <c r="G11" s="2" t="s">
        <v>5</v>
      </c>
      <c r="H11" s="8" t="s">
        <v>674</v>
      </c>
      <c r="I11" s="8" t="s">
        <v>673</v>
      </c>
      <c r="J11" s="8" t="s">
        <v>672</v>
      </c>
      <c r="K11" s="15" t="s">
        <v>626</v>
      </c>
      <c r="L11" s="8"/>
      <c r="M11" s="4" t="s">
        <v>671</v>
      </c>
      <c r="N11" s="4" t="s">
        <v>670</v>
      </c>
      <c r="O11" s="3">
        <v>3</v>
      </c>
      <c r="P11" s="2">
        <v>0</v>
      </c>
    </row>
    <row r="12" spans="1:16" ht="38.25" x14ac:dyDescent="0.25">
      <c r="A12" s="2" t="s">
        <v>418</v>
      </c>
      <c r="B12" s="32" t="s">
        <v>601</v>
      </c>
      <c r="C12" s="2">
        <v>7</v>
      </c>
      <c r="D12" s="79" t="s">
        <v>669</v>
      </c>
      <c r="E12" s="2" t="s">
        <v>668</v>
      </c>
      <c r="F12" s="2">
        <v>220</v>
      </c>
      <c r="G12" s="2" t="s">
        <v>5</v>
      </c>
      <c r="H12" s="8" t="s">
        <v>667</v>
      </c>
      <c r="I12" s="8" t="s">
        <v>666</v>
      </c>
      <c r="J12" s="8" t="s">
        <v>627</v>
      </c>
      <c r="K12" s="15" t="s">
        <v>626</v>
      </c>
      <c r="L12" s="8"/>
      <c r="M12" s="4" t="s">
        <v>659</v>
      </c>
      <c r="N12" s="4" t="s">
        <v>665</v>
      </c>
      <c r="O12" s="3">
        <v>3</v>
      </c>
      <c r="P12" s="2">
        <v>0</v>
      </c>
    </row>
    <row r="13" spans="1:16" ht="51" hidden="1" x14ac:dyDescent="0.25">
      <c r="A13" s="2" t="s">
        <v>418</v>
      </c>
      <c r="B13" s="32" t="s">
        <v>601</v>
      </c>
      <c r="C13" s="2">
        <v>8</v>
      </c>
      <c r="D13" s="79" t="s">
        <v>664</v>
      </c>
      <c r="E13" s="2" t="s">
        <v>663</v>
      </c>
      <c r="F13" s="2">
        <v>200</v>
      </c>
      <c r="G13" s="2" t="s">
        <v>21</v>
      </c>
      <c r="H13" s="8" t="s">
        <v>662</v>
      </c>
      <c r="I13" s="8" t="s">
        <v>661</v>
      </c>
      <c r="J13" s="8" t="s">
        <v>660</v>
      </c>
      <c r="K13" s="15"/>
      <c r="L13" s="8"/>
      <c r="M13" s="4" t="s">
        <v>659</v>
      </c>
      <c r="N13" s="4" t="s">
        <v>658</v>
      </c>
      <c r="O13" s="3">
        <v>0</v>
      </c>
      <c r="P13" s="2">
        <v>0</v>
      </c>
    </row>
    <row r="14" spans="1:16" ht="153" x14ac:dyDescent="0.25">
      <c r="A14" s="2" t="s">
        <v>418</v>
      </c>
      <c r="B14" s="2" t="s">
        <v>601</v>
      </c>
      <c r="C14" s="2">
        <v>9</v>
      </c>
      <c r="D14" s="5" t="s">
        <v>657</v>
      </c>
      <c r="E14" s="2" t="s">
        <v>656</v>
      </c>
      <c r="F14" s="2">
        <v>160</v>
      </c>
      <c r="G14" s="2" t="s">
        <v>21</v>
      </c>
      <c r="H14" s="8" t="s">
        <v>649</v>
      </c>
      <c r="I14" s="8" t="s">
        <v>648</v>
      </c>
      <c r="J14" s="7" t="s">
        <v>560</v>
      </c>
      <c r="K14" s="6"/>
      <c r="L14" s="8" t="s">
        <v>655</v>
      </c>
      <c r="M14" s="4" t="s">
        <v>641</v>
      </c>
      <c r="N14" s="4" t="s">
        <v>642</v>
      </c>
      <c r="O14" s="3">
        <v>3</v>
      </c>
      <c r="P14" s="2">
        <v>1</v>
      </c>
    </row>
    <row r="15" spans="1:16" ht="63.75" x14ac:dyDescent="0.25">
      <c r="A15" s="2" t="s">
        <v>418</v>
      </c>
      <c r="B15" s="2" t="s">
        <v>601</v>
      </c>
      <c r="C15" s="2">
        <v>10</v>
      </c>
      <c r="D15" s="5" t="s">
        <v>654</v>
      </c>
      <c r="E15" s="2" t="s">
        <v>653</v>
      </c>
      <c r="F15" s="2">
        <v>140</v>
      </c>
      <c r="G15" s="2" t="s">
        <v>21</v>
      </c>
      <c r="H15" s="8" t="s">
        <v>649</v>
      </c>
      <c r="I15" s="8" t="s">
        <v>648</v>
      </c>
      <c r="J15" s="7" t="s">
        <v>647</v>
      </c>
      <c r="K15" s="15"/>
      <c r="L15" s="8" t="s">
        <v>652</v>
      </c>
      <c r="M15" s="4" t="s">
        <v>641</v>
      </c>
      <c r="N15" s="4" t="s">
        <v>642</v>
      </c>
      <c r="O15" s="3">
        <v>3</v>
      </c>
      <c r="P15" s="2">
        <v>0</v>
      </c>
    </row>
    <row r="16" spans="1:16" ht="38.25" x14ac:dyDescent="0.25">
      <c r="A16" s="2" t="s">
        <v>418</v>
      </c>
      <c r="B16" s="2" t="s">
        <v>601</v>
      </c>
      <c r="C16" s="2">
        <v>11</v>
      </c>
      <c r="D16" s="5" t="s">
        <v>651</v>
      </c>
      <c r="E16" s="2" t="s">
        <v>650</v>
      </c>
      <c r="F16" s="2">
        <v>130</v>
      </c>
      <c r="G16" s="2" t="s">
        <v>21</v>
      </c>
      <c r="H16" s="8" t="s">
        <v>649</v>
      </c>
      <c r="I16" s="8" t="s">
        <v>648</v>
      </c>
      <c r="J16" s="7" t="s">
        <v>647</v>
      </c>
      <c r="K16" s="15"/>
      <c r="L16" s="8"/>
      <c r="M16" s="4" t="s">
        <v>641</v>
      </c>
      <c r="N16" s="4" t="s">
        <v>642</v>
      </c>
      <c r="O16" s="3">
        <v>3</v>
      </c>
      <c r="P16" s="2">
        <v>0</v>
      </c>
    </row>
    <row r="17" spans="1:16" ht="76.5" x14ac:dyDescent="0.25">
      <c r="A17" s="2" t="s">
        <v>418</v>
      </c>
      <c r="B17" s="2" t="s">
        <v>601</v>
      </c>
      <c r="C17" s="2">
        <v>12</v>
      </c>
      <c r="D17" s="79" t="s">
        <v>646</v>
      </c>
      <c r="E17" s="2" t="s">
        <v>645</v>
      </c>
      <c r="F17" s="2">
        <v>432</v>
      </c>
      <c r="G17" s="2" t="s">
        <v>5</v>
      </c>
      <c r="H17" s="8" t="s">
        <v>644</v>
      </c>
      <c r="I17" s="63" t="s">
        <v>643</v>
      </c>
      <c r="J17" s="7" t="s">
        <v>560</v>
      </c>
      <c r="K17" s="15" t="s">
        <v>626</v>
      </c>
      <c r="L17" s="8"/>
      <c r="M17" s="4" t="s">
        <v>642</v>
      </c>
      <c r="N17" s="4" t="s">
        <v>641</v>
      </c>
      <c r="O17" s="3">
        <v>3</v>
      </c>
      <c r="P17" s="2">
        <v>0</v>
      </c>
    </row>
    <row r="18" spans="1:16" ht="63.75" hidden="1" x14ac:dyDescent="0.25">
      <c r="A18" s="2" t="s">
        <v>418</v>
      </c>
      <c r="B18" s="2" t="s">
        <v>601</v>
      </c>
      <c r="C18" s="2">
        <v>13</v>
      </c>
      <c r="D18" s="5" t="s">
        <v>640</v>
      </c>
      <c r="E18" s="2" t="s">
        <v>639</v>
      </c>
      <c r="F18" s="2">
        <v>93</v>
      </c>
      <c r="G18" s="2" t="s">
        <v>5</v>
      </c>
      <c r="H18" s="8" t="s">
        <v>634</v>
      </c>
      <c r="I18" s="63" t="s">
        <v>633</v>
      </c>
      <c r="J18" s="8" t="s">
        <v>627</v>
      </c>
      <c r="K18" s="15" t="s">
        <v>626</v>
      </c>
      <c r="L18" s="8"/>
      <c r="M18" s="4" t="s">
        <v>632</v>
      </c>
      <c r="N18" s="4" t="s">
        <v>625</v>
      </c>
      <c r="O18" s="3">
        <v>1</v>
      </c>
      <c r="P18" s="2">
        <v>1</v>
      </c>
    </row>
    <row r="19" spans="1:16" ht="63.75" hidden="1" x14ac:dyDescent="0.25">
      <c r="A19" s="2" t="s">
        <v>418</v>
      </c>
      <c r="B19" s="2" t="s">
        <v>601</v>
      </c>
      <c r="C19" s="2">
        <v>14</v>
      </c>
      <c r="D19" s="5" t="s">
        <v>638</v>
      </c>
      <c r="E19" s="2" t="s">
        <v>637</v>
      </c>
      <c r="F19" s="2">
        <v>93</v>
      </c>
      <c r="G19" s="2" t="s">
        <v>5</v>
      </c>
      <c r="H19" s="8" t="s">
        <v>634</v>
      </c>
      <c r="I19" s="63" t="s">
        <v>633</v>
      </c>
      <c r="J19" s="8" t="s">
        <v>627</v>
      </c>
      <c r="K19" s="15" t="s">
        <v>626</v>
      </c>
      <c r="L19" s="8"/>
      <c r="M19" s="4" t="s">
        <v>632</v>
      </c>
      <c r="N19" s="4" t="s">
        <v>625</v>
      </c>
      <c r="O19" s="3">
        <v>1</v>
      </c>
      <c r="P19" s="2">
        <v>1</v>
      </c>
    </row>
    <row r="20" spans="1:16" ht="63.75" hidden="1" x14ac:dyDescent="0.25">
      <c r="A20" s="2" t="s">
        <v>418</v>
      </c>
      <c r="B20" s="2" t="s">
        <v>601</v>
      </c>
      <c r="C20" s="2">
        <v>15</v>
      </c>
      <c r="D20" s="5" t="s">
        <v>636</v>
      </c>
      <c r="E20" s="2" t="s">
        <v>635</v>
      </c>
      <c r="F20" s="2">
        <v>93</v>
      </c>
      <c r="G20" s="2" t="s">
        <v>5</v>
      </c>
      <c r="H20" s="8" t="s">
        <v>634</v>
      </c>
      <c r="I20" s="63" t="s">
        <v>633</v>
      </c>
      <c r="J20" s="8" t="s">
        <v>627</v>
      </c>
      <c r="K20" s="15" t="s">
        <v>626</v>
      </c>
      <c r="L20" s="8"/>
      <c r="M20" s="4" t="s">
        <v>632</v>
      </c>
      <c r="N20" s="4" t="s">
        <v>625</v>
      </c>
      <c r="O20" s="3">
        <v>1</v>
      </c>
      <c r="P20" s="2">
        <v>1</v>
      </c>
    </row>
    <row r="21" spans="1:16" ht="38.25" x14ac:dyDescent="0.25">
      <c r="A21" s="2" t="s">
        <v>418</v>
      </c>
      <c r="B21" s="2" t="s">
        <v>601</v>
      </c>
      <c r="C21" s="2">
        <v>16</v>
      </c>
      <c r="D21" s="79" t="s">
        <v>631</v>
      </c>
      <c r="E21" s="2" t="s">
        <v>630</v>
      </c>
      <c r="F21" s="2">
        <v>90</v>
      </c>
      <c r="G21" s="2" t="s">
        <v>5</v>
      </c>
      <c r="H21" s="8" t="s">
        <v>629</v>
      </c>
      <c r="I21" s="63" t="s">
        <v>628</v>
      </c>
      <c r="J21" s="8" t="s">
        <v>627</v>
      </c>
      <c r="K21" s="15" t="s">
        <v>626</v>
      </c>
      <c r="L21" s="8"/>
      <c r="M21" s="4" t="s">
        <v>1</v>
      </c>
      <c r="N21" s="4" t="s">
        <v>625</v>
      </c>
      <c r="O21" s="3">
        <v>3</v>
      </c>
      <c r="P21" s="2">
        <v>0</v>
      </c>
    </row>
    <row r="22" spans="1:16" ht="25.5" hidden="1" x14ac:dyDescent="0.25">
      <c r="A22" s="2" t="s">
        <v>418</v>
      </c>
      <c r="B22" s="2" t="s">
        <v>601</v>
      </c>
      <c r="C22" s="2">
        <v>17</v>
      </c>
      <c r="D22" s="5" t="s">
        <v>624</v>
      </c>
      <c r="E22" s="2" t="s">
        <v>623</v>
      </c>
      <c r="F22" s="2">
        <v>148</v>
      </c>
      <c r="G22" s="2" t="s">
        <v>21</v>
      </c>
      <c r="H22" s="8" t="s">
        <v>620</v>
      </c>
      <c r="I22" s="63" t="s">
        <v>619</v>
      </c>
      <c r="J22" s="7" t="s">
        <v>560</v>
      </c>
      <c r="K22" s="15"/>
      <c r="L22" s="8"/>
      <c r="M22" s="4" t="s">
        <v>1</v>
      </c>
      <c r="N22" s="4" t="s">
        <v>1</v>
      </c>
      <c r="O22" s="3">
        <v>0</v>
      </c>
      <c r="P22" s="2">
        <v>0</v>
      </c>
    </row>
    <row r="23" spans="1:16" ht="25.5" hidden="1" x14ac:dyDescent="0.25">
      <c r="A23" s="2" t="s">
        <v>418</v>
      </c>
      <c r="B23" s="2" t="s">
        <v>601</v>
      </c>
      <c r="C23" s="2">
        <v>18</v>
      </c>
      <c r="D23" s="5" t="s">
        <v>622</v>
      </c>
      <c r="E23" s="2" t="s">
        <v>621</v>
      </c>
      <c r="F23" s="2">
        <v>148</v>
      </c>
      <c r="G23" s="2" t="s">
        <v>21</v>
      </c>
      <c r="H23" s="8" t="s">
        <v>620</v>
      </c>
      <c r="I23" s="63" t="s">
        <v>619</v>
      </c>
      <c r="J23" s="7" t="s">
        <v>560</v>
      </c>
      <c r="K23" s="15"/>
      <c r="L23" s="8"/>
      <c r="M23" s="4" t="s">
        <v>1</v>
      </c>
      <c r="N23" s="4" t="s">
        <v>1</v>
      </c>
      <c r="O23" s="3">
        <v>0</v>
      </c>
      <c r="P23" s="2">
        <v>0</v>
      </c>
    </row>
    <row r="24" spans="1:16" ht="25.5" hidden="1" x14ac:dyDescent="0.25">
      <c r="A24" s="2" t="s">
        <v>418</v>
      </c>
      <c r="B24" s="2" t="s">
        <v>601</v>
      </c>
      <c r="C24" s="2">
        <v>19</v>
      </c>
      <c r="D24" s="5" t="s">
        <v>618</v>
      </c>
      <c r="E24" s="5"/>
      <c r="F24" s="5"/>
      <c r="G24" s="2" t="s">
        <v>5</v>
      </c>
      <c r="H24" s="5" t="s">
        <v>561</v>
      </c>
      <c r="I24" s="62" t="s">
        <v>617</v>
      </c>
      <c r="J24" s="62" t="s">
        <v>616</v>
      </c>
      <c r="K24" s="6"/>
      <c r="L24" s="8"/>
      <c r="M24" s="4"/>
      <c r="N24" s="4"/>
      <c r="O24" s="3">
        <v>2</v>
      </c>
      <c r="P24" s="2">
        <v>1</v>
      </c>
    </row>
    <row r="25" spans="1:16" ht="25.5" hidden="1" x14ac:dyDescent="0.25">
      <c r="A25" s="2" t="s">
        <v>418</v>
      </c>
      <c r="B25" s="2" t="s">
        <v>601</v>
      </c>
      <c r="C25" s="2">
        <v>20</v>
      </c>
      <c r="D25" s="5" t="s">
        <v>615</v>
      </c>
      <c r="E25" s="5"/>
      <c r="F25" s="5"/>
      <c r="G25" s="2" t="s">
        <v>5</v>
      </c>
      <c r="H25" s="5" t="s">
        <v>561</v>
      </c>
      <c r="I25" s="62"/>
      <c r="J25" s="62"/>
      <c r="K25" s="6"/>
      <c r="L25" s="8"/>
      <c r="M25" s="4"/>
      <c r="N25" s="4"/>
      <c r="O25" s="3">
        <v>2</v>
      </c>
      <c r="P25" s="2">
        <v>1</v>
      </c>
    </row>
    <row r="26" spans="1:16" ht="25.5" hidden="1" x14ac:dyDescent="0.25">
      <c r="A26" s="2" t="s">
        <v>418</v>
      </c>
      <c r="B26" s="2" t="s">
        <v>601</v>
      </c>
      <c r="C26" s="2">
        <v>21</v>
      </c>
      <c r="D26" s="5" t="s">
        <v>614</v>
      </c>
      <c r="E26" s="5"/>
      <c r="F26" s="5"/>
      <c r="G26" s="2" t="s">
        <v>5</v>
      </c>
      <c r="H26" s="5" t="s">
        <v>561</v>
      </c>
      <c r="I26" s="62"/>
      <c r="J26" s="7" t="s">
        <v>560</v>
      </c>
      <c r="K26" s="6"/>
      <c r="L26" s="8"/>
      <c r="M26" s="4"/>
      <c r="N26" s="4"/>
      <c r="O26" s="3">
        <v>2</v>
      </c>
      <c r="P26" s="2">
        <v>1</v>
      </c>
    </row>
    <row r="27" spans="1:16" ht="25.5" hidden="1" x14ac:dyDescent="0.25">
      <c r="A27" s="2" t="s">
        <v>418</v>
      </c>
      <c r="B27" s="2" t="s">
        <v>601</v>
      </c>
      <c r="C27" s="2">
        <v>22</v>
      </c>
      <c r="D27" s="5" t="s">
        <v>613</v>
      </c>
      <c r="E27" s="5"/>
      <c r="F27" s="5"/>
      <c r="G27" s="2" t="s">
        <v>5</v>
      </c>
      <c r="H27" s="5" t="s">
        <v>561</v>
      </c>
      <c r="I27" s="62"/>
      <c r="J27" s="7" t="s">
        <v>560</v>
      </c>
      <c r="K27" s="6"/>
      <c r="L27" s="8"/>
      <c r="M27" s="4"/>
      <c r="N27" s="4"/>
      <c r="O27" s="3">
        <v>2</v>
      </c>
      <c r="P27" s="2">
        <v>1</v>
      </c>
    </row>
    <row r="28" spans="1:16" ht="25.5" hidden="1" x14ac:dyDescent="0.25">
      <c r="A28" s="2" t="s">
        <v>418</v>
      </c>
      <c r="B28" s="2" t="s">
        <v>601</v>
      </c>
      <c r="C28" s="2">
        <v>23</v>
      </c>
      <c r="D28" s="5" t="s">
        <v>612</v>
      </c>
      <c r="E28" s="5"/>
      <c r="F28" s="5"/>
      <c r="G28" s="2" t="s">
        <v>5</v>
      </c>
      <c r="H28" s="5" t="s">
        <v>561</v>
      </c>
      <c r="I28" s="62"/>
      <c r="J28" s="7" t="s">
        <v>560</v>
      </c>
      <c r="K28" s="6"/>
      <c r="L28" s="8"/>
      <c r="M28" s="4"/>
      <c r="N28" s="4"/>
      <c r="O28" s="3">
        <v>2</v>
      </c>
      <c r="P28" s="2">
        <v>1</v>
      </c>
    </row>
    <row r="29" spans="1:16" ht="25.5" hidden="1" x14ac:dyDescent="0.25">
      <c r="A29" s="2" t="s">
        <v>418</v>
      </c>
      <c r="B29" s="2" t="s">
        <v>601</v>
      </c>
      <c r="C29" s="2">
        <v>24</v>
      </c>
      <c r="D29" s="5" t="s">
        <v>611</v>
      </c>
      <c r="E29" s="5"/>
      <c r="F29" s="5"/>
      <c r="G29" s="2" t="s">
        <v>5</v>
      </c>
      <c r="H29" s="5" t="s">
        <v>561</v>
      </c>
      <c r="I29" s="62"/>
      <c r="J29" s="7" t="s">
        <v>560</v>
      </c>
      <c r="K29" s="6"/>
      <c r="L29" s="8"/>
      <c r="M29" s="4"/>
      <c r="N29" s="4"/>
      <c r="O29" s="3">
        <v>2</v>
      </c>
      <c r="P29" s="2">
        <v>1</v>
      </c>
    </row>
    <row r="30" spans="1:16" ht="25.5" hidden="1" x14ac:dyDescent="0.25">
      <c r="A30" s="2" t="s">
        <v>418</v>
      </c>
      <c r="B30" s="2" t="s">
        <v>601</v>
      </c>
      <c r="C30" s="2">
        <v>25</v>
      </c>
      <c r="D30" s="5" t="s">
        <v>610</v>
      </c>
      <c r="E30" s="5"/>
      <c r="F30" s="5"/>
      <c r="G30" s="2" t="s">
        <v>5</v>
      </c>
      <c r="H30" s="5" t="s">
        <v>561</v>
      </c>
      <c r="I30" s="62"/>
      <c r="J30" s="7" t="s">
        <v>560</v>
      </c>
      <c r="K30" s="6"/>
      <c r="L30" s="8"/>
      <c r="M30" s="4"/>
      <c r="N30" s="4"/>
      <c r="O30" s="3">
        <v>2</v>
      </c>
      <c r="P30" s="2">
        <v>1</v>
      </c>
    </row>
    <row r="31" spans="1:16" ht="25.5" hidden="1" x14ac:dyDescent="0.25">
      <c r="A31" s="2" t="s">
        <v>418</v>
      </c>
      <c r="B31" s="2" t="s">
        <v>601</v>
      </c>
      <c r="C31" s="2">
        <v>26</v>
      </c>
      <c r="D31" s="5" t="s">
        <v>609</v>
      </c>
      <c r="E31" s="5"/>
      <c r="F31" s="5"/>
      <c r="G31" s="2" t="s">
        <v>5</v>
      </c>
      <c r="H31" s="5" t="s">
        <v>561</v>
      </c>
      <c r="I31" s="62"/>
      <c r="J31" s="7" t="s">
        <v>560</v>
      </c>
      <c r="K31" s="6"/>
      <c r="L31" s="8"/>
      <c r="M31" s="4"/>
      <c r="N31" s="4"/>
      <c r="O31" s="3">
        <v>2</v>
      </c>
      <c r="P31" s="2">
        <v>1</v>
      </c>
    </row>
    <row r="32" spans="1:16" ht="25.5" hidden="1" x14ac:dyDescent="0.25">
      <c r="A32" s="2" t="s">
        <v>418</v>
      </c>
      <c r="B32" s="2" t="s">
        <v>601</v>
      </c>
      <c r="C32" s="2">
        <v>27</v>
      </c>
      <c r="D32" s="5" t="s">
        <v>608</v>
      </c>
      <c r="E32" s="5"/>
      <c r="F32" s="5"/>
      <c r="G32" s="2" t="s">
        <v>5</v>
      </c>
      <c r="H32" s="5" t="s">
        <v>561</v>
      </c>
      <c r="I32" s="62"/>
      <c r="J32" s="7" t="s">
        <v>560</v>
      </c>
      <c r="K32" s="6"/>
      <c r="L32" s="8"/>
      <c r="M32" s="4"/>
      <c r="N32" s="4"/>
      <c r="O32" s="3">
        <v>2</v>
      </c>
      <c r="P32" s="2">
        <v>1</v>
      </c>
    </row>
    <row r="33" spans="1:16" ht="25.5" hidden="1" x14ac:dyDescent="0.25">
      <c r="A33" s="2" t="s">
        <v>418</v>
      </c>
      <c r="B33" s="2" t="s">
        <v>601</v>
      </c>
      <c r="C33" s="2">
        <v>28</v>
      </c>
      <c r="D33" s="5" t="s">
        <v>607</v>
      </c>
      <c r="E33" s="5"/>
      <c r="F33" s="5"/>
      <c r="G33" s="2" t="s">
        <v>5</v>
      </c>
      <c r="H33" s="5" t="s">
        <v>561</v>
      </c>
      <c r="I33" s="58" t="s">
        <v>606</v>
      </c>
      <c r="J33" s="7" t="s">
        <v>560</v>
      </c>
      <c r="K33" s="6"/>
      <c r="L33" s="8"/>
      <c r="M33" s="4"/>
      <c r="N33" s="4"/>
      <c r="O33" s="3">
        <v>2</v>
      </c>
      <c r="P33" s="2">
        <v>1</v>
      </c>
    </row>
    <row r="34" spans="1:16" ht="25.5" hidden="1" x14ac:dyDescent="0.25">
      <c r="A34" s="2" t="s">
        <v>418</v>
      </c>
      <c r="B34" s="2" t="s">
        <v>601</v>
      </c>
      <c r="C34" s="2">
        <v>29</v>
      </c>
      <c r="D34" s="5" t="s">
        <v>605</v>
      </c>
      <c r="E34" s="5"/>
      <c r="F34" s="5"/>
      <c r="G34" s="2" t="s">
        <v>5</v>
      </c>
      <c r="H34" s="5" t="s">
        <v>561</v>
      </c>
      <c r="I34" s="58"/>
      <c r="J34" s="7" t="s">
        <v>604</v>
      </c>
      <c r="K34" s="6" t="s">
        <v>603</v>
      </c>
      <c r="L34" s="8"/>
      <c r="M34" s="4"/>
      <c r="N34" s="4"/>
      <c r="O34" s="3">
        <v>2</v>
      </c>
      <c r="P34" s="2">
        <v>1</v>
      </c>
    </row>
    <row r="35" spans="1:16" ht="25.5" hidden="1" x14ac:dyDescent="0.25">
      <c r="A35" s="2" t="s">
        <v>418</v>
      </c>
      <c r="B35" s="2" t="s">
        <v>601</v>
      </c>
      <c r="C35" s="2">
        <v>30</v>
      </c>
      <c r="D35" s="5" t="s">
        <v>602</v>
      </c>
      <c r="E35" s="5"/>
      <c r="F35" s="5"/>
      <c r="G35" s="2" t="s">
        <v>5</v>
      </c>
      <c r="H35" s="5" t="s">
        <v>561</v>
      </c>
      <c r="I35" s="58"/>
      <c r="J35" s="7" t="s">
        <v>560</v>
      </c>
      <c r="K35" s="6"/>
      <c r="L35" s="8"/>
      <c r="M35" s="4"/>
      <c r="N35" s="4"/>
      <c r="O35" s="3">
        <v>2</v>
      </c>
      <c r="P35" s="2">
        <v>1</v>
      </c>
    </row>
    <row r="36" spans="1:16" ht="25.5" hidden="1" x14ac:dyDescent="0.25">
      <c r="A36" s="2" t="s">
        <v>418</v>
      </c>
      <c r="B36" s="2" t="s">
        <v>601</v>
      </c>
      <c r="C36" s="2">
        <v>31</v>
      </c>
      <c r="D36" s="5" t="s">
        <v>600</v>
      </c>
      <c r="E36" s="5"/>
      <c r="F36" s="5"/>
      <c r="G36" s="2" t="s">
        <v>5</v>
      </c>
      <c r="H36" s="5" t="s">
        <v>561</v>
      </c>
      <c r="I36" s="58"/>
      <c r="J36" s="7" t="s">
        <v>560</v>
      </c>
      <c r="K36" s="6"/>
      <c r="L36" s="8"/>
      <c r="M36" s="4"/>
      <c r="N36" s="4"/>
      <c r="O36" s="3">
        <v>2</v>
      </c>
      <c r="P36" s="2">
        <v>1</v>
      </c>
    </row>
    <row r="37" spans="1:16" ht="25.5" hidden="1" x14ac:dyDescent="0.25">
      <c r="A37" s="2" t="s">
        <v>418</v>
      </c>
      <c r="B37" s="32" t="s">
        <v>563</v>
      </c>
      <c r="C37" s="2">
        <v>1</v>
      </c>
      <c r="D37" s="5" t="s">
        <v>599</v>
      </c>
      <c r="E37" s="2" t="s">
        <v>598</v>
      </c>
      <c r="F37" s="4">
        <v>64</v>
      </c>
      <c r="G37" s="2" t="s">
        <v>21</v>
      </c>
      <c r="H37" s="8" t="s">
        <v>595</v>
      </c>
      <c r="I37" s="8" t="s">
        <v>594</v>
      </c>
      <c r="J37" s="8" t="s">
        <v>593</v>
      </c>
      <c r="K37" s="15"/>
      <c r="L37" s="8"/>
      <c r="M37" s="4" t="s">
        <v>1</v>
      </c>
      <c r="N37" s="4" t="s">
        <v>1</v>
      </c>
      <c r="O37" s="3">
        <v>0</v>
      </c>
      <c r="P37" s="2">
        <v>0</v>
      </c>
    </row>
    <row r="38" spans="1:16" ht="25.5" hidden="1" x14ac:dyDescent="0.25">
      <c r="A38" s="2" t="s">
        <v>418</v>
      </c>
      <c r="B38" s="32" t="s">
        <v>563</v>
      </c>
      <c r="C38" s="2">
        <v>2</v>
      </c>
      <c r="D38" s="5" t="s">
        <v>597</v>
      </c>
      <c r="E38" s="2" t="s">
        <v>596</v>
      </c>
      <c r="F38" s="4">
        <v>64</v>
      </c>
      <c r="G38" s="2" t="s">
        <v>21</v>
      </c>
      <c r="H38" s="8" t="s">
        <v>595</v>
      </c>
      <c r="I38" s="8" t="s">
        <v>594</v>
      </c>
      <c r="J38" s="8" t="s">
        <v>593</v>
      </c>
      <c r="K38" s="15"/>
      <c r="L38" s="8"/>
      <c r="M38" s="4" t="s">
        <v>1</v>
      </c>
      <c r="N38" s="4" t="s">
        <v>1</v>
      </c>
      <c r="O38" s="3">
        <v>0</v>
      </c>
      <c r="P38" s="2">
        <v>0</v>
      </c>
    </row>
    <row r="39" spans="1:16" ht="63.75" hidden="1" x14ac:dyDescent="0.25">
      <c r="A39" s="2" t="s">
        <v>418</v>
      </c>
      <c r="B39" s="32" t="s">
        <v>563</v>
      </c>
      <c r="C39" s="2">
        <v>3</v>
      </c>
      <c r="D39" s="5" t="s">
        <v>592</v>
      </c>
      <c r="E39" s="2" t="s">
        <v>591</v>
      </c>
      <c r="F39" s="4">
        <v>26</v>
      </c>
      <c r="G39" s="2" t="s">
        <v>5</v>
      </c>
      <c r="H39" s="8" t="s">
        <v>590</v>
      </c>
      <c r="I39" s="8" t="s">
        <v>589</v>
      </c>
      <c r="J39" s="5" t="s">
        <v>588</v>
      </c>
      <c r="K39" s="15" t="s">
        <v>587</v>
      </c>
      <c r="L39" s="5" t="s">
        <v>546</v>
      </c>
      <c r="M39" s="4" t="s">
        <v>1</v>
      </c>
      <c r="N39" s="4" t="s">
        <v>1</v>
      </c>
      <c r="O39" s="3">
        <v>1</v>
      </c>
      <c r="P39" s="2">
        <v>1</v>
      </c>
    </row>
    <row r="40" spans="1:16" ht="38.25" hidden="1" x14ac:dyDescent="0.25">
      <c r="A40" s="2" t="s">
        <v>418</v>
      </c>
      <c r="B40" s="32" t="s">
        <v>563</v>
      </c>
      <c r="C40" s="2">
        <v>4</v>
      </c>
      <c r="D40" s="5" t="s">
        <v>586</v>
      </c>
      <c r="E40" s="2" t="s">
        <v>585</v>
      </c>
      <c r="F40" s="4">
        <v>94</v>
      </c>
      <c r="G40" s="2" t="s">
        <v>5</v>
      </c>
      <c r="H40" s="8" t="s">
        <v>584</v>
      </c>
      <c r="I40" s="8" t="s">
        <v>583</v>
      </c>
      <c r="J40" s="7" t="s">
        <v>560</v>
      </c>
      <c r="K40" s="15"/>
      <c r="L40" s="5"/>
      <c r="M40" s="4" t="s">
        <v>582</v>
      </c>
      <c r="N40" s="4" t="s">
        <v>581</v>
      </c>
      <c r="O40" s="3">
        <v>0</v>
      </c>
      <c r="P40" s="2">
        <v>0</v>
      </c>
    </row>
    <row r="41" spans="1:16" ht="63.75" x14ac:dyDescent="0.25">
      <c r="A41" s="2" t="s">
        <v>418</v>
      </c>
      <c r="B41" s="32" t="s">
        <v>563</v>
      </c>
      <c r="C41" s="2">
        <v>5</v>
      </c>
      <c r="D41" s="79" t="s">
        <v>580</v>
      </c>
      <c r="E41" s="2" t="s">
        <v>579</v>
      </c>
      <c r="F41" s="4">
        <v>318</v>
      </c>
      <c r="G41" s="2" t="s">
        <v>5</v>
      </c>
      <c r="H41" s="8" t="s">
        <v>576</v>
      </c>
      <c r="I41" s="8" t="s">
        <v>575</v>
      </c>
      <c r="J41" s="7" t="s">
        <v>560</v>
      </c>
      <c r="K41" s="15"/>
      <c r="L41" s="5"/>
      <c r="M41" s="4" t="s">
        <v>574</v>
      </c>
      <c r="N41" s="4" t="s">
        <v>1</v>
      </c>
      <c r="O41" s="3">
        <v>3</v>
      </c>
      <c r="P41" s="2">
        <v>0</v>
      </c>
    </row>
    <row r="42" spans="1:16" ht="63.75" x14ac:dyDescent="0.25">
      <c r="A42" s="2" t="s">
        <v>418</v>
      </c>
      <c r="B42" s="32" t="s">
        <v>563</v>
      </c>
      <c r="C42" s="2">
        <v>6</v>
      </c>
      <c r="D42" s="79" t="s">
        <v>578</v>
      </c>
      <c r="E42" s="2" t="s">
        <v>577</v>
      </c>
      <c r="F42" s="4">
        <v>318</v>
      </c>
      <c r="G42" s="2" t="s">
        <v>5</v>
      </c>
      <c r="H42" s="8" t="s">
        <v>576</v>
      </c>
      <c r="I42" s="8" t="s">
        <v>575</v>
      </c>
      <c r="J42" s="7" t="s">
        <v>560</v>
      </c>
      <c r="K42" s="15"/>
      <c r="L42" s="5"/>
      <c r="M42" s="4" t="s">
        <v>574</v>
      </c>
      <c r="N42" s="4" t="s">
        <v>1</v>
      </c>
      <c r="O42" s="3">
        <v>3</v>
      </c>
      <c r="P42" s="2">
        <v>0</v>
      </c>
    </row>
    <row r="43" spans="1:16" ht="38.25" x14ac:dyDescent="0.25">
      <c r="A43" s="2" t="s">
        <v>418</v>
      </c>
      <c r="B43" s="32" t="s">
        <v>563</v>
      </c>
      <c r="C43" s="2">
        <v>7</v>
      </c>
      <c r="D43" s="79" t="s">
        <v>573</v>
      </c>
      <c r="E43" s="2" t="s">
        <v>572</v>
      </c>
      <c r="F43" s="4">
        <v>280</v>
      </c>
      <c r="G43" s="2" t="s">
        <v>5</v>
      </c>
      <c r="H43" s="8" t="s">
        <v>569</v>
      </c>
      <c r="I43" s="8" t="s">
        <v>568</v>
      </c>
      <c r="J43" s="7" t="s">
        <v>560</v>
      </c>
      <c r="K43" s="15"/>
      <c r="L43" s="5"/>
      <c r="M43" s="4" t="s">
        <v>567</v>
      </c>
      <c r="N43" s="4" t="s">
        <v>566</v>
      </c>
      <c r="O43" s="3">
        <v>3</v>
      </c>
      <c r="P43" s="2">
        <v>0</v>
      </c>
    </row>
    <row r="44" spans="1:16" ht="38.25" x14ac:dyDescent="0.25">
      <c r="A44" s="2" t="s">
        <v>418</v>
      </c>
      <c r="B44" s="32" t="s">
        <v>563</v>
      </c>
      <c r="C44" s="2">
        <v>8</v>
      </c>
      <c r="D44" s="79" t="s">
        <v>571</v>
      </c>
      <c r="E44" s="2" t="s">
        <v>570</v>
      </c>
      <c r="F44" s="4">
        <v>280</v>
      </c>
      <c r="G44" s="2" t="s">
        <v>5</v>
      </c>
      <c r="H44" s="8" t="s">
        <v>569</v>
      </c>
      <c r="I44" s="8" t="s">
        <v>568</v>
      </c>
      <c r="J44" s="7" t="s">
        <v>560</v>
      </c>
      <c r="K44" s="15"/>
      <c r="L44" s="5"/>
      <c r="M44" s="4" t="s">
        <v>567</v>
      </c>
      <c r="N44" s="4" t="s">
        <v>566</v>
      </c>
      <c r="O44" s="3">
        <v>3</v>
      </c>
      <c r="P44" s="2">
        <v>0</v>
      </c>
    </row>
    <row r="45" spans="1:16" ht="25.5" hidden="1" x14ac:dyDescent="0.25">
      <c r="A45" s="2" t="s">
        <v>418</v>
      </c>
      <c r="B45" s="32" t="s">
        <v>563</v>
      </c>
      <c r="C45" s="2">
        <v>9</v>
      </c>
      <c r="D45" s="5" t="s">
        <v>565</v>
      </c>
      <c r="E45" s="2"/>
      <c r="F45" s="4"/>
      <c r="G45" s="2" t="s">
        <v>5</v>
      </c>
      <c r="H45" s="8" t="s">
        <v>561</v>
      </c>
      <c r="I45" s="8"/>
      <c r="J45" s="7" t="s">
        <v>560</v>
      </c>
      <c r="K45" s="15"/>
      <c r="L45" s="5"/>
      <c r="M45" s="4"/>
      <c r="N45" s="4"/>
      <c r="O45" s="3">
        <v>2</v>
      </c>
      <c r="P45" s="2">
        <v>1</v>
      </c>
    </row>
    <row r="46" spans="1:16" ht="25.5" hidden="1" x14ac:dyDescent="0.25">
      <c r="A46" s="2" t="s">
        <v>418</v>
      </c>
      <c r="B46" s="32" t="s">
        <v>563</v>
      </c>
      <c r="C46" s="2">
        <v>10</v>
      </c>
      <c r="D46" s="5" t="s">
        <v>564</v>
      </c>
      <c r="E46" s="2"/>
      <c r="F46" s="4"/>
      <c r="G46" s="2" t="s">
        <v>5</v>
      </c>
      <c r="H46" s="8" t="s">
        <v>561</v>
      </c>
      <c r="I46" s="8"/>
      <c r="J46" s="7" t="s">
        <v>560</v>
      </c>
      <c r="K46" s="15"/>
      <c r="L46" s="5"/>
      <c r="M46" s="4"/>
      <c r="N46" s="4"/>
      <c r="O46" s="3">
        <v>2</v>
      </c>
      <c r="P46" s="2">
        <v>1</v>
      </c>
    </row>
    <row r="47" spans="1:16" ht="25.5" hidden="1" x14ac:dyDescent="0.25">
      <c r="A47" s="2" t="s">
        <v>418</v>
      </c>
      <c r="B47" s="32" t="s">
        <v>563</v>
      </c>
      <c r="C47" s="2">
        <v>11</v>
      </c>
      <c r="D47" s="5" t="s">
        <v>562</v>
      </c>
      <c r="E47" s="2"/>
      <c r="F47" s="4"/>
      <c r="G47" s="2" t="s">
        <v>5</v>
      </c>
      <c r="H47" s="8" t="s">
        <v>561</v>
      </c>
      <c r="I47" s="1"/>
      <c r="J47" s="7" t="s">
        <v>560</v>
      </c>
      <c r="K47" s="15"/>
      <c r="L47" s="5"/>
      <c r="M47" s="4"/>
      <c r="N47" s="4"/>
      <c r="O47" s="3">
        <v>2</v>
      </c>
      <c r="P47" s="2">
        <v>1</v>
      </c>
    </row>
    <row r="48" spans="1:16" ht="38.25" hidden="1" x14ac:dyDescent="0.25">
      <c r="A48" s="2" t="s">
        <v>418</v>
      </c>
      <c r="B48" s="32" t="s">
        <v>488</v>
      </c>
      <c r="C48" s="2">
        <v>1</v>
      </c>
      <c r="D48" s="5" t="s">
        <v>559</v>
      </c>
      <c r="E48" s="2" t="s">
        <v>558</v>
      </c>
      <c r="F48" s="4">
        <v>105</v>
      </c>
      <c r="G48" s="2" t="s">
        <v>21</v>
      </c>
      <c r="H48" s="8" t="s">
        <v>539</v>
      </c>
      <c r="I48" s="8" t="s">
        <v>557</v>
      </c>
      <c r="J48" s="8" t="s">
        <v>533</v>
      </c>
      <c r="K48" s="15" t="s">
        <v>500</v>
      </c>
      <c r="L48" s="8"/>
      <c r="M48" s="4" t="s">
        <v>1</v>
      </c>
      <c r="N48" s="4" t="s">
        <v>550</v>
      </c>
      <c r="O48" s="3">
        <v>0</v>
      </c>
      <c r="P48" s="2">
        <v>0</v>
      </c>
    </row>
    <row r="49" spans="1:16" ht="38.25" hidden="1" x14ac:dyDescent="0.25">
      <c r="A49" s="2" t="s">
        <v>418</v>
      </c>
      <c r="B49" s="32" t="s">
        <v>488</v>
      </c>
      <c r="C49" s="2">
        <v>2</v>
      </c>
      <c r="D49" s="5" t="s">
        <v>556</v>
      </c>
      <c r="E49" s="2" t="s">
        <v>555</v>
      </c>
      <c r="F49" s="4">
        <v>135</v>
      </c>
      <c r="G49" s="2" t="s">
        <v>21</v>
      </c>
      <c r="H49" s="8" t="s">
        <v>539</v>
      </c>
      <c r="I49" s="8" t="s">
        <v>554</v>
      </c>
      <c r="J49" s="8" t="s">
        <v>533</v>
      </c>
      <c r="K49" s="15" t="s">
        <v>500</v>
      </c>
      <c r="L49" s="8"/>
      <c r="M49" s="4" t="s">
        <v>1</v>
      </c>
      <c r="N49" s="4" t="s">
        <v>550</v>
      </c>
      <c r="O49" s="3">
        <v>0</v>
      </c>
      <c r="P49" s="2">
        <v>0</v>
      </c>
    </row>
    <row r="50" spans="1:16" ht="38.25" hidden="1" x14ac:dyDescent="0.25">
      <c r="A50" s="2" t="s">
        <v>418</v>
      </c>
      <c r="B50" s="32" t="s">
        <v>488</v>
      </c>
      <c r="C50" s="2">
        <v>3</v>
      </c>
      <c r="D50" s="5" t="s">
        <v>553</v>
      </c>
      <c r="E50" s="2" t="s">
        <v>552</v>
      </c>
      <c r="F50" s="4">
        <v>150</v>
      </c>
      <c r="G50" s="2" t="s">
        <v>21</v>
      </c>
      <c r="H50" s="8" t="s">
        <v>539</v>
      </c>
      <c r="I50" s="8" t="s">
        <v>551</v>
      </c>
      <c r="J50" s="8" t="s">
        <v>533</v>
      </c>
      <c r="K50" s="15" t="s">
        <v>500</v>
      </c>
      <c r="L50" s="8"/>
      <c r="M50" s="4" t="s">
        <v>1</v>
      </c>
      <c r="N50" s="4" t="s">
        <v>550</v>
      </c>
      <c r="O50" s="3">
        <v>0</v>
      </c>
      <c r="P50" s="2">
        <v>0</v>
      </c>
    </row>
    <row r="51" spans="1:16" ht="63.75" hidden="1" x14ac:dyDescent="0.25">
      <c r="A51" s="2" t="s">
        <v>418</v>
      </c>
      <c r="B51" s="32" t="s">
        <v>488</v>
      </c>
      <c r="C51" s="2">
        <v>4</v>
      </c>
      <c r="D51" s="5" t="s">
        <v>549</v>
      </c>
      <c r="E51" s="4"/>
      <c r="F51" s="4"/>
      <c r="G51" s="2" t="s">
        <v>5</v>
      </c>
      <c r="H51" s="8" t="s">
        <v>539</v>
      </c>
      <c r="I51" s="8" t="s">
        <v>548</v>
      </c>
      <c r="J51" s="8" t="s">
        <v>547</v>
      </c>
      <c r="K51" s="15"/>
      <c r="L51" s="5" t="s">
        <v>546</v>
      </c>
      <c r="M51" s="4" t="s">
        <v>1</v>
      </c>
      <c r="N51" s="4" t="s">
        <v>1</v>
      </c>
      <c r="O51" s="3">
        <v>1</v>
      </c>
      <c r="P51" s="2">
        <v>1</v>
      </c>
    </row>
    <row r="52" spans="1:16" ht="76.5" hidden="1" x14ac:dyDescent="0.25">
      <c r="A52" s="2" t="s">
        <v>418</v>
      </c>
      <c r="B52" s="32" t="s">
        <v>488</v>
      </c>
      <c r="C52" s="2">
        <v>5</v>
      </c>
      <c r="D52" s="79" t="s">
        <v>545</v>
      </c>
      <c r="E52" s="2" t="s">
        <v>544</v>
      </c>
      <c r="F52" s="4">
        <v>290</v>
      </c>
      <c r="G52" s="2" t="s">
        <v>21</v>
      </c>
      <c r="H52" s="8" t="s">
        <v>539</v>
      </c>
      <c r="I52" s="8" t="s">
        <v>534</v>
      </c>
      <c r="J52" s="8" t="s">
        <v>538</v>
      </c>
      <c r="K52" s="15"/>
      <c r="L52" s="8"/>
      <c r="M52" s="4" t="s">
        <v>1</v>
      </c>
      <c r="N52" s="4" t="s">
        <v>1</v>
      </c>
      <c r="O52" s="3">
        <v>0</v>
      </c>
      <c r="P52" s="2">
        <v>0</v>
      </c>
    </row>
    <row r="53" spans="1:16" ht="76.5" hidden="1" x14ac:dyDescent="0.25">
      <c r="A53" s="2" t="s">
        <v>418</v>
      </c>
      <c r="B53" s="32" t="s">
        <v>488</v>
      </c>
      <c r="C53" s="2">
        <v>6</v>
      </c>
      <c r="D53" s="79" t="s">
        <v>543</v>
      </c>
      <c r="E53" s="2" t="s">
        <v>542</v>
      </c>
      <c r="F53" s="4">
        <v>290</v>
      </c>
      <c r="G53" s="2" t="s">
        <v>21</v>
      </c>
      <c r="H53" s="8" t="s">
        <v>539</v>
      </c>
      <c r="I53" s="8" t="s">
        <v>534</v>
      </c>
      <c r="J53" s="8" t="s">
        <v>538</v>
      </c>
      <c r="K53" s="15"/>
      <c r="L53" s="8"/>
      <c r="M53" s="4" t="s">
        <v>1</v>
      </c>
      <c r="N53" s="4" t="s">
        <v>1</v>
      </c>
      <c r="O53" s="3">
        <v>0</v>
      </c>
      <c r="P53" s="2">
        <v>0</v>
      </c>
    </row>
    <row r="54" spans="1:16" ht="76.5" hidden="1" x14ac:dyDescent="0.25">
      <c r="A54" s="2" t="s">
        <v>418</v>
      </c>
      <c r="B54" s="32" t="s">
        <v>488</v>
      </c>
      <c r="C54" s="2">
        <v>7</v>
      </c>
      <c r="D54" s="79" t="s">
        <v>541</v>
      </c>
      <c r="E54" s="2" t="s">
        <v>540</v>
      </c>
      <c r="F54" s="4">
        <v>290</v>
      </c>
      <c r="G54" s="2" t="s">
        <v>21</v>
      </c>
      <c r="H54" s="8" t="s">
        <v>539</v>
      </c>
      <c r="I54" s="8" t="s">
        <v>534</v>
      </c>
      <c r="J54" s="8" t="s">
        <v>538</v>
      </c>
      <c r="K54" s="15"/>
      <c r="L54" s="8"/>
      <c r="M54" s="4" t="s">
        <v>1</v>
      </c>
      <c r="N54" s="4" t="s">
        <v>1</v>
      </c>
      <c r="O54" s="3">
        <v>0</v>
      </c>
      <c r="P54" s="2">
        <v>0</v>
      </c>
    </row>
    <row r="55" spans="1:16" ht="38.25" hidden="1" x14ac:dyDescent="0.25">
      <c r="A55" s="2" t="s">
        <v>418</v>
      </c>
      <c r="B55" s="32" t="s">
        <v>488</v>
      </c>
      <c r="C55" s="2">
        <v>8</v>
      </c>
      <c r="D55" s="79" t="s">
        <v>537</v>
      </c>
      <c r="E55" s="2" t="s">
        <v>536</v>
      </c>
      <c r="F55" s="4">
        <v>150</v>
      </c>
      <c r="G55" s="2" t="s">
        <v>21</v>
      </c>
      <c r="H55" s="8" t="s">
        <v>535</v>
      </c>
      <c r="I55" s="8" t="s">
        <v>534</v>
      </c>
      <c r="J55" s="8" t="s">
        <v>533</v>
      </c>
      <c r="K55" s="15" t="s">
        <v>500</v>
      </c>
      <c r="L55" s="8"/>
      <c r="M55" s="4" t="s">
        <v>1</v>
      </c>
      <c r="N55" s="4" t="s">
        <v>1</v>
      </c>
      <c r="O55" s="3">
        <v>0</v>
      </c>
      <c r="P55" s="2">
        <v>0</v>
      </c>
    </row>
    <row r="56" spans="1:16" ht="38.25" hidden="1" x14ac:dyDescent="0.25">
      <c r="A56" s="2" t="s">
        <v>418</v>
      </c>
      <c r="B56" s="32" t="s">
        <v>488</v>
      </c>
      <c r="C56" s="2">
        <v>9</v>
      </c>
      <c r="D56" s="5" t="s">
        <v>532</v>
      </c>
      <c r="E56" s="4"/>
      <c r="F56" s="4"/>
      <c r="G56" s="2"/>
      <c r="H56" s="8" t="s">
        <v>531</v>
      </c>
      <c r="I56" s="8" t="s">
        <v>530</v>
      </c>
      <c r="J56" s="8" t="s">
        <v>525</v>
      </c>
      <c r="K56" s="15"/>
      <c r="L56" s="8"/>
      <c r="M56" s="4" t="s">
        <v>1</v>
      </c>
      <c r="N56" s="4" t="s">
        <v>1</v>
      </c>
      <c r="O56" s="3">
        <v>1</v>
      </c>
      <c r="P56" s="2">
        <v>0</v>
      </c>
    </row>
    <row r="57" spans="1:16" ht="25.5" hidden="1" x14ac:dyDescent="0.25">
      <c r="A57" s="2" t="s">
        <v>418</v>
      </c>
      <c r="B57" s="32" t="s">
        <v>488</v>
      </c>
      <c r="C57" s="2">
        <v>10</v>
      </c>
      <c r="D57" s="5" t="s">
        <v>529</v>
      </c>
      <c r="E57" s="4" t="s">
        <v>528</v>
      </c>
      <c r="F57" s="4">
        <v>75</v>
      </c>
      <c r="G57" s="2" t="s">
        <v>21</v>
      </c>
      <c r="H57" s="8" t="s">
        <v>527</v>
      </c>
      <c r="I57" s="8" t="s">
        <v>526</v>
      </c>
      <c r="J57" s="8" t="s">
        <v>525</v>
      </c>
      <c r="K57" s="15"/>
      <c r="L57" s="8"/>
      <c r="M57" s="4" t="s">
        <v>1</v>
      </c>
      <c r="N57" s="4" t="s">
        <v>1</v>
      </c>
      <c r="O57" s="3">
        <v>0</v>
      </c>
      <c r="P57" s="2">
        <v>0</v>
      </c>
    </row>
    <row r="58" spans="1:16" ht="38.25" x14ac:dyDescent="0.25">
      <c r="A58" s="2" t="s">
        <v>418</v>
      </c>
      <c r="B58" s="32" t="s">
        <v>488</v>
      </c>
      <c r="C58" s="2">
        <v>11</v>
      </c>
      <c r="D58" s="5" t="s">
        <v>524</v>
      </c>
      <c r="E58" s="4"/>
      <c r="F58" s="4"/>
      <c r="G58" s="2" t="s">
        <v>5</v>
      </c>
      <c r="H58" s="8" t="s">
        <v>523</v>
      </c>
      <c r="I58" s="8" t="s">
        <v>522</v>
      </c>
      <c r="J58" s="10" t="s">
        <v>33</v>
      </c>
      <c r="K58" s="15"/>
      <c r="L58" s="8"/>
      <c r="M58" s="4" t="s">
        <v>1</v>
      </c>
      <c r="N58" s="4" t="s">
        <v>1</v>
      </c>
      <c r="O58" s="3">
        <v>3</v>
      </c>
      <c r="P58" s="2">
        <v>0</v>
      </c>
    </row>
    <row r="59" spans="1:16" ht="38.25" hidden="1" x14ac:dyDescent="0.25">
      <c r="A59" s="2" t="s">
        <v>418</v>
      </c>
      <c r="B59" s="32" t="s">
        <v>488</v>
      </c>
      <c r="C59" s="2">
        <v>12</v>
      </c>
      <c r="D59" s="79" t="s">
        <v>521</v>
      </c>
      <c r="E59" s="4" t="s">
        <v>520</v>
      </c>
      <c r="F59" s="4">
        <v>240</v>
      </c>
      <c r="G59" s="2" t="s">
        <v>21</v>
      </c>
      <c r="H59" s="8" t="s">
        <v>519</v>
      </c>
      <c r="I59" s="8" t="s">
        <v>518</v>
      </c>
      <c r="J59" s="10" t="s">
        <v>33</v>
      </c>
      <c r="K59" s="15"/>
      <c r="L59" s="8"/>
      <c r="M59" s="4" t="s">
        <v>517</v>
      </c>
      <c r="N59" s="4" t="s">
        <v>1</v>
      </c>
      <c r="O59" s="3">
        <v>0</v>
      </c>
      <c r="P59" s="2">
        <v>0</v>
      </c>
    </row>
    <row r="60" spans="1:16" ht="51" x14ac:dyDescent="0.25">
      <c r="A60" s="2" t="s">
        <v>418</v>
      </c>
      <c r="B60" s="32" t="s">
        <v>488</v>
      </c>
      <c r="C60" s="2">
        <v>13</v>
      </c>
      <c r="D60" s="5" t="s">
        <v>516</v>
      </c>
      <c r="E60" s="2"/>
      <c r="F60" s="4"/>
      <c r="G60" s="2"/>
      <c r="H60" s="8" t="s">
        <v>515</v>
      </c>
      <c r="I60" s="8" t="s">
        <v>514</v>
      </c>
      <c r="J60" s="5" t="s">
        <v>510</v>
      </c>
      <c r="K60" s="6" t="s">
        <v>509</v>
      </c>
      <c r="L60" s="8"/>
      <c r="M60" s="4" t="s">
        <v>1</v>
      </c>
      <c r="N60" s="4" t="s">
        <v>1</v>
      </c>
      <c r="O60" s="3">
        <v>3</v>
      </c>
      <c r="P60" s="2">
        <v>0</v>
      </c>
    </row>
    <row r="61" spans="1:16" ht="51" hidden="1" x14ac:dyDescent="0.25">
      <c r="A61" s="2" t="s">
        <v>418</v>
      </c>
      <c r="B61" s="32" t="s">
        <v>488</v>
      </c>
      <c r="C61" s="2">
        <v>14</v>
      </c>
      <c r="D61" s="5" t="s">
        <v>513</v>
      </c>
      <c r="E61" s="2"/>
      <c r="F61" s="4"/>
      <c r="G61" s="2"/>
      <c r="H61" s="8" t="s">
        <v>512</v>
      </c>
      <c r="I61" s="8" t="s">
        <v>511</v>
      </c>
      <c r="J61" s="5" t="s">
        <v>510</v>
      </c>
      <c r="K61" s="6" t="s">
        <v>509</v>
      </c>
      <c r="L61" s="8"/>
      <c r="M61" s="4" t="s">
        <v>1</v>
      </c>
      <c r="N61" s="4" t="s">
        <v>1</v>
      </c>
      <c r="O61" s="3">
        <v>1</v>
      </c>
      <c r="P61" s="2">
        <v>0</v>
      </c>
    </row>
    <row r="62" spans="1:16" ht="38.25" hidden="1" x14ac:dyDescent="0.25">
      <c r="A62" s="2" t="s">
        <v>418</v>
      </c>
      <c r="B62" s="32" t="s">
        <v>488</v>
      </c>
      <c r="C62" s="2">
        <v>15</v>
      </c>
      <c r="D62" s="5" t="s">
        <v>508</v>
      </c>
      <c r="E62" s="2" t="s">
        <v>507</v>
      </c>
      <c r="F62" s="4">
        <v>130</v>
      </c>
      <c r="G62" s="2" t="s">
        <v>21</v>
      </c>
      <c r="H62" s="8" t="s">
        <v>428</v>
      </c>
      <c r="I62" s="8" t="s">
        <v>502</v>
      </c>
      <c r="J62" s="5" t="s">
        <v>501</v>
      </c>
      <c r="K62" s="15" t="s">
        <v>500</v>
      </c>
      <c r="L62" s="8"/>
      <c r="M62" s="4" t="s">
        <v>1</v>
      </c>
      <c r="N62" s="4" t="s">
        <v>1</v>
      </c>
      <c r="O62" s="3">
        <v>1</v>
      </c>
      <c r="P62" s="2">
        <v>1</v>
      </c>
    </row>
    <row r="63" spans="1:16" ht="38.25" hidden="1" x14ac:dyDescent="0.25">
      <c r="A63" s="2" t="s">
        <v>418</v>
      </c>
      <c r="B63" s="32" t="s">
        <v>488</v>
      </c>
      <c r="C63" s="2">
        <v>16</v>
      </c>
      <c r="D63" s="5" t="s">
        <v>506</v>
      </c>
      <c r="E63" s="2" t="s">
        <v>505</v>
      </c>
      <c r="F63" s="4">
        <v>130</v>
      </c>
      <c r="G63" s="2" t="s">
        <v>21</v>
      </c>
      <c r="H63" s="8" t="s">
        <v>428</v>
      </c>
      <c r="I63" s="8" t="s">
        <v>502</v>
      </c>
      <c r="J63" s="5" t="s">
        <v>501</v>
      </c>
      <c r="K63" s="15" t="s">
        <v>500</v>
      </c>
      <c r="L63" s="8"/>
      <c r="M63" s="4" t="s">
        <v>1</v>
      </c>
      <c r="N63" s="4" t="s">
        <v>1</v>
      </c>
      <c r="O63" s="3">
        <v>1</v>
      </c>
      <c r="P63" s="2">
        <v>1</v>
      </c>
    </row>
    <row r="64" spans="1:16" ht="38.25" hidden="1" x14ac:dyDescent="0.25">
      <c r="A64" s="2" t="s">
        <v>418</v>
      </c>
      <c r="B64" s="32" t="s">
        <v>488</v>
      </c>
      <c r="C64" s="2">
        <v>17</v>
      </c>
      <c r="D64" s="5" t="s">
        <v>504</v>
      </c>
      <c r="E64" s="2" t="s">
        <v>503</v>
      </c>
      <c r="F64" s="4">
        <v>130</v>
      </c>
      <c r="G64" s="2" t="s">
        <v>21</v>
      </c>
      <c r="H64" s="8" t="s">
        <v>428</v>
      </c>
      <c r="I64" s="8" t="s">
        <v>502</v>
      </c>
      <c r="J64" s="5" t="s">
        <v>501</v>
      </c>
      <c r="K64" s="15" t="s">
        <v>500</v>
      </c>
      <c r="L64" s="8"/>
      <c r="M64" s="4" t="s">
        <v>1</v>
      </c>
      <c r="N64" s="4" t="s">
        <v>1</v>
      </c>
      <c r="O64" s="3">
        <v>1</v>
      </c>
      <c r="P64" s="2">
        <v>1</v>
      </c>
    </row>
    <row r="65" spans="1:16" ht="25.5" hidden="1" x14ac:dyDescent="0.25">
      <c r="A65" s="2" t="s">
        <v>418</v>
      </c>
      <c r="B65" s="32" t="s">
        <v>488</v>
      </c>
      <c r="C65" s="2">
        <v>18</v>
      </c>
      <c r="D65" s="79" t="s">
        <v>499</v>
      </c>
      <c r="E65" s="2" t="s">
        <v>498</v>
      </c>
      <c r="F65" s="4">
        <v>113</v>
      </c>
      <c r="G65" s="2" t="s">
        <v>21</v>
      </c>
      <c r="H65" s="8" t="s">
        <v>428</v>
      </c>
      <c r="I65" s="8" t="s">
        <v>495</v>
      </c>
      <c r="J65" s="5" t="s">
        <v>492</v>
      </c>
      <c r="K65" s="15"/>
      <c r="L65" s="8"/>
      <c r="M65" s="4" t="s">
        <v>1</v>
      </c>
      <c r="N65" s="4" t="s">
        <v>1</v>
      </c>
      <c r="O65" s="3">
        <v>0</v>
      </c>
      <c r="P65" s="2">
        <v>0</v>
      </c>
    </row>
    <row r="66" spans="1:16" ht="25.5" hidden="1" x14ac:dyDescent="0.25">
      <c r="A66" s="2" t="s">
        <v>418</v>
      </c>
      <c r="B66" s="32" t="s">
        <v>488</v>
      </c>
      <c r="C66" s="2">
        <v>19</v>
      </c>
      <c r="D66" s="79" t="s">
        <v>497</v>
      </c>
      <c r="E66" s="2" t="s">
        <v>496</v>
      </c>
      <c r="F66" s="4">
        <v>113</v>
      </c>
      <c r="G66" s="2" t="s">
        <v>21</v>
      </c>
      <c r="H66" s="8" t="s">
        <v>428</v>
      </c>
      <c r="I66" s="8" t="s">
        <v>495</v>
      </c>
      <c r="J66" s="5" t="s">
        <v>492</v>
      </c>
      <c r="K66" s="15"/>
      <c r="L66" s="8"/>
      <c r="M66" s="4" t="s">
        <v>1</v>
      </c>
      <c r="N66" s="4" t="s">
        <v>1</v>
      </c>
      <c r="O66" s="3">
        <v>0</v>
      </c>
      <c r="P66" s="2">
        <v>0</v>
      </c>
    </row>
    <row r="67" spans="1:16" ht="25.5" x14ac:dyDescent="0.25">
      <c r="A67" s="2" t="s">
        <v>418</v>
      </c>
      <c r="B67" s="32" t="s">
        <v>488</v>
      </c>
      <c r="C67" s="2">
        <v>20</v>
      </c>
      <c r="D67" s="79" t="s">
        <v>494</v>
      </c>
      <c r="E67" s="2"/>
      <c r="F67" s="4"/>
      <c r="G67" s="2"/>
      <c r="H67" s="8" t="s">
        <v>428</v>
      </c>
      <c r="I67" s="8" t="s">
        <v>493</v>
      </c>
      <c r="J67" s="5" t="s">
        <v>492</v>
      </c>
      <c r="K67" s="15"/>
      <c r="L67" s="8"/>
      <c r="M67" s="4" t="s">
        <v>1</v>
      </c>
      <c r="N67" s="4" t="s">
        <v>1</v>
      </c>
      <c r="O67" s="3">
        <v>3</v>
      </c>
      <c r="P67" s="2">
        <v>0</v>
      </c>
    </row>
    <row r="68" spans="1:16" ht="51" hidden="1" x14ac:dyDescent="0.25">
      <c r="A68" s="2" t="s">
        <v>418</v>
      </c>
      <c r="B68" s="32" t="s">
        <v>488</v>
      </c>
      <c r="C68" s="2">
        <v>21</v>
      </c>
      <c r="D68" s="5" t="s">
        <v>491</v>
      </c>
      <c r="E68" s="2" t="s">
        <v>490</v>
      </c>
      <c r="F68" s="4">
        <v>73</v>
      </c>
      <c r="G68" s="2" t="s">
        <v>5</v>
      </c>
      <c r="H68" s="8" t="s">
        <v>428</v>
      </c>
      <c r="I68" s="8" t="s">
        <v>489</v>
      </c>
      <c r="J68" s="10" t="s">
        <v>33</v>
      </c>
      <c r="K68" s="15"/>
      <c r="L68" s="8"/>
      <c r="M68" s="4" t="s">
        <v>1</v>
      </c>
      <c r="N68" s="4" t="s">
        <v>1</v>
      </c>
      <c r="O68" s="3">
        <v>1</v>
      </c>
      <c r="P68" s="2">
        <v>1</v>
      </c>
    </row>
    <row r="69" spans="1:16" ht="25.5" hidden="1" x14ac:dyDescent="0.25">
      <c r="A69" s="2" t="s">
        <v>418</v>
      </c>
      <c r="B69" s="32" t="s">
        <v>488</v>
      </c>
      <c r="C69" s="2">
        <v>22</v>
      </c>
      <c r="D69" s="5" t="s">
        <v>487</v>
      </c>
      <c r="E69" s="2"/>
      <c r="F69" s="2"/>
      <c r="G69" s="2" t="s">
        <v>5</v>
      </c>
      <c r="H69" s="5" t="s">
        <v>97</v>
      </c>
      <c r="I69" s="5"/>
      <c r="J69" s="7" t="s">
        <v>432</v>
      </c>
      <c r="K69" s="6"/>
      <c r="L69" s="5"/>
      <c r="M69" s="4"/>
      <c r="N69" s="4"/>
      <c r="O69" s="3">
        <v>2</v>
      </c>
      <c r="P69" s="2">
        <v>1</v>
      </c>
    </row>
    <row r="70" spans="1:16" ht="38.25" hidden="1" x14ac:dyDescent="0.25">
      <c r="A70" s="2" t="s">
        <v>418</v>
      </c>
      <c r="B70" s="32" t="s">
        <v>431</v>
      </c>
      <c r="C70" s="2">
        <v>1</v>
      </c>
      <c r="D70" s="5" t="s">
        <v>486</v>
      </c>
      <c r="E70" s="2"/>
      <c r="F70" s="4"/>
      <c r="G70" s="2" t="s">
        <v>21</v>
      </c>
      <c r="H70" s="8" t="s">
        <v>485</v>
      </c>
      <c r="I70" s="8"/>
      <c r="J70" s="5" t="s">
        <v>484</v>
      </c>
      <c r="K70" s="15"/>
      <c r="L70" s="8"/>
      <c r="M70" s="4" t="s">
        <v>1</v>
      </c>
      <c r="N70" s="4" t="s">
        <v>1</v>
      </c>
      <c r="O70" s="3">
        <v>1</v>
      </c>
      <c r="P70" s="2">
        <v>0</v>
      </c>
    </row>
    <row r="71" spans="1:16" ht="25.5" hidden="1" x14ac:dyDescent="0.25">
      <c r="A71" s="2" t="s">
        <v>418</v>
      </c>
      <c r="B71" s="61" t="s">
        <v>431</v>
      </c>
      <c r="C71" s="2">
        <v>2</v>
      </c>
      <c r="D71" s="5" t="s">
        <v>483</v>
      </c>
      <c r="E71" s="2" t="s">
        <v>482</v>
      </c>
      <c r="F71" s="4">
        <v>52</v>
      </c>
      <c r="G71" s="2" t="s">
        <v>21</v>
      </c>
      <c r="H71" s="8" t="s">
        <v>479</v>
      </c>
      <c r="I71" s="8" t="s">
        <v>478</v>
      </c>
      <c r="J71" s="8" t="s">
        <v>426</v>
      </c>
      <c r="K71" s="15" t="s">
        <v>477</v>
      </c>
      <c r="L71" s="8"/>
      <c r="M71" s="4" t="s">
        <v>1</v>
      </c>
      <c r="N71" s="4" t="s">
        <v>1</v>
      </c>
      <c r="O71" s="3">
        <v>1</v>
      </c>
      <c r="P71" s="2">
        <v>0</v>
      </c>
    </row>
    <row r="72" spans="1:16" ht="25.5" hidden="1" x14ac:dyDescent="0.25">
      <c r="A72" s="2" t="s">
        <v>418</v>
      </c>
      <c r="B72" s="61" t="s">
        <v>431</v>
      </c>
      <c r="C72" s="2">
        <v>3</v>
      </c>
      <c r="D72" s="60" t="s">
        <v>481</v>
      </c>
      <c r="E72" s="2" t="s">
        <v>480</v>
      </c>
      <c r="F72" s="4">
        <v>48</v>
      </c>
      <c r="G72" s="2" t="s">
        <v>21</v>
      </c>
      <c r="H72" s="8" t="s">
        <v>479</v>
      </c>
      <c r="I72" s="8" t="s">
        <v>478</v>
      </c>
      <c r="J72" s="8" t="s">
        <v>426</v>
      </c>
      <c r="K72" s="15" t="s">
        <v>477</v>
      </c>
      <c r="L72" s="8"/>
      <c r="M72" s="4" t="s">
        <v>1</v>
      </c>
      <c r="N72" s="4" t="s">
        <v>1</v>
      </c>
      <c r="O72" s="3">
        <v>1</v>
      </c>
      <c r="P72" s="2">
        <v>0</v>
      </c>
    </row>
    <row r="73" spans="1:16" ht="63.75" hidden="1" x14ac:dyDescent="0.25">
      <c r="A73" s="2" t="s">
        <v>418</v>
      </c>
      <c r="B73" s="32" t="s">
        <v>431</v>
      </c>
      <c r="C73" s="2">
        <v>4</v>
      </c>
      <c r="D73" s="79" t="s">
        <v>476</v>
      </c>
      <c r="E73" s="2" t="s">
        <v>475</v>
      </c>
      <c r="F73" s="4">
        <v>155</v>
      </c>
      <c r="G73" s="2" t="s">
        <v>21</v>
      </c>
      <c r="H73" s="8" t="s">
        <v>474</v>
      </c>
      <c r="I73" s="5" t="s">
        <v>468</v>
      </c>
      <c r="J73" s="8" t="s">
        <v>440</v>
      </c>
      <c r="K73" s="15" t="s">
        <v>439</v>
      </c>
      <c r="L73" s="8"/>
      <c r="M73" s="4" t="s">
        <v>1</v>
      </c>
      <c r="N73" s="4" t="s">
        <v>1</v>
      </c>
      <c r="O73" s="3">
        <v>0</v>
      </c>
      <c r="P73" s="2">
        <v>0</v>
      </c>
    </row>
    <row r="74" spans="1:16" ht="63.75" hidden="1" x14ac:dyDescent="0.25">
      <c r="A74" s="2" t="s">
        <v>418</v>
      </c>
      <c r="B74" s="32" t="s">
        <v>431</v>
      </c>
      <c r="C74" s="2">
        <v>5</v>
      </c>
      <c r="D74" s="79" t="s">
        <v>473</v>
      </c>
      <c r="E74" s="2" t="s">
        <v>472</v>
      </c>
      <c r="F74" s="4">
        <v>155</v>
      </c>
      <c r="G74" s="2" t="s">
        <v>21</v>
      </c>
      <c r="H74" s="8" t="s">
        <v>469</v>
      </c>
      <c r="I74" s="5" t="s">
        <v>468</v>
      </c>
      <c r="J74" s="8" t="s">
        <v>440</v>
      </c>
      <c r="K74" s="15" t="s">
        <v>439</v>
      </c>
      <c r="L74" s="8"/>
      <c r="M74" s="4" t="s">
        <v>1</v>
      </c>
      <c r="N74" s="4" t="s">
        <v>1</v>
      </c>
      <c r="O74" s="3">
        <v>0</v>
      </c>
      <c r="P74" s="2">
        <v>0</v>
      </c>
    </row>
    <row r="75" spans="1:16" ht="63.75" hidden="1" x14ac:dyDescent="0.25">
      <c r="A75" s="2" t="s">
        <v>418</v>
      </c>
      <c r="B75" s="32" t="s">
        <v>431</v>
      </c>
      <c r="C75" s="2">
        <v>6</v>
      </c>
      <c r="D75" s="79" t="s">
        <v>471</v>
      </c>
      <c r="E75" s="2" t="s">
        <v>470</v>
      </c>
      <c r="F75" s="4">
        <v>155</v>
      </c>
      <c r="G75" s="2" t="s">
        <v>21</v>
      </c>
      <c r="H75" s="8" t="s">
        <v>469</v>
      </c>
      <c r="I75" s="5" t="s">
        <v>468</v>
      </c>
      <c r="J75" s="8" t="s">
        <v>440</v>
      </c>
      <c r="K75" s="15" t="s">
        <v>439</v>
      </c>
      <c r="L75" s="8"/>
      <c r="M75" s="4" t="s">
        <v>1</v>
      </c>
      <c r="N75" s="4" t="s">
        <v>1</v>
      </c>
      <c r="O75" s="3">
        <v>0</v>
      </c>
      <c r="P75" s="2">
        <v>0</v>
      </c>
    </row>
    <row r="76" spans="1:16" ht="63.75" x14ac:dyDescent="0.25">
      <c r="A76" s="2" t="s">
        <v>418</v>
      </c>
      <c r="B76" s="32" t="s">
        <v>431</v>
      </c>
      <c r="C76" s="2">
        <v>7</v>
      </c>
      <c r="D76" s="80" t="s">
        <v>467</v>
      </c>
      <c r="E76" s="4" t="s">
        <v>466</v>
      </c>
      <c r="F76" s="59">
        <v>270</v>
      </c>
      <c r="G76" s="59" t="s">
        <v>5</v>
      </c>
      <c r="H76" s="8" t="s">
        <v>463</v>
      </c>
      <c r="I76" s="8" t="s">
        <v>462</v>
      </c>
      <c r="J76" s="8" t="s">
        <v>461</v>
      </c>
      <c r="K76" s="15" t="s">
        <v>460</v>
      </c>
      <c r="L76" s="8" t="s">
        <v>459</v>
      </c>
      <c r="M76" s="4" t="s">
        <v>458</v>
      </c>
      <c r="N76" s="4" t="s">
        <v>457</v>
      </c>
      <c r="O76" s="3">
        <v>3</v>
      </c>
      <c r="P76" s="2">
        <v>0</v>
      </c>
    </row>
    <row r="77" spans="1:16" ht="63.75" x14ac:dyDescent="0.25">
      <c r="A77" s="2" t="s">
        <v>418</v>
      </c>
      <c r="B77" s="32" t="s">
        <v>431</v>
      </c>
      <c r="C77" s="2">
        <v>8</v>
      </c>
      <c r="D77" s="80" t="s">
        <v>465</v>
      </c>
      <c r="E77" s="4" t="s">
        <v>464</v>
      </c>
      <c r="F77" s="59">
        <v>320</v>
      </c>
      <c r="G77" s="59" t="s">
        <v>5</v>
      </c>
      <c r="H77" s="8" t="s">
        <v>463</v>
      </c>
      <c r="I77" s="8" t="s">
        <v>462</v>
      </c>
      <c r="J77" s="8" t="s">
        <v>461</v>
      </c>
      <c r="K77" s="15" t="s">
        <v>460</v>
      </c>
      <c r="L77" s="8" t="s">
        <v>459</v>
      </c>
      <c r="M77" s="4" t="s">
        <v>458</v>
      </c>
      <c r="N77" s="4" t="s">
        <v>457</v>
      </c>
      <c r="O77" s="3">
        <v>3</v>
      </c>
      <c r="P77" s="2">
        <v>0</v>
      </c>
    </row>
    <row r="78" spans="1:16" ht="25.5" hidden="1" x14ac:dyDescent="0.25">
      <c r="A78" s="2" t="s">
        <v>418</v>
      </c>
      <c r="B78" s="32" t="s">
        <v>431</v>
      </c>
      <c r="C78" s="2">
        <v>9</v>
      </c>
      <c r="D78" s="80" t="s">
        <v>456</v>
      </c>
      <c r="E78" s="2" t="s">
        <v>455</v>
      </c>
      <c r="F78" s="59">
        <v>30</v>
      </c>
      <c r="G78" s="59" t="s">
        <v>21</v>
      </c>
      <c r="H78" s="8" t="s">
        <v>454</v>
      </c>
      <c r="I78" s="8" t="s">
        <v>453</v>
      </c>
      <c r="J78" s="7" t="s">
        <v>432</v>
      </c>
      <c r="K78" s="15"/>
      <c r="L78" s="8"/>
      <c r="M78" s="4"/>
      <c r="N78" s="4"/>
      <c r="O78" s="3">
        <v>0</v>
      </c>
      <c r="P78" s="2">
        <v>0</v>
      </c>
    </row>
    <row r="79" spans="1:16" x14ac:dyDescent="0.25">
      <c r="A79" s="2" t="s">
        <v>418</v>
      </c>
      <c r="B79" s="32" t="s">
        <v>431</v>
      </c>
      <c r="C79" s="2">
        <v>10</v>
      </c>
      <c r="D79" s="80" t="s">
        <v>452</v>
      </c>
      <c r="E79" s="2"/>
      <c r="F79" s="59"/>
      <c r="G79" s="59" t="s">
        <v>21</v>
      </c>
      <c r="H79" s="8" t="s">
        <v>448</v>
      </c>
      <c r="I79" s="8" t="s">
        <v>451</v>
      </c>
      <c r="J79" s="1"/>
      <c r="K79" s="15"/>
      <c r="L79" s="8"/>
      <c r="M79" s="4" t="s">
        <v>1</v>
      </c>
      <c r="N79" s="4" t="s">
        <v>1</v>
      </c>
      <c r="O79" s="3">
        <v>3</v>
      </c>
      <c r="P79" s="2">
        <v>0</v>
      </c>
    </row>
    <row r="80" spans="1:16" ht="25.5" x14ac:dyDescent="0.25">
      <c r="A80" s="22" t="s">
        <v>418</v>
      </c>
      <c r="B80" s="22" t="s">
        <v>431</v>
      </c>
      <c r="C80" s="2">
        <v>11</v>
      </c>
      <c r="D80" s="24" t="s">
        <v>450</v>
      </c>
      <c r="E80" s="11"/>
      <c r="F80" s="22" t="s">
        <v>393</v>
      </c>
      <c r="G80" s="4" t="s">
        <v>449</v>
      </c>
      <c r="H80" s="8" t="s">
        <v>448</v>
      </c>
      <c r="I80" s="8" t="s">
        <v>447</v>
      </c>
      <c r="J80" s="7" t="s">
        <v>432</v>
      </c>
      <c r="K80" s="15"/>
      <c r="L80" s="8"/>
      <c r="M80" s="4" t="s">
        <v>1</v>
      </c>
      <c r="N80" s="4" t="s">
        <v>1</v>
      </c>
      <c r="O80" s="3">
        <v>3</v>
      </c>
      <c r="P80" s="2">
        <v>1</v>
      </c>
    </row>
    <row r="81" spans="1:16" ht="25.5" hidden="1" x14ac:dyDescent="0.25">
      <c r="A81" s="2" t="s">
        <v>418</v>
      </c>
      <c r="B81" s="32" t="s">
        <v>431</v>
      </c>
      <c r="C81" s="2">
        <v>12</v>
      </c>
      <c r="D81" s="60" t="s">
        <v>446</v>
      </c>
      <c r="E81" s="2" t="s">
        <v>445</v>
      </c>
      <c r="F81" s="4">
        <v>65</v>
      </c>
      <c r="G81" s="2" t="s">
        <v>5</v>
      </c>
      <c r="H81" s="8" t="s">
        <v>428</v>
      </c>
      <c r="I81" s="8" t="s">
        <v>427</v>
      </c>
      <c r="J81" s="8" t="s">
        <v>440</v>
      </c>
      <c r="K81" s="15" t="s">
        <v>439</v>
      </c>
      <c r="L81" s="8"/>
      <c r="M81" s="4" t="s">
        <v>1</v>
      </c>
      <c r="N81" s="4" t="s">
        <v>1</v>
      </c>
      <c r="O81" s="3">
        <v>1</v>
      </c>
      <c r="P81" s="2">
        <v>1</v>
      </c>
    </row>
    <row r="82" spans="1:16" ht="25.5" hidden="1" x14ac:dyDescent="0.25">
      <c r="A82" s="2" t="s">
        <v>418</v>
      </c>
      <c r="B82" s="32" t="s">
        <v>431</v>
      </c>
      <c r="C82" s="2">
        <v>13</v>
      </c>
      <c r="D82" s="60" t="s">
        <v>444</v>
      </c>
      <c r="E82" s="2" t="s">
        <v>443</v>
      </c>
      <c r="F82" s="4">
        <v>65</v>
      </c>
      <c r="G82" s="2" t="s">
        <v>5</v>
      </c>
      <c r="H82" s="8" t="s">
        <v>428</v>
      </c>
      <c r="I82" s="8" t="s">
        <v>427</v>
      </c>
      <c r="J82" s="8" t="s">
        <v>440</v>
      </c>
      <c r="K82" s="15" t="s">
        <v>439</v>
      </c>
      <c r="L82" s="8"/>
      <c r="M82" s="4" t="s">
        <v>1</v>
      </c>
      <c r="N82" s="4" t="s">
        <v>1</v>
      </c>
      <c r="O82" s="3">
        <v>1</v>
      </c>
      <c r="P82" s="2">
        <v>1</v>
      </c>
    </row>
    <row r="83" spans="1:16" ht="25.5" hidden="1" x14ac:dyDescent="0.25">
      <c r="A83" s="2" t="s">
        <v>418</v>
      </c>
      <c r="B83" s="32" t="s">
        <v>431</v>
      </c>
      <c r="C83" s="2">
        <v>14</v>
      </c>
      <c r="D83" s="60" t="s">
        <v>442</v>
      </c>
      <c r="E83" s="2" t="s">
        <v>441</v>
      </c>
      <c r="F83" s="4">
        <v>65</v>
      </c>
      <c r="G83" s="2" t="s">
        <v>5</v>
      </c>
      <c r="H83" s="8" t="s">
        <v>428</v>
      </c>
      <c r="I83" s="8" t="s">
        <v>427</v>
      </c>
      <c r="J83" s="8" t="s">
        <v>440</v>
      </c>
      <c r="K83" s="15" t="s">
        <v>439</v>
      </c>
      <c r="L83" s="8"/>
      <c r="M83" s="4" t="s">
        <v>1</v>
      </c>
      <c r="N83" s="4" t="s">
        <v>1</v>
      </c>
      <c r="O83" s="3">
        <v>1</v>
      </c>
      <c r="P83" s="2">
        <v>1</v>
      </c>
    </row>
    <row r="84" spans="1:16" ht="25.5" hidden="1" x14ac:dyDescent="0.25">
      <c r="A84" s="2" t="s">
        <v>418</v>
      </c>
      <c r="B84" s="32" t="s">
        <v>431</v>
      </c>
      <c r="C84" s="2">
        <v>15</v>
      </c>
      <c r="D84" s="60" t="s">
        <v>438</v>
      </c>
      <c r="E84" s="2" t="s">
        <v>437</v>
      </c>
      <c r="F84" s="4">
        <v>45</v>
      </c>
      <c r="G84" s="2" t="s">
        <v>5</v>
      </c>
      <c r="H84" s="8" t="s">
        <v>428</v>
      </c>
      <c r="I84" s="8" t="s">
        <v>427</v>
      </c>
      <c r="J84" s="7" t="s">
        <v>432</v>
      </c>
      <c r="K84" s="15"/>
      <c r="L84" s="8"/>
      <c r="M84" s="4" t="s">
        <v>1</v>
      </c>
      <c r="N84" s="4" t="s">
        <v>1</v>
      </c>
      <c r="O84" s="3">
        <v>1</v>
      </c>
      <c r="P84" s="2">
        <v>1</v>
      </c>
    </row>
    <row r="85" spans="1:16" ht="25.5" hidden="1" x14ac:dyDescent="0.25">
      <c r="A85" s="2" t="s">
        <v>418</v>
      </c>
      <c r="B85" s="32" t="s">
        <v>431</v>
      </c>
      <c r="C85" s="2">
        <v>16</v>
      </c>
      <c r="D85" s="60" t="s">
        <v>436</v>
      </c>
      <c r="E85" s="2" t="s">
        <v>435</v>
      </c>
      <c r="F85" s="4">
        <v>45</v>
      </c>
      <c r="G85" s="2" t="s">
        <v>5</v>
      </c>
      <c r="H85" s="8" t="s">
        <v>428</v>
      </c>
      <c r="I85" s="8" t="s">
        <v>427</v>
      </c>
      <c r="J85" s="7" t="s">
        <v>432</v>
      </c>
      <c r="K85" s="15"/>
      <c r="L85" s="8"/>
      <c r="M85" s="4" t="s">
        <v>1</v>
      </c>
      <c r="N85" s="4" t="s">
        <v>1</v>
      </c>
      <c r="O85" s="3">
        <v>1</v>
      </c>
      <c r="P85" s="2">
        <v>1</v>
      </c>
    </row>
    <row r="86" spans="1:16" ht="25.5" hidden="1" x14ac:dyDescent="0.25">
      <c r="A86" s="2" t="s">
        <v>418</v>
      </c>
      <c r="B86" s="32" t="s">
        <v>431</v>
      </c>
      <c r="C86" s="2">
        <v>17</v>
      </c>
      <c r="D86" s="60" t="s">
        <v>434</v>
      </c>
      <c r="E86" s="2" t="s">
        <v>433</v>
      </c>
      <c r="F86" s="4">
        <v>45</v>
      </c>
      <c r="G86" s="2" t="s">
        <v>5</v>
      </c>
      <c r="H86" s="8" t="s">
        <v>428</v>
      </c>
      <c r="I86" s="8" t="s">
        <v>427</v>
      </c>
      <c r="J86" s="7" t="s">
        <v>432</v>
      </c>
      <c r="K86" s="15"/>
      <c r="L86" s="8"/>
      <c r="M86" s="4" t="s">
        <v>1</v>
      </c>
      <c r="N86" s="4" t="s">
        <v>1</v>
      </c>
      <c r="O86" s="3">
        <v>1</v>
      </c>
      <c r="P86" s="2">
        <v>1</v>
      </c>
    </row>
    <row r="87" spans="1:16" hidden="1" x14ac:dyDescent="0.25">
      <c r="A87" s="2" t="s">
        <v>418</v>
      </c>
      <c r="B87" s="32" t="s">
        <v>431</v>
      </c>
      <c r="C87" s="2">
        <v>18</v>
      </c>
      <c r="D87" s="60" t="s">
        <v>430</v>
      </c>
      <c r="E87" s="2" t="s">
        <v>429</v>
      </c>
      <c r="F87" s="4">
        <v>80</v>
      </c>
      <c r="G87" s="2" t="s">
        <v>5</v>
      </c>
      <c r="H87" s="8" t="s">
        <v>428</v>
      </c>
      <c r="I87" s="8" t="s">
        <v>427</v>
      </c>
      <c r="J87" s="8" t="s">
        <v>426</v>
      </c>
      <c r="K87" s="15"/>
      <c r="L87" s="8"/>
      <c r="M87" s="4" t="s">
        <v>1</v>
      </c>
      <c r="N87" s="4" t="s">
        <v>1</v>
      </c>
      <c r="O87" s="3">
        <v>1</v>
      </c>
      <c r="P87" s="2">
        <v>1</v>
      </c>
    </row>
    <row r="88" spans="1:16" ht="25.5" hidden="1" x14ac:dyDescent="0.25">
      <c r="A88" s="2" t="s">
        <v>418</v>
      </c>
      <c r="B88" s="32" t="s">
        <v>417</v>
      </c>
      <c r="C88" s="2">
        <v>1</v>
      </c>
      <c r="D88" s="82" t="s">
        <v>425</v>
      </c>
      <c r="E88" s="2" t="s">
        <v>422</v>
      </c>
      <c r="F88" s="59">
        <v>290</v>
      </c>
      <c r="G88" s="59" t="s">
        <v>5</v>
      </c>
      <c r="H88" s="8" t="s">
        <v>421</v>
      </c>
      <c r="I88" s="8" t="s">
        <v>420</v>
      </c>
      <c r="J88" s="8" t="s">
        <v>243</v>
      </c>
      <c r="K88" s="15"/>
      <c r="L88" s="8"/>
      <c r="M88" s="4" t="s">
        <v>1</v>
      </c>
      <c r="N88" s="4" t="s">
        <v>419</v>
      </c>
      <c r="O88" s="3">
        <v>0</v>
      </c>
      <c r="P88" s="2">
        <v>0</v>
      </c>
    </row>
    <row r="89" spans="1:16" ht="25.5" hidden="1" x14ac:dyDescent="0.25">
      <c r="A89" s="2" t="s">
        <v>418</v>
      </c>
      <c r="B89" s="32" t="s">
        <v>417</v>
      </c>
      <c r="C89" s="2">
        <v>2</v>
      </c>
      <c r="D89" s="82" t="s">
        <v>424</v>
      </c>
      <c r="E89" s="2" t="s">
        <v>422</v>
      </c>
      <c r="F89" s="59">
        <v>290</v>
      </c>
      <c r="G89" s="59" t="s">
        <v>5</v>
      </c>
      <c r="H89" s="8" t="s">
        <v>421</v>
      </c>
      <c r="I89" s="8" t="s">
        <v>420</v>
      </c>
      <c r="J89" s="8" t="s">
        <v>243</v>
      </c>
      <c r="K89" s="15"/>
      <c r="L89" s="8"/>
      <c r="M89" s="4" t="s">
        <v>1</v>
      </c>
      <c r="N89" s="4" t="s">
        <v>419</v>
      </c>
      <c r="O89" s="3">
        <v>0</v>
      </c>
      <c r="P89" s="2">
        <v>0</v>
      </c>
    </row>
    <row r="90" spans="1:16" ht="25.5" hidden="1" x14ac:dyDescent="0.25">
      <c r="A90" s="2" t="s">
        <v>418</v>
      </c>
      <c r="B90" s="32" t="s">
        <v>417</v>
      </c>
      <c r="C90" s="2">
        <v>3</v>
      </c>
      <c r="D90" s="82" t="s">
        <v>423</v>
      </c>
      <c r="E90" s="2" t="s">
        <v>422</v>
      </c>
      <c r="F90" s="59">
        <v>290</v>
      </c>
      <c r="G90" s="59" t="s">
        <v>5</v>
      </c>
      <c r="H90" s="8" t="s">
        <v>421</v>
      </c>
      <c r="I90" s="8" t="s">
        <v>420</v>
      </c>
      <c r="J90" s="8" t="s">
        <v>243</v>
      </c>
      <c r="K90" s="15"/>
      <c r="L90" s="8"/>
      <c r="M90" s="4" t="s">
        <v>1</v>
      </c>
      <c r="N90" s="4" t="s">
        <v>419</v>
      </c>
      <c r="O90" s="3">
        <v>0</v>
      </c>
      <c r="P90" s="2">
        <v>0</v>
      </c>
    </row>
    <row r="91" spans="1:16" ht="63.75" hidden="1" x14ac:dyDescent="0.25">
      <c r="A91" s="2" t="s">
        <v>418</v>
      </c>
      <c r="B91" s="32" t="s">
        <v>417</v>
      </c>
      <c r="C91" s="2">
        <v>4</v>
      </c>
      <c r="D91" s="5" t="s">
        <v>416</v>
      </c>
      <c r="E91" s="2"/>
      <c r="F91" s="2"/>
      <c r="G91" s="2" t="s">
        <v>5</v>
      </c>
      <c r="H91" s="5" t="s">
        <v>97</v>
      </c>
      <c r="I91" s="5" t="s">
        <v>415</v>
      </c>
      <c r="J91" s="5" t="s">
        <v>414</v>
      </c>
      <c r="K91" s="6"/>
      <c r="L91" s="5"/>
      <c r="M91" s="4"/>
      <c r="N91" s="4"/>
      <c r="O91" s="3">
        <v>2</v>
      </c>
      <c r="P91" s="2">
        <v>1</v>
      </c>
    </row>
    <row r="92" spans="1:16" ht="38.25" x14ac:dyDescent="0.25">
      <c r="A92" s="2" t="s">
        <v>343</v>
      </c>
      <c r="B92" s="32" t="s">
        <v>343</v>
      </c>
      <c r="C92" s="2">
        <v>1</v>
      </c>
      <c r="D92" s="78" t="s">
        <v>413</v>
      </c>
      <c r="E92" s="2" t="s">
        <v>412</v>
      </c>
      <c r="F92" s="13">
        <v>417</v>
      </c>
      <c r="G92" s="13" t="s">
        <v>5</v>
      </c>
      <c r="H92" s="12" t="s">
        <v>411</v>
      </c>
      <c r="I92" s="8" t="s">
        <v>410</v>
      </c>
      <c r="J92" s="8" t="s">
        <v>243</v>
      </c>
      <c r="K92" s="15"/>
      <c r="L92" s="8"/>
      <c r="M92" s="13" t="s">
        <v>409</v>
      </c>
      <c r="N92" s="13" t="s">
        <v>408</v>
      </c>
      <c r="O92" s="2">
        <v>3</v>
      </c>
      <c r="P92" s="2">
        <v>0</v>
      </c>
    </row>
    <row r="93" spans="1:16" ht="25.5" hidden="1" x14ac:dyDescent="0.25">
      <c r="A93" s="2" t="s">
        <v>343</v>
      </c>
      <c r="B93" s="32" t="s">
        <v>343</v>
      </c>
      <c r="C93" s="2">
        <v>2</v>
      </c>
      <c r="D93" s="9" t="s">
        <v>407</v>
      </c>
      <c r="E93" s="4"/>
      <c r="F93" s="4" t="s">
        <v>393</v>
      </c>
      <c r="G93" s="4"/>
      <c r="H93" s="8" t="s">
        <v>406</v>
      </c>
      <c r="I93" s="56" t="s">
        <v>396</v>
      </c>
      <c r="J93" s="58" t="s">
        <v>405</v>
      </c>
      <c r="K93" s="6"/>
      <c r="L93" s="4"/>
      <c r="M93" s="13" t="s">
        <v>1</v>
      </c>
      <c r="N93" s="4" t="s">
        <v>392</v>
      </c>
      <c r="O93" s="2">
        <v>0</v>
      </c>
      <c r="P93" s="2">
        <v>0</v>
      </c>
    </row>
    <row r="94" spans="1:16" hidden="1" x14ac:dyDescent="0.25">
      <c r="A94" s="2" t="s">
        <v>343</v>
      </c>
      <c r="B94" s="32" t="s">
        <v>343</v>
      </c>
      <c r="C94" s="2">
        <v>3</v>
      </c>
      <c r="D94" s="9" t="s">
        <v>404</v>
      </c>
      <c r="E94" s="4"/>
      <c r="F94" s="4" t="s">
        <v>393</v>
      </c>
      <c r="G94" s="4"/>
      <c r="H94" s="8" t="s">
        <v>401</v>
      </c>
      <c r="I94" s="56"/>
      <c r="J94" s="58"/>
      <c r="K94" s="6"/>
      <c r="L94" s="4"/>
      <c r="M94" s="13" t="s">
        <v>1</v>
      </c>
      <c r="N94" s="4" t="s">
        <v>392</v>
      </c>
      <c r="O94" s="2">
        <v>0</v>
      </c>
      <c r="P94" s="2">
        <v>0</v>
      </c>
    </row>
    <row r="95" spans="1:16" hidden="1" x14ac:dyDescent="0.25">
      <c r="A95" s="2" t="s">
        <v>343</v>
      </c>
      <c r="B95" s="32" t="s">
        <v>343</v>
      </c>
      <c r="C95" s="2">
        <v>4</v>
      </c>
      <c r="D95" s="9" t="s">
        <v>403</v>
      </c>
      <c r="E95" s="4"/>
      <c r="F95" s="4" t="s">
        <v>393</v>
      </c>
      <c r="G95" s="4"/>
      <c r="H95" s="8" t="s">
        <v>401</v>
      </c>
      <c r="I95" s="56"/>
      <c r="J95" s="58"/>
      <c r="K95" s="6"/>
      <c r="L95" s="4"/>
      <c r="M95" s="13" t="s">
        <v>1</v>
      </c>
      <c r="N95" s="4" t="s">
        <v>392</v>
      </c>
      <c r="O95" s="2">
        <v>0</v>
      </c>
      <c r="P95" s="2">
        <v>0</v>
      </c>
    </row>
    <row r="96" spans="1:16" hidden="1" x14ac:dyDescent="0.25">
      <c r="A96" s="2" t="s">
        <v>343</v>
      </c>
      <c r="B96" s="32" t="s">
        <v>343</v>
      </c>
      <c r="C96" s="2">
        <v>5</v>
      </c>
      <c r="D96" s="9" t="s">
        <v>402</v>
      </c>
      <c r="E96" s="4"/>
      <c r="F96" s="4" t="s">
        <v>393</v>
      </c>
      <c r="G96" s="4"/>
      <c r="H96" s="8" t="s">
        <v>401</v>
      </c>
      <c r="I96" s="56"/>
      <c r="J96" s="58"/>
      <c r="K96" s="6"/>
      <c r="L96" s="4"/>
      <c r="M96" s="13" t="s">
        <v>1</v>
      </c>
      <c r="N96" s="4" t="s">
        <v>392</v>
      </c>
      <c r="O96" s="2">
        <v>0</v>
      </c>
      <c r="P96" s="2">
        <v>0</v>
      </c>
    </row>
    <row r="97" spans="1:16" hidden="1" x14ac:dyDescent="0.25">
      <c r="A97" s="2" t="s">
        <v>343</v>
      </c>
      <c r="B97" s="32" t="s">
        <v>343</v>
      </c>
      <c r="C97" s="2">
        <v>6</v>
      </c>
      <c r="D97" s="9" t="s">
        <v>400</v>
      </c>
      <c r="E97" s="4"/>
      <c r="F97" s="4" t="s">
        <v>393</v>
      </c>
      <c r="G97" s="4"/>
      <c r="H97" s="8" t="s">
        <v>399</v>
      </c>
      <c r="I97" s="56"/>
      <c r="J97" s="58"/>
      <c r="K97" s="6"/>
      <c r="L97" s="4"/>
      <c r="M97" s="13" t="s">
        <v>1</v>
      </c>
      <c r="N97" s="4" t="s">
        <v>392</v>
      </c>
      <c r="O97" s="2">
        <v>0</v>
      </c>
      <c r="P97" s="2">
        <v>0</v>
      </c>
    </row>
    <row r="98" spans="1:16" ht="25.5" hidden="1" x14ac:dyDescent="0.25">
      <c r="A98" s="2" t="s">
        <v>343</v>
      </c>
      <c r="B98" s="2" t="s">
        <v>343</v>
      </c>
      <c r="C98" s="2">
        <v>7</v>
      </c>
      <c r="D98" s="9" t="s">
        <v>398</v>
      </c>
      <c r="E98" s="9"/>
      <c r="F98" s="2" t="s">
        <v>393</v>
      </c>
      <c r="G98" s="22" t="s">
        <v>5</v>
      </c>
      <c r="H98" s="57" t="s">
        <v>397</v>
      </c>
      <c r="I98" s="56" t="s">
        <v>396</v>
      </c>
      <c r="J98" s="55" t="s">
        <v>395</v>
      </c>
      <c r="K98" s="22"/>
      <c r="L98" s="22"/>
      <c r="M98" s="13" t="s">
        <v>1</v>
      </c>
      <c r="N98" s="4" t="s">
        <v>392</v>
      </c>
      <c r="O98" s="22">
        <v>0</v>
      </c>
      <c r="P98" s="22">
        <v>0</v>
      </c>
    </row>
    <row r="99" spans="1:16" hidden="1" x14ac:dyDescent="0.25">
      <c r="A99" s="2" t="s">
        <v>343</v>
      </c>
      <c r="B99" s="2" t="s">
        <v>343</v>
      </c>
      <c r="C99" s="2">
        <v>8</v>
      </c>
      <c r="D99" s="9" t="s">
        <v>394</v>
      </c>
      <c r="E99" s="9"/>
      <c r="F99" s="2" t="s">
        <v>393</v>
      </c>
      <c r="G99" s="22" t="s">
        <v>5</v>
      </c>
      <c r="H99" s="57"/>
      <c r="I99" s="56"/>
      <c r="J99" s="55"/>
      <c r="K99" s="22"/>
      <c r="L99" s="22"/>
      <c r="M99" s="13" t="s">
        <v>1</v>
      </c>
      <c r="N99" s="4" t="s">
        <v>392</v>
      </c>
      <c r="O99" s="22">
        <v>0</v>
      </c>
      <c r="P99" s="22">
        <v>0</v>
      </c>
    </row>
    <row r="100" spans="1:16" ht="25.5" x14ac:dyDescent="0.25">
      <c r="A100" s="2" t="s">
        <v>343</v>
      </c>
      <c r="B100" s="32" t="s">
        <v>343</v>
      </c>
      <c r="C100" s="2">
        <v>9</v>
      </c>
      <c r="D100" s="9" t="s">
        <v>391</v>
      </c>
      <c r="E100" s="2" t="s">
        <v>390</v>
      </c>
      <c r="F100" s="4">
        <v>95</v>
      </c>
      <c r="G100" s="4" t="s">
        <v>5</v>
      </c>
      <c r="H100" s="9" t="s">
        <v>389</v>
      </c>
      <c r="I100" s="9" t="s">
        <v>388</v>
      </c>
      <c r="J100" s="8" t="s">
        <v>243</v>
      </c>
      <c r="K100" s="6"/>
      <c r="L100" s="4"/>
      <c r="M100" s="13" t="s">
        <v>1</v>
      </c>
      <c r="N100" s="4" t="s">
        <v>387</v>
      </c>
      <c r="O100" s="2">
        <v>3</v>
      </c>
      <c r="P100" s="2">
        <v>1</v>
      </c>
    </row>
    <row r="101" spans="1:16" ht="102" x14ac:dyDescent="0.25">
      <c r="A101" s="2" t="s">
        <v>343</v>
      </c>
      <c r="B101" s="32" t="s">
        <v>343</v>
      </c>
      <c r="C101" s="2">
        <v>10</v>
      </c>
      <c r="D101" s="78" t="s">
        <v>386</v>
      </c>
      <c r="E101" s="54" t="s">
        <v>385</v>
      </c>
      <c r="F101" s="2">
        <v>660</v>
      </c>
      <c r="G101" s="2" t="s">
        <v>5</v>
      </c>
      <c r="H101" s="5" t="s">
        <v>382</v>
      </c>
      <c r="I101" s="9" t="s">
        <v>381</v>
      </c>
      <c r="J101" s="8" t="s">
        <v>243</v>
      </c>
      <c r="K101" s="15"/>
      <c r="L101" s="5"/>
      <c r="M101" s="4" t="s">
        <v>380</v>
      </c>
      <c r="N101" s="4" t="s">
        <v>379</v>
      </c>
      <c r="O101" s="2">
        <v>3</v>
      </c>
      <c r="P101" s="2">
        <v>0</v>
      </c>
    </row>
    <row r="102" spans="1:16" ht="102" x14ac:dyDescent="0.25">
      <c r="A102" s="2" t="s">
        <v>343</v>
      </c>
      <c r="B102" s="32" t="s">
        <v>343</v>
      </c>
      <c r="C102" s="2">
        <v>11</v>
      </c>
      <c r="D102" s="78" t="s">
        <v>384</v>
      </c>
      <c r="E102" s="54" t="s">
        <v>383</v>
      </c>
      <c r="F102" s="2">
        <v>660</v>
      </c>
      <c r="G102" s="2" t="s">
        <v>5</v>
      </c>
      <c r="H102" s="5" t="s">
        <v>382</v>
      </c>
      <c r="I102" s="9" t="s">
        <v>381</v>
      </c>
      <c r="J102" s="8" t="s">
        <v>243</v>
      </c>
      <c r="K102" s="15"/>
      <c r="L102" s="5"/>
      <c r="M102" s="4" t="s">
        <v>380</v>
      </c>
      <c r="N102" s="4" t="s">
        <v>379</v>
      </c>
      <c r="O102" s="2">
        <v>3</v>
      </c>
      <c r="P102" s="2">
        <v>0</v>
      </c>
    </row>
    <row r="103" spans="1:16" ht="191.25" x14ac:dyDescent="0.25">
      <c r="A103" s="2" t="s">
        <v>343</v>
      </c>
      <c r="B103" s="32" t="s">
        <v>343</v>
      </c>
      <c r="C103" s="2">
        <v>12</v>
      </c>
      <c r="D103" s="78" t="s">
        <v>378</v>
      </c>
      <c r="E103" s="54" t="s">
        <v>377</v>
      </c>
      <c r="F103" s="2">
        <v>1025</v>
      </c>
      <c r="G103" s="2" t="s">
        <v>5</v>
      </c>
      <c r="H103" s="5" t="s">
        <v>376</v>
      </c>
      <c r="I103" s="9" t="s">
        <v>375</v>
      </c>
      <c r="J103" s="8" t="s">
        <v>346</v>
      </c>
      <c r="K103" s="15"/>
      <c r="L103" s="5"/>
      <c r="M103" s="4" t="s">
        <v>374</v>
      </c>
      <c r="N103" s="4" t="s">
        <v>373</v>
      </c>
      <c r="O103" s="2">
        <v>3</v>
      </c>
      <c r="P103" s="2">
        <v>0</v>
      </c>
    </row>
    <row r="104" spans="1:16" ht="76.5" x14ac:dyDescent="0.25">
      <c r="A104" s="2" t="s">
        <v>343</v>
      </c>
      <c r="B104" s="32" t="s">
        <v>343</v>
      </c>
      <c r="C104" s="2">
        <v>13</v>
      </c>
      <c r="D104" s="9" t="s">
        <v>372</v>
      </c>
      <c r="E104" s="2" t="s">
        <v>371</v>
      </c>
      <c r="F104" s="4">
        <v>74</v>
      </c>
      <c r="G104" s="4" t="s">
        <v>5</v>
      </c>
      <c r="H104" s="9" t="s">
        <v>370</v>
      </c>
      <c r="I104" s="9" t="s">
        <v>369</v>
      </c>
      <c r="J104" s="8" t="s">
        <v>346</v>
      </c>
      <c r="K104" s="6"/>
      <c r="L104" s="4"/>
      <c r="M104" s="13"/>
      <c r="N104" s="4" t="s">
        <v>368</v>
      </c>
      <c r="O104" s="2">
        <v>3</v>
      </c>
      <c r="P104" s="2">
        <v>0</v>
      </c>
    </row>
    <row r="105" spans="1:16" ht="102" x14ac:dyDescent="0.25">
      <c r="A105" s="2" t="s">
        <v>343</v>
      </c>
      <c r="B105" s="32" t="s">
        <v>343</v>
      </c>
      <c r="C105" s="2">
        <v>14</v>
      </c>
      <c r="D105" s="78" t="s">
        <v>367</v>
      </c>
      <c r="E105" s="2" t="s">
        <v>366</v>
      </c>
      <c r="F105" s="4">
        <v>250</v>
      </c>
      <c r="G105" s="4" t="s">
        <v>5</v>
      </c>
      <c r="H105" s="9" t="s">
        <v>363</v>
      </c>
      <c r="I105" s="9" t="s">
        <v>362</v>
      </c>
      <c r="J105" s="8" t="s">
        <v>346</v>
      </c>
      <c r="K105" s="6"/>
      <c r="L105" s="4"/>
      <c r="M105" s="13" t="s">
        <v>361</v>
      </c>
      <c r="N105" s="4" t="s">
        <v>360</v>
      </c>
      <c r="O105" s="2">
        <v>3</v>
      </c>
      <c r="P105" s="2">
        <v>0</v>
      </c>
    </row>
    <row r="106" spans="1:16" ht="102" x14ac:dyDescent="0.25">
      <c r="A106" s="2" t="s">
        <v>343</v>
      </c>
      <c r="B106" s="32" t="s">
        <v>343</v>
      </c>
      <c r="C106" s="2">
        <v>15</v>
      </c>
      <c r="D106" s="78" t="s">
        <v>365</v>
      </c>
      <c r="E106" s="2" t="s">
        <v>364</v>
      </c>
      <c r="F106" s="4">
        <v>250</v>
      </c>
      <c r="G106" s="4" t="s">
        <v>5</v>
      </c>
      <c r="H106" s="9" t="s">
        <v>363</v>
      </c>
      <c r="I106" s="9" t="s">
        <v>362</v>
      </c>
      <c r="J106" s="8" t="s">
        <v>346</v>
      </c>
      <c r="K106" s="6"/>
      <c r="L106" s="4"/>
      <c r="M106" s="13" t="s">
        <v>361</v>
      </c>
      <c r="N106" s="4" t="s">
        <v>360</v>
      </c>
      <c r="O106" s="2">
        <v>3</v>
      </c>
      <c r="P106" s="2">
        <v>0</v>
      </c>
    </row>
    <row r="107" spans="1:16" ht="63.75" x14ac:dyDescent="0.25">
      <c r="A107" s="4" t="s">
        <v>343</v>
      </c>
      <c r="B107" s="53" t="s">
        <v>343</v>
      </c>
      <c r="C107" s="2">
        <v>16</v>
      </c>
      <c r="D107" s="78" t="s">
        <v>359</v>
      </c>
      <c r="E107" s="4" t="s">
        <v>358</v>
      </c>
      <c r="F107" s="4">
        <v>276</v>
      </c>
      <c r="G107" s="4" t="s">
        <v>5</v>
      </c>
      <c r="H107" s="20" t="s">
        <v>357</v>
      </c>
      <c r="I107" s="20" t="s">
        <v>356</v>
      </c>
      <c r="J107" s="8" t="s">
        <v>346</v>
      </c>
      <c r="K107" s="15"/>
      <c r="L107" s="4"/>
      <c r="M107" s="4" t="s">
        <v>355</v>
      </c>
      <c r="N107" s="4" t="s">
        <v>344</v>
      </c>
      <c r="O107" s="4">
        <v>3</v>
      </c>
      <c r="P107" s="4">
        <v>1</v>
      </c>
    </row>
    <row r="108" spans="1:16" ht="76.5" x14ac:dyDescent="0.25">
      <c r="A108" s="4" t="s">
        <v>343</v>
      </c>
      <c r="B108" s="53" t="s">
        <v>343</v>
      </c>
      <c r="C108" s="2">
        <v>17</v>
      </c>
      <c r="D108" s="78" t="s">
        <v>354</v>
      </c>
      <c r="E108" s="4" t="s">
        <v>353</v>
      </c>
      <c r="F108" s="4">
        <v>650</v>
      </c>
      <c r="G108" s="4" t="s">
        <v>5</v>
      </c>
      <c r="H108" s="12" t="s">
        <v>348</v>
      </c>
      <c r="I108" s="20" t="s">
        <v>347</v>
      </c>
      <c r="J108" s="8" t="s">
        <v>346</v>
      </c>
      <c r="K108" s="15"/>
      <c r="L108" s="4"/>
      <c r="M108" s="4" t="s">
        <v>345</v>
      </c>
      <c r="N108" s="4" t="s">
        <v>344</v>
      </c>
      <c r="O108" s="2">
        <v>3</v>
      </c>
      <c r="P108" s="2">
        <v>0</v>
      </c>
    </row>
    <row r="109" spans="1:16" ht="76.5" x14ac:dyDescent="0.25">
      <c r="A109" s="4" t="s">
        <v>343</v>
      </c>
      <c r="B109" s="53" t="s">
        <v>343</v>
      </c>
      <c r="C109" s="2">
        <v>18</v>
      </c>
      <c r="D109" s="78" t="s">
        <v>352</v>
      </c>
      <c r="E109" s="4" t="s">
        <v>351</v>
      </c>
      <c r="F109" s="4">
        <v>650</v>
      </c>
      <c r="G109" s="4" t="s">
        <v>5</v>
      </c>
      <c r="H109" s="12" t="s">
        <v>348</v>
      </c>
      <c r="I109" s="20" t="s">
        <v>347</v>
      </c>
      <c r="J109" s="8" t="s">
        <v>346</v>
      </c>
      <c r="K109" s="15"/>
      <c r="L109" s="4"/>
      <c r="M109" s="4" t="s">
        <v>345</v>
      </c>
      <c r="N109" s="4" t="s">
        <v>344</v>
      </c>
      <c r="O109" s="2">
        <v>3</v>
      </c>
      <c r="P109" s="2">
        <v>0</v>
      </c>
    </row>
    <row r="110" spans="1:16" ht="76.5" x14ac:dyDescent="0.25">
      <c r="A110" s="4" t="s">
        <v>343</v>
      </c>
      <c r="B110" s="53" t="s">
        <v>343</v>
      </c>
      <c r="C110" s="2">
        <v>19</v>
      </c>
      <c r="D110" s="78" t="s">
        <v>350</v>
      </c>
      <c r="E110" s="4" t="s">
        <v>349</v>
      </c>
      <c r="F110" s="4">
        <v>650</v>
      </c>
      <c r="G110" s="4" t="s">
        <v>5</v>
      </c>
      <c r="H110" s="12" t="s">
        <v>348</v>
      </c>
      <c r="I110" s="20" t="s">
        <v>347</v>
      </c>
      <c r="J110" s="8" t="s">
        <v>346</v>
      </c>
      <c r="K110" s="15"/>
      <c r="L110" s="4"/>
      <c r="M110" s="4" t="s">
        <v>345</v>
      </c>
      <c r="N110" s="4" t="s">
        <v>344</v>
      </c>
      <c r="O110" s="2">
        <v>3</v>
      </c>
      <c r="P110" s="2">
        <v>0</v>
      </c>
    </row>
    <row r="111" spans="1:16" ht="63.75" hidden="1" x14ac:dyDescent="0.25">
      <c r="A111" s="2" t="s">
        <v>343</v>
      </c>
      <c r="B111" s="32" t="s">
        <v>343</v>
      </c>
      <c r="C111" s="2">
        <v>20</v>
      </c>
      <c r="D111" s="9" t="s">
        <v>342</v>
      </c>
      <c r="E111" s="2"/>
      <c r="F111" s="2"/>
      <c r="G111" s="2" t="s">
        <v>5</v>
      </c>
      <c r="H111" s="5" t="s">
        <v>97</v>
      </c>
      <c r="I111" s="9" t="s">
        <v>341</v>
      </c>
      <c r="J111" s="8" t="s">
        <v>243</v>
      </c>
      <c r="K111" s="15"/>
      <c r="L111" s="5"/>
      <c r="M111" s="4" t="s">
        <v>340</v>
      </c>
      <c r="N111" s="4"/>
      <c r="O111" s="2">
        <v>2</v>
      </c>
      <c r="P111" s="2">
        <v>1</v>
      </c>
    </row>
    <row r="112" spans="1:16" ht="114.75" x14ac:dyDescent="0.25">
      <c r="A112" s="2" t="s">
        <v>229</v>
      </c>
      <c r="B112" s="32" t="s">
        <v>321</v>
      </c>
      <c r="C112" s="2">
        <v>1</v>
      </c>
      <c r="D112" s="78" t="s">
        <v>339</v>
      </c>
      <c r="E112" s="2" t="s">
        <v>338</v>
      </c>
      <c r="F112" s="4">
        <v>650</v>
      </c>
      <c r="G112" s="4" t="s">
        <v>5</v>
      </c>
      <c r="H112" s="49" t="s">
        <v>337</v>
      </c>
      <c r="I112" s="48" t="s">
        <v>336</v>
      </c>
      <c r="J112" s="8" t="s">
        <v>329</v>
      </c>
      <c r="K112" s="52"/>
      <c r="L112" s="15"/>
      <c r="M112" s="13" t="s">
        <v>1</v>
      </c>
      <c r="N112" s="13" t="s">
        <v>328</v>
      </c>
      <c r="O112" s="2">
        <v>3</v>
      </c>
      <c r="P112" s="3">
        <v>0</v>
      </c>
    </row>
    <row r="113" spans="1:16" ht="191.25" x14ac:dyDescent="0.25">
      <c r="A113" s="2" t="s">
        <v>229</v>
      </c>
      <c r="B113" s="32" t="s">
        <v>321</v>
      </c>
      <c r="C113" s="2">
        <v>2</v>
      </c>
      <c r="D113" s="78" t="s">
        <v>335</v>
      </c>
      <c r="E113" s="2" t="s">
        <v>334</v>
      </c>
      <c r="F113" s="4">
        <v>530</v>
      </c>
      <c r="G113" s="50" t="s">
        <v>5</v>
      </c>
      <c r="H113" s="49" t="s">
        <v>331</v>
      </c>
      <c r="I113" s="48" t="s">
        <v>330</v>
      </c>
      <c r="J113" s="8" t="s">
        <v>329</v>
      </c>
      <c r="K113" s="51"/>
      <c r="L113" s="49"/>
      <c r="M113" s="45" t="s">
        <v>328</v>
      </c>
      <c r="N113" s="45" t="s">
        <v>1</v>
      </c>
      <c r="O113" s="19">
        <v>3</v>
      </c>
      <c r="P113" s="44">
        <v>0</v>
      </c>
    </row>
    <row r="114" spans="1:16" ht="191.25" x14ac:dyDescent="0.25">
      <c r="A114" s="2" t="s">
        <v>229</v>
      </c>
      <c r="B114" s="32" t="s">
        <v>321</v>
      </c>
      <c r="C114" s="2">
        <v>3</v>
      </c>
      <c r="D114" s="78" t="s">
        <v>333</v>
      </c>
      <c r="E114" s="2" t="s">
        <v>332</v>
      </c>
      <c r="F114" s="4">
        <v>680</v>
      </c>
      <c r="G114" s="50" t="s">
        <v>5</v>
      </c>
      <c r="H114" s="49" t="s">
        <v>331</v>
      </c>
      <c r="I114" s="48" t="s">
        <v>330</v>
      </c>
      <c r="J114" s="8" t="s">
        <v>329</v>
      </c>
      <c r="K114" s="47"/>
      <c r="L114" s="46"/>
      <c r="M114" s="45" t="s">
        <v>328</v>
      </c>
      <c r="N114" s="45" t="s">
        <v>1</v>
      </c>
      <c r="O114" s="19">
        <v>3</v>
      </c>
      <c r="P114" s="44">
        <v>0</v>
      </c>
    </row>
    <row r="115" spans="1:16" ht="127.5" x14ac:dyDescent="0.25">
      <c r="A115" s="2" t="s">
        <v>229</v>
      </c>
      <c r="B115" s="32" t="s">
        <v>321</v>
      </c>
      <c r="C115" s="2">
        <v>4</v>
      </c>
      <c r="D115" s="78" t="s">
        <v>327</v>
      </c>
      <c r="E115" s="2" t="s">
        <v>326</v>
      </c>
      <c r="F115" s="4">
        <v>600</v>
      </c>
      <c r="G115" s="4" t="s">
        <v>5</v>
      </c>
      <c r="H115" s="8" t="s">
        <v>325</v>
      </c>
      <c r="I115" s="8" t="s">
        <v>324</v>
      </c>
      <c r="J115" s="7" t="s">
        <v>323</v>
      </c>
      <c r="K115" s="15"/>
      <c r="L115" s="4"/>
      <c r="M115" s="13" t="s">
        <v>316</v>
      </c>
      <c r="N115" s="13" t="s">
        <v>322</v>
      </c>
      <c r="O115" s="2">
        <v>3</v>
      </c>
      <c r="P115" s="3">
        <v>0</v>
      </c>
    </row>
    <row r="116" spans="1:16" ht="76.5" x14ac:dyDescent="0.25">
      <c r="A116" s="2" t="s">
        <v>229</v>
      </c>
      <c r="B116" s="32" t="s">
        <v>321</v>
      </c>
      <c r="C116" s="2">
        <v>5</v>
      </c>
      <c r="D116" s="78" t="s">
        <v>320</v>
      </c>
      <c r="E116" s="2"/>
      <c r="F116" s="4"/>
      <c r="G116" s="4" t="s">
        <v>5</v>
      </c>
      <c r="H116" s="8" t="s">
        <v>319</v>
      </c>
      <c r="I116" s="8" t="s">
        <v>318</v>
      </c>
      <c r="J116" s="7" t="s">
        <v>317</v>
      </c>
      <c r="K116" s="15"/>
      <c r="L116" s="4"/>
      <c r="M116" s="13" t="s">
        <v>1</v>
      </c>
      <c r="N116" s="13" t="s">
        <v>316</v>
      </c>
      <c r="O116" s="2">
        <v>3</v>
      </c>
      <c r="P116" s="3">
        <v>0</v>
      </c>
    </row>
    <row r="117" spans="1:16" ht="89.25" x14ac:dyDescent="0.25">
      <c r="A117" s="2" t="s">
        <v>229</v>
      </c>
      <c r="B117" s="32" t="s">
        <v>292</v>
      </c>
      <c r="C117" s="2">
        <v>1</v>
      </c>
      <c r="D117" s="9" t="s">
        <v>315</v>
      </c>
      <c r="E117" s="2" t="s">
        <v>314</v>
      </c>
      <c r="F117" s="4">
        <v>110</v>
      </c>
      <c r="G117" s="4" t="s">
        <v>21</v>
      </c>
      <c r="H117" s="20" t="s">
        <v>289</v>
      </c>
      <c r="I117" s="12" t="s">
        <v>313</v>
      </c>
      <c r="J117" s="7" t="s">
        <v>243</v>
      </c>
      <c r="K117" s="4"/>
      <c r="L117" s="4"/>
      <c r="M117" s="4" t="s">
        <v>274</v>
      </c>
      <c r="N117" s="4" t="s">
        <v>312</v>
      </c>
      <c r="O117" s="2">
        <v>3</v>
      </c>
      <c r="P117" s="3">
        <v>0</v>
      </c>
    </row>
    <row r="118" spans="1:16" ht="89.25" x14ac:dyDescent="0.25">
      <c r="A118" s="2" t="s">
        <v>229</v>
      </c>
      <c r="B118" s="32" t="s">
        <v>292</v>
      </c>
      <c r="C118" s="2">
        <v>2</v>
      </c>
      <c r="D118" s="83" t="s">
        <v>311</v>
      </c>
      <c r="E118" s="2" t="s">
        <v>310</v>
      </c>
      <c r="F118" s="2">
        <v>180</v>
      </c>
      <c r="G118" s="2" t="s">
        <v>5</v>
      </c>
      <c r="H118" s="20" t="s">
        <v>289</v>
      </c>
      <c r="I118" s="12" t="s">
        <v>288</v>
      </c>
      <c r="J118" s="7" t="s">
        <v>243</v>
      </c>
      <c r="K118" s="15"/>
      <c r="L118" s="2"/>
      <c r="M118" s="2" t="s">
        <v>287</v>
      </c>
      <c r="N118" s="2" t="s">
        <v>286</v>
      </c>
      <c r="O118" s="2">
        <v>3</v>
      </c>
      <c r="P118" s="3">
        <v>0</v>
      </c>
    </row>
    <row r="119" spans="1:16" ht="38.25" hidden="1" x14ac:dyDescent="0.25">
      <c r="A119" s="2" t="s">
        <v>229</v>
      </c>
      <c r="B119" s="32" t="s">
        <v>292</v>
      </c>
      <c r="C119" s="37">
        <v>3</v>
      </c>
      <c r="D119" s="39" t="s">
        <v>309</v>
      </c>
      <c r="E119" s="37"/>
      <c r="F119" s="38"/>
      <c r="G119" s="38" t="s">
        <v>21</v>
      </c>
      <c r="H119" s="8" t="s">
        <v>308</v>
      </c>
      <c r="I119" s="40" t="s">
        <v>307</v>
      </c>
      <c r="J119" s="43" t="s">
        <v>306</v>
      </c>
      <c r="K119" s="15"/>
      <c r="L119" s="31"/>
      <c r="M119" s="38" t="s">
        <v>1</v>
      </c>
      <c r="N119" s="38" t="s">
        <v>1</v>
      </c>
      <c r="O119" s="37">
        <v>0</v>
      </c>
      <c r="P119" s="3">
        <v>0</v>
      </c>
    </row>
    <row r="120" spans="1:16" ht="38.25" hidden="1" x14ac:dyDescent="0.25">
      <c r="A120" s="2" t="s">
        <v>229</v>
      </c>
      <c r="B120" s="32" t="s">
        <v>292</v>
      </c>
      <c r="C120" s="37">
        <v>4</v>
      </c>
      <c r="D120" s="39" t="s">
        <v>305</v>
      </c>
      <c r="E120" s="37" t="s">
        <v>304</v>
      </c>
      <c r="F120" s="38">
        <v>60</v>
      </c>
      <c r="G120" s="38" t="s">
        <v>5</v>
      </c>
      <c r="H120" s="31" t="s">
        <v>303</v>
      </c>
      <c r="I120" s="42" t="s">
        <v>302</v>
      </c>
      <c r="J120" s="10" t="s">
        <v>243</v>
      </c>
      <c r="K120" s="15"/>
      <c r="L120" s="31"/>
      <c r="M120" s="38" t="s">
        <v>1</v>
      </c>
      <c r="N120" s="38" t="s">
        <v>1</v>
      </c>
      <c r="O120" s="37">
        <v>0</v>
      </c>
      <c r="P120" s="3">
        <v>0</v>
      </c>
    </row>
    <row r="121" spans="1:16" ht="76.5" x14ac:dyDescent="0.25">
      <c r="A121" s="2" t="s">
        <v>229</v>
      </c>
      <c r="B121" s="32" t="s">
        <v>292</v>
      </c>
      <c r="C121" s="2">
        <v>5</v>
      </c>
      <c r="D121" s="78" t="s">
        <v>301</v>
      </c>
      <c r="E121" s="2" t="s">
        <v>300</v>
      </c>
      <c r="F121" s="4">
        <v>200</v>
      </c>
      <c r="G121" s="4" t="s">
        <v>5</v>
      </c>
      <c r="H121" s="8" t="s">
        <v>299</v>
      </c>
      <c r="I121" s="40" t="s">
        <v>298</v>
      </c>
      <c r="J121" s="10" t="s">
        <v>243</v>
      </c>
      <c r="K121" s="15"/>
      <c r="L121" s="31"/>
      <c r="M121" s="38" t="s">
        <v>297</v>
      </c>
      <c r="N121" s="38" t="s">
        <v>296</v>
      </c>
      <c r="O121" s="37">
        <v>3</v>
      </c>
      <c r="P121" s="3">
        <v>0</v>
      </c>
    </row>
    <row r="122" spans="1:16" ht="25.5" x14ac:dyDescent="0.25">
      <c r="A122" s="37" t="s">
        <v>229</v>
      </c>
      <c r="B122" s="41" t="s">
        <v>292</v>
      </c>
      <c r="C122" s="37">
        <v>6</v>
      </c>
      <c r="D122" s="81" t="s">
        <v>295</v>
      </c>
      <c r="E122" s="37"/>
      <c r="F122" s="38"/>
      <c r="G122" s="38" t="s">
        <v>5</v>
      </c>
      <c r="H122" s="31" t="s">
        <v>294</v>
      </c>
      <c r="I122" s="40" t="s">
        <v>293</v>
      </c>
      <c r="J122" s="10" t="s">
        <v>243</v>
      </c>
      <c r="K122" s="15"/>
      <c r="L122" s="31"/>
      <c r="M122" s="38" t="s">
        <v>1</v>
      </c>
      <c r="N122" s="38" t="s">
        <v>1</v>
      </c>
      <c r="O122" s="37">
        <v>3</v>
      </c>
      <c r="P122" s="3">
        <v>0</v>
      </c>
    </row>
    <row r="123" spans="1:16" ht="89.25" x14ac:dyDescent="0.25">
      <c r="A123" s="2" t="s">
        <v>229</v>
      </c>
      <c r="B123" s="32" t="s">
        <v>292</v>
      </c>
      <c r="C123" s="2">
        <v>7</v>
      </c>
      <c r="D123" s="78" t="s">
        <v>291</v>
      </c>
      <c r="E123" s="2" t="s">
        <v>290</v>
      </c>
      <c r="F123" s="22">
        <v>180</v>
      </c>
      <c r="G123" s="38" t="s">
        <v>5</v>
      </c>
      <c r="H123" s="20" t="s">
        <v>289</v>
      </c>
      <c r="I123" s="12" t="s">
        <v>288</v>
      </c>
      <c r="J123" s="7" t="s">
        <v>243</v>
      </c>
      <c r="K123" s="15"/>
      <c r="L123" s="31"/>
      <c r="M123" s="2" t="s">
        <v>287</v>
      </c>
      <c r="N123" s="2" t="s">
        <v>286</v>
      </c>
      <c r="O123" s="2">
        <v>3</v>
      </c>
      <c r="P123" s="3">
        <v>0</v>
      </c>
    </row>
    <row r="124" spans="1:16" ht="38.25" x14ac:dyDescent="0.25">
      <c r="A124" s="2" t="s">
        <v>229</v>
      </c>
      <c r="B124" s="32" t="s">
        <v>277</v>
      </c>
      <c r="C124" s="2">
        <v>1</v>
      </c>
      <c r="D124" s="81" t="s">
        <v>285</v>
      </c>
      <c r="E124" s="37" t="s">
        <v>284</v>
      </c>
      <c r="F124" s="38">
        <v>185</v>
      </c>
      <c r="G124" s="38" t="s">
        <v>5</v>
      </c>
      <c r="H124" s="36" t="s">
        <v>283</v>
      </c>
      <c r="I124" s="35" t="s">
        <v>282</v>
      </c>
      <c r="J124" s="10" t="s">
        <v>281</v>
      </c>
      <c r="K124" s="15"/>
      <c r="L124" s="31"/>
      <c r="M124" s="13" t="s">
        <v>274</v>
      </c>
      <c r="N124" s="13" t="s">
        <v>273</v>
      </c>
      <c r="O124" s="37">
        <v>3</v>
      </c>
      <c r="P124" s="3">
        <v>0</v>
      </c>
    </row>
    <row r="125" spans="1:16" ht="38.25" x14ac:dyDescent="0.25">
      <c r="A125" s="2" t="s">
        <v>229</v>
      </c>
      <c r="B125" s="32" t="s">
        <v>277</v>
      </c>
      <c r="C125" s="2">
        <v>2</v>
      </c>
      <c r="D125" s="9" t="s">
        <v>280</v>
      </c>
      <c r="E125" s="2" t="s">
        <v>279</v>
      </c>
      <c r="F125" s="13">
        <v>135</v>
      </c>
      <c r="G125" s="2" t="s">
        <v>5</v>
      </c>
      <c r="H125" s="36"/>
      <c r="I125" s="35"/>
      <c r="J125" s="34" t="s">
        <v>278</v>
      </c>
      <c r="K125" s="15"/>
      <c r="L125" s="13"/>
      <c r="M125" s="13" t="s">
        <v>274</v>
      </c>
      <c r="N125" s="13" t="s">
        <v>273</v>
      </c>
      <c r="O125" s="2">
        <v>3</v>
      </c>
      <c r="P125" s="3">
        <v>0</v>
      </c>
    </row>
    <row r="126" spans="1:16" ht="38.25" x14ac:dyDescent="0.25">
      <c r="A126" s="2" t="s">
        <v>229</v>
      </c>
      <c r="B126" s="32" t="s">
        <v>277</v>
      </c>
      <c r="C126" s="2">
        <v>3</v>
      </c>
      <c r="D126" s="9" t="s">
        <v>276</v>
      </c>
      <c r="E126" s="2" t="s">
        <v>275</v>
      </c>
      <c r="F126" s="13">
        <v>130</v>
      </c>
      <c r="G126" s="2" t="s">
        <v>5</v>
      </c>
      <c r="H126" s="36"/>
      <c r="I126" s="35"/>
      <c r="J126" s="34"/>
      <c r="K126" s="15"/>
      <c r="L126" s="13"/>
      <c r="M126" s="13" t="s">
        <v>274</v>
      </c>
      <c r="N126" s="13" t="s">
        <v>273</v>
      </c>
      <c r="O126" s="2">
        <v>3</v>
      </c>
      <c r="P126" s="3">
        <v>0</v>
      </c>
    </row>
    <row r="127" spans="1:16" ht="76.5" x14ac:dyDescent="0.25">
      <c r="A127" s="2" t="s">
        <v>229</v>
      </c>
      <c r="B127" s="32" t="s">
        <v>267</v>
      </c>
      <c r="C127" s="2">
        <v>1</v>
      </c>
      <c r="D127" s="78" t="s">
        <v>272</v>
      </c>
      <c r="E127" s="2" t="s">
        <v>271</v>
      </c>
      <c r="F127" s="13">
        <v>258</v>
      </c>
      <c r="G127" s="13" t="s">
        <v>5</v>
      </c>
      <c r="H127" s="31" t="s">
        <v>270</v>
      </c>
      <c r="I127" s="12" t="s">
        <v>269</v>
      </c>
      <c r="J127" s="33" t="s">
        <v>268</v>
      </c>
      <c r="K127" s="15"/>
      <c r="L127" s="13"/>
      <c r="M127" s="13" t="s">
        <v>260</v>
      </c>
      <c r="N127" s="13" t="s">
        <v>261</v>
      </c>
      <c r="O127" s="2">
        <v>3</v>
      </c>
      <c r="P127" s="3">
        <v>0</v>
      </c>
    </row>
    <row r="128" spans="1:16" ht="89.25" x14ac:dyDescent="0.25">
      <c r="A128" s="2" t="s">
        <v>229</v>
      </c>
      <c r="B128" s="32" t="s">
        <v>267</v>
      </c>
      <c r="C128" s="2">
        <v>2</v>
      </c>
      <c r="D128" s="78" t="s">
        <v>266</v>
      </c>
      <c r="E128" s="2" t="s">
        <v>265</v>
      </c>
      <c r="F128" s="13">
        <v>270</v>
      </c>
      <c r="G128" s="13" t="s">
        <v>5</v>
      </c>
      <c r="H128" s="31" t="s">
        <v>264</v>
      </c>
      <c r="I128" s="12" t="s">
        <v>263</v>
      </c>
      <c r="J128" s="30" t="s">
        <v>262</v>
      </c>
      <c r="K128" s="15"/>
      <c r="L128" s="13"/>
      <c r="M128" s="13" t="s">
        <v>261</v>
      </c>
      <c r="N128" s="13" t="s">
        <v>260</v>
      </c>
      <c r="O128" s="2">
        <v>3</v>
      </c>
      <c r="P128" s="3">
        <v>0</v>
      </c>
    </row>
    <row r="129" spans="1:16" ht="89.25" x14ac:dyDescent="0.25">
      <c r="A129" s="24" t="s">
        <v>229</v>
      </c>
      <c r="B129" s="22" t="s">
        <v>228</v>
      </c>
      <c r="C129" s="2">
        <v>1</v>
      </c>
      <c r="D129" s="23" t="s">
        <v>259</v>
      </c>
      <c r="E129" s="22" t="s">
        <v>258</v>
      </c>
      <c r="F129" s="22">
        <v>120</v>
      </c>
      <c r="G129" s="22" t="s">
        <v>5</v>
      </c>
      <c r="H129" s="20" t="s">
        <v>257</v>
      </c>
      <c r="I129" s="20" t="s">
        <v>256</v>
      </c>
      <c r="J129" s="26" t="s">
        <v>243</v>
      </c>
      <c r="K129" s="25"/>
      <c r="L129" s="24"/>
      <c r="M129" s="4" t="s">
        <v>255</v>
      </c>
      <c r="N129" s="4" t="s">
        <v>241</v>
      </c>
      <c r="O129" s="22">
        <v>3</v>
      </c>
      <c r="P129" s="22">
        <v>0</v>
      </c>
    </row>
    <row r="130" spans="1:16" ht="89.25" x14ac:dyDescent="0.25">
      <c r="A130" s="24" t="s">
        <v>229</v>
      </c>
      <c r="B130" s="22" t="s">
        <v>228</v>
      </c>
      <c r="C130" s="2">
        <v>2</v>
      </c>
      <c r="D130" s="23" t="s">
        <v>254</v>
      </c>
      <c r="E130" s="22" t="s">
        <v>253</v>
      </c>
      <c r="F130" s="22">
        <v>120</v>
      </c>
      <c r="G130" s="22" t="s">
        <v>5</v>
      </c>
      <c r="H130" s="20" t="s">
        <v>252</v>
      </c>
      <c r="I130" s="29" t="s">
        <v>251</v>
      </c>
      <c r="J130" s="26" t="s">
        <v>243</v>
      </c>
      <c r="K130" s="25"/>
      <c r="L130" s="24"/>
      <c r="M130" s="4" t="s">
        <v>250</v>
      </c>
      <c r="N130" s="4"/>
      <c r="O130" s="22">
        <v>3</v>
      </c>
      <c r="P130" s="22">
        <v>0</v>
      </c>
    </row>
    <row r="131" spans="1:16" ht="63.75" x14ac:dyDescent="0.25">
      <c r="A131" s="24" t="s">
        <v>229</v>
      </c>
      <c r="B131" s="22" t="s">
        <v>228</v>
      </c>
      <c r="C131" s="2">
        <v>3</v>
      </c>
      <c r="D131" s="23" t="s">
        <v>249</v>
      </c>
      <c r="E131" s="22" t="s">
        <v>248</v>
      </c>
      <c r="F131" s="22">
        <v>182</v>
      </c>
      <c r="G131" s="22" t="s">
        <v>5</v>
      </c>
      <c r="H131" s="28" t="s">
        <v>247</v>
      </c>
      <c r="I131" s="27" t="s">
        <v>246</v>
      </c>
      <c r="J131" s="26" t="s">
        <v>243</v>
      </c>
      <c r="K131" s="25"/>
      <c r="L131" s="24"/>
      <c r="M131" s="4" t="s">
        <v>242</v>
      </c>
      <c r="N131" s="4" t="s">
        <v>241</v>
      </c>
      <c r="O131" s="22">
        <v>3</v>
      </c>
      <c r="P131" s="22">
        <v>0</v>
      </c>
    </row>
    <row r="132" spans="1:16" ht="63.75" x14ac:dyDescent="0.25">
      <c r="A132" s="24" t="s">
        <v>229</v>
      </c>
      <c r="B132" s="22" t="s">
        <v>228</v>
      </c>
      <c r="C132" s="2">
        <v>4</v>
      </c>
      <c r="D132" s="23" t="s">
        <v>245</v>
      </c>
      <c r="E132" s="22" t="s">
        <v>244</v>
      </c>
      <c r="F132" s="22">
        <v>182</v>
      </c>
      <c r="G132" s="22" t="s">
        <v>5</v>
      </c>
      <c r="H132" s="28"/>
      <c r="I132" s="27"/>
      <c r="J132" s="26" t="s">
        <v>243</v>
      </c>
      <c r="K132" s="25"/>
      <c r="L132" s="24"/>
      <c r="M132" s="4" t="s">
        <v>242</v>
      </c>
      <c r="N132" s="4" t="s">
        <v>241</v>
      </c>
      <c r="O132" s="22">
        <v>3</v>
      </c>
      <c r="P132" s="22">
        <v>0</v>
      </c>
    </row>
    <row r="133" spans="1:16" ht="165.75" x14ac:dyDescent="0.25">
      <c r="A133" s="24" t="s">
        <v>229</v>
      </c>
      <c r="B133" s="22" t="s">
        <v>228</v>
      </c>
      <c r="C133" s="2">
        <v>5</v>
      </c>
      <c r="D133" s="9" t="s">
        <v>240</v>
      </c>
      <c r="E133" s="2" t="s">
        <v>239</v>
      </c>
      <c r="F133" s="22">
        <v>120</v>
      </c>
      <c r="G133" s="11" t="s">
        <v>5</v>
      </c>
      <c r="H133" s="5" t="s">
        <v>236</v>
      </c>
      <c r="I133" s="21" t="s">
        <v>235</v>
      </c>
      <c r="J133" s="10" t="s">
        <v>33</v>
      </c>
      <c r="K133" s="6"/>
      <c r="L133" s="5"/>
      <c r="M133" s="16" t="s">
        <v>234</v>
      </c>
      <c r="N133" s="16" t="s">
        <v>233</v>
      </c>
      <c r="O133" s="3">
        <v>3</v>
      </c>
      <c r="P133" s="2">
        <v>0</v>
      </c>
    </row>
    <row r="134" spans="1:16" ht="165.75" x14ac:dyDescent="0.25">
      <c r="A134" s="24" t="s">
        <v>229</v>
      </c>
      <c r="B134" s="22" t="s">
        <v>228</v>
      </c>
      <c r="C134" s="2">
        <v>6</v>
      </c>
      <c r="D134" s="9" t="s">
        <v>238</v>
      </c>
      <c r="E134" s="2" t="s">
        <v>237</v>
      </c>
      <c r="F134" s="22">
        <v>120</v>
      </c>
      <c r="G134" s="11" t="s">
        <v>5</v>
      </c>
      <c r="H134" s="5" t="s">
        <v>236</v>
      </c>
      <c r="I134" s="21" t="s">
        <v>235</v>
      </c>
      <c r="J134" s="10" t="s">
        <v>33</v>
      </c>
      <c r="K134" s="6"/>
      <c r="L134" s="5"/>
      <c r="M134" s="16" t="s">
        <v>234</v>
      </c>
      <c r="N134" s="16" t="s">
        <v>233</v>
      </c>
      <c r="O134" s="3">
        <v>3</v>
      </c>
      <c r="P134" s="2">
        <v>0</v>
      </c>
    </row>
    <row r="135" spans="1:16" ht="114.75" x14ac:dyDescent="0.25">
      <c r="A135" s="24" t="s">
        <v>229</v>
      </c>
      <c r="B135" s="22" t="s">
        <v>228</v>
      </c>
      <c r="C135" s="2">
        <v>7</v>
      </c>
      <c r="D135" s="23" t="s">
        <v>232</v>
      </c>
      <c r="E135" s="2" t="s">
        <v>231</v>
      </c>
      <c r="F135" s="22">
        <v>115</v>
      </c>
      <c r="G135" s="11" t="s">
        <v>5</v>
      </c>
      <c r="H135" s="5" t="s">
        <v>230</v>
      </c>
      <c r="I135" s="21" t="s">
        <v>224</v>
      </c>
      <c r="J135" s="10" t="s">
        <v>33</v>
      </c>
      <c r="K135" s="6"/>
      <c r="L135" s="5"/>
      <c r="M135" s="16" t="s">
        <v>223</v>
      </c>
      <c r="N135" s="16" t="s">
        <v>222</v>
      </c>
      <c r="O135" s="3">
        <v>3</v>
      </c>
      <c r="P135" s="2">
        <v>0</v>
      </c>
    </row>
    <row r="136" spans="1:16" ht="114.75" x14ac:dyDescent="0.25">
      <c r="A136" s="24" t="s">
        <v>229</v>
      </c>
      <c r="B136" s="22" t="s">
        <v>228</v>
      </c>
      <c r="C136" s="2">
        <v>8</v>
      </c>
      <c r="D136" s="23" t="s">
        <v>227</v>
      </c>
      <c r="E136" s="2" t="s">
        <v>226</v>
      </c>
      <c r="F136" s="22">
        <v>115</v>
      </c>
      <c r="G136" s="11" t="s">
        <v>5</v>
      </c>
      <c r="H136" s="5" t="s">
        <v>225</v>
      </c>
      <c r="I136" s="21" t="s">
        <v>224</v>
      </c>
      <c r="J136" s="10" t="s">
        <v>33</v>
      </c>
      <c r="K136" s="6"/>
      <c r="L136" s="5"/>
      <c r="M136" s="16" t="s">
        <v>223</v>
      </c>
      <c r="N136" s="16" t="s">
        <v>222</v>
      </c>
      <c r="O136" s="3">
        <v>3</v>
      </c>
      <c r="P136" s="2">
        <v>0</v>
      </c>
    </row>
    <row r="137" spans="1:16" ht="51" hidden="1" x14ac:dyDescent="0.25">
      <c r="A137" s="2" t="s">
        <v>78</v>
      </c>
      <c r="B137" s="2" t="s">
        <v>99</v>
      </c>
      <c r="C137" s="18">
        <v>1</v>
      </c>
      <c r="D137" s="79" t="s">
        <v>221</v>
      </c>
      <c r="E137" s="2"/>
      <c r="F137" s="2"/>
      <c r="G137" s="11" t="s">
        <v>5</v>
      </c>
      <c r="H137" s="12" t="s">
        <v>138</v>
      </c>
      <c r="I137" s="5" t="s">
        <v>220</v>
      </c>
      <c r="J137" s="10" t="s">
        <v>2</v>
      </c>
      <c r="K137" s="6"/>
      <c r="L137" s="12"/>
      <c r="M137" s="2" t="s">
        <v>1</v>
      </c>
      <c r="N137" s="2" t="s">
        <v>219</v>
      </c>
      <c r="O137" s="3">
        <v>0</v>
      </c>
      <c r="P137" s="2">
        <v>0</v>
      </c>
    </row>
    <row r="138" spans="1:16" ht="51" x14ac:dyDescent="0.25">
      <c r="A138" s="2" t="s">
        <v>78</v>
      </c>
      <c r="B138" s="2" t="s">
        <v>99</v>
      </c>
      <c r="C138" s="18">
        <v>2</v>
      </c>
      <c r="D138" s="78" t="s">
        <v>218</v>
      </c>
      <c r="E138" s="2" t="s">
        <v>217</v>
      </c>
      <c r="F138" s="2">
        <v>560</v>
      </c>
      <c r="G138" s="2" t="s">
        <v>5</v>
      </c>
      <c r="H138" s="8" t="s">
        <v>214</v>
      </c>
      <c r="I138" s="8" t="s">
        <v>213</v>
      </c>
      <c r="J138" s="10" t="s">
        <v>2</v>
      </c>
      <c r="K138" s="15"/>
      <c r="L138" s="8"/>
      <c r="M138" s="4" t="s">
        <v>212</v>
      </c>
      <c r="N138" s="4" t="s">
        <v>211</v>
      </c>
      <c r="O138" s="3">
        <v>3</v>
      </c>
      <c r="P138" s="2">
        <v>0</v>
      </c>
    </row>
    <row r="139" spans="1:16" ht="51" x14ac:dyDescent="0.25">
      <c r="A139" s="2" t="s">
        <v>78</v>
      </c>
      <c r="B139" s="2" t="s">
        <v>99</v>
      </c>
      <c r="C139" s="18">
        <v>3</v>
      </c>
      <c r="D139" s="78" t="s">
        <v>216</v>
      </c>
      <c r="E139" s="2" t="s">
        <v>215</v>
      </c>
      <c r="F139" s="2">
        <v>560</v>
      </c>
      <c r="G139" s="2" t="s">
        <v>5</v>
      </c>
      <c r="H139" s="8" t="s">
        <v>214</v>
      </c>
      <c r="I139" s="8" t="s">
        <v>213</v>
      </c>
      <c r="J139" s="10" t="s">
        <v>2</v>
      </c>
      <c r="K139" s="15"/>
      <c r="L139" s="8"/>
      <c r="M139" s="4" t="s">
        <v>212</v>
      </c>
      <c r="N139" s="4" t="s">
        <v>211</v>
      </c>
      <c r="O139" s="3">
        <v>3</v>
      </c>
      <c r="P139" s="2">
        <v>0</v>
      </c>
    </row>
    <row r="140" spans="1:16" ht="51" x14ac:dyDescent="0.25">
      <c r="A140" s="2" t="s">
        <v>78</v>
      </c>
      <c r="B140" s="2" t="s">
        <v>99</v>
      </c>
      <c r="C140" s="18">
        <v>4</v>
      </c>
      <c r="D140" s="78" t="s">
        <v>210</v>
      </c>
      <c r="E140" s="2" t="s">
        <v>209</v>
      </c>
      <c r="F140" s="2">
        <v>490</v>
      </c>
      <c r="G140" s="2" t="s">
        <v>5</v>
      </c>
      <c r="H140" s="8" t="s">
        <v>205</v>
      </c>
      <c r="I140" s="8" t="s">
        <v>208</v>
      </c>
      <c r="J140" s="10" t="s">
        <v>2</v>
      </c>
      <c r="K140" s="15"/>
      <c r="L140" s="8"/>
      <c r="M140" s="4" t="s">
        <v>203</v>
      </c>
      <c r="N140" s="4" t="s">
        <v>107</v>
      </c>
      <c r="O140" s="3">
        <v>3</v>
      </c>
      <c r="P140" s="2">
        <v>0</v>
      </c>
    </row>
    <row r="141" spans="1:16" ht="51" x14ac:dyDescent="0.25">
      <c r="A141" s="4" t="s">
        <v>78</v>
      </c>
      <c r="B141" s="4" t="s">
        <v>99</v>
      </c>
      <c r="C141" s="18">
        <v>5</v>
      </c>
      <c r="D141" s="83" t="s">
        <v>207</v>
      </c>
      <c r="E141" s="4" t="s">
        <v>206</v>
      </c>
      <c r="F141" s="4">
        <v>490</v>
      </c>
      <c r="G141" s="4" t="s">
        <v>5</v>
      </c>
      <c r="H141" s="8" t="s">
        <v>205</v>
      </c>
      <c r="I141" s="8" t="s">
        <v>204</v>
      </c>
      <c r="J141" s="10" t="s">
        <v>2</v>
      </c>
      <c r="K141" s="15"/>
      <c r="L141" s="8"/>
      <c r="M141" s="4" t="s">
        <v>203</v>
      </c>
      <c r="N141" s="4" t="s">
        <v>107</v>
      </c>
      <c r="O141" s="3">
        <v>3</v>
      </c>
      <c r="P141" s="2">
        <v>0</v>
      </c>
    </row>
    <row r="142" spans="1:16" ht="63.75" x14ac:dyDescent="0.25">
      <c r="A142" s="2" t="s">
        <v>78</v>
      </c>
      <c r="B142" s="2" t="s">
        <v>99</v>
      </c>
      <c r="C142" s="18">
        <v>6</v>
      </c>
      <c r="D142" s="78" t="s">
        <v>202</v>
      </c>
      <c r="E142" s="2" t="s">
        <v>201</v>
      </c>
      <c r="F142" s="13">
        <v>460</v>
      </c>
      <c r="G142" s="13" t="s">
        <v>5</v>
      </c>
      <c r="H142" s="12" t="s">
        <v>198</v>
      </c>
      <c r="I142" s="12" t="s">
        <v>197</v>
      </c>
      <c r="J142" s="7" t="s">
        <v>2</v>
      </c>
      <c r="K142" s="6"/>
      <c r="L142" s="12"/>
      <c r="M142" s="13" t="s">
        <v>196</v>
      </c>
      <c r="N142" s="13" t="s">
        <v>195</v>
      </c>
      <c r="O142" s="3">
        <v>3</v>
      </c>
      <c r="P142" s="2">
        <v>0</v>
      </c>
    </row>
    <row r="143" spans="1:16" ht="63.75" x14ac:dyDescent="0.25">
      <c r="A143" s="2" t="s">
        <v>78</v>
      </c>
      <c r="B143" s="2" t="s">
        <v>99</v>
      </c>
      <c r="C143" s="18">
        <v>7</v>
      </c>
      <c r="D143" s="78" t="s">
        <v>200</v>
      </c>
      <c r="E143" s="2" t="s">
        <v>199</v>
      </c>
      <c r="F143" s="13">
        <v>460</v>
      </c>
      <c r="G143" s="13" t="s">
        <v>5</v>
      </c>
      <c r="H143" s="12" t="s">
        <v>198</v>
      </c>
      <c r="I143" s="12" t="s">
        <v>197</v>
      </c>
      <c r="J143" s="7" t="s">
        <v>2</v>
      </c>
      <c r="K143" s="6"/>
      <c r="L143" s="12"/>
      <c r="M143" s="13" t="s">
        <v>196</v>
      </c>
      <c r="N143" s="13" t="s">
        <v>195</v>
      </c>
      <c r="O143" s="3">
        <v>3</v>
      </c>
      <c r="P143" s="2">
        <v>0</v>
      </c>
    </row>
    <row r="144" spans="1:16" ht="76.5" x14ac:dyDescent="0.25">
      <c r="A144" s="2" t="s">
        <v>78</v>
      </c>
      <c r="B144" s="2" t="s">
        <v>99</v>
      </c>
      <c r="C144" s="18">
        <v>8</v>
      </c>
      <c r="D144" s="78" t="s">
        <v>194</v>
      </c>
      <c r="E144" s="2" t="s">
        <v>193</v>
      </c>
      <c r="F144" s="13">
        <v>550</v>
      </c>
      <c r="G144" s="13" t="s">
        <v>5</v>
      </c>
      <c r="H144" s="12" t="s">
        <v>192</v>
      </c>
      <c r="I144" s="12" t="s">
        <v>191</v>
      </c>
      <c r="J144" s="7" t="s">
        <v>2</v>
      </c>
      <c r="K144" s="6"/>
      <c r="L144" s="12"/>
      <c r="M144" s="13" t="s">
        <v>190</v>
      </c>
      <c r="N144" s="13" t="s">
        <v>189</v>
      </c>
      <c r="O144" s="3">
        <v>3</v>
      </c>
      <c r="P144" s="2">
        <v>0</v>
      </c>
    </row>
    <row r="145" spans="1:16" ht="114.75" x14ac:dyDescent="0.25">
      <c r="A145" s="19" t="s">
        <v>78</v>
      </c>
      <c r="B145" s="19" t="s">
        <v>99</v>
      </c>
      <c r="C145" s="18">
        <v>9</v>
      </c>
      <c r="D145" s="84" t="s">
        <v>188</v>
      </c>
      <c r="E145" s="19" t="s">
        <v>187</v>
      </c>
      <c r="F145" s="4">
        <v>80</v>
      </c>
      <c r="G145" s="4" t="s">
        <v>21</v>
      </c>
      <c r="H145" s="8" t="s">
        <v>186</v>
      </c>
      <c r="I145" s="8" t="s">
        <v>182</v>
      </c>
      <c r="J145" s="10" t="s">
        <v>2</v>
      </c>
      <c r="K145" s="15"/>
      <c r="L145" s="8"/>
      <c r="M145" s="4" t="s">
        <v>160</v>
      </c>
      <c r="N145" s="4" t="s">
        <v>181</v>
      </c>
      <c r="O145" s="3">
        <v>3</v>
      </c>
      <c r="P145" s="2">
        <v>0</v>
      </c>
    </row>
    <row r="146" spans="1:16" ht="114.75" x14ac:dyDescent="0.25">
      <c r="A146" s="19" t="s">
        <v>78</v>
      </c>
      <c r="B146" s="19" t="s">
        <v>99</v>
      </c>
      <c r="C146" s="18">
        <v>10</v>
      </c>
      <c r="D146" s="84" t="s">
        <v>185</v>
      </c>
      <c r="E146" s="19" t="s">
        <v>184</v>
      </c>
      <c r="F146" s="2">
        <v>80</v>
      </c>
      <c r="G146" s="4" t="s">
        <v>21</v>
      </c>
      <c r="H146" s="8" t="s">
        <v>183</v>
      </c>
      <c r="I146" s="8" t="s">
        <v>182</v>
      </c>
      <c r="J146" s="10" t="s">
        <v>2</v>
      </c>
      <c r="K146" s="15"/>
      <c r="L146" s="8"/>
      <c r="M146" s="4" t="s">
        <v>160</v>
      </c>
      <c r="N146" s="4" t="s">
        <v>181</v>
      </c>
      <c r="O146" s="3">
        <v>3</v>
      </c>
      <c r="P146" s="2">
        <v>0</v>
      </c>
    </row>
    <row r="147" spans="1:16" ht="76.5" x14ac:dyDescent="0.25">
      <c r="A147" s="2" t="s">
        <v>78</v>
      </c>
      <c r="B147" s="2" t="s">
        <v>99</v>
      </c>
      <c r="C147" s="18">
        <v>11</v>
      </c>
      <c r="D147" s="5" t="s">
        <v>180</v>
      </c>
      <c r="E147" s="2" t="s">
        <v>179</v>
      </c>
      <c r="F147" s="13">
        <v>65</v>
      </c>
      <c r="G147" s="13" t="s">
        <v>5</v>
      </c>
      <c r="H147" s="12" t="s">
        <v>176</v>
      </c>
      <c r="I147" s="12" t="s">
        <v>175</v>
      </c>
      <c r="J147" s="7" t="s">
        <v>2</v>
      </c>
      <c r="K147" s="6"/>
      <c r="L147" s="12"/>
      <c r="M147" s="13" t="s">
        <v>174</v>
      </c>
      <c r="N147" s="13" t="s">
        <v>173</v>
      </c>
      <c r="O147" s="3">
        <v>3</v>
      </c>
      <c r="P147" s="2">
        <v>1</v>
      </c>
    </row>
    <row r="148" spans="1:16" ht="76.5" x14ac:dyDescent="0.25">
      <c r="A148" s="2" t="s">
        <v>78</v>
      </c>
      <c r="B148" s="2" t="s">
        <v>99</v>
      </c>
      <c r="C148" s="18">
        <v>12</v>
      </c>
      <c r="D148" s="5" t="s">
        <v>178</v>
      </c>
      <c r="E148" s="2" t="s">
        <v>177</v>
      </c>
      <c r="F148" s="13">
        <v>115</v>
      </c>
      <c r="G148" s="13" t="s">
        <v>5</v>
      </c>
      <c r="H148" s="12" t="s">
        <v>176</v>
      </c>
      <c r="I148" s="12" t="s">
        <v>175</v>
      </c>
      <c r="J148" s="7" t="s">
        <v>2</v>
      </c>
      <c r="K148" s="6"/>
      <c r="L148" s="12"/>
      <c r="M148" s="13" t="s">
        <v>174</v>
      </c>
      <c r="N148" s="13" t="s">
        <v>173</v>
      </c>
      <c r="O148" s="3">
        <v>3</v>
      </c>
      <c r="P148" s="2">
        <v>0</v>
      </c>
    </row>
    <row r="149" spans="1:16" ht="63.75" x14ac:dyDescent="0.25">
      <c r="A149" s="2" t="s">
        <v>78</v>
      </c>
      <c r="B149" s="2" t="s">
        <v>99</v>
      </c>
      <c r="C149" s="18">
        <v>13</v>
      </c>
      <c r="D149" s="5" t="s">
        <v>172</v>
      </c>
      <c r="E149" s="2" t="s">
        <v>171</v>
      </c>
      <c r="F149" s="13">
        <v>60</v>
      </c>
      <c r="G149" s="13" t="s">
        <v>5</v>
      </c>
      <c r="H149" s="12" t="s">
        <v>167</v>
      </c>
      <c r="I149" s="12" t="s">
        <v>170</v>
      </c>
      <c r="J149" s="7" t="s">
        <v>2</v>
      </c>
      <c r="K149" s="6"/>
      <c r="L149" s="12"/>
      <c r="M149" s="13" t="s">
        <v>165</v>
      </c>
      <c r="N149" s="13" t="s">
        <v>142</v>
      </c>
      <c r="O149" s="3">
        <v>3</v>
      </c>
      <c r="P149" s="2">
        <v>1</v>
      </c>
    </row>
    <row r="150" spans="1:16" ht="63.75" x14ac:dyDescent="0.25">
      <c r="A150" s="2" t="s">
        <v>78</v>
      </c>
      <c r="B150" s="2" t="s">
        <v>99</v>
      </c>
      <c r="C150" s="18">
        <v>14</v>
      </c>
      <c r="D150" s="5" t="s">
        <v>169</v>
      </c>
      <c r="E150" s="2" t="s">
        <v>168</v>
      </c>
      <c r="F150" s="13">
        <v>145</v>
      </c>
      <c r="G150" s="13" t="s">
        <v>5</v>
      </c>
      <c r="H150" s="12" t="s">
        <v>167</v>
      </c>
      <c r="I150" s="12" t="s">
        <v>166</v>
      </c>
      <c r="J150" s="7" t="s">
        <v>2</v>
      </c>
      <c r="K150" s="6"/>
      <c r="L150" s="12"/>
      <c r="M150" s="13" t="s">
        <v>165</v>
      </c>
      <c r="N150" s="13" t="s">
        <v>142</v>
      </c>
      <c r="O150" s="3">
        <v>3</v>
      </c>
      <c r="P150" s="2">
        <v>0</v>
      </c>
    </row>
    <row r="151" spans="1:16" ht="63.75" x14ac:dyDescent="0.25">
      <c r="A151" s="2" t="s">
        <v>78</v>
      </c>
      <c r="B151" s="2" t="s">
        <v>99</v>
      </c>
      <c r="C151" s="18">
        <v>15</v>
      </c>
      <c r="D151" s="5" t="s">
        <v>164</v>
      </c>
      <c r="E151" s="2" t="s">
        <v>163</v>
      </c>
      <c r="F151" s="13">
        <v>65</v>
      </c>
      <c r="G151" s="13" t="s">
        <v>5</v>
      </c>
      <c r="H151" s="12" t="s">
        <v>162</v>
      </c>
      <c r="I151" s="12" t="s">
        <v>161</v>
      </c>
      <c r="J151" s="7" t="s">
        <v>2</v>
      </c>
      <c r="K151" s="6"/>
      <c r="L151" s="12"/>
      <c r="M151" s="13" t="s">
        <v>160</v>
      </c>
      <c r="N151" s="13" t="s">
        <v>159</v>
      </c>
      <c r="O151" s="3">
        <v>3</v>
      </c>
      <c r="P151" s="2">
        <v>0</v>
      </c>
    </row>
    <row r="152" spans="1:16" ht="102" x14ac:dyDescent="0.25">
      <c r="A152" s="19" t="s">
        <v>78</v>
      </c>
      <c r="B152" s="19" t="s">
        <v>99</v>
      </c>
      <c r="C152" s="18">
        <v>16</v>
      </c>
      <c r="D152" s="84" t="s">
        <v>158</v>
      </c>
      <c r="E152" s="19" t="s">
        <v>157</v>
      </c>
      <c r="F152" s="4">
        <v>80</v>
      </c>
      <c r="G152" s="4" t="s">
        <v>21</v>
      </c>
      <c r="H152" s="8" t="s">
        <v>154</v>
      </c>
      <c r="I152" s="8" t="s">
        <v>153</v>
      </c>
      <c r="J152" s="10" t="s">
        <v>2</v>
      </c>
      <c r="K152" s="15"/>
      <c r="L152" s="8"/>
      <c r="M152" s="4" t="s">
        <v>152</v>
      </c>
      <c r="N152" s="4" t="s">
        <v>151</v>
      </c>
      <c r="O152" s="3">
        <v>3</v>
      </c>
      <c r="P152" s="2">
        <v>0</v>
      </c>
    </row>
    <row r="153" spans="1:16" ht="102" x14ac:dyDescent="0.25">
      <c r="A153" s="19" t="s">
        <v>78</v>
      </c>
      <c r="B153" s="19" t="s">
        <v>99</v>
      </c>
      <c r="C153" s="18">
        <v>17</v>
      </c>
      <c r="D153" s="84" t="s">
        <v>156</v>
      </c>
      <c r="E153" s="19" t="s">
        <v>155</v>
      </c>
      <c r="F153" s="2">
        <v>80</v>
      </c>
      <c r="G153" s="2" t="s">
        <v>21</v>
      </c>
      <c r="H153" s="8" t="s">
        <v>154</v>
      </c>
      <c r="I153" s="8" t="s">
        <v>153</v>
      </c>
      <c r="J153" s="10" t="s">
        <v>2</v>
      </c>
      <c r="K153" s="15"/>
      <c r="L153" s="8"/>
      <c r="M153" s="4" t="s">
        <v>152</v>
      </c>
      <c r="N153" s="4" t="s">
        <v>151</v>
      </c>
      <c r="O153" s="3">
        <v>3</v>
      </c>
      <c r="P153" s="2">
        <v>0</v>
      </c>
    </row>
    <row r="154" spans="1:16" ht="38.25" hidden="1" x14ac:dyDescent="0.25">
      <c r="A154" s="2" t="s">
        <v>78</v>
      </c>
      <c r="B154" s="2" t="s">
        <v>99</v>
      </c>
      <c r="C154" s="18">
        <v>18</v>
      </c>
      <c r="D154" s="5" t="s">
        <v>150</v>
      </c>
      <c r="E154" s="2" t="s">
        <v>149</v>
      </c>
      <c r="F154" s="13">
        <v>105</v>
      </c>
      <c r="G154" s="11" t="s">
        <v>5</v>
      </c>
      <c r="H154" s="12" t="s">
        <v>148</v>
      </c>
      <c r="I154" s="5" t="s">
        <v>147</v>
      </c>
      <c r="J154" s="10" t="s">
        <v>33</v>
      </c>
      <c r="K154" s="6"/>
      <c r="L154" s="12"/>
      <c r="M154" s="16" t="s">
        <v>1</v>
      </c>
      <c r="N154" s="16" t="s">
        <v>1</v>
      </c>
      <c r="O154" s="3">
        <v>1</v>
      </c>
      <c r="P154" s="2">
        <v>1</v>
      </c>
    </row>
    <row r="155" spans="1:16" ht="51" x14ac:dyDescent="0.25">
      <c r="A155" s="2" t="s">
        <v>78</v>
      </c>
      <c r="B155" s="2" t="s">
        <v>99</v>
      </c>
      <c r="C155" s="18">
        <v>19</v>
      </c>
      <c r="D155" s="5" t="s">
        <v>146</v>
      </c>
      <c r="E155" s="2" t="s">
        <v>145</v>
      </c>
      <c r="F155" s="2">
        <v>210</v>
      </c>
      <c r="G155" s="2" t="s">
        <v>5</v>
      </c>
      <c r="H155" s="8" t="s">
        <v>144</v>
      </c>
      <c r="I155" s="5" t="s">
        <v>143</v>
      </c>
      <c r="J155" s="10" t="s">
        <v>2</v>
      </c>
      <c r="K155" s="15"/>
      <c r="L155" s="8"/>
      <c r="M155" s="4" t="s">
        <v>1</v>
      </c>
      <c r="N155" s="4" t="s">
        <v>142</v>
      </c>
      <c r="O155" s="3">
        <v>3</v>
      </c>
      <c r="P155" s="2">
        <v>0</v>
      </c>
    </row>
    <row r="156" spans="1:16" ht="51" hidden="1" x14ac:dyDescent="0.25">
      <c r="A156" s="2" t="s">
        <v>78</v>
      </c>
      <c r="B156" s="2" t="s">
        <v>99</v>
      </c>
      <c r="C156" s="18">
        <v>20</v>
      </c>
      <c r="D156" s="5" t="s">
        <v>141</v>
      </c>
      <c r="E156" s="2"/>
      <c r="F156" s="13"/>
      <c r="G156" s="11" t="s">
        <v>5</v>
      </c>
      <c r="H156" s="12" t="s">
        <v>138</v>
      </c>
      <c r="I156" s="5" t="s">
        <v>137</v>
      </c>
      <c r="J156" s="10" t="s">
        <v>33</v>
      </c>
      <c r="K156" s="6"/>
      <c r="L156" s="12"/>
      <c r="M156" s="2" t="s">
        <v>1</v>
      </c>
      <c r="N156" s="2" t="s">
        <v>136</v>
      </c>
      <c r="O156" s="3">
        <v>0</v>
      </c>
      <c r="P156" s="2">
        <v>0</v>
      </c>
    </row>
    <row r="157" spans="1:16" ht="51" hidden="1" x14ac:dyDescent="0.25">
      <c r="A157" s="2" t="s">
        <v>78</v>
      </c>
      <c r="B157" s="2" t="s">
        <v>99</v>
      </c>
      <c r="C157" s="18">
        <v>21</v>
      </c>
      <c r="D157" s="5" t="s">
        <v>140</v>
      </c>
      <c r="E157" s="2"/>
      <c r="F157" s="13"/>
      <c r="G157" s="11" t="s">
        <v>5</v>
      </c>
      <c r="H157" s="12" t="s">
        <v>138</v>
      </c>
      <c r="I157" s="5" t="s">
        <v>137</v>
      </c>
      <c r="J157" s="10" t="s">
        <v>33</v>
      </c>
      <c r="K157" s="6"/>
      <c r="L157" s="12"/>
      <c r="M157" s="2" t="s">
        <v>1</v>
      </c>
      <c r="N157" s="2" t="s">
        <v>136</v>
      </c>
      <c r="O157" s="3">
        <v>0</v>
      </c>
      <c r="P157" s="2">
        <v>0</v>
      </c>
    </row>
    <row r="158" spans="1:16" ht="51" hidden="1" x14ac:dyDescent="0.25">
      <c r="A158" s="2" t="s">
        <v>78</v>
      </c>
      <c r="B158" s="2" t="s">
        <v>99</v>
      </c>
      <c r="C158" s="18">
        <v>22</v>
      </c>
      <c r="D158" s="5" t="s">
        <v>139</v>
      </c>
      <c r="E158" s="2"/>
      <c r="F158" s="13"/>
      <c r="G158" s="11" t="s">
        <v>5</v>
      </c>
      <c r="H158" s="12" t="s">
        <v>138</v>
      </c>
      <c r="I158" s="5" t="s">
        <v>137</v>
      </c>
      <c r="J158" s="10" t="s">
        <v>33</v>
      </c>
      <c r="K158" s="6"/>
      <c r="L158" s="12"/>
      <c r="M158" s="2" t="s">
        <v>1</v>
      </c>
      <c r="N158" s="2" t="s">
        <v>136</v>
      </c>
      <c r="O158" s="3">
        <v>0</v>
      </c>
      <c r="P158" s="2">
        <v>0</v>
      </c>
    </row>
    <row r="159" spans="1:16" ht="38.25" x14ac:dyDescent="0.25">
      <c r="A159" s="2" t="s">
        <v>78</v>
      </c>
      <c r="B159" s="2" t="s">
        <v>99</v>
      </c>
      <c r="C159" s="18">
        <v>23</v>
      </c>
      <c r="D159" s="79" t="s">
        <v>135</v>
      </c>
      <c r="E159" s="2" t="s">
        <v>134</v>
      </c>
      <c r="F159" s="13">
        <v>145</v>
      </c>
      <c r="G159" s="11" t="s">
        <v>5</v>
      </c>
      <c r="H159" s="12" t="s">
        <v>133</v>
      </c>
      <c r="I159" s="5" t="s">
        <v>132</v>
      </c>
      <c r="J159" s="10" t="s">
        <v>33</v>
      </c>
      <c r="K159" s="6"/>
      <c r="L159" s="12"/>
      <c r="M159" s="16" t="s">
        <v>1</v>
      </c>
      <c r="N159" s="16" t="s">
        <v>1</v>
      </c>
      <c r="O159" s="3">
        <v>3</v>
      </c>
      <c r="P159" s="2">
        <v>0</v>
      </c>
    </row>
    <row r="160" spans="1:16" ht="63.75" x14ac:dyDescent="0.25">
      <c r="A160" s="2" t="s">
        <v>78</v>
      </c>
      <c r="B160" s="2" t="s">
        <v>99</v>
      </c>
      <c r="C160" s="18">
        <v>24</v>
      </c>
      <c r="D160" s="78" t="s">
        <v>131</v>
      </c>
      <c r="E160" s="2" t="s">
        <v>130</v>
      </c>
      <c r="F160" s="2">
        <v>640</v>
      </c>
      <c r="G160" s="2" t="s">
        <v>5</v>
      </c>
      <c r="H160" s="8" t="s">
        <v>118</v>
      </c>
      <c r="I160" s="8" t="s">
        <v>127</v>
      </c>
      <c r="J160" s="10" t="s">
        <v>126</v>
      </c>
      <c r="K160" s="15"/>
      <c r="L160" s="8"/>
      <c r="M160" s="4" t="s">
        <v>1</v>
      </c>
      <c r="N160" s="4" t="s">
        <v>125</v>
      </c>
      <c r="O160" s="3">
        <v>3</v>
      </c>
      <c r="P160" s="2">
        <v>0</v>
      </c>
    </row>
    <row r="161" spans="1:16" ht="63.75" x14ac:dyDescent="0.25">
      <c r="A161" s="2" t="s">
        <v>78</v>
      </c>
      <c r="B161" s="2" t="s">
        <v>99</v>
      </c>
      <c r="C161" s="18">
        <v>25</v>
      </c>
      <c r="D161" s="78" t="s">
        <v>129</v>
      </c>
      <c r="E161" s="2" t="s">
        <v>128</v>
      </c>
      <c r="F161" s="2">
        <v>420</v>
      </c>
      <c r="G161" s="2" t="s">
        <v>5</v>
      </c>
      <c r="H161" s="8" t="s">
        <v>118</v>
      </c>
      <c r="I161" s="8" t="s">
        <v>127</v>
      </c>
      <c r="J161" s="10" t="s">
        <v>126</v>
      </c>
      <c r="K161" s="15"/>
      <c r="L161" s="8"/>
      <c r="M161" s="4" t="s">
        <v>1</v>
      </c>
      <c r="N161" s="4" t="s">
        <v>125</v>
      </c>
      <c r="O161" s="3">
        <v>3</v>
      </c>
      <c r="P161" s="2">
        <v>1</v>
      </c>
    </row>
    <row r="162" spans="1:16" ht="38.25" x14ac:dyDescent="0.25">
      <c r="A162" s="2" t="s">
        <v>78</v>
      </c>
      <c r="B162" s="2" t="s">
        <v>99</v>
      </c>
      <c r="C162" s="18">
        <v>26</v>
      </c>
      <c r="D162" s="78" t="s">
        <v>124</v>
      </c>
      <c r="E162" s="2" t="s">
        <v>123</v>
      </c>
      <c r="F162" s="2">
        <v>590</v>
      </c>
      <c r="G162" s="2" t="s">
        <v>5</v>
      </c>
      <c r="H162" s="8" t="s">
        <v>118</v>
      </c>
      <c r="I162" s="8" t="s">
        <v>117</v>
      </c>
      <c r="J162" s="10" t="s">
        <v>33</v>
      </c>
      <c r="K162" s="15"/>
      <c r="L162" s="8"/>
      <c r="M162" s="4" t="s">
        <v>1</v>
      </c>
      <c r="N162" s="4" t="s">
        <v>116</v>
      </c>
      <c r="O162" s="3">
        <v>3</v>
      </c>
      <c r="P162" s="2">
        <v>0</v>
      </c>
    </row>
    <row r="163" spans="1:16" ht="38.25" x14ac:dyDescent="0.25">
      <c r="A163" s="2" t="s">
        <v>78</v>
      </c>
      <c r="B163" s="2" t="s">
        <v>99</v>
      </c>
      <c r="C163" s="18">
        <v>27</v>
      </c>
      <c r="D163" s="78" t="s">
        <v>122</v>
      </c>
      <c r="E163" s="2" t="s">
        <v>121</v>
      </c>
      <c r="F163" s="2">
        <v>590</v>
      </c>
      <c r="G163" s="2" t="s">
        <v>5</v>
      </c>
      <c r="H163" s="8" t="s">
        <v>118</v>
      </c>
      <c r="I163" s="8" t="s">
        <v>117</v>
      </c>
      <c r="J163" s="10" t="s">
        <v>33</v>
      </c>
      <c r="K163" s="15"/>
      <c r="L163" s="8"/>
      <c r="M163" s="4" t="s">
        <v>1</v>
      </c>
      <c r="N163" s="4" t="s">
        <v>116</v>
      </c>
      <c r="O163" s="3">
        <v>3</v>
      </c>
      <c r="P163" s="2">
        <v>0</v>
      </c>
    </row>
    <row r="164" spans="1:16" ht="38.25" x14ac:dyDescent="0.25">
      <c r="A164" s="2" t="s">
        <v>78</v>
      </c>
      <c r="B164" s="2" t="s">
        <v>99</v>
      </c>
      <c r="C164" s="18">
        <v>28</v>
      </c>
      <c r="D164" s="78" t="s">
        <v>120</v>
      </c>
      <c r="E164" s="2" t="s">
        <v>119</v>
      </c>
      <c r="F164" s="2">
        <v>690</v>
      </c>
      <c r="G164" s="2" t="s">
        <v>5</v>
      </c>
      <c r="H164" s="8" t="s">
        <v>118</v>
      </c>
      <c r="I164" s="8" t="s">
        <v>117</v>
      </c>
      <c r="J164" s="10" t="s">
        <v>33</v>
      </c>
      <c r="K164" s="15"/>
      <c r="L164" s="8"/>
      <c r="M164" s="4" t="s">
        <v>1</v>
      </c>
      <c r="N164" s="4" t="s">
        <v>116</v>
      </c>
      <c r="O164" s="3">
        <v>3</v>
      </c>
      <c r="P164" s="2">
        <v>0</v>
      </c>
    </row>
    <row r="165" spans="1:16" ht="38.25" x14ac:dyDescent="0.25">
      <c r="A165" s="2" t="s">
        <v>78</v>
      </c>
      <c r="B165" s="2" t="s">
        <v>99</v>
      </c>
      <c r="C165" s="18">
        <v>29</v>
      </c>
      <c r="D165" s="78" t="s">
        <v>115</v>
      </c>
      <c r="E165" s="2" t="s">
        <v>114</v>
      </c>
      <c r="F165" s="2">
        <v>500</v>
      </c>
      <c r="G165" s="2" t="s">
        <v>5</v>
      </c>
      <c r="H165" s="8" t="s">
        <v>113</v>
      </c>
      <c r="I165" s="8" t="s">
        <v>112</v>
      </c>
      <c r="J165" s="10" t="s">
        <v>33</v>
      </c>
      <c r="K165" s="15"/>
      <c r="L165" s="8"/>
      <c r="M165" s="4" t="s">
        <v>1</v>
      </c>
      <c r="N165" s="4" t="s">
        <v>107</v>
      </c>
      <c r="O165" s="3">
        <v>3</v>
      </c>
      <c r="P165" s="2">
        <v>0</v>
      </c>
    </row>
    <row r="166" spans="1:16" ht="25.5" x14ac:dyDescent="0.25">
      <c r="A166" s="2" t="s">
        <v>78</v>
      </c>
      <c r="B166" s="2" t="s">
        <v>99</v>
      </c>
      <c r="C166" s="18">
        <v>30</v>
      </c>
      <c r="D166" s="78" t="s">
        <v>111</v>
      </c>
      <c r="E166" s="2" t="s">
        <v>110</v>
      </c>
      <c r="F166" s="2">
        <v>650</v>
      </c>
      <c r="G166" s="2" t="s">
        <v>5</v>
      </c>
      <c r="H166" s="8" t="s">
        <v>109</v>
      </c>
      <c r="I166" s="8" t="s">
        <v>108</v>
      </c>
      <c r="J166" s="10" t="s">
        <v>33</v>
      </c>
      <c r="K166" s="15"/>
      <c r="L166" s="8"/>
      <c r="M166" s="4" t="s">
        <v>1</v>
      </c>
      <c r="N166" s="4" t="s">
        <v>107</v>
      </c>
      <c r="O166" s="3">
        <v>3</v>
      </c>
      <c r="P166" s="2">
        <v>0</v>
      </c>
    </row>
    <row r="167" spans="1:16" ht="25.5" hidden="1" x14ac:dyDescent="0.25">
      <c r="A167" s="2" t="s">
        <v>78</v>
      </c>
      <c r="B167" s="2" t="s">
        <v>99</v>
      </c>
      <c r="C167" s="18">
        <v>31</v>
      </c>
      <c r="D167" s="5" t="s">
        <v>106</v>
      </c>
      <c r="E167" s="2"/>
      <c r="F167" s="13"/>
      <c r="G167" s="11" t="s">
        <v>5</v>
      </c>
      <c r="H167" s="12" t="s">
        <v>97</v>
      </c>
      <c r="I167" s="5" t="s">
        <v>96</v>
      </c>
      <c r="J167" s="10" t="s">
        <v>33</v>
      </c>
      <c r="K167" s="6"/>
      <c r="L167" s="12"/>
      <c r="M167" s="13"/>
      <c r="N167" s="13"/>
      <c r="O167" s="3">
        <v>2</v>
      </c>
      <c r="P167" s="2">
        <v>1</v>
      </c>
    </row>
    <row r="168" spans="1:16" ht="25.5" hidden="1" x14ac:dyDescent="0.25">
      <c r="A168" s="2" t="s">
        <v>78</v>
      </c>
      <c r="B168" s="2" t="s">
        <v>99</v>
      </c>
      <c r="C168" s="18">
        <v>32</v>
      </c>
      <c r="D168" s="5" t="s">
        <v>105</v>
      </c>
      <c r="E168" s="2"/>
      <c r="F168" s="13"/>
      <c r="G168" s="11" t="s">
        <v>5</v>
      </c>
      <c r="H168" s="12" t="s">
        <v>97</v>
      </c>
      <c r="I168" s="5" t="s">
        <v>96</v>
      </c>
      <c r="J168" s="10" t="s">
        <v>33</v>
      </c>
      <c r="K168" s="6"/>
      <c r="L168" s="12"/>
      <c r="M168" s="13"/>
      <c r="N168" s="13"/>
      <c r="O168" s="3">
        <v>2</v>
      </c>
      <c r="P168" s="2">
        <v>1</v>
      </c>
    </row>
    <row r="169" spans="1:16" ht="25.5" hidden="1" x14ac:dyDescent="0.25">
      <c r="A169" s="2" t="s">
        <v>78</v>
      </c>
      <c r="B169" s="2" t="s">
        <v>99</v>
      </c>
      <c r="C169" s="18">
        <v>33</v>
      </c>
      <c r="D169" s="5" t="s">
        <v>104</v>
      </c>
      <c r="E169" s="2"/>
      <c r="F169" s="13"/>
      <c r="G169" s="11" t="s">
        <v>5</v>
      </c>
      <c r="H169" s="12" t="s">
        <v>97</v>
      </c>
      <c r="I169" s="5" t="s">
        <v>96</v>
      </c>
      <c r="J169" s="10" t="s">
        <v>33</v>
      </c>
      <c r="K169" s="6"/>
      <c r="L169" s="12"/>
      <c r="M169" s="13"/>
      <c r="N169" s="13"/>
      <c r="O169" s="3">
        <v>2</v>
      </c>
      <c r="P169" s="2">
        <v>1</v>
      </c>
    </row>
    <row r="170" spans="1:16" ht="25.5" hidden="1" x14ac:dyDescent="0.25">
      <c r="A170" s="2" t="s">
        <v>78</v>
      </c>
      <c r="B170" s="2" t="s">
        <v>99</v>
      </c>
      <c r="C170" s="18">
        <v>34</v>
      </c>
      <c r="D170" s="5" t="s">
        <v>103</v>
      </c>
      <c r="E170" s="2"/>
      <c r="F170" s="13"/>
      <c r="G170" s="11" t="s">
        <v>5</v>
      </c>
      <c r="H170" s="12" t="s">
        <v>97</v>
      </c>
      <c r="I170" s="5" t="s">
        <v>96</v>
      </c>
      <c r="J170" s="10" t="s">
        <v>33</v>
      </c>
      <c r="K170" s="6"/>
      <c r="L170" s="12"/>
      <c r="M170" s="13"/>
      <c r="N170" s="13"/>
      <c r="O170" s="3">
        <v>2</v>
      </c>
      <c r="P170" s="2">
        <v>1</v>
      </c>
    </row>
    <row r="171" spans="1:16" ht="25.5" hidden="1" x14ac:dyDescent="0.25">
      <c r="A171" s="2" t="s">
        <v>78</v>
      </c>
      <c r="B171" s="2" t="s">
        <v>99</v>
      </c>
      <c r="C171" s="18">
        <v>35</v>
      </c>
      <c r="D171" s="5" t="s">
        <v>102</v>
      </c>
      <c r="E171" s="2"/>
      <c r="F171" s="13"/>
      <c r="G171" s="11" t="s">
        <v>5</v>
      </c>
      <c r="H171" s="12" t="s">
        <v>97</v>
      </c>
      <c r="I171" s="5" t="s">
        <v>96</v>
      </c>
      <c r="J171" s="10" t="s">
        <v>33</v>
      </c>
      <c r="K171" s="6"/>
      <c r="L171" s="12"/>
      <c r="M171" s="13"/>
      <c r="N171" s="13"/>
      <c r="O171" s="3">
        <v>2</v>
      </c>
      <c r="P171" s="2">
        <v>1</v>
      </c>
    </row>
    <row r="172" spans="1:16" ht="25.5" hidden="1" x14ac:dyDescent="0.25">
      <c r="A172" s="2" t="s">
        <v>78</v>
      </c>
      <c r="B172" s="2" t="s">
        <v>99</v>
      </c>
      <c r="C172" s="18">
        <v>36</v>
      </c>
      <c r="D172" s="5" t="s">
        <v>101</v>
      </c>
      <c r="E172" s="2"/>
      <c r="F172" s="2"/>
      <c r="G172" s="11" t="s">
        <v>5</v>
      </c>
      <c r="H172" s="5" t="s">
        <v>97</v>
      </c>
      <c r="I172" s="5" t="s">
        <v>96</v>
      </c>
      <c r="J172" s="10" t="s">
        <v>33</v>
      </c>
      <c r="K172" s="6"/>
      <c r="L172" s="5"/>
      <c r="M172" s="16"/>
      <c r="N172" s="16"/>
      <c r="O172" s="3">
        <v>2</v>
      </c>
      <c r="P172" s="2">
        <v>1</v>
      </c>
    </row>
    <row r="173" spans="1:16" ht="25.5" hidden="1" x14ac:dyDescent="0.25">
      <c r="A173" s="2" t="s">
        <v>78</v>
      </c>
      <c r="B173" s="2" t="s">
        <v>99</v>
      </c>
      <c r="C173" s="18">
        <v>37</v>
      </c>
      <c r="D173" s="5" t="s">
        <v>100</v>
      </c>
      <c r="E173" s="2"/>
      <c r="F173" s="2"/>
      <c r="G173" s="11" t="s">
        <v>5</v>
      </c>
      <c r="H173" s="5" t="s">
        <v>97</v>
      </c>
      <c r="I173" s="5" t="s">
        <v>96</v>
      </c>
      <c r="J173" s="10" t="s">
        <v>33</v>
      </c>
      <c r="K173" s="6"/>
      <c r="L173" s="5"/>
      <c r="M173" s="16"/>
      <c r="N173" s="16"/>
      <c r="O173" s="3">
        <v>2</v>
      </c>
      <c r="P173" s="2">
        <v>1</v>
      </c>
    </row>
    <row r="174" spans="1:16" ht="25.5" hidden="1" x14ac:dyDescent="0.25">
      <c r="A174" s="2" t="s">
        <v>78</v>
      </c>
      <c r="B174" s="2" t="s">
        <v>99</v>
      </c>
      <c r="C174" s="18">
        <v>38</v>
      </c>
      <c r="D174" s="5" t="s">
        <v>98</v>
      </c>
      <c r="E174" s="2"/>
      <c r="F174" s="2"/>
      <c r="G174" s="11" t="s">
        <v>5</v>
      </c>
      <c r="H174" s="5" t="s">
        <v>97</v>
      </c>
      <c r="I174" s="5" t="s">
        <v>96</v>
      </c>
      <c r="J174" s="10" t="s">
        <v>33</v>
      </c>
      <c r="K174" s="6"/>
      <c r="L174" s="5"/>
      <c r="M174" s="16"/>
      <c r="N174" s="16"/>
      <c r="O174" s="3">
        <v>2</v>
      </c>
      <c r="P174" s="2">
        <v>1</v>
      </c>
    </row>
    <row r="175" spans="1:16" ht="89.25" hidden="1" x14ac:dyDescent="0.25">
      <c r="A175" s="2" t="s">
        <v>78</v>
      </c>
      <c r="B175" s="2" t="s">
        <v>77</v>
      </c>
      <c r="C175" s="2">
        <v>1</v>
      </c>
      <c r="D175" s="5" t="s">
        <v>95</v>
      </c>
      <c r="E175" s="2" t="s">
        <v>94</v>
      </c>
      <c r="F175" s="2">
        <v>90</v>
      </c>
      <c r="G175" s="2" t="s">
        <v>5</v>
      </c>
      <c r="H175" s="12" t="s">
        <v>93</v>
      </c>
      <c r="I175" s="12" t="s">
        <v>85</v>
      </c>
      <c r="J175" s="5" t="s">
        <v>92</v>
      </c>
      <c r="K175" s="6" t="s">
        <v>80</v>
      </c>
      <c r="L175" s="5" t="s">
        <v>84</v>
      </c>
      <c r="M175" s="16" t="s">
        <v>1</v>
      </c>
      <c r="N175" s="16" t="s">
        <v>73</v>
      </c>
      <c r="O175" s="17">
        <v>1</v>
      </c>
      <c r="P175" s="2">
        <v>1</v>
      </c>
    </row>
    <row r="176" spans="1:16" ht="89.25" hidden="1" x14ac:dyDescent="0.25">
      <c r="A176" s="2" t="s">
        <v>78</v>
      </c>
      <c r="B176" s="2" t="s">
        <v>77</v>
      </c>
      <c r="C176" s="2">
        <v>2</v>
      </c>
      <c r="D176" s="5" t="s">
        <v>91</v>
      </c>
      <c r="E176" s="2"/>
      <c r="F176" s="2"/>
      <c r="G176" s="2" t="s">
        <v>5</v>
      </c>
      <c r="H176" s="12" t="s">
        <v>86</v>
      </c>
      <c r="I176" s="12" t="s">
        <v>85</v>
      </c>
      <c r="J176" s="5" t="s">
        <v>81</v>
      </c>
      <c r="K176" s="6" t="s">
        <v>80</v>
      </c>
      <c r="L176" s="5" t="s">
        <v>84</v>
      </c>
      <c r="M176" s="16" t="s">
        <v>1</v>
      </c>
      <c r="N176" s="16" t="s">
        <v>73</v>
      </c>
      <c r="O176" s="17">
        <v>0</v>
      </c>
      <c r="P176" s="2">
        <v>0</v>
      </c>
    </row>
    <row r="177" spans="1:16" ht="89.25" hidden="1" x14ac:dyDescent="0.25">
      <c r="A177" s="2" t="s">
        <v>78</v>
      </c>
      <c r="B177" s="2" t="s">
        <v>77</v>
      </c>
      <c r="C177" s="2">
        <v>3</v>
      </c>
      <c r="D177" s="5" t="s">
        <v>90</v>
      </c>
      <c r="E177" s="2"/>
      <c r="F177" s="2"/>
      <c r="G177" s="2" t="s">
        <v>5</v>
      </c>
      <c r="H177" s="12" t="s">
        <v>86</v>
      </c>
      <c r="I177" s="12" t="s">
        <v>85</v>
      </c>
      <c r="J177" s="5" t="s">
        <v>81</v>
      </c>
      <c r="K177" s="6" t="s">
        <v>80</v>
      </c>
      <c r="L177" s="5" t="s">
        <v>84</v>
      </c>
      <c r="M177" s="16" t="s">
        <v>1</v>
      </c>
      <c r="N177" s="16" t="s">
        <v>73</v>
      </c>
      <c r="O177" s="17">
        <v>0</v>
      </c>
      <c r="P177" s="2">
        <v>0</v>
      </c>
    </row>
    <row r="178" spans="1:16" ht="89.25" hidden="1" x14ac:dyDescent="0.25">
      <c r="A178" s="2" t="s">
        <v>78</v>
      </c>
      <c r="B178" s="2" t="s">
        <v>77</v>
      </c>
      <c r="C178" s="2">
        <v>4</v>
      </c>
      <c r="D178" s="5" t="s">
        <v>89</v>
      </c>
      <c r="E178" s="2"/>
      <c r="F178" s="2"/>
      <c r="G178" s="2" t="s">
        <v>5</v>
      </c>
      <c r="H178" s="12" t="s">
        <v>86</v>
      </c>
      <c r="I178" s="12" t="s">
        <v>85</v>
      </c>
      <c r="J178" s="5" t="s">
        <v>81</v>
      </c>
      <c r="K178" s="6" t="s">
        <v>80</v>
      </c>
      <c r="L178" s="5" t="s">
        <v>84</v>
      </c>
      <c r="M178" s="16" t="s">
        <v>1</v>
      </c>
      <c r="N178" s="16" t="s">
        <v>73</v>
      </c>
      <c r="O178" s="17">
        <v>0</v>
      </c>
      <c r="P178" s="2">
        <v>0</v>
      </c>
    </row>
    <row r="179" spans="1:16" ht="89.25" hidden="1" x14ac:dyDescent="0.25">
      <c r="A179" s="2" t="s">
        <v>78</v>
      </c>
      <c r="B179" s="2" t="s">
        <v>77</v>
      </c>
      <c r="C179" s="2">
        <v>5</v>
      </c>
      <c r="D179" s="5" t="s">
        <v>88</v>
      </c>
      <c r="E179" s="2"/>
      <c r="F179" s="2"/>
      <c r="G179" s="2" t="s">
        <v>5</v>
      </c>
      <c r="H179" s="12" t="s">
        <v>86</v>
      </c>
      <c r="I179" s="12" t="s">
        <v>85</v>
      </c>
      <c r="J179" s="5" t="s">
        <v>81</v>
      </c>
      <c r="K179" s="6" t="s">
        <v>80</v>
      </c>
      <c r="L179" s="5" t="s">
        <v>84</v>
      </c>
      <c r="M179" s="2" t="s">
        <v>1</v>
      </c>
      <c r="N179" s="16" t="s">
        <v>73</v>
      </c>
      <c r="O179" s="3">
        <v>0</v>
      </c>
      <c r="P179" s="2">
        <v>0</v>
      </c>
    </row>
    <row r="180" spans="1:16" ht="89.25" hidden="1" x14ac:dyDescent="0.25">
      <c r="A180" s="2" t="s">
        <v>78</v>
      </c>
      <c r="B180" s="2" t="s">
        <v>77</v>
      </c>
      <c r="C180" s="2">
        <v>6</v>
      </c>
      <c r="D180" s="5" t="s">
        <v>87</v>
      </c>
      <c r="E180" s="2"/>
      <c r="F180" s="2"/>
      <c r="G180" s="2" t="s">
        <v>5</v>
      </c>
      <c r="H180" s="12" t="s">
        <v>86</v>
      </c>
      <c r="I180" s="12" t="s">
        <v>85</v>
      </c>
      <c r="J180" s="5" t="s">
        <v>81</v>
      </c>
      <c r="K180" s="6" t="s">
        <v>80</v>
      </c>
      <c r="L180" s="5" t="s">
        <v>84</v>
      </c>
      <c r="M180" s="2" t="s">
        <v>1</v>
      </c>
      <c r="N180" s="16" t="s">
        <v>73</v>
      </c>
      <c r="O180" s="3">
        <v>0</v>
      </c>
      <c r="P180" s="2">
        <v>0</v>
      </c>
    </row>
    <row r="181" spans="1:16" ht="140.25" x14ac:dyDescent="0.25">
      <c r="A181" s="2" t="s">
        <v>78</v>
      </c>
      <c r="B181" s="2" t="s">
        <v>77</v>
      </c>
      <c r="C181" s="2">
        <v>7</v>
      </c>
      <c r="D181" s="79" t="s">
        <v>83</v>
      </c>
      <c r="E181" s="2"/>
      <c r="F181" s="2"/>
      <c r="G181" s="2" t="s">
        <v>5</v>
      </c>
      <c r="H181" s="12" t="s">
        <v>75</v>
      </c>
      <c r="I181" s="12" t="s">
        <v>82</v>
      </c>
      <c r="J181" s="5" t="s">
        <v>81</v>
      </c>
      <c r="K181" s="6" t="s">
        <v>80</v>
      </c>
      <c r="L181" s="5" t="s">
        <v>79</v>
      </c>
      <c r="M181" s="16" t="s">
        <v>73</v>
      </c>
      <c r="N181" s="16" t="s">
        <v>1</v>
      </c>
      <c r="O181" s="3">
        <v>3</v>
      </c>
      <c r="P181" s="2">
        <v>0</v>
      </c>
    </row>
    <row r="182" spans="1:16" ht="140.25" x14ac:dyDescent="0.25">
      <c r="A182" s="2" t="s">
        <v>78</v>
      </c>
      <c r="B182" s="2" t="s">
        <v>77</v>
      </c>
      <c r="C182" s="2">
        <v>8</v>
      </c>
      <c r="D182" s="5" t="s">
        <v>76</v>
      </c>
      <c r="E182" s="2"/>
      <c r="F182" s="2"/>
      <c r="G182" s="2" t="s">
        <v>5</v>
      </c>
      <c r="H182" s="12" t="s">
        <v>75</v>
      </c>
      <c r="I182" s="12" t="s">
        <v>74</v>
      </c>
      <c r="J182" s="5"/>
      <c r="K182" s="6"/>
      <c r="L182" s="5"/>
      <c r="M182" s="16" t="s">
        <v>73</v>
      </c>
      <c r="N182" s="16" t="s">
        <v>1</v>
      </c>
      <c r="O182" s="3">
        <v>3</v>
      </c>
      <c r="P182" s="2">
        <v>0</v>
      </c>
    </row>
    <row r="183" spans="1:16" ht="102" x14ac:dyDescent="0.25">
      <c r="A183" s="2" t="s">
        <v>8</v>
      </c>
      <c r="B183" s="2" t="s">
        <v>38</v>
      </c>
      <c r="C183" s="2">
        <v>1</v>
      </c>
      <c r="D183" s="9" t="s">
        <v>72</v>
      </c>
      <c r="E183" s="2" t="s">
        <v>71</v>
      </c>
      <c r="F183" s="2">
        <v>95</v>
      </c>
      <c r="G183" s="2" t="s">
        <v>5</v>
      </c>
      <c r="H183" s="8" t="s">
        <v>35</v>
      </c>
      <c r="I183" s="8" t="s">
        <v>68</v>
      </c>
      <c r="J183" s="10" t="s">
        <v>50</v>
      </c>
      <c r="K183" s="15"/>
      <c r="L183" s="8" t="s">
        <v>32</v>
      </c>
      <c r="M183" s="4" t="s">
        <v>63</v>
      </c>
      <c r="N183" s="4" t="s">
        <v>1</v>
      </c>
      <c r="O183" s="3">
        <v>3</v>
      </c>
      <c r="P183" s="2">
        <v>0</v>
      </c>
    </row>
    <row r="184" spans="1:16" ht="102" x14ac:dyDescent="0.25">
      <c r="A184" s="2" t="s">
        <v>8</v>
      </c>
      <c r="B184" s="2" t="s">
        <v>38</v>
      </c>
      <c r="C184" s="2">
        <v>2</v>
      </c>
      <c r="D184" s="9" t="s">
        <v>70</v>
      </c>
      <c r="E184" s="2" t="s">
        <v>69</v>
      </c>
      <c r="F184" s="2">
        <v>95</v>
      </c>
      <c r="G184" s="2" t="s">
        <v>5</v>
      </c>
      <c r="H184" s="8" t="s">
        <v>35</v>
      </c>
      <c r="I184" s="8" t="s">
        <v>68</v>
      </c>
      <c r="J184" s="10" t="s">
        <v>50</v>
      </c>
      <c r="K184" s="15"/>
      <c r="L184" s="8" t="s">
        <v>32</v>
      </c>
      <c r="M184" s="4" t="s">
        <v>63</v>
      </c>
      <c r="N184" s="4" t="s">
        <v>1</v>
      </c>
      <c r="O184" s="3">
        <v>3</v>
      </c>
      <c r="P184" s="2">
        <v>0</v>
      </c>
    </row>
    <row r="185" spans="1:16" ht="102" x14ac:dyDescent="0.25">
      <c r="A185" s="2" t="s">
        <v>8</v>
      </c>
      <c r="B185" s="2" t="s">
        <v>38</v>
      </c>
      <c r="C185" s="2">
        <v>3</v>
      </c>
      <c r="D185" s="9" t="s">
        <v>67</v>
      </c>
      <c r="E185" s="2" t="s">
        <v>66</v>
      </c>
      <c r="F185" s="2">
        <v>95</v>
      </c>
      <c r="G185" s="2" t="s">
        <v>5</v>
      </c>
      <c r="H185" s="8" t="s">
        <v>65</v>
      </c>
      <c r="I185" s="8" t="s">
        <v>64</v>
      </c>
      <c r="J185" s="10" t="s">
        <v>50</v>
      </c>
      <c r="K185" s="15"/>
      <c r="L185" s="8" t="s">
        <v>32</v>
      </c>
      <c r="M185" s="4" t="s">
        <v>63</v>
      </c>
      <c r="N185" s="4" t="s">
        <v>30</v>
      </c>
      <c r="O185" s="3">
        <v>3</v>
      </c>
      <c r="P185" s="2">
        <v>0</v>
      </c>
    </row>
    <row r="186" spans="1:16" ht="102" x14ac:dyDescent="0.25">
      <c r="A186" s="2" t="s">
        <v>8</v>
      </c>
      <c r="B186" s="2" t="s">
        <v>38</v>
      </c>
      <c r="C186" s="2">
        <v>4</v>
      </c>
      <c r="D186" s="9" t="s">
        <v>62</v>
      </c>
      <c r="E186" s="2" t="s">
        <v>61</v>
      </c>
      <c r="F186" s="2">
        <v>100</v>
      </c>
      <c r="G186" s="2" t="s">
        <v>5</v>
      </c>
      <c r="H186" s="8" t="s">
        <v>52</v>
      </c>
      <c r="I186" s="8" t="s">
        <v>58</v>
      </c>
      <c r="J186" s="10" t="s">
        <v>50</v>
      </c>
      <c r="K186" s="6"/>
      <c r="L186" s="8" t="s">
        <v>32</v>
      </c>
      <c r="M186" s="4" t="s">
        <v>57</v>
      </c>
      <c r="N186" s="4" t="s">
        <v>48</v>
      </c>
      <c r="O186" s="3">
        <v>3</v>
      </c>
      <c r="P186" s="2">
        <v>0</v>
      </c>
    </row>
    <row r="187" spans="1:16" ht="102" x14ac:dyDescent="0.25">
      <c r="A187" s="2" t="s">
        <v>8</v>
      </c>
      <c r="B187" s="2" t="s">
        <v>38</v>
      </c>
      <c r="C187" s="2">
        <v>5</v>
      </c>
      <c r="D187" s="9" t="s">
        <v>60</v>
      </c>
      <c r="E187" s="2" t="s">
        <v>59</v>
      </c>
      <c r="F187" s="2">
        <v>100</v>
      </c>
      <c r="G187" s="2" t="s">
        <v>5</v>
      </c>
      <c r="H187" s="8" t="s">
        <v>52</v>
      </c>
      <c r="I187" s="8" t="s">
        <v>58</v>
      </c>
      <c r="J187" s="10" t="s">
        <v>50</v>
      </c>
      <c r="K187" s="6"/>
      <c r="L187" s="8" t="s">
        <v>32</v>
      </c>
      <c r="M187" s="4" t="s">
        <v>57</v>
      </c>
      <c r="N187" s="4" t="s">
        <v>48</v>
      </c>
      <c r="O187" s="3">
        <v>3</v>
      </c>
      <c r="P187" s="2">
        <v>0</v>
      </c>
    </row>
    <row r="188" spans="1:16" ht="102" x14ac:dyDescent="0.25">
      <c r="A188" s="2" t="s">
        <v>8</v>
      </c>
      <c r="B188" s="2" t="s">
        <v>38</v>
      </c>
      <c r="C188" s="2">
        <v>6</v>
      </c>
      <c r="D188" s="9" t="s">
        <v>56</v>
      </c>
      <c r="E188" s="2" t="s">
        <v>55</v>
      </c>
      <c r="F188" s="2">
        <v>105</v>
      </c>
      <c r="G188" s="2" t="s">
        <v>5</v>
      </c>
      <c r="H188" s="8" t="s">
        <v>52</v>
      </c>
      <c r="I188" s="8" t="s">
        <v>51</v>
      </c>
      <c r="J188" s="10" t="s">
        <v>50</v>
      </c>
      <c r="K188" s="6"/>
      <c r="L188" s="8" t="s">
        <v>32</v>
      </c>
      <c r="M188" s="4" t="s">
        <v>49</v>
      </c>
      <c r="N188" s="4" t="s">
        <v>48</v>
      </c>
      <c r="O188" s="3">
        <v>3</v>
      </c>
      <c r="P188" s="2">
        <v>0</v>
      </c>
    </row>
    <row r="189" spans="1:16" ht="102" x14ac:dyDescent="0.25">
      <c r="A189" s="2" t="s">
        <v>8</v>
      </c>
      <c r="B189" s="2" t="s">
        <v>38</v>
      </c>
      <c r="C189" s="2">
        <v>7</v>
      </c>
      <c r="D189" s="9" t="s">
        <v>54</v>
      </c>
      <c r="E189" s="2" t="s">
        <v>53</v>
      </c>
      <c r="F189" s="2">
        <v>100</v>
      </c>
      <c r="G189" s="2" t="s">
        <v>5</v>
      </c>
      <c r="H189" s="8" t="s">
        <v>52</v>
      </c>
      <c r="I189" s="8" t="s">
        <v>51</v>
      </c>
      <c r="J189" s="10" t="s">
        <v>50</v>
      </c>
      <c r="K189" s="6"/>
      <c r="L189" s="8" t="s">
        <v>32</v>
      </c>
      <c r="M189" s="4" t="s">
        <v>49</v>
      </c>
      <c r="N189" s="4" t="s">
        <v>48</v>
      </c>
      <c r="O189" s="3">
        <v>3</v>
      </c>
      <c r="P189" s="2">
        <v>0</v>
      </c>
    </row>
    <row r="190" spans="1:16" ht="25.5" x14ac:dyDescent="0.25">
      <c r="A190" s="2" t="s">
        <v>8</v>
      </c>
      <c r="B190" s="2" t="s">
        <v>38</v>
      </c>
      <c r="C190" s="2">
        <v>8</v>
      </c>
      <c r="D190" s="14" t="s">
        <v>47</v>
      </c>
      <c r="E190" s="2"/>
      <c r="F190" s="2"/>
      <c r="G190" s="2" t="s">
        <v>5</v>
      </c>
      <c r="H190" s="8" t="s">
        <v>20</v>
      </c>
      <c r="I190" s="8" t="s">
        <v>46</v>
      </c>
      <c r="J190" s="7" t="s">
        <v>2</v>
      </c>
      <c r="K190" s="6"/>
      <c r="L190" s="8"/>
      <c r="M190" s="4" t="s">
        <v>1</v>
      </c>
      <c r="N190" s="4" t="s">
        <v>45</v>
      </c>
      <c r="O190" s="3">
        <v>3</v>
      </c>
      <c r="P190" s="2">
        <v>0</v>
      </c>
    </row>
    <row r="191" spans="1:16" ht="51" x14ac:dyDescent="0.25">
      <c r="A191" s="2" t="s">
        <v>8</v>
      </c>
      <c r="B191" s="2" t="s">
        <v>38</v>
      </c>
      <c r="C191" s="2">
        <v>9</v>
      </c>
      <c r="D191" s="79" t="s">
        <v>44</v>
      </c>
      <c r="E191" s="2" t="s">
        <v>43</v>
      </c>
      <c r="F191" s="13">
        <v>165</v>
      </c>
      <c r="G191" s="11" t="s">
        <v>5</v>
      </c>
      <c r="H191" s="12" t="s">
        <v>42</v>
      </c>
      <c r="I191" s="5" t="s">
        <v>41</v>
      </c>
      <c r="J191" s="10" t="s">
        <v>33</v>
      </c>
      <c r="K191" s="6"/>
      <c r="L191" s="12"/>
      <c r="M191" s="2" t="s">
        <v>40</v>
      </c>
      <c r="N191" s="2" t="s">
        <v>39</v>
      </c>
      <c r="O191" s="3">
        <v>3</v>
      </c>
      <c r="P191" s="2">
        <v>0</v>
      </c>
    </row>
    <row r="192" spans="1:16" ht="102" x14ac:dyDescent="0.25">
      <c r="A192" s="2" t="s">
        <v>8</v>
      </c>
      <c r="B192" s="2" t="s">
        <v>38</v>
      </c>
      <c r="C192" s="2">
        <v>10</v>
      </c>
      <c r="D192" s="5" t="s">
        <v>37</v>
      </c>
      <c r="E192" s="2" t="s">
        <v>36</v>
      </c>
      <c r="F192" s="2">
        <v>84</v>
      </c>
      <c r="G192" s="11" t="s">
        <v>5</v>
      </c>
      <c r="H192" s="5" t="s">
        <v>35</v>
      </c>
      <c r="I192" s="5" t="s">
        <v>34</v>
      </c>
      <c r="J192" s="10" t="s">
        <v>33</v>
      </c>
      <c r="K192" s="6"/>
      <c r="L192" s="8" t="s">
        <v>32</v>
      </c>
      <c r="M192" s="4" t="s">
        <v>31</v>
      </c>
      <c r="N192" s="4" t="s">
        <v>30</v>
      </c>
      <c r="O192" s="3">
        <v>3</v>
      </c>
      <c r="P192" s="2">
        <v>0</v>
      </c>
    </row>
    <row r="193" spans="1:16" ht="127.5" x14ac:dyDescent="0.25">
      <c r="A193" s="2" t="s">
        <v>8</v>
      </c>
      <c r="B193" s="2" t="s">
        <v>15</v>
      </c>
      <c r="C193" s="2">
        <v>1</v>
      </c>
      <c r="D193" s="9" t="s">
        <v>29</v>
      </c>
      <c r="E193" s="2"/>
      <c r="F193" s="2"/>
      <c r="G193" s="2" t="s">
        <v>5</v>
      </c>
      <c r="H193" s="8" t="s">
        <v>27</v>
      </c>
      <c r="I193" s="8" t="s">
        <v>26</v>
      </c>
      <c r="J193" s="7" t="s">
        <v>2</v>
      </c>
      <c r="K193" s="6"/>
      <c r="L193" s="5" t="s">
        <v>25</v>
      </c>
      <c r="M193" s="4" t="s">
        <v>1</v>
      </c>
      <c r="N193" s="4" t="s">
        <v>1</v>
      </c>
      <c r="O193" s="3">
        <v>3</v>
      </c>
      <c r="P193" s="2">
        <v>0</v>
      </c>
    </row>
    <row r="194" spans="1:16" ht="127.5" x14ac:dyDescent="0.25">
      <c r="A194" s="2" t="s">
        <v>8</v>
      </c>
      <c r="B194" s="2" t="s">
        <v>15</v>
      </c>
      <c r="C194" s="2">
        <v>2</v>
      </c>
      <c r="D194" s="9" t="s">
        <v>28</v>
      </c>
      <c r="E194" s="2"/>
      <c r="F194" s="2"/>
      <c r="G194" s="2" t="s">
        <v>5</v>
      </c>
      <c r="H194" s="8" t="s">
        <v>27</v>
      </c>
      <c r="I194" s="8" t="s">
        <v>26</v>
      </c>
      <c r="J194" s="7" t="s">
        <v>2</v>
      </c>
      <c r="K194" s="6"/>
      <c r="L194" s="5" t="s">
        <v>25</v>
      </c>
      <c r="M194" s="4" t="s">
        <v>1</v>
      </c>
      <c r="N194" s="4" t="s">
        <v>1</v>
      </c>
      <c r="O194" s="3">
        <v>3</v>
      </c>
      <c r="P194" s="2">
        <v>0</v>
      </c>
    </row>
    <row r="195" spans="1:16" ht="38.25" x14ac:dyDescent="0.25">
      <c r="A195" s="2" t="s">
        <v>8</v>
      </c>
      <c r="B195" s="2" t="s">
        <v>15</v>
      </c>
      <c r="C195" s="2">
        <v>3</v>
      </c>
      <c r="D195" s="9" t="s">
        <v>24</v>
      </c>
      <c r="E195" s="2"/>
      <c r="F195" s="2"/>
      <c r="G195" s="2" t="s">
        <v>21</v>
      </c>
      <c r="H195" s="8" t="s">
        <v>20</v>
      </c>
      <c r="I195" s="8" t="s">
        <v>19</v>
      </c>
      <c r="J195" s="7" t="s">
        <v>2</v>
      </c>
      <c r="K195" s="6"/>
      <c r="L195" s="5"/>
      <c r="M195" s="4" t="s">
        <v>1</v>
      </c>
      <c r="N195" s="4" t="s">
        <v>18</v>
      </c>
      <c r="O195" s="3">
        <v>3</v>
      </c>
      <c r="P195" s="2">
        <v>0</v>
      </c>
    </row>
    <row r="196" spans="1:16" ht="38.25" hidden="1" x14ac:dyDescent="0.25">
      <c r="A196" s="2" t="s">
        <v>8</v>
      </c>
      <c r="B196" s="2" t="s">
        <v>15</v>
      </c>
      <c r="C196" s="2">
        <v>4</v>
      </c>
      <c r="D196" s="78" t="s">
        <v>23</v>
      </c>
      <c r="E196" s="2"/>
      <c r="F196" s="2"/>
      <c r="G196" s="2" t="s">
        <v>21</v>
      </c>
      <c r="H196" s="8" t="s">
        <v>20</v>
      </c>
      <c r="I196" s="8" t="s">
        <v>19</v>
      </c>
      <c r="J196" s="7" t="s">
        <v>2</v>
      </c>
      <c r="K196" s="6"/>
      <c r="L196" s="5"/>
      <c r="M196" s="4" t="s">
        <v>1</v>
      </c>
      <c r="N196" s="4" t="s">
        <v>18</v>
      </c>
      <c r="O196" s="3">
        <v>0</v>
      </c>
      <c r="P196" s="2">
        <v>0</v>
      </c>
    </row>
    <row r="197" spans="1:16" ht="38.25" hidden="1" x14ac:dyDescent="0.25">
      <c r="A197" s="2" t="s">
        <v>8</v>
      </c>
      <c r="B197" s="2" t="s">
        <v>15</v>
      </c>
      <c r="C197" s="2">
        <v>5</v>
      </c>
      <c r="D197" s="78" t="s">
        <v>22</v>
      </c>
      <c r="E197" s="2"/>
      <c r="F197" s="2"/>
      <c r="G197" s="2" t="s">
        <v>21</v>
      </c>
      <c r="H197" s="8" t="s">
        <v>20</v>
      </c>
      <c r="I197" s="8" t="s">
        <v>19</v>
      </c>
      <c r="J197" s="7" t="s">
        <v>2</v>
      </c>
      <c r="K197" s="6"/>
      <c r="L197" s="5"/>
      <c r="M197" s="4" t="s">
        <v>1</v>
      </c>
      <c r="N197" s="4" t="s">
        <v>18</v>
      </c>
      <c r="O197" s="3">
        <v>0</v>
      </c>
      <c r="P197" s="2">
        <v>0</v>
      </c>
    </row>
    <row r="198" spans="1:16" ht="51" x14ac:dyDescent="0.25">
      <c r="A198" s="2" t="s">
        <v>8</v>
      </c>
      <c r="B198" s="2" t="s">
        <v>15</v>
      </c>
      <c r="C198" s="2">
        <v>6</v>
      </c>
      <c r="D198" s="78" t="s">
        <v>17</v>
      </c>
      <c r="E198" s="2" t="s">
        <v>16</v>
      </c>
      <c r="F198" s="2">
        <v>420</v>
      </c>
      <c r="G198" s="2" t="s">
        <v>5</v>
      </c>
      <c r="H198" s="8" t="s">
        <v>12</v>
      </c>
      <c r="I198" s="8" t="s">
        <v>11</v>
      </c>
      <c r="J198" s="7" t="s">
        <v>2</v>
      </c>
      <c r="K198" s="6"/>
      <c r="L198" s="5"/>
      <c r="M198" s="4" t="s">
        <v>10</v>
      </c>
      <c r="N198" s="4" t="s">
        <v>9</v>
      </c>
      <c r="O198" s="3">
        <v>3</v>
      </c>
      <c r="P198" s="2">
        <v>0</v>
      </c>
    </row>
    <row r="199" spans="1:16" ht="51" x14ac:dyDescent="0.25">
      <c r="A199" s="2" t="s">
        <v>8</v>
      </c>
      <c r="B199" s="2" t="s">
        <v>15</v>
      </c>
      <c r="C199" s="2">
        <v>7</v>
      </c>
      <c r="D199" s="78" t="s">
        <v>14</v>
      </c>
      <c r="E199" s="2" t="s">
        <v>13</v>
      </c>
      <c r="F199" s="2">
        <v>520</v>
      </c>
      <c r="G199" s="2" t="s">
        <v>5</v>
      </c>
      <c r="H199" s="8" t="s">
        <v>12</v>
      </c>
      <c r="I199" s="8" t="s">
        <v>11</v>
      </c>
      <c r="J199" s="7" t="s">
        <v>2</v>
      </c>
      <c r="K199" s="6"/>
      <c r="L199" s="5"/>
      <c r="M199" s="4" t="s">
        <v>10</v>
      </c>
      <c r="N199" s="4" t="s">
        <v>9</v>
      </c>
      <c r="O199" s="3">
        <v>3</v>
      </c>
      <c r="P199" s="2">
        <v>0</v>
      </c>
    </row>
    <row r="200" spans="1:16" ht="38.25" x14ac:dyDescent="0.25">
      <c r="A200" s="2" t="s">
        <v>8</v>
      </c>
      <c r="B200" s="2" t="s">
        <v>7</v>
      </c>
      <c r="C200" s="2">
        <v>1</v>
      </c>
      <c r="D200" s="9" t="s">
        <v>6</v>
      </c>
      <c r="E200" s="2"/>
      <c r="F200" s="2"/>
      <c r="G200" s="2" t="s">
        <v>5</v>
      </c>
      <c r="H200" s="8" t="s">
        <v>4</v>
      </c>
      <c r="I200" s="8" t="s">
        <v>3</v>
      </c>
      <c r="J200" s="7" t="s">
        <v>2</v>
      </c>
      <c r="K200" s="6"/>
      <c r="L200" s="5"/>
      <c r="M200" s="4" t="s">
        <v>1</v>
      </c>
      <c r="N200" s="4" t="s">
        <v>0</v>
      </c>
      <c r="O200" s="3">
        <v>3</v>
      </c>
      <c r="P200" s="2">
        <v>0</v>
      </c>
    </row>
  </sheetData>
  <autoFilter ref="A1:P200" xr:uid="{2E7E5665-65B0-4848-829A-A9CE12892BC3}">
    <filterColumn colId="14">
      <filters>
        <filter val="3"/>
      </filters>
    </filterColumn>
  </autoFilter>
  <mergeCells count="13">
    <mergeCell ref="H124:H126"/>
    <mergeCell ref="I124:I126"/>
    <mergeCell ref="J125:J126"/>
    <mergeCell ref="H131:H132"/>
    <mergeCell ref="I131:I132"/>
    <mergeCell ref="I24:I32"/>
    <mergeCell ref="J24:J25"/>
    <mergeCell ref="I33:I36"/>
    <mergeCell ref="I93:I97"/>
    <mergeCell ref="J93:J97"/>
    <mergeCell ref="H98:H99"/>
    <mergeCell ref="I98:I99"/>
    <mergeCell ref="J98:J99"/>
  </mergeCells>
  <conditionalFormatting sqref="F80:G80">
    <cfRule type="containsText" dxfId="2" priority="1" operator="containsText" text="x">
      <formula>NOT(ISERROR(SEARCH("x",F80)))</formula>
    </cfRule>
  </conditionalFormatting>
  <conditionalFormatting sqref="J1:J24 J26:J70 J73:J78 J80:J86 J88:J97 J100:J114 J129:J200">
    <cfRule type="containsText" dxfId="1" priority="2" operator="containsText" text="5302">
      <formula>NOT(ISERROR(SEARCH("5302",J1)))</formula>
    </cfRule>
  </conditionalFormatting>
  <conditionalFormatting sqref="J119:J122 J124:J125">
    <cfRule type="containsText" dxfId="0" priority="3" operator="containsText" text="5302">
      <formula>NOT(ISERROR(SEARCH("5302",J119)))</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LimitesImport</vt:lpstr>
      <vt:lpstr>Restricciones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Lindo</dc:creator>
  <cp:lastModifiedBy>Daniel Lindo</cp:lastModifiedBy>
  <dcterms:created xsi:type="dcterms:W3CDTF">2026-08-31T00:59:36Z</dcterms:created>
  <dcterms:modified xsi:type="dcterms:W3CDTF">2026-08-31T01:43:04Z</dcterms:modified>
</cp:coreProperties>
</file>