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5_Renovables\"/>
    </mc:Choice>
  </mc:AlternateContent>
  <xr:revisionPtr revIDLastSave="0" documentId="13_ncr:1_{FA9708DC-C759-4413-8DCE-B00110AB9A97}" xr6:coauthVersionLast="47" xr6:coauthVersionMax="47" xr10:uidLastSave="{00000000-0000-0000-0000-000000000000}"/>
  <bookViews>
    <workbookView xWindow="-120" yWindow="-120" windowWidth="29040" windowHeight="15720" firstSheet="5" activeTab="6" xr2:uid="{00000000-000D-0000-FFFF-FFFF00000000}"/>
  </bookViews>
  <sheets>
    <sheet name="Inventario_Columnas" sheetId="1" state="hidden" r:id="rId1"/>
    <sheet name="Generadores" sheetId="2" state="hidden" r:id="rId2"/>
    <sheet name="Térmica" sheetId="15" r:id="rId3"/>
    <sheet name="Hidraulica_01" sheetId="22" r:id="rId4"/>
    <sheet name="Hidraulica_02" sheetId="21" r:id="rId5"/>
    <sheet name="Hidraulica_03" sheetId="16" r:id="rId6"/>
    <sheet name="Demanda_Real" sheetId="23" r:id="rId7"/>
    <sheet name="Demanda_OR" sheetId="24" r:id="rId8"/>
    <sheet name="Renovables" sheetId="19" r:id="rId9"/>
    <sheet name="Renovables_traz" sheetId="3" r:id="rId10"/>
    <sheet name="Detalle_Unidades" sheetId="4" r:id="rId11"/>
    <sheet name="Auditoria_Hidraulica" sheetId="10" r:id="rId12"/>
    <sheet name="Trazabilidad" sheetId="7" r:id="rId13"/>
    <sheet name="Sin_Subarea" sheetId="5" state="hidden" r:id="rId14"/>
    <sheet name="Cadenas_Hidraulicas" sheetId="6" r:id="rId15"/>
    <sheet name="Capacidad_Subareas_18" sheetId="8" r:id="rId16"/>
    <sheet name="Renovables_Subareas" sheetId="9" r:id="rId17"/>
    <sheet name="Costos_Ordenados" sheetId="11" r:id="rId18"/>
    <sheet name="Conciliacion_Capacidad" sheetId="12" state="hidden" r:id="rId19"/>
    <sheet name="Notas_Fase1b" sheetId="13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1" hidden="1">Auditoria_Hidraulica!$A$1:$K$120</definedName>
    <definedName name="_xlnm._FilterDatabase" localSheetId="14" hidden="1">Cadenas_Hidraulicas!$A$1:$L$8</definedName>
    <definedName name="_xlnm._FilterDatabase" localSheetId="15" hidden="1">Capacidad_Subareas_18!$A$1:$H$19</definedName>
    <definedName name="_xlnm._FilterDatabase" localSheetId="18" hidden="1">Conciliacion_Capacidad!$A$1:$D$8</definedName>
    <definedName name="_xlnm._FilterDatabase" localSheetId="17" hidden="1">Costos_Ordenados!$A$1:$K$27</definedName>
    <definedName name="_xlnm._FilterDatabase" localSheetId="10" hidden="1">Detalle_Unidades!$A$1:$Y$900</definedName>
    <definedName name="_xlnm._FilterDatabase" localSheetId="1" hidden="1">Generadores!$A$1:$U$27</definedName>
    <definedName name="_xlnm._FilterDatabase" localSheetId="5" hidden="1">Hidraulica_03!$A$4:$R$40</definedName>
    <definedName name="_xlnm._FilterDatabase" localSheetId="0" hidden="1">Inventario_Columnas!$A$1:$L$501</definedName>
    <definedName name="_xlnm._FilterDatabase" localSheetId="19" hidden="1">Notas_Fase1b!$A$1:$D$9</definedName>
    <definedName name="_xlnm._FilterDatabase" localSheetId="16" hidden="1">Renovables_Subareas!$A$1:$I$19</definedName>
    <definedName name="_xlnm._FilterDatabase" localSheetId="9" hidden="1">Renovables_traz!$A$1:$T$353</definedName>
    <definedName name="_xlnm._FilterDatabase" localSheetId="13" hidden="1">Sin_Subarea!$A$1:$J$1</definedName>
    <definedName name="_xlnm._FilterDatabase" localSheetId="12" hidden="1">Trazabilidad!$A$1:$I$99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9" l="1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56" i="19"/>
  <c r="M6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18" i="16"/>
  <c r="I8" i="16"/>
  <c r="I9" i="16"/>
  <c r="I10" i="16"/>
  <c r="I11" i="16"/>
  <c r="I12" i="16"/>
  <c r="I13" i="16"/>
  <c r="I14" i="16"/>
  <c r="I15" i="16"/>
  <c r="I16" i="16"/>
  <c r="I17" i="16"/>
  <c r="I7" i="16"/>
  <c r="I6" i="16"/>
  <c r="J6" i="16" s="1"/>
  <c r="O38" i="16"/>
  <c r="O37" i="16"/>
  <c r="O24" i="16"/>
  <c r="O23" i="16"/>
  <c r="O19" i="16"/>
  <c r="O9" i="16"/>
  <c r="O8" i="16"/>
  <c r="J2" i="16"/>
  <c r="E6" i="16"/>
  <c r="F6" i="16"/>
  <c r="E7" i="16"/>
  <c r="F7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M7" i="16"/>
  <c r="M8" i="16"/>
  <c r="M9" i="16"/>
  <c r="M10" i="16"/>
  <c r="M11" i="16"/>
  <c r="M12" i="16"/>
  <c r="M13" i="16"/>
  <c r="M14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O7" i="16"/>
  <c r="O10" i="16"/>
  <c r="O11" i="16"/>
  <c r="O12" i="16"/>
  <c r="O13" i="16"/>
  <c r="O14" i="16"/>
  <c r="O15" i="16"/>
  <c r="O16" i="16"/>
  <c r="O17" i="16"/>
  <c r="O18" i="16"/>
  <c r="O20" i="16"/>
  <c r="O21" i="16"/>
  <c r="O22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9" i="16"/>
  <c r="O40" i="16"/>
  <c r="O6" i="16"/>
  <c r="O124" i="22"/>
  <c r="I124" i="22"/>
  <c r="J124" i="22" s="1"/>
  <c r="G124" i="22"/>
  <c r="F124" i="22" s="1"/>
  <c r="O123" i="22"/>
  <c r="I123" i="22"/>
  <c r="J123" i="22" s="1"/>
  <c r="G123" i="22"/>
  <c r="F123" i="22" s="1"/>
  <c r="O122" i="22"/>
  <c r="I122" i="22"/>
  <c r="J122" i="22" s="1"/>
  <c r="G122" i="22"/>
  <c r="O121" i="22"/>
  <c r="I121" i="22"/>
  <c r="J121" i="22" s="1"/>
  <c r="G121" i="22"/>
  <c r="O120" i="22"/>
  <c r="I120" i="22"/>
  <c r="J120" i="22" s="1"/>
  <c r="G120" i="22"/>
  <c r="O119" i="22"/>
  <c r="I119" i="22"/>
  <c r="J119" i="22" s="1"/>
  <c r="G119" i="22"/>
  <c r="O118" i="22"/>
  <c r="I118" i="22"/>
  <c r="J118" i="22" s="1"/>
  <c r="G118" i="22"/>
  <c r="O117" i="22"/>
  <c r="I117" i="22"/>
  <c r="J117" i="22" s="1"/>
  <c r="G117" i="22"/>
  <c r="O116" i="22"/>
  <c r="I116" i="22"/>
  <c r="J116" i="22" s="1"/>
  <c r="G116" i="22"/>
  <c r="O115" i="22"/>
  <c r="I115" i="22"/>
  <c r="J115" i="22" s="1"/>
  <c r="G115" i="22"/>
  <c r="O114" i="22"/>
  <c r="I114" i="22"/>
  <c r="J114" i="22" s="1"/>
  <c r="G114" i="22"/>
  <c r="O113" i="22"/>
  <c r="I113" i="22"/>
  <c r="J113" i="22" s="1"/>
  <c r="G113" i="22"/>
  <c r="O112" i="22"/>
  <c r="I112" i="22"/>
  <c r="J112" i="22" s="1"/>
  <c r="G112" i="22"/>
  <c r="O111" i="22"/>
  <c r="I111" i="22"/>
  <c r="J111" i="22" s="1"/>
  <c r="G111" i="22"/>
  <c r="O110" i="22"/>
  <c r="I110" i="22"/>
  <c r="J110" i="22" s="1"/>
  <c r="G110" i="22"/>
  <c r="O109" i="22"/>
  <c r="I109" i="22"/>
  <c r="J109" i="22" s="1"/>
  <c r="G109" i="22"/>
  <c r="O108" i="22"/>
  <c r="I108" i="22"/>
  <c r="J108" i="22" s="1"/>
  <c r="G108" i="22"/>
  <c r="O107" i="22"/>
  <c r="I107" i="22"/>
  <c r="J107" i="22" s="1"/>
  <c r="G107" i="22"/>
  <c r="O106" i="22"/>
  <c r="I106" i="22"/>
  <c r="J106" i="22" s="1"/>
  <c r="G106" i="22"/>
  <c r="O105" i="22"/>
  <c r="I105" i="22"/>
  <c r="J105" i="22" s="1"/>
  <c r="G105" i="22"/>
  <c r="O104" i="22"/>
  <c r="I104" i="22"/>
  <c r="J104" i="22" s="1"/>
  <c r="G104" i="22"/>
  <c r="O103" i="22"/>
  <c r="I103" i="22"/>
  <c r="J103" i="22" s="1"/>
  <c r="G103" i="22"/>
  <c r="O102" i="22"/>
  <c r="I102" i="22"/>
  <c r="J102" i="22" s="1"/>
  <c r="G102" i="22"/>
  <c r="O101" i="22"/>
  <c r="I101" i="22"/>
  <c r="J101" i="22" s="1"/>
  <c r="G101" i="22"/>
  <c r="O100" i="22"/>
  <c r="I100" i="22"/>
  <c r="J100" i="22" s="1"/>
  <c r="G100" i="22"/>
  <c r="O99" i="22"/>
  <c r="I99" i="22"/>
  <c r="J99" i="22" s="1"/>
  <c r="G99" i="22"/>
  <c r="O98" i="22"/>
  <c r="I98" i="22"/>
  <c r="J98" i="22" s="1"/>
  <c r="G98" i="22"/>
  <c r="O97" i="22"/>
  <c r="I97" i="22"/>
  <c r="J97" i="22" s="1"/>
  <c r="G97" i="22"/>
  <c r="O96" i="22"/>
  <c r="I96" i="22"/>
  <c r="J96" i="22" s="1"/>
  <c r="G96" i="22"/>
  <c r="O95" i="22"/>
  <c r="I95" i="22"/>
  <c r="J95" i="22" s="1"/>
  <c r="G95" i="22"/>
  <c r="O94" i="22"/>
  <c r="I94" i="22"/>
  <c r="J94" i="22" s="1"/>
  <c r="G94" i="22"/>
  <c r="O93" i="22"/>
  <c r="I93" i="22"/>
  <c r="J93" i="22" s="1"/>
  <c r="G93" i="22"/>
  <c r="O92" i="22"/>
  <c r="I92" i="22"/>
  <c r="J92" i="22" s="1"/>
  <c r="G92" i="22"/>
  <c r="O91" i="22"/>
  <c r="I91" i="22"/>
  <c r="J91" i="22" s="1"/>
  <c r="G91" i="22"/>
  <c r="O90" i="22"/>
  <c r="I90" i="22"/>
  <c r="J90" i="22" s="1"/>
  <c r="G90" i="22"/>
  <c r="O89" i="22"/>
  <c r="I89" i="22"/>
  <c r="J89" i="22" s="1"/>
  <c r="G89" i="22"/>
  <c r="O88" i="22"/>
  <c r="I88" i="22"/>
  <c r="J88" i="22" s="1"/>
  <c r="G88" i="22"/>
  <c r="O87" i="22"/>
  <c r="I87" i="22"/>
  <c r="J87" i="22" s="1"/>
  <c r="G87" i="22"/>
  <c r="O86" i="22"/>
  <c r="I86" i="22"/>
  <c r="J86" i="22" s="1"/>
  <c r="G86" i="22"/>
  <c r="O85" i="22"/>
  <c r="I85" i="22"/>
  <c r="J85" i="22" s="1"/>
  <c r="G85" i="22"/>
  <c r="O84" i="22"/>
  <c r="I84" i="22"/>
  <c r="J84" i="22" s="1"/>
  <c r="G84" i="22"/>
  <c r="O83" i="22"/>
  <c r="I83" i="22"/>
  <c r="J83" i="22" s="1"/>
  <c r="G83" i="22"/>
  <c r="O82" i="22"/>
  <c r="I82" i="22"/>
  <c r="J82" i="22" s="1"/>
  <c r="G82" i="22"/>
  <c r="O81" i="22"/>
  <c r="I81" i="22"/>
  <c r="J81" i="22" s="1"/>
  <c r="G81" i="22"/>
  <c r="O80" i="22"/>
  <c r="I80" i="22"/>
  <c r="J80" i="22" s="1"/>
  <c r="G80" i="22"/>
  <c r="O79" i="22"/>
  <c r="I79" i="22"/>
  <c r="J79" i="22" s="1"/>
  <c r="G79" i="22"/>
  <c r="O78" i="22"/>
  <c r="I78" i="22"/>
  <c r="J78" i="22" s="1"/>
  <c r="G78" i="22"/>
  <c r="O77" i="22"/>
  <c r="I77" i="22"/>
  <c r="J77" i="22" s="1"/>
  <c r="G77" i="22"/>
  <c r="O76" i="22"/>
  <c r="I76" i="22"/>
  <c r="J76" i="22" s="1"/>
  <c r="G76" i="22"/>
  <c r="O75" i="22"/>
  <c r="I75" i="22"/>
  <c r="J75" i="22" s="1"/>
  <c r="G75" i="22"/>
  <c r="O74" i="22"/>
  <c r="I74" i="22"/>
  <c r="J74" i="22" s="1"/>
  <c r="G74" i="22"/>
  <c r="O73" i="22"/>
  <c r="I73" i="22"/>
  <c r="J73" i="22" s="1"/>
  <c r="G73" i="22"/>
  <c r="O72" i="22"/>
  <c r="I72" i="22"/>
  <c r="J72" i="22" s="1"/>
  <c r="G72" i="22"/>
  <c r="O71" i="22"/>
  <c r="I71" i="22"/>
  <c r="J71" i="22" s="1"/>
  <c r="G71" i="22"/>
  <c r="F71" i="22" s="1"/>
  <c r="O70" i="22"/>
  <c r="I70" i="22"/>
  <c r="J70" i="22" s="1"/>
  <c r="G70" i="22"/>
  <c r="O69" i="22"/>
  <c r="I69" i="22"/>
  <c r="J69" i="22" s="1"/>
  <c r="G69" i="22"/>
  <c r="F69" i="22" s="1"/>
  <c r="O68" i="22"/>
  <c r="I68" i="22"/>
  <c r="J68" i="22" s="1"/>
  <c r="G68" i="22"/>
  <c r="O67" i="22"/>
  <c r="I67" i="22"/>
  <c r="J67" i="22" s="1"/>
  <c r="G67" i="22"/>
  <c r="F67" i="22" s="1"/>
  <c r="O66" i="22"/>
  <c r="I66" i="22"/>
  <c r="J66" i="22" s="1"/>
  <c r="G66" i="22"/>
  <c r="O65" i="22"/>
  <c r="I65" i="22"/>
  <c r="J65" i="22" s="1"/>
  <c r="G65" i="22"/>
  <c r="F65" i="22" s="1"/>
  <c r="E65" i="22"/>
  <c r="O64" i="22"/>
  <c r="I64" i="22"/>
  <c r="J64" i="22" s="1"/>
  <c r="G64" i="22"/>
  <c r="O63" i="22"/>
  <c r="I63" i="22"/>
  <c r="J63" i="22" s="1"/>
  <c r="G63" i="22"/>
  <c r="F63" i="22" s="1"/>
  <c r="O62" i="22"/>
  <c r="I62" i="22"/>
  <c r="J62" i="22" s="1"/>
  <c r="G62" i="22"/>
  <c r="O61" i="22"/>
  <c r="I61" i="22"/>
  <c r="J61" i="22" s="1"/>
  <c r="G61" i="22"/>
  <c r="F61" i="22" s="1"/>
  <c r="O60" i="22"/>
  <c r="I60" i="22"/>
  <c r="J60" i="22" s="1"/>
  <c r="G60" i="22"/>
  <c r="O59" i="22"/>
  <c r="I59" i="22"/>
  <c r="J59" i="22" s="1"/>
  <c r="G59" i="22"/>
  <c r="F59" i="22" s="1"/>
  <c r="O58" i="22"/>
  <c r="I58" i="22"/>
  <c r="J58" i="22" s="1"/>
  <c r="G58" i="22"/>
  <c r="O57" i="22"/>
  <c r="I57" i="22"/>
  <c r="J57" i="22" s="1"/>
  <c r="G57" i="22"/>
  <c r="F57" i="22" s="1"/>
  <c r="O56" i="22"/>
  <c r="I56" i="22"/>
  <c r="J56" i="22" s="1"/>
  <c r="G56" i="22"/>
  <c r="O55" i="22"/>
  <c r="I55" i="22"/>
  <c r="J55" i="22" s="1"/>
  <c r="G55" i="22"/>
  <c r="F55" i="22" s="1"/>
  <c r="E55" i="22"/>
  <c r="O54" i="22"/>
  <c r="I54" i="22"/>
  <c r="J54" i="22" s="1"/>
  <c r="G54" i="22"/>
  <c r="O53" i="22"/>
  <c r="I53" i="22"/>
  <c r="J53" i="22" s="1"/>
  <c r="G53" i="22"/>
  <c r="F53" i="22" s="1"/>
  <c r="E53" i="22"/>
  <c r="O52" i="22"/>
  <c r="I52" i="22"/>
  <c r="J52" i="22" s="1"/>
  <c r="G52" i="22"/>
  <c r="O51" i="22"/>
  <c r="I51" i="22"/>
  <c r="J51" i="22" s="1"/>
  <c r="G51" i="22"/>
  <c r="F51" i="22" s="1"/>
  <c r="O50" i="22"/>
  <c r="I50" i="22"/>
  <c r="J50" i="22" s="1"/>
  <c r="G50" i="22"/>
  <c r="O49" i="22"/>
  <c r="I49" i="22"/>
  <c r="J49" i="22" s="1"/>
  <c r="G49" i="22"/>
  <c r="F49" i="22" s="1"/>
  <c r="O48" i="22"/>
  <c r="I48" i="22"/>
  <c r="J48" i="22" s="1"/>
  <c r="G48" i="22"/>
  <c r="O47" i="22"/>
  <c r="I47" i="22"/>
  <c r="J47" i="22" s="1"/>
  <c r="G47" i="22"/>
  <c r="F47" i="22" s="1"/>
  <c r="O46" i="22"/>
  <c r="I46" i="22"/>
  <c r="J46" i="22" s="1"/>
  <c r="G46" i="22"/>
  <c r="O45" i="22"/>
  <c r="I45" i="22"/>
  <c r="J45" i="22" s="1"/>
  <c r="G45" i="22"/>
  <c r="F45" i="22" s="1"/>
  <c r="O44" i="22"/>
  <c r="I44" i="22"/>
  <c r="J44" i="22" s="1"/>
  <c r="G44" i="22"/>
  <c r="O43" i="22"/>
  <c r="I43" i="22"/>
  <c r="J43" i="22" s="1"/>
  <c r="G43" i="22"/>
  <c r="F43" i="22" s="1"/>
  <c r="E43" i="22"/>
  <c r="O42" i="22"/>
  <c r="I42" i="22"/>
  <c r="J42" i="22" s="1"/>
  <c r="G42" i="22"/>
  <c r="O41" i="22"/>
  <c r="I41" i="22"/>
  <c r="J41" i="22" s="1"/>
  <c r="G41" i="22"/>
  <c r="F41" i="22" s="1"/>
  <c r="E41" i="22"/>
  <c r="O40" i="22"/>
  <c r="I40" i="22"/>
  <c r="J40" i="22" s="1"/>
  <c r="G40" i="22"/>
  <c r="O39" i="22"/>
  <c r="I39" i="22"/>
  <c r="J39" i="22" s="1"/>
  <c r="G39" i="22"/>
  <c r="F39" i="22" s="1"/>
  <c r="O38" i="22"/>
  <c r="I38" i="22"/>
  <c r="J38" i="22" s="1"/>
  <c r="G38" i="22"/>
  <c r="O37" i="22"/>
  <c r="I37" i="22"/>
  <c r="J37" i="22" s="1"/>
  <c r="G37" i="22"/>
  <c r="F37" i="22" s="1"/>
  <c r="E37" i="22"/>
  <c r="O36" i="22"/>
  <c r="I36" i="22"/>
  <c r="J36" i="22" s="1"/>
  <c r="G36" i="22"/>
  <c r="O35" i="22"/>
  <c r="I35" i="22"/>
  <c r="J35" i="22" s="1"/>
  <c r="G35" i="22"/>
  <c r="F35" i="22" s="1"/>
  <c r="E35" i="22"/>
  <c r="O34" i="22"/>
  <c r="I34" i="22"/>
  <c r="J34" i="22" s="1"/>
  <c r="G34" i="22"/>
  <c r="O33" i="22"/>
  <c r="I33" i="22"/>
  <c r="J33" i="22" s="1"/>
  <c r="G33" i="22"/>
  <c r="F33" i="22" s="1"/>
  <c r="O32" i="22"/>
  <c r="I32" i="22"/>
  <c r="J32" i="22" s="1"/>
  <c r="G32" i="22"/>
  <c r="O31" i="22"/>
  <c r="I31" i="22"/>
  <c r="J31" i="22" s="1"/>
  <c r="G31" i="22"/>
  <c r="F31" i="22" s="1"/>
  <c r="O30" i="22"/>
  <c r="I30" i="22"/>
  <c r="J30" i="22" s="1"/>
  <c r="G30" i="22"/>
  <c r="O29" i="22"/>
  <c r="I29" i="22"/>
  <c r="J29" i="22" s="1"/>
  <c r="G29" i="22"/>
  <c r="F29" i="22" s="1"/>
  <c r="O28" i="22"/>
  <c r="I28" i="22"/>
  <c r="J28" i="22" s="1"/>
  <c r="G28" i="22"/>
  <c r="O27" i="22"/>
  <c r="I27" i="22"/>
  <c r="J27" i="22" s="1"/>
  <c r="G27" i="22"/>
  <c r="F27" i="22" s="1"/>
  <c r="O26" i="22"/>
  <c r="I26" i="22"/>
  <c r="J26" i="22" s="1"/>
  <c r="G26" i="22"/>
  <c r="O25" i="22"/>
  <c r="I25" i="22"/>
  <c r="J25" i="22" s="1"/>
  <c r="G25" i="22"/>
  <c r="F25" i="22" s="1"/>
  <c r="E25" i="22"/>
  <c r="O24" i="22"/>
  <c r="I24" i="22"/>
  <c r="J24" i="22" s="1"/>
  <c r="G24" i="22"/>
  <c r="O23" i="22"/>
  <c r="I23" i="22"/>
  <c r="J23" i="22" s="1"/>
  <c r="G23" i="22"/>
  <c r="F23" i="22" s="1"/>
  <c r="E23" i="22"/>
  <c r="O22" i="22"/>
  <c r="I22" i="22"/>
  <c r="J22" i="22" s="1"/>
  <c r="G22" i="22"/>
  <c r="O21" i="22"/>
  <c r="I21" i="22"/>
  <c r="J21" i="22" s="1"/>
  <c r="G21" i="22"/>
  <c r="F21" i="22" s="1"/>
  <c r="O20" i="22"/>
  <c r="I20" i="22"/>
  <c r="J20" i="22" s="1"/>
  <c r="G20" i="22"/>
  <c r="O19" i="22"/>
  <c r="I19" i="22"/>
  <c r="J19" i="22" s="1"/>
  <c r="G19" i="22"/>
  <c r="F19" i="22" s="1"/>
  <c r="E19" i="22"/>
  <c r="O18" i="22"/>
  <c r="I18" i="22"/>
  <c r="J18" i="22" s="1"/>
  <c r="G18" i="22"/>
  <c r="O17" i="22"/>
  <c r="I17" i="22"/>
  <c r="J17" i="22" s="1"/>
  <c r="G17" i="22"/>
  <c r="F17" i="22" s="1"/>
  <c r="E17" i="22"/>
  <c r="O16" i="22"/>
  <c r="I16" i="22"/>
  <c r="J16" i="22" s="1"/>
  <c r="G16" i="22"/>
  <c r="O15" i="22"/>
  <c r="I15" i="22"/>
  <c r="J15" i="22" s="1"/>
  <c r="G15" i="22"/>
  <c r="F15" i="22" s="1"/>
  <c r="O14" i="22"/>
  <c r="I14" i="22"/>
  <c r="J14" i="22" s="1"/>
  <c r="G14" i="22"/>
  <c r="O13" i="22"/>
  <c r="I13" i="22"/>
  <c r="J13" i="22" s="1"/>
  <c r="G13" i="22"/>
  <c r="F13" i="22" s="1"/>
  <c r="O12" i="22"/>
  <c r="I12" i="22"/>
  <c r="J12" i="22" s="1"/>
  <c r="G12" i="22"/>
  <c r="O11" i="22"/>
  <c r="I11" i="22"/>
  <c r="J11" i="22" s="1"/>
  <c r="G11" i="22"/>
  <c r="F11" i="22" s="1"/>
  <c r="O10" i="22"/>
  <c r="I10" i="22"/>
  <c r="J10" i="22" s="1"/>
  <c r="G10" i="22"/>
  <c r="O9" i="22"/>
  <c r="I9" i="22"/>
  <c r="J9" i="22" s="1"/>
  <c r="G9" i="22"/>
  <c r="F9" i="22" s="1"/>
  <c r="O8" i="22"/>
  <c r="I8" i="22"/>
  <c r="J8" i="22" s="1"/>
  <c r="G8" i="22"/>
  <c r="O7" i="22"/>
  <c r="I7" i="22"/>
  <c r="J7" i="22" s="1"/>
  <c r="G7" i="22"/>
  <c r="F7" i="22" s="1"/>
  <c r="E7" i="22"/>
  <c r="O6" i="22"/>
  <c r="I6" i="22"/>
  <c r="J6" i="22" s="1"/>
  <c r="G6" i="22"/>
  <c r="J2" i="22"/>
  <c r="E6" i="21"/>
  <c r="F6" i="21"/>
  <c r="J6" i="21"/>
  <c r="F7" i="21"/>
  <c r="J7" i="21"/>
  <c r="F8" i="21"/>
  <c r="J8" i="21"/>
  <c r="F9" i="21"/>
  <c r="J9" i="21"/>
  <c r="F10" i="21"/>
  <c r="J10" i="21"/>
  <c r="F11" i="21"/>
  <c r="J11" i="21"/>
  <c r="F12" i="21"/>
  <c r="J12" i="21"/>
  <c r="F13" i="21"/>
  <c r="J13" i="21"/>
  <c r="F14" i="21"/>
  <c r="J14" i="21"/>
  <c r="F15" i="21"/>
  <c r="J15" i="21"/>
  <c r="F16" i="21"/>
  <c r="J16" i="21"/>
  <c r="F17" i="21"/>
  <c r="J17" i="21"/>
  <c r="F18" i="21"/>
  <c r="J18" i="21"/>
  <c r="F19" i="21"/>
  <c r="J19" i="21"/>
  <c r="F20" i="21"/>
  <c r="J20" i="21"/>
  <c r="F21" i="21"/>
  <c r="J21" i="21"/>
  <c r="F22" i="21"/>
  <c r="J22" i="21"/>
  <c r="F23" i="21"/>
  <c r="J23" i="21"/>
  <c r="F24" i="21"/>
  <c r="J24" i="21"/>
  <c r="F25" i="21"/>
  <c r="J25" i="21"/>
  <c r="F26" i="21"/>
  <c r="J26" i="21"/>
  <c r="F27" i="21"/>
  <c r="J27" i="21"/>
  <c r="F28" i="21"/>
  <c r="J28" i="21"/>
  <c r="F29" i="21"/>
  <c r="J29" i="21"/>
  <c r="F30" i="21"/>
  <c r="J30" i="21"/>
  <c r="F31" i="21"/>
  <c r="J31" i="21"/>
  <c r="F32" i="21"/>
  <c r="J32" i="21"/>
  <c r="F33" i="21"/>
  <c r="J33" i="21"/>
  <c r="F34" i="21"/>
  <c r="J34" i="21"/>
  <c r="F35" i="21"/>
  <c r="J35" i="21"/>
  <c r="F36" i="21"/>
  <c r="J36" i="21"/>
  <c r="F37" i="21"/>
  <c r="J37" i="21"/>
  <c r="F38" i="21"/>
  <c r="J38" i="21"/>
  <c r="F39" i="21"/>
  <c r="J39" i="21"/>
  <c r="F40" i="21"/>
  <c r="J40" i="21"/>
  <c r="F41" i="21"/>
  <c r="J41" i="21"/>
  <c r="F42" i="21"/>
  <c r="J42" i="21"/>
  <c r="F43" i="21"/>
  <c r="J43" i="21"/>
  <c r="F44" i="21"/>
  <c r="J44" i="21"/>
  <c r="F45" i="21"/>
  <c r="J45" i="21"/>
  <c r="F46" i="21"/>
  <c r="J46" i="21"/>
  <c r="F47" i="21"/>
  <c r="J47" i="21"/>
  <c r="F48" i="21"/>
  <c r="J48" i="21"/>
  <c r="F49" i="21"/>
  <c r="J49" i="21"/>
  <c r="F50" i="21"/>
  <c r="J50" i="21"/>
  <c r="F51" i="21"/>
  <c r="J51" i="21"/>
  <c r="F52" i="21"/>
  <c r="J52" i="21"/>
  <c r="F53" i="21"/>
  <c r="J53" i="21"/>
  <c r="F54" i="21"/>
  <c r="J54" i="21"/>
  <c r="F55" i="21"/>
  <c r="J55" i="21"/>
  <c r="F56" i="21"/>
  <c r="J56" i="21"/>
  <c r="F57" i="21"/>
  <c r="J57" i="21"/>
  <c r="F58" i="21"/>
  <c r="J58" i="21"/>
  <c r="F59" i="21"/>
  <c r="J59" i="21"/>
  <c r="F60" i="21"/>
  <c r="J60" i="21"/>
  <c r="F61" i="21"/>
  <c r="J61" i="21"/>
  <c r="F62" i="21"/>
  <c r="J62" i="21"/>
  <c r="F63" i="21"/>
  <c r="J63" i="21"/>
  <c r="F64" i="21"/>
  <c r="J64" i="21"/>
  <c r="F65" i="21"/>
  <c r="J65" i="21"/>
  <c r="F66" i="21"/>
  <c r="J66" i="21"/>
  <c r="F67" i="21"/>
  <c r="J67" i="21"/>
  <c r="F68" i="21"/>
  <c r="J68" i="21"/>
  <c r="F69" i="21"/>
  <c r="J69" i="21"/>
  <c r="F70" i="21"/>
  <c r="J70" i="21"/>
  <c r="F71" i="21"/>
  <c r="J71" i="21"/>
  <c r="F72" i="21"/>
  <c r="J72" i="21"/>
  <c r="F73" i="21"/>
  <c r="J73" i="21"/>
  <c r="F74" i="21"/>
  <c r="J74" i="21"/>
  <c r="F75" i="21"/>
  <c r="J75" i="21"/>
  <c r="F76" i="21"/>
  <c r="J76" i="21"/>
  <c r="F77" i="21"/>
  <c r="J77" i="21"/>
  <c r="F78" i="21"/>
  <c r="J78" i="21"/>
  <c r="F79" i="21"/>
  <c r="J79" i="21"/>
  <c r="F80" i="21"/>
  <c r="J80" i="21"/>
  <c r="F81" i="21"/>
  <c r="J81" i="21"/>
  <c r="F82" i="21"/>
  <c r="J82" i="21"/>
  <c r="F83" i="21"/>
  <c r="J83" i="21"/>
  <c r="F84" i="21"/>
  <c r="J84" i="21"/>
  <c r="F85" i="21"/>
  <c r="J85" i="21"/>
  <c r="F86" i="21"/>
  <c r="J86" i="21"/>
  <c r="F87" i="21"/>
  <c r="J87" i="21"/>
  <c r="F88" i="21"/>
  <c r="J88" i="21"/>
  <c r="F89" i="21"/>
  <c r="J89" i="21"/>
  <c r="F90" i="21"/>
  <c r="J90" i="21"/>
  <c r="F91" i="21"/>
  <c r="J91" i="21"/>
  <c r="F92" i="21"/>
  <c r="J92" i="21"/>
  <c r="F93" i="21"/>
  <c r="J93" i="21"/>
  <c r="F94" i="21"/>
  <c r="J94" i="21"/>
  <c r="F95" i="21"/>
  <c r="J95" i="21"/>
  <c r="F96" i="21"/>
  <c r="J96" i="21"/>
  <c r="F97" i="21"/>
  <c r="J97" i="21"/>
  <c r="F98" i="21"/>
  <c r="J98" i="21"/>
  <c r="F99" i="21"/>
  <c r="J99" i="21"/>
  <c r="F100" i="21"/>
  <c r="J100" i="21"/>
  <c r="F101" i="21"/>
  <c r="J101" i="21"/>
  <c r="F102" i="21"/>
  <c r="J102" i="21"/>
  <c r="F103" i="21"/>
  <c r="J103" i="21"/>
  <c r="F104" i="21"/>
  <c r="J104" i="21"/>
  <c r="F105" i="21"/>
  <c r="J105" i="21"/>
  <c r="F106" i="21"/>
  <c r="J106" i="21"/>
  <c r="F107" i="21"/>
  <c r="J107" i="21"/>
  <c r="F108" i="21"/>
  <c r="J108" i="21"/>
  <c r="F109" i="21"/>
  <c r="J109" i="21"/>
  <c r="F110" i="21"/>
  <c r="J110" i="21"/>
  <c r="F111" i="21"/>
  <c r="J111" i="21"/>
  <c r="F112" i="21"/>
  <c r="J112" i="21"/>
  <c r="F113" i="21"/>
  <c r="J113" i="21"/>
  <c r="F114" i="21"/>
  <c r="J114" i="21"/>
  <c r="F115" i="21"/>
  <c r="J115" i="21"/>
  <c r="F116" i="21"/>
  <c r="J116" i="21"/>
  <c r="F117" i="21"/>
  <c r="J117" i="21"/>
  <c r="F118" i="21"/>
  <c r="J118" i="21"/>
  <c r="F119" i="21"/>
  <c r="J119" i="21"/>
  <c r="F120" i="21"/>
  <c r="J120" i="21"/>
  <c r="F121" i="21"/>
  <c r="J121" i="21"/>
  <c r="F122" i="21"/>
  <c r="J122" i="21"/>
  <c r="F123" i="21"/>
  <c r="J123" i="21"/>
  <c r="F124" i="21"/>
  <c r="J124" i="21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N56" i="19"/>
  <c r="M56" i="19"/>
  <c r="L56" i="19"/>
  <c r="K56" i="19"/>
  <c r="J56" i="19"/>
  <c r="I56" i="19"/>
  <c r="H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56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67" i="22" l="1"/>
  <c r="E13" i="22"/>
  <c r="E31" i="22"/>
  <c r="E49" i="22"/>
  <c r="E71" i="22"/>
  <c r="E61" i="22"/>
  <c r="E11" i="22"/>
  <c r="E29" i="22"/>
  <c r="E47" i="22"/>
  <c r="F18" i="22"/>
  <c r="E18" i="22"/>
  <c r="F77" i="22"/>
  <c r="E77" i="22"/>
  <c r="F93" i="22"/>
  <c r="E93" i="22"/>
  <c r="F97" i="22"/>
  <c r="E97" i="22"/>
  <c r="F105" i="22"/>
  <c r="E105" i="22"/>
  <c r="F117" i="22"/>
  <c r="E117" i="22"/>
  <c r="F42" i="22"/>
  <c r="E42" i="22"/>
  <c r="F66" i="22"/>
  <c r="E66" i="22"/>
  <c r="F73" i="22"/>
  <c r="E73" i="22"/>
  <c r="F81" i="22"/>
  <c r="E81" i="22"/>
  <c r="F85" i="22"/>
  <c r="E85" i="22"/>
  <c r="F89" i="22"/>
  <c r="E89" i="22"/>
  <c r="F101" i="22"/>
  <c r="E101" i="22"/>
  <c r="F109" i="22"/>
  <c r="E109" i="22"/>
  <c r="F113" i="22"/>
  <c r="E113" i="22"/>
  <c r="F121" i="22"/>
  <c r="E121" i="22"/>
  <c r="F8" i="22"/>
  <c r="E8" i="22"/>
  <c r="E15" i="22"/>
  <c r="F32" i="22"/>
  <c r="E32" i="22"/>
  <c r="E39" i="22"/>
  <c r="F56" i="22"/>
  <c r="E56" i="22"/>
  <c r="E63" i="22"/>
  <c r="F46" i="22"/>
  <c r="E46" i="22"/>
  <c r="F70" i="22"/>
  <c r="E70" i="22"/>
  <c r="F12" i="22"/>
  <c r="E12" i="22"/>
  <c r="F60" i="22"/>
  <c r="E60" i="22"/>
  <c r="F78" i="22"/>
  <c r="E78" i="22"/>
  <c r="F74" i="22"/>
  <c r="E74" i="22"/>
  <c r="F82" i="22"/>
  <c r="E82" i="22"/>
  <c r="F90" i="22"/>
  <c r="E90" i="22"/>
  <c r="F94" i="22"/>
  <c r="E94" i="22"/>
  <c r="F98" i="22"/>
  <c r="E98" i="22"/>
  <c r="F102" i="22"/>
  <c r="E102" i="22"/>
  <c r="F106" i="22"/>
  <c r="E106" i="22"/>
  <c r="F110" i="22"/>
  <c r="E110" i="22"/>
  <c r="F114" i="22"/>
  <c r="E114" i="22"/>
  <c r="F118" i="22"/>
  <c r="E118" i="22"/>
  <c r="F122" i="22"/>
  <c r="E122" i="22"/>
  <c r="E9" i="22"/>
  <c r="F26" i="22"/>
  <c r="E26" i="22"/>
  <c r="E33" i="22"/>
  <c r="F50" i="22"/>
  <c r="E50" i="22"/>
  <c r="E57" i="22"/>
  <c r="F22" i="22"/>
  <c r="E22" i="22"/>
  <c r="F16" i="22"/>
  <c r="E16" i="22"/>
  <c r="F54" i="22"/>
  <c r="E54" i="22"/>
  <c r="F75" i="22"/>
  <c r="E75" i="22"/>
  <c r="F79" i="22"/>
  <c r="E79" i="22"/>
  <c r="F83" i="22"/>
  <c r="E83" i="22"/>
  <c r="F87" i="22"/>
  <c r="E87" i="22"/>
  <c r="F91" i="22"/>
  <c r="E91" i="22"/>
  <c r="F95" i="22"/>
  <c r="E95" i="22"/>
  <c r="F99" i="22"/>
  <c r="E99" i="22"/>
  <c r="F103" i="22"/>
  <c r="E103" i="22"/>
  <c r="F107" i="22"/>
  <c r="E107" i="22"/>
  <c r="F111" i="22"/>
  <c r="E111" i="22"/>
  <c r="F115" i="22"/>
  <c r="E115" i="22"/>
  <c r="F119" i="22"/>
  <c r="E119" i="22"/>
  <c r="F36" i="22"/>
  <c r="E36" i="22"/>
  <c r="F86" i="22"/>
  <c r="E86" i="22"/>
  <c r="F40" i="22"/>
  <c r="E40" i="22"/>
  <c r="F64" i="22"/>
  <c r="E64" i="22"/>
  <c r="F6" i="22"/>
  <c r="E6" i="22"/>
  <c r="F30" i="22"/>
  <c r="E30" i="22"/>
  <c r="F20" i="22"/>
  <c r="E20" i="22"/>
  <c r="E27" i="22"/>
  <c r="F44" i="22"/>
  <c r="E44" i="22"/>
  <c r="E51" i="22"/>
  <c r="F68" i="22"/>
  <c r="E68" i="22"/>
  <c r="F28" i="22"/>
  <c r="E28" i="22"/>
  <c r="F10" i="22"/>
  <c r="E10" i="22"/>
  <c r="F34" i="22"/>
  <c r="E34" i="22"/>
  <c r="F58" i="22"/>
  <c r="E58" i="22"/>
  <c r="F24" i="22"/>
  <c r="E24" i="22"/>
  <c r="F48" i="22"/>
  <c r="E48" i="22"/>
  <c r="F72" i="22"/>
  <c r="E72" i="22"/>
  <c r="F76" i="22"/>
  <c r="E76" i="22"/>
  <c r="F80" i="22"/>
  <c r="E80" i="22"/>
  <c r="F84" i="22"/>
  <c r="E84" i="22"/>
  <c r="F88" i="22"/>
  <c r="E88" i="22"/>
  <c r="F92" i="22"/>
  <c r="E92" i="22"/>
  <c r="F96" i="22"/>
  <c r="E96" i="22"/>
  <c r="F100" i="22"/>
  <c r="E100" i="22"/>
  <c r="F104" i="22"/>
  <c r="E104" i="22"/>
  <c r="F108" i="22"/>
  <c r="E108" i="22"/>
  <c r="F112" i="22"/>
  <c r="E112" i="22"/>
  <c r="F116" i="22"/>
  <c r="E116" i="22"/>
  <c r="F120" i="22"/>
  <c r="E120" i="22"/>
  <c r="F14" i="22"/>
  <c r="E14" i="22"/>
  <c r="E21" i="22"/>
  <c r="F38" i="22"/>
  <c r="E38" i="22"/>
  <c r="E45" i="22"/>
  <c r="F62" i="22"/>
  <c r="E62" i="22"/>
  <c r="E69" i="22"/>
  <c r="F52" i="22"/>
  <c r="E52" i="22"/>
  <c r="E59" i="22"/>
  <c r="E123" i="22"/>
  <c r="E124" i="22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5" i="15"/>
  <c r="H7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9" i="15"/>
  <c r="H8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H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tc={FC3FB7D8-6337-4F1A-B06E-B4E13EDB90D1}</author>
  </authors>
  <commentList>
    <comment ref="B15" authorId="0" shapeId="0" xr:uid="{FC3FB7D8-6337-4F1A-B06E-B4E13EDB9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tc={A3DAC7BA-9B6F-4AF2-93A4-0921DA2294C0}</author>
  </authors>
  <commentList>
    <comment ref="J3" authorId="0" shapeId="0" xr:uid="{A3DAC7BA-9B6F-4AF2-93A4-0921DA229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tc={A626277B-461E-43F6-B75F-A81B9DD96282}</author>
    <author>tc={5F94B969-A9B8-4E4A-B64F-5938913B1BB4}</author>
    <author>tc={B51F5684-F621-4CC3-85F9-58F8460C57C2}</author>
    <author>tc={645ED46D-4974-499C-B70A-8AC8709BE198}</author>
    <author>tc={F1DA4CED-5456-4C74-A53D-B54509878DB5}</author>
  </authors>
  <commentList>
    <comment ref="E4" authorId="0" shapeId="0" xr:uid="{A626277B-461E-43F6-B75F-A81B9DD9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5F94B969-A9B8-4E4A-B64F-5938913B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B51F5684-F621-4CC3-85F9-58F8460C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645ED46D-4974-499C-B70A-8AC8709BE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F1DA4CED-5456-4C74-A53D-B54509878D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tc={8A34629C-C428-43A8-9A29-25751533DEDB}</author>
    <author>tc={63D2E902-92E5-4B47-9632-83BF20F94D35}</author>
    <author>tc={AF4FD171-93CE-482C-848C-4AF1C0DA318F}</author>
    <author>tc={8F66F75D-E6CD-46AB-B435-62286E4D1645}</author>
    <author>tc={B821865E-108C-41E6-81ED-164B124FA213}</author>
  </authors>
  <commentList>
    <comment ref="E4" authorId="0" shapeId="0" xr:uid="{8A34629C-C428-43A8-9A29-25751533DEDB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63D2E902-92E5-4B47-9632-83BF20F94D35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AF4FD171-93CE-482C-848C-4AF1C0DA318F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8F66F75D-E6CD-46AB-B435-62286E4D1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B821865E-108C-41E6-81ED-164B124FA2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tc={ED3D550C-51A5-4FDB-8169-EFB23B5AB39D}</author>
    <author>tc={C93B51E4-E578-4304-A50C-AAF60CA49E9C}</author>
    <author>tc={0396E370-DCE1-42FE-9388-6962D8A6D073}</author>
    <author>tc={0C952EFC-B274-46FB-B75B-511B84A02918}</author>
    <author>tc={0C84310F-6378-4A5F-B30F-6F265EDB5B2B}</author>
  </authors>
  <commentList>
    <comment ref="E4" authorId="0" shapeId="0" xr:uid="{ED3D550C-51A5-4FDB-8169-EFB23B5A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C93B51E4-E578-4304-A50C-AAF60CA49E9C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0396E370-DCE1-42FE-9388-6962D8A6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C952EFC-B274-46FB-B75B-511B84A02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0C84310F-6378-4A5F-B30F-6F265EDB5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sharedStrings.xml><?xml version="1.0" encoding="utf-8"?>
<sst xmlns="http://schemas.openxmlformats.org/spreadsheetml/2006/main" count="22967" uniqueCount="3232">
  <si>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</si>
  <si>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</si>
  <si>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</si>
  <si>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</si>
  <si>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</si>
  <si>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</si>
  <si>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</si>
  <si>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</si>
  <si>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</si>
  <si>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</si>
  <si>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</si>
  <si>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</si>
  <si>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</si>
  <si>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</si>
  <si>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</si>
  <si>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</si>
  <si>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</si>
  <si>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</si>
  <si>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</si>
  <si>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</si>
  <si>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CELSIA COLOMBIA S.A. E.S.P.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</si>
  <si>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</si>
  <si>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</si>
  <si>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</si>
  <si>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</si>
  <si>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</si>
  <si>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</si>
  <si>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</si>
  <si>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</si>
  <si>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</si>
  <si>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</si>
  <si>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</si>
  <si>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</si>
  <si>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</si>
  <si>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</si>
  <si>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</si>
  <si>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</si>
  <si>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</si>
  <si>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</si>
  <si>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</si>
  <si>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</si>
  <si>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</si>
  <si>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</si>
  <si>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</si>
  <si>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</si>
  <si>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</si>
  <si>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</si>
  <si>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</si>
  <si>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</si>
  <si>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</si>
  <si>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</si>
  <si>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</si>
  <si>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</si>
  <si>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</si>
  <si>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</si>
  <si>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</si>
  <si>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</si>
  <si>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</si>
  <si>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</si>
  <si>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</si>
  <si>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</si>
  <si>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</si>
  <si>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</si>
  <si>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</si>
  <si>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</si>
  <si>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</si>
  <si>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</si>
  <si>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</si>
  <si>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</si>
  <si>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</si>
  <si>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</si>
  <si>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</si>
  <si>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</si>
  <si>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</si>
  <si>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</si>
  <si>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</si>
  <si>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</si>
  <si>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</si>
  <si>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</si>
  <si>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</si>
  <si>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</si>
  <si>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</si>
  <si>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</si>
  <si>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</si>
  <si>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</si>
  <si>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</si>
  <si>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</si>
  <si>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</si>
  <si>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</si>
  <si>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</si>
  <si>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</si>
  <si>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</si>
  <si>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</si>
  <si>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</si>
  <si>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</si>
  <si>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</si>
  <si>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</si>
  <si>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</si>
  <si>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</si>
  <si>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</si>
  <si>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</si>
  <si>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</si>
  <si>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</si>
  <si>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</si>
  <si>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</si>
  <si>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</si>
  <si>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</si>
  <si>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</si>
  <si>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</si>
  <si>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</si>
  <si>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</si>
  <si>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</si>
  <si>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</si>
  <si>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</si>
  <si>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</si>
  <si>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</si>
  <si>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</si>
  <si>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</si>
  <si>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</si>
  <si>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</si>
  <si>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</si>
  <si>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</si>
  <si>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</si>
  <si>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</si>
  <si>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</si>
  <si>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</si>
  <si>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</si>
  <si>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</si>
  <si>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</si>
  <si>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</si>
  <si>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</si>
  <si>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</si>
  <si>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</si>
  <si>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</si>
  <si>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</si>
  <si>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</si>
  <si>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</si>
  <si>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</si>
  <si>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</si>
  <si>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</si>
  <si>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</si>
  <si>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</si>
  <si>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</si>
  <si>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</si>
  <si>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</si>
  <si>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</si>
  <si>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</si>
  <si>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</si>
  <si>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</si>
  <si>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</si>
  <si>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</si>
  <si>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</si>
  <si>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</si>
  <si>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</si>
  <si>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</si>
  <si>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</si>
  <si>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</si>
  <si>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</si>
  <si>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</si>
  <si>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</si>
  <si>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</si>
  <si>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</si>
  <si>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</si>
  <si>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</si>
  <si>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</si>
  <si>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</si>
  <si>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</si>
  <si>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</si>
  <si>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</si>
  <si>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</si>
  <si>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</si>
  <si>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</si>
  <si>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</si>
  <si>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</si>
  <si>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</si>
  <si>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</si>
  <si>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</si>
  <si>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</si>
  <si>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</si>
  <si>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</si>
  <si>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</si>
  <si>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</si>
  <si>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</si>
  <si>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</si>
  <si>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</si>
  <si>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</si>
  <si>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</si>
  <si>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</si>
  <si>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</si>
  <si>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</si>
  <si>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</si>
  <si>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</si>
  <si>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</si>
  <si>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</si>
  <si>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</si>
  <si>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</si>
  <si>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</si>
  <si>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ENEL COLOMBIA SA ESP</t>
  </si>
  <si>
    <t>EMPRESAS PUBLICAS DE MEDELLIN E.S.P.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</si>
  <si>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</si>
  <si>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</si>
  <si>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</si>
  <si>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</si>
  <si>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</si>
  <si>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</si>
  <si>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</si>
  <si>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</si>
  <si>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</si>
  <si>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</si>
  <si>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</si>
  <si>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</si>
  <si>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</si>
  <si>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</si>
  <si>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</si>
  <si>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</si>
  <si>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</si>
  <si>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</si>
  <si>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</si>
  <si>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</si>
  <si>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</si>
  <si>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</si>
  <si>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</si>
  <si>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</si>
  <si>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</si>
  <si>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</si>
  <si>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</si>
  <si>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</si>
  <si>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</si>
  <si>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</si>
  <si>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</si>
  <si>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</si>
  <si>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</si>
  <si>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</si>
  <si>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</si>
  <si>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</si>
  <si>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</si>
  <si>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</si>
  <si>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</si>
  <si>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</si>
  <si>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</si>
  <si>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</si>
  <si>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</si>
  <si>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</si>
  <si>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</si>
  <si>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</si>
  <si>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</si>
  <si>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/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</si>
  <si>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</si>
  <si>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</si>
  <si>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</si>
  <si>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</si>
  <si>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</si>
  <si>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</si>
  <si>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</si>
  <si>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</si>
  <si>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</si>
  <si>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</si>
  <si>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</si>
  <si>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</si>
  <si>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</si>
  <si>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</si>
  <si>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</si>
  <si>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</si>
  <si>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</si>
  <si>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</si>
  <si>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</si>
  <si>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</si>
  <si>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</si>
  <si>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</si>
  <si>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</si>
  <si>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</si>
  <si>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</si>
  <si>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</si>
  <si>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</si>
  <si>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</si>
  <si>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</si>
  <si>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</si>
  <si>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</si>
  <si>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</si>
  <si>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</si>
  <si>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</si>
  <si>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</si>
  <si>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</si>
  <si>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</si>
  <si>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</si>
  <si>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</si>
  <si>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</si>
  <si>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</si>
  <si>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</si>
  <si>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</si>
  <si>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</si>
  <si>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</si>
  <si>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</si>
  <si>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</si>
  <si>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</si>
  <si>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</si>
  <si>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</si>
  <si>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</si>
  <si>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</si>
  <si>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</si>
  <si>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</si>
  <si>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</si>
  <si>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</si>
  <si>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</si>
  <si>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</si>
  <si>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</si>
  <si>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</si>
  <si>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</si>
  <si>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</si>
  <si>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</si>
  <si>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</si>
  <si>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</si>
  <si>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</si>
  <si>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</si>
  <si>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</si>
  <si>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</si>
  <si>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</si>
  <si>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</si>
  <si>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</si>
  <si>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</si>
  <si>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</si>
  <si>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</si>
  <si>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</si>
  <si>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</si>
  <si>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</si>
  <si>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</si>
  <si>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</si>
  <si>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</si>
  <si>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</si>
  <si>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</si>
  <si>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</si>
  <si>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</si>
  <si>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</si>
  <si>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</si>
  <si>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</si>
  <si>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</si>
  <si>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</si>
  <si>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</si>
  <si>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</si>
  <si>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</si>
  <si>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</si>
  <si>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</si>
  <si>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</si>
  <si>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</si>
  <si>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</si>
  <si>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</si>
  <si>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</si>
  <si>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</si>
  <si>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</si>
  <si>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</si>
  <si>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</si>
  <si>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</si>
  <si>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</si>
  <si>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</si>
  <si>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</si>
  <si>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</si>
  <si>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</si>
  <si>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</si>
  <si>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</si>
  <si>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</si>
  <si>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</si>
  <si>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</si>
  <si>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</si>
  <si>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</si>
  <si>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</si>
  <si>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</si>
  <si>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</si>
  <si>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</si>
  <si>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</si>
  <si>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</si>
  <si>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</si>
  <si>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</si>
  <si>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</si>
  <si>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</si>
  <si>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</si>
  <si>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</si>
  <si>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</si>
  <si>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</si>
  <si>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</si>
  <si>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</si>
  <si>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</si>
  <si>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</si>
  <si>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</si>
  <si>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</si>
  <si>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</si>
  <si>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</si>
  <si>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</si>
  <si>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</si>
  <si>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</si>
  <si>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</si>
  <si>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</si>
  <si>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</si>
  <si>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</si>
  <si>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</si>
  <si>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</si>
  <si>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</si>
  <si>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</si>
  <si>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</si>
  <si>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</si>
  <si>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</si>
  <si>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</si>
  <si>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</si>
  <si>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</si>
  <si>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</si>
  <si>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</si>
  <si>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</si>
  <si>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</si>
  <si>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</si>
  <si>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</si>
  <si>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</si>
  <si>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</si>
  <si>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</si>
  <si>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</si>
  <si>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</si>
  <si>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</si>
  <si>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</si>
  <si>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</si>
  <si>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</si>
  <si>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</si>
  <si>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</si>
  <si>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</si>
  <si>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</si>
  <si>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</si>
  <si>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</si>
  <si>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</si>
  <si>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</si>
  <si>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</si>
  <si>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</si>
  <si>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</si>
  <si>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</si>
  <si>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</si>
  <si>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</si>
  <si>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</si>
  <si>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</si>
  <si>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</si>
  <si>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</si>
  <si>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</si>
  <si>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</si>
  <si>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</si>
  <si>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</si>
  <si>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</si>
  <si>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</si>
  <si>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</si>
  <si>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</si>
  <si>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</si>
  <si>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</si>
  <si>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</si>
  <si>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</si>
  <si>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</si>
  <si>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</si>
  <si>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</si>
  <si>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</si>
  <si>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</si>
  <si>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</si>
  <si>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</si>
  <si>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</si>
  <si>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</si>
  <si>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</si>
  <si>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</si>
  <si>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</si>
  <si>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</si>
  <si>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</si>
  <si>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</si>
  <si>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</si>
  <si>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</si>
  <si>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</si>
  <si>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</si>
  <si>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</si>
  <si>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</si>
  <si>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</si>
  <si>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</si>
  <si>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</si>
  <si>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</si>
  <si>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</si>
  <si>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</si>
  <si>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</si>
  <si>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</si>
  <si>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</si>
  <si>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</si>
  <si>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</si>
  <si>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</si>
  <si>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</si>
  <si>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</si>
  <si>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</si>
  <si>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</si>
  <si>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</si>
  <si>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</si>
  <si>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</si>
  <si>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</si>
  <si>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</si>
  <si>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</si>
  <si>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</si>
  <si>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</si>
  <si>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</si>
  <si>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</si>
  <si>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</si>
  <si>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</si>
  <si>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</si>
  <si>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</si>
  <si>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</si>
  <si>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</si>
  <si>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</si>
  <si>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</si>
  <si>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</si>
  <si>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</si>
  <si>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</si>
  <si>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</si>
  <si>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</si>
  <si>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</si>
  <si>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</si>
  <si>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</si>
  <si>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</si>
  <si>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</si>
  <si>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</si>
  <si>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</si>
  <si>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</si>
  <si>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</si>
  <si>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</si>
  <si>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</si>
  <si>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</si>
  <si>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</si>
  <si>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</si>
  <si>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</si>
  <si>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</si>
  <si>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</si>
  <si>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</si>
  <si>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</si>
  <si>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</si>
  <si>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</si>
  <si>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</si>
  <si>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</si>
  <si>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</si>
  <si>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</si>
  <si>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</si>
  <si>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</si>
  <si>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</si>
  <si>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</si>
  <si>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</si>
  <si>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</si>
  <si>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</si>
  <si>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</si>
  <si>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</si>
  <si>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</si>
  <si>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</si>
  <si>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</si>
  <si>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</si>
  <si>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</si>
  <si>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</si>
  <si>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</si>
  <si>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</si>
  <si>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</si>
  <si>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</si>
  <si>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</si>
  <si>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</si>
  <si>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</si>
  <si>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</si>
  <si>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</si>
  <si>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</si>
  <si>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</si>
  <si>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</si>
  <si>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</si>
  <si>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</si>
  <si>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</si>
  <si>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</si>
  <si>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</si>
  <si>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</si>
  <si>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</si>
  <si>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</si>
  <si>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</si>
  <si>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</si>
  <si>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</si>
  <si>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</si>
  <si>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</si>
  <si>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</si>
  <si>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</si>
  <si>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</si>
  <si>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</si>
  <si>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</si>
  <si>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</si>
  <si>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</si>
  <si>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</si>
  <si>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</si>
  <si>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</si>
  <si>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</si>
  <si>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</si>
  <si>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</si>
  <si>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</si>
  <si>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</si>
  <si>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</si>
  <si>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</si>
  <si>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</si>
  <si>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</si>
  <si>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</si>
  <si>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</si>
  <si>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</si>
  <si>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</si>
  <si>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</si>
  <si>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</si>
  <si>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</si>
  <si>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</si>
  <si>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</si>
  <si>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</si>
  <si>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</si>
  <si>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</si>
  <si>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</si>
  <si>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</si>
  <si>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</si>
  <si>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</si>
  <si>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</si>
  <si>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</si>
  <si>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</si>
  <si>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</si>
  <si>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</si>
  <si>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</si>
  <si>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</si>
  <si>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</si>
  <si>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</si>
  <si>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</si>
  <si>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</si>
  <si>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</si>
  <si>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</si>
  <si>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</si>
  <si>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</si>
  <si>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</si>
  <si>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</si>
  <si>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</si>
  <si>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</si>
  <si>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</si>
  <si>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</si>
  <si>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</si>
  <si>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</si>
  <si>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</si>
  <si>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</si>
  <si>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</si>
  <si>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</si>
  <si>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</si>
  <si>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</si>
  <si>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</si>
  <si>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</si>
  <si>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</si>
  <si>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</si>
  <si>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</si>
  <si>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</si>
  <si>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</si>
  <si>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</si>
  <si>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</si>
  <si>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</si>
  <si>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</si>
  <si>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</si>
  <si>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</si>
  <si>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</si>
  <si>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</si>
  <si>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</si>
  <si>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</si>
  <si>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</si>
  <si>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</si>
  <si>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</si>
  <si>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</si>
  <si>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</si>
  <si>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</si>
  <si>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</si>
  <si>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</si>
  <si>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</si>
  <si>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</si>
  <si>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</si>
  <si>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</si>
  <si>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</si>
  <si>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</si>
  <si>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</si>
  <si>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</si>
  <si>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</si>
  <si>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</si>
  <si>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</si>
  <si>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</si>
  <si>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</si>
  <si>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</si>
  <si>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</si>
  <si>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</si>
  <si>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</si>
  <si>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</si>
  <si>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</si>
  <si>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</si>
  <si>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</si>
  <si>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</si>
  <si>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</si>
  <si>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</si>
  <si>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</si>
  <si>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</si>
  <si>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</si>
  <si>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</si>
  <si>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</si>
  <si>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</si>
  <si>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</si>
  <si>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</si>
  <si>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</si>
  <si>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</si>
  <si>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</si>
  <si>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</si>
  <si>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</si>
  <si>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</si>
  <si>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</si>
  <si>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</si>
  <si>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</si>
  <si>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</si>
  <si>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</si>
  <si>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</si>
  <si>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</si>
  <si>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</si>
  <si>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</si>
  <si>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</si>
  <si>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</si>
  <si>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</si>
  <si>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</si>
  <si>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</si>
  <si>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</si>
  <si>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</si>
  <si>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</si>
  <si>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</si>
  <si>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</si>
  <si>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</si>
  <si>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</si>
  <si>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</si>
  <si>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</si>
  <si>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</si>
  <si>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</si>
  <si>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</si>
  <si>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</si>
  <si>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</si>
  <si>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</si>
  <si>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</si>
  <si>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</si>
  <si>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</si>
  <si>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</si>
  <si>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</si>
  <si>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</si>
  <si>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</si>
  <si>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</si>
  <si>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</si>
  <si>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</si>
  <si>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</si>
  <si>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</si>
  <si>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</si>
  <si>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</si>
  <si>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</si>
  <si>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</si>
  <si>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</si>
  <si>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</si>
  <si>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</si>
  <si>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</si>
  <si>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</si>
  <si>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</si>
  <si>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</si>
  <si>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</si>
  <si>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</si>
  <si>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</si>
  <si>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</si>
  <si>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</si>
  <si>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</si>
  <si>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</si>
  <si>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</si>
  <si>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</si>
  <si>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</si>
  <si>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</si>
  <si>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</si>
  <si>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</si>
  <si>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</si>
  <si>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</si>
  <si>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</si>
  <si>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</si>
  <si>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</si>
  <si>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</si>
  <si>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</si>
  <si>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</si>
  <si>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</si>
  <si>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</si>
  <si>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</si>
  <si>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</si>
  <si>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</si>
  <si>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</si>
  <si>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</si>
  <si>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</si>
  <si>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</si>
  <si>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</si>
  <si>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</si>
  <si>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</si>
  <si>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</si>
  <si>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</si>
  <si>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</si>
  <si>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</si>
  <si>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</si>
  <si>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</si>
  <si>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</si>
  <si>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</si>
  <si>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</si>
  <si>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</si>
  <si>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</si>
  <si>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</si>
  <si>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</si>
  <si>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</si>
  <si>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</si>
  <si>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</si>
  <si>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</si>
  <si>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</si>
  <si>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</si>
  <si>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</si>
  <si>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</si>
  <si>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</si>
  <si>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</si>
  <si>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</si>
  <si>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</si>
  <si>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</si>
  <si>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</si>
  <si>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</si>
  <si>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</si>
  <si>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</si>
  <si>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</si>
  <si>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</si>
  <si>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</si>
  <si>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</si>
  <si>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</si>
  <si>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</si>
  <si>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</si>
  <si>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</si>
  <si>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</si>
  <si>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</si>
  <si>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</si>
  <si>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</si>
  <si>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</si>
  <si>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</si>
  <si>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</si>
  <si>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</si>
  <si>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</si>
  <si>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</si>
  <si>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</si>
  <si>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</si>
  <si>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</si>
  <si>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</si>
  <si>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</si>
  <si>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</si>
  <si>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</si>
  <si>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</si>
  <si>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</si>
  <si>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</si>
  <si>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</si>
  <si>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</si>
  <si>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</si>
  <si>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</si>
  <si>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</si>
  <si>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</si>
  <si>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</si>
  <si>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</si>
  <si>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</si>
  <si>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</si>
  <si>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</si>
  <si>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</si>
  <si>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>TSR1</t>
  </si>
  <si>
    <t>TERMOSIERRA CC</t>
  </si>
  <si>
    <t>{"TSR1": 1389156.0}</t>
  </si>
  <si>
    <t>AGUA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</si>
  <si>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</si>
  <si>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</si>
  <si>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</si>
  <si>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</si>
  <si>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</si>
  <si>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</si>
  <si>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</si>
  <si>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</si>
  <si>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</si>
  <si>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</si>
  <si>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</si>
  <si>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</si>
  <si>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</si>
  <si>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</si>
  <si>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</si>
  <si>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</si>
  <si>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</si>
  <si>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</si>
  <si>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</si>
  <si>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</si>
  <si>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</si>
  <si>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</si>
  <si>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</si>
  <si>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</si>
  <si>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</si>
  <si>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TCBE</t>
  </si>
  <si>
    <t>TERMOCARIBE III 1</t>
  </si>
  <si>
    <t>{"TCBE": 880000.0}</t>
  </si>
  <si>
    <t>BIOMASA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</si>
  <si>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</si>
  <si>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</si>
  <si>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</si>
  <si>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</si>
  <si>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</si>
  <si>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</si>
  <si>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</si>
  <si>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</si>
  <si>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</si>
  <si>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</si>
  <si>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</si>
  <si>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</si>
  <si>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</si>
  <si>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</si>
  <si>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</si>
  <si>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</si>
  <si>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</si>
  <si>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</si>
  <si>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</si>
  <si>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</si>
  <si>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</si>
  <si>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</si>
  <si>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</si>
  <si>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</si>
  <si>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</si>
  <si>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</si>
  <si>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</si>
  <si>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</si>
  <si>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</si>
  <si>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</si>
  <si>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</si>
  <si>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</si>
  <si>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</si>
  <si>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</si>
  <si>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</si>
  <si>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</si>
  <si>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</si>
  <si>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</si>
  <si>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</si>
  <si>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</si>
  <si>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</si>
  <si>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</si>
  <si>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</si>
  <si>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</si>
  <si>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</si>
  <si>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</si>
  <si>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</si>
  <si>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</si>
  <si>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</si>
  <si>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</si>
  <si>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</si>
  <si>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</si>
  <si>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</si>
  <si>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</si>
  <si>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</si>
  <si>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codigo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</si>
  <si>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</si>
  <si>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</si>
  <si>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</si>
  <si>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</si>
  <si>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</si>
  <si>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</si>
  <si>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</si>
  <si>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</si>
  <si>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</si>
  <si>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</si>
  <si>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</si>
  <si>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</si>
  <si>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</si>
  <si>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</si>
  <si>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</si>
  <si>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</si>
  <si>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</si>
  <si>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</si>
  <si>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</si>
  <si>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</si>
  <si>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</si>
  <si>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</si>
  <si>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</si>
  <si>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</si>
  <si>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</si>
  <si>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</si>
  <si>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</si>
  <si>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</si>
  <si>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</si>
  <si>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</si>
  <si>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</si>
  <si>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</si>
  <si>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</si>
  <si>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</si>
  <si>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</si>
  <si>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</si>
  <si>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</si>
  <si>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</si>
  <si>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</si>
  <si>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</si>
  <si>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</si>
  <si>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</si>
  <si>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</si>
  <si>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</si>
  <si>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</si>
  <si>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</si>
  <si>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</si>
  <si>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</si>
  <si>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</si>
  <si>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</si>
  <si>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</si>
  <si>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</si>
  <si>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</si>
  <si>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</si>
  <si>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</si>
  <si>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</si>
  <si>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</si>
  <si>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</si>
  <si>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</si>
  <si>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</si>
  <si>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</si>
  <si>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</si>
  <si>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</si>
  <si>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</si>
  <si>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</si>
  <si>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</si>
  <si>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</si>
  <si>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</si>
  <si>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</si>
  <si>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</si>
  <si>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</si>
  <si>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</si>
  <si>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</si>
  <si>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</si>
  <si>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</si>
  <si>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</si>
  <si>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</si>
  <si>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</si>
  <si>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</si>
  <si>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</si>
  <si>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</si>
  <si>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</si>
  <si>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</si>
  <si>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</si>
  <si>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</si>
  <si>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</si>
  <si>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</si>
  <si>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</si>
  <si>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</si>
  <si>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</si>
  <si>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</si>
  <si>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</si>
  <si>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</si>
  <si>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</si>
  <si>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</si>
  <si>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</si>
  <si>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</si>
  <si>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</si>
  <si>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</si>
  <si>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</si>
  <si>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</si>
  <si>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</si>
  <si>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3INX</t>
  </si>
  <si>
    <t>CARACOLI I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</si>
  <si>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</si>
  <si>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</si>
  <si>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</si>
  <si>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</si>
  <si>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</si>
  <si>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</si>
  <si>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</si>
  <si>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</si>
  <si>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</si>
  <si>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</si>
  <si>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</si>
  <si>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</si>
  <si>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</si>
  <si>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</si>
  <si>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</si>
  <si>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</si>
  <si>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</si>
  <si>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</si>
  <si>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</si>
  <si>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</si>
  <si>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</si>
  <si>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</si>
  <si>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</si>
  <si>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</si>
  <si>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</si>
  <si>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</si>
  <si>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</si>
  <si>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</si>
  <si>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</si>
  <si>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</si>
  <si>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</si>
  <si>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</si>
  <si>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</si>
  <si>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</si>
  <si>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</si>
  <si>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</si>
  <si>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</si>
  <si>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</si>
  <si>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</si>
  <si>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</si>
  <si>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</si>
  <si>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</si>
  <si>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</si>
  <si>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</si>
  <si>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</si>
  <si>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</si>
  <si>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</si>
  <si>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EPFV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</si>
  <si>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</si>
  <si>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</si>
  <si>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</si>
  <si>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</si>
  <si>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</si>
  <si>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3HF5</t>
  </si>
  <si>
    <t>FUNDACION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</si>
  <si>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</si>
  <si>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</si>
  <si>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</si>
  <si>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</si>
  <si>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</si>
  <si>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</si>
  <si>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</si>
  <si>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</si>
  <si>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</si>
  <si>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</si>
  <si>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</si>
  <si>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</si>
  <si>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</si>
  <si>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</si>
  <si>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</si>
  <si>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</si>
  <si>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</si>
  <si>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</si>
  <si>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</si>
  <si>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</si>
  <si>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</si>
  <si>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</si>
  <si>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</si>
  <si>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</si>
  <si>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</si>
  <si>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</si>
  <si>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</si>
  <si>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</si>
  <si>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</si>
  <si>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</si>
  <si>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</si>
  <si>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</si>
  <si>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</si>
  <si>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</si>
  <si>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</si>
  <si>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</si>
  <si>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</si>
  <si>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</si>
  <si>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</si>
  <si>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</si>
  <si>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</si>
  <si>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</si>
  <si>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</si>
  <si>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</si>
  <si>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</si>
  <si>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</si>
  <si>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</si>
  <si>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</si>
  <si>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</si>
  <si>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</si>
  <si>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</si>
  <si>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</si>
  <si>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</si>
  <si>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</si>
  <si>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</si>
  <si>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</si>
  <si>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</si>
  <si>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</si>
  <si>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</si>
  <si>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</si>
  <si>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</si>
  <si>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</si>
  <si>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</si>
  <si>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</si>
  <si>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</si>
  <si>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</si>
  <si>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</si>
  <si>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</si>
  <si>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</si>
  <si>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</si>
  <si>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</si>
  <si>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</si>
  <si>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</si>
  <si>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</si>
  <si>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</si>
  <si>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</si>
  <si>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</si>
  <si>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</si>
  <si>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</si>
  <si>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</si>
  <si>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</si>
  <si>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</si>
  <si>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</si>
  <si>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</si>
  <si>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</si>
  <si>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</si>
  <si>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</si>
  <si>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</si>
  <si>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</si>
  <si>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</si>
  <si>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</si>
  <si>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</si>
  <si>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</si>
  <si>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</si>
  <si>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</si>
  <si>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</si>
  <si>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</si>
  <si>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</si>
  <si>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</si>
  <si>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</si>
  <si>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</si>
  <si>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</si>
  <si>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</si>
  <si>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</si>
  <si>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</si>
  <si>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</si>
  <si>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</si>
  <si>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</si>
  <si>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</si>
  <si>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</si>
  <si>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</si>
  <si>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</si>
  <si>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</si>
  <si>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</si>
  <si>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</si>
  <si>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</si>
  <si>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</si>
  <si>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</si>
  <si>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</si>
  <si>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</si>
  <si>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</si>
  <si>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</si>
  <si>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</si>
  <si>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</si>
  <si>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</si>
  <si>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</si>
  <si>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</si>
  <si>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</si>
  <si>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</si>
  <si>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</si>
  <si>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</si>
  <si>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</si>
  <si>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</si>
  <si>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</si>
  <si>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</si>
  <si>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</si>
  <si>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</si>
  <si>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</si>
  <si>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</si>
  <si>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</si>
  <si>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</si>
  <si>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</si>
  <si>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</si>
  <si>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</si>
  <si>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</si>
  <si>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</si>
  <si>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</si>
  <si>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</si>
  <si>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</si>
  <si>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</si>
  <si>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</si>
  <si>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</si>
  <si>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</si>
  <si>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</si>
  <si>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</si>
  <si>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</si>
  <si>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</si>
  <si>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</si>
  <si>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</si>
  <si>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</si>
  <si>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</si>
  <si>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</si>
  <si>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</si>
  <si>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</si>
  <si>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</si>
  <si>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</si>
  <si>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</si>
  <si>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</si>
  <si>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</si>
  <si>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</si>
  <si>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</si>
  <si>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</si>
  <si>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</si>
  <si>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</si>
  <si>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</si>
  <si>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</si>
  <si>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</si>
  <si>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</si>
  <si>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</si>
  <si>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</si>
  <si>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</si>
  <si>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</si>
  <si>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</si>
  <si>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</si>
  <si>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</si>
  <si>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</si>
  <si>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</si>
  <si>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</si>
  <si>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</si>
  <si>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</si>
  <si>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</si>
  <si>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</si>
  <si>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</si>
  <si>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</si>
  <si>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</si>
  <si>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</si>
  <si>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</si>
  <si>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</si>
  <si>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</si>
  <si>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</si>
  <si>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</si>
  <si>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</si>
  <si>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</si>
  <si>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</si>
  <si>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</si>
  <si>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</si>
  <si>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</si>
  <si>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</si>
  <si>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</si>
  <si>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</si>
  <si>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</si>
  <si>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</si>
  <si>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</si>
  <si>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</si>
  <si>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</si>
  <si>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</si>
  <si>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</si>
  <si>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</si>
  <si>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</si>
  <si>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</si>
  <si>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</si>
  <si>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</si>
  <si>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</si>
  <si>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</si>
  <si>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</si>
  <si>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</si>
  <si>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</si>
  <si>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</si>
  <si>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</si>
  <si>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</si>
  <si>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</si>
  <si>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</si>
  <si>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</si>
  <si>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</si>
  <si>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</si>
  <si>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</si>
  <si>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</si>
  <si>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</si>
  <si>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</si>
  <si>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</si>
  <si>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</si>
  <si>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</si>
  <si>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</si>
  <si>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</si>
  <si>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</si>
  <si>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</si>
  <si>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</si>
  <si>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</si>
  <si>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</si>
  <si>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</si>
  <si>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</si>
  <si>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</si>
  <si>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</si>
  <si>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</si>
  <si>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</si>
  <si>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</si>
  <si>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</si>
  <si>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</si>
  <si>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</si>
  <si>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</si>
  <si>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</si>
  <si>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</si>
  <si>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</si>
  <si>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</si>
  <si>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</si>
  <si>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</si>
  <si>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</si>
  <si>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</si>
  <si>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</si>
  <si>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</si>
  <si>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</si>
  <si>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</si>
  <si>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</si>
  <si>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</si>
  <si>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</si>
  <si>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</si>
  <si>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</si>
  <si>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</si>
  <si>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</si>
  <si>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</si>
  <si>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</si>
  <si>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</si>
  <si>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</si>
  <si>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</si>
  <si>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</si>
  <si>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</si>
  <si>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</si>
  <si>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</si>
  <si>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</si>
  <si>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</si>
  <si>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</si>
  <si>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</si>
  <si>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</si>
  <si>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</si>
  <si>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</si>
  <si>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</si>
  <si>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</si>
  <si>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</si>
  <si>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</si>
  <si>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</si>
  <si>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</si>
  <si>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</si>
  <si>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</si>
  <si>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</si>
  <si>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</si>
  <si>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</si>
  <si>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</si>
  <si>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</si>
  <si>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</si>
  <si>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</si>
  <si>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</si>
  <si>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</si>
  <si>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</si>
  <si>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</si>
  <si>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</si>
  <si>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</si>
  <si>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</si>
  <si>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</si>
  <si>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</si>
  <si>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</si>
  <si>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</si>
  <si>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</si>
  <si>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</si>
  <si>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</si>
  <si>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</si>
  <si>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</si>
  <si>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</si>
  <si>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</si>
  <si>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</si>
  <si>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</si>
  <si>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</si>
  <si>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</si>
  <si>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</si>
  <si>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</si>
  <si>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</si>
  <si>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</si>
  <si>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</si>
  <si>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</si>
  <si>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</si>
  <si>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</si>
  <si>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</si>
  <si>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</si>
  <si>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</si>
  <si>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</si>
  <si>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</si>
  <si>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</si>
  <si>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</si>
  <si>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</si>
  <si>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</si>
  <si>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</si>
  <si>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</si>
  <si>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</si>
  <si>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</si>
  <si>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</si>
  <si>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</si>
  <si>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GYPO</t>
  </si>
  <si>
    <t>GUAYEPO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</si>
  <si>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</si>
  <si>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GYP3</t>
  </si>
  <si>
    <t>GUAYEPO III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</si>
  <si>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</si>
  <si>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</si>
  <si>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</si>
  <si>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</si>
  <si>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</si>
  <si>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</si>
  <si>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</si>
  <si>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</si>
  <si>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</si>
  <si>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</si>
  <si>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</si>
  <si>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</si>
  <si>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</si>
  <si>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MATA</t>
  </si>
  <si>
    <t>LA MATA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</si>
  <si>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</si>
  <si>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</si>
  <si>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</si>
  <si>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</si>
  <si>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</si>
  <si>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</si>
  <si>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</si>
  <si>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</si>
  <si>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</si>
  <si>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</si>
  <si>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</si>
  <si>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3DDT</t>
  </si>
  <si>
    <t>LATAM SOLAR LA LOMA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</si>
  <si>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</si>
  <si>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</si>
  <si>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</si>
  <si>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</si>
  <si>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</si>
  <si>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</si>
  <si>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</si>
  <si>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</si>
  <si>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</si>
  <si>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</si>
  <si>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</si>
  <si>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</si>
  <si>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</si>
  <si>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</si>
  <si>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</si>
  <si>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</si>
  <si>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</si>
  <si>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</si>
  <si>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</si>
  <si>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</si>
  <si>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</si>
  <si>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</si>
  <si>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</si>
  <si>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</si>
  <si>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</si>
  <si>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</si>
  <si>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</si>
  <si>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</si>
  <si>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</si>
  <si>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</si>
  <si>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</si>
  <si>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</si>
  <si>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</si>
  <si>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</si>
  <si>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</si>
  <si>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</si>
  <si>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</si>
  <si>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</si>
  <si>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</si>
  <si>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</si>
  <si>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</si>
  <si>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</si>
  <si>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</si>
  <si>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</si>
  <si>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</si>
  <si>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</si>
  <si>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</si>
  <si>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</si>
  <si>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</si>
  <si>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</si>
  <si>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</si>
  <si>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</si>
  <si>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</si>
  <si>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</si>
  <si>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</si>
  <si>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</si>
  <si>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</si>
  <si>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</si>
  <si>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</si>
  <si>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</si>
  <si>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</si>
  <si>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</si>
  <si>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</si>
  <si>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</si>
  <si>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</si>
  <si>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</si>
  <si>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</si>
  <si>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</si>
  <si>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</si>
  <si>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</si>
  <si>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</si>
  <si>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3IZ6</t>
  </si>
  <si>
    <t>PARQUE SOLAR LA UNION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</si>
  <si>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</si>
  <si>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</si>
  <si>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</si>
  <si>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PORO</t>
  </si>
  <si>
    <t>PARQUE SOLAR PUERTA DE ORO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</si>
  <si>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</si>
  <si>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</si>
  <si>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</si>
  <si>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TPUY</t>
  </si>
  <si>
    <t>PARQUE SOLAR TEPUY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</si>
  <si>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</si>
  <si>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</si>
  <si>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</si>
  <si>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</si>
  <si>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</si>
  <si>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</si>
  <si>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</si>
  <si>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</si>
  <si>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</si>
  <si>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</si>
  <si>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</si>
  <si>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</si>
  <si>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</si>
  <si>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</si>
  <si>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</si>
  <si>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</si>
  <si>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</si>
  <si>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</si>
  <si>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</si>
  <si>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3IRX</t>
  </si>
  <si>
    <t>PORTON DEL SOL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</si>
  <si>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</si>
  <si>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</si>
  <si>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</si>
  <si>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</si>
  <si>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</si>
  <si>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</si>
  <si>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</si>
  <si>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4YCF</t>
  </si>
  <si>
    <t>SHANGRI LA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</si>
  <si>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</si>
  <si>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</si>
  <si>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</si>
  <si>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</si>
  <si>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</si>
  <si>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</si>
  <si>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</si>
  <si>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</si>
  <si>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</si>
  <si>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</si>
  <si>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</si>
  <si>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</si>
  <si>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</si>
  <si>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</si>
  <si>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</si>
  <si>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</si>
  <si>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</si>
  <si>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</si>
  <si>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</si>
  <si>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</si>
  <si>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</si>
  <si>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</si>
  <si>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</si>
  <si>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</si>
  <si>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</si>
  <si>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</si>
  <si>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</si>
  <si>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</si>
  <si>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</si>
  <si>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</si>
  <si>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</si>
  <si>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</si>
  <si>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</si>
  <si>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</si>
  <si>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</si>
  <si>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</si>
  <si>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</si>
  <si>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</si>
  <si>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</si>
  <si>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3IQA</t>
  </si>
  <si>
    <t>SUNNORTE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</si>
  <si>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</si>
  <si>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</si>
  <si>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</si>
  <si>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</si>
  <si>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</si>
  <si>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</si>
  <si>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</si>
  <si>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</si>
  <si>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</si>
  <si>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</si>
  <si>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</si>
  <si>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</si>
  <si>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</si>
  <si>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</si>
  <si>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</si>
  <si>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</si>
  <si>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</si>
  <si>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</si>
  <si>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</si>
  <si>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</si>
  <si>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</si>
  <si>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</si>
  <si>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</si>
  <si>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</si>
  <si>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</si>
  <si>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</si>
  <si>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</si>
  <si>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</si>
  <si>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</si>
  <si>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</si>
  <si>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</si>
  <si>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</si>
  <si>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</si>
  <si>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</si>
  <si>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</si>
  <si>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combustible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</si>
  <si>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</si>
  <si>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</si>
  <si>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</si>
  <si>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</si>
  <si>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</si>
  <si>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</si>
  <si>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</si>
  <si>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</si>
  <si>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</si>
  <si>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</si>
  <si>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</si>
  <si>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</si>
  <si>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</si>
  <si>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</si>
  <si>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</si>
  <si>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</si>
  <si>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</si>
  <si>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</si>
  <si>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</si>
  <si>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</si>
  <si>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</si>
  <si>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</si>
  <si>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</si>
  <si>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</si>
  <si>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</si>
  <si>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</si>
  <si>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</si>
  <si>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</si>
  <si>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</si>
  <si>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</si>
  <si>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</si>
  <si>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</si>
  <si>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</si>
  <si>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</si>
  <si>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</si>
  <si>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</si>
  <si>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</si>
  <si>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</si>
  <si>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</si>
  <si>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</si>
  <si>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</si>
  <si>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</si>
  <si>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</si>
  <si>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</si>
  <si>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</si>
  <si>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</si>
  <si>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</si>
  <si>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</si>
  <si>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</si>
  <si>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</si>
  <si>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</si>
  <si>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</si>
  <si>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</si>
  <si>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</si>
  <si>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</si>
  <si>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</si>
  <si>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</si>
  <si>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</si>
  <si>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</si>
  <si>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</si>
  <si>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</si>
  <si>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</si>
  <si>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</si>
  <si>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</si>
  <si>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</si>
  <si>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</si>
  <si>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</si>
  <si>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</si>
  <si>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</si>
  <si>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</si>
  <si>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</si>
  <si>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</si>
  <si>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</si>
  <si>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</si>
  <si>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</si>
  <si>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</si>
  <si>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</si>
  <si>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</si>
  <si>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</si>
  <si>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</si>
  <si>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</si>
  <si>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</si>
  <si>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</si>
  <si>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</si>
  <si>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</si>
  <si>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</si>
  <si>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</si>
  <si>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</si>
  <si>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</si>
  <si>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</si>
  <si>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</si>
  <si>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</si>
  <si>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</si>
  <si>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</si>
  <si>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</si>
  <si>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</si>
  <si>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</si>
  <si>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</si>
  <si>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</si>
  <si>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</si>
  <si>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</si>
  <si>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</si>
  <si>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</si>
  <si>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</si>
  <si>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</si>
  <si>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</si>
  <si>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</si>
  <si>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</si>
  <si>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</si>
  <si>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</si>
  <si>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</si>
  <si>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</si>
  <si>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</si>
  <si>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</si>
  <si>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</si>
  <si>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</si>
  <si>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</si>
  <si>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</si>
  <si>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</si>
  <si>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</si>
  <si>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</si>
  <si>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</si>
  <si>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</si>
  <si>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</si>
  <si>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</si>
  <si>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</si>
  <si>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</si>
  <si>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</si>
  <si>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</si>
  <si>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</si>
  <si>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</si>
  <si>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</si>
  <si>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</si>
  <si>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</si>
  <si>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</si>
  <si>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</si>
  <si>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</si>
  <si>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</si>
  <si>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</si>
  <si>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</si>
  <si>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</si>
  <si>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</si>
  <si>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</si>
  <si>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</si>
  <si>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</si>
  <si>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</si>
  <si>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</si>
  <si>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</si>
  <si>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</si>
  <si>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</si>
  <si>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</si>
  <si>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</si>
  <si>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</si>
  <si>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</si>
  <si>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</si>
  <si>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</si>
  <si>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</si>
  <si>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</si>
  <si>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</si>
  <si>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</si>
  <si>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</si>
  <si>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</si>
  <si>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</si>
  <si>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</si>
  <si>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</si>
  <si>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</si>
  <si>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</si>
  <si>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</si>
  <si>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</si>
  <si>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</si>
  <si>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</si>
  <si>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</si>
  <si>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</si>
  <si>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</si>
  <si>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</si>
  <si>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</si>
  <si>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</si>
  <si>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</si>
  <si>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</si>
  <si>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</si>
  <si>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</si>
  <si>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</si>
  <si>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</si>
  <si>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</si>
  <si>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</si>
  <si>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</si>
  <si>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</si>
  <si>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</si>
  <si>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</si>
  <si>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</si>
  <si>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</si>
  <si>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</si>
  <si>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</si>
  <si>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</si>
  <si>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</si>
  <si>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</si>
  <si>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</si>
  <si>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</si>
  <si>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</si>
  <si>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</si>
  <si>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</si>
  <si>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</si>
  <si>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</si>
  <si>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</si>
  <si>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</si>
  <si>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</si>
  <si>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</si>
  <si>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</si>
  <si>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</si>
  <si>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</si>
  <si>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</si>
  <si>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</si>
  <si>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</si>
  <si>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</si>
  <si>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</si>
  <si>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</si>
  <si>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</si>
  <si>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</si>
  <si>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</si>
  <si>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</si>
  <si>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</si>
  <si>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</si>
  <si>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</si>
  <si>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</si>
  <si>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</si>
  <si>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</si>
  <si>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</si>
  <si>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</si>
  <si>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</si>
  <si>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</si>
  <si>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</si>
  <si>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</si>
  <si>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</si>
  <si>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</si>
  <si>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</si>
  <si>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</si>
  <si>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</si>
  <si>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</si>
  <si>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</si>
  <si>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</si>
  <si>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</si>
  <si>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</si>
  <si>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</si>
  <si>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</si>
  <si>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</si>
  <si>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</si>
  <si>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</si>
  <si>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</si>
  <si>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</si>
  <si>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</si>
  <si>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</si>
  <si>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</si>
  <si>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</si>
  <si>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</si>
  <si>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</si>
  <si>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</si>
  <si>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</si>
  <si>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</si>
  <si>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</si>
  <si>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</si>
  <si>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</si>
  <si>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</si>
  <si>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</si>
  <si>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</si>
  <si>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</si>
  <si>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</si>
  <si>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</si>
  <si>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</si>
  <si>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</si>
  <si>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</si>
  <si>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</si>
  <si>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</si>
  <si>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</si>
  <si>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</si>
  <si>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</si>
  <si>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</si>
  <si>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</si>
  <si>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</si>
  <si>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</si>
  <si>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</si>
  <si>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</si>
  <si>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</si>
  <si>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</si>
  <si>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</si>
  <si>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</si>
  <si>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</si>
  <si>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</si>
  <si>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</si>
  <si>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</si>
  <si>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</si>
  <si>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</si>
  <si>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</si>
  <si>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</si>
  <si>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</si>
  <si>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</si>
  <si>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</si>
  <si>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</si>
  <si>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</si>
  <si>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</si>
  <si>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</si>
  <si>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</si>
  <si>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</si>
  <si>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</si>
  <si>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</si>
  <si>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</si>
  <si>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</si>
  <si>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</si>
  <si>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</si>
  <si>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</si>
  <si>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</si>
  <si>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</si>
  <si>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</si>
  <si>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</si>
  <si>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</si>
  <si>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</si>
  <si>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</si>
  <si>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</si>
  <si>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</si>
  <si>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</si>
  <si>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</si>
  <si>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</si>
  <si>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</si>
  <si>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</si>
  <si>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</si>
  <si>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</si>
  <si>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</si>
  <si>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</si>
  <si>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</si>
  <si>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</si>
  <si>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</si>
  <si>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</si>
  <si>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</si>
  <si>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</si>
  <si>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</si>
  <si>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</si>
  <si>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</si>
  <si>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</si>
  <si>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</si>
  <si>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</si>
  <si>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</si>
  <si>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</si>
  <si>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</si>
  <si>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</si>
  <si>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</si>
  <si>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</si>
  <si>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</si>
  <si>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</si>
  <si>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</si>
  <si>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</si>
  <si>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</si>
  <si>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</si>
  <si>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</si>
  <si>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</si>
  <si>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</si>
  <si>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</si>
  <si>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</si>
  <si>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</si>
  <si>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</si>
  <si>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</si>
  <si>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</si>
  <si>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</si>
  <si>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</si>
  <si>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</si>
  <si>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</si>
  <si>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</si>
  <si>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</si>
  <si>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</si>
  <si>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</si>
  <si>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</si>
  <si>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</si>
  <si>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</si>
  <si>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</si>
  <si>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</si>
  <si>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</si>
  <si>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</si>
  <si>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</si>
  <si>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</si>
  <si>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</si>
  <si>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</si>
  <si>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</si>
  <si>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</si>
  <si>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</si>
  <si>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</si>
  <si>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</si>
  <si>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</si>
  <si>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</si>
  <si>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</si>
  <si>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</si>
  <si>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</si>
  <si>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</si>
  <si>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</si>
  <si>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</si>
  <si>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</si>
  <si>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</si>
  <si>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</si>
  <si>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</si>
  <si>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</si>
  <si>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</si>
  <si>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</si>
  <si>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</si>
  <si>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</si>
  <si>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</si>
  <si>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</si>
  <si>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</si>
  <si>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</si>
  <si>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</si>
  <si>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</si>
  <si>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</si>
  <si>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</si>
  <si>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</si>
  <si>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</si>
  <si>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</si>
  <si>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</si>
  <si>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</si>
  <si>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</si>
  <si>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</si>
  <si>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</si>
  <si>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</si>
  <si>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</si>
  <si>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</si>
  <si>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</si>
  <si>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</si>
  <si>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</si>
  <si>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</si>
  <si>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</si>
  <si>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</si>
  <si>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</si>
  <si>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</si>
  <si>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</si>
  <si>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</si>
  <si>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</si>
  <si>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</si>
  <si>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</si>
  <si>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</si>
  <si>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</si>
  <si>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</si>
  <si>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</si>
  <si>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</si>
  <si>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</si>
  <si>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</si>
  <si>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</si>
  <si>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</si>
  <si>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</si>
  <si>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</si>
  <si>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</si>
  <si>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</si>
  <si>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</si>
  <si>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</si>
  <si>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</si>
  <si>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</si>
  <si>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</si>
  <si>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</si>
  <si>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</si>
  <si>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</si>
  <si>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</si>
  <si>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</si>
  <si>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</si>
  <si>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</si>
  <si>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</si>
  <si>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</si>
  <si>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</si>
  <si>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</si>
  <si>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</si>
  <si>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</si>
  <si>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</si>
  <si>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</si>
  <si>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</si>
  <si>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</si>
  <si>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</si>
  <si>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</si>
  <si>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</si>
  <si>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</si>
  <si>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</si>
  <si>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</si>
  <si>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</si>
  <si>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</si>
  <si>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</si>
  <si>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</si>
  <si>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</si>
  <si>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</si>
  <si>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</si>
  <si>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</si>
  <si>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</si>
  <si>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</si>
  <si>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</si>
  <si>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</si>
  <si>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</si>
  <si>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</si>
  <si>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</si>
  <si>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</si>
  <si>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</si>
  <si>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</si>
  <si>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</si>
  <si>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</si>
  <si>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</si>
  <si>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</si>
  <si>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</si>
  <si>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</si>
  <si>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</si>
  <si>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</si>
  <si>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</si>
  <si>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</si>
  <si>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</si>
  <si>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</si>
  <si>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</si>
  <si>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</si>
  <si>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</si>
  <si>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</si>
  <si>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</si>
  <si>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</si>
  <si>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</si>
  <si>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</si>
  <si>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</si>
  <si>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</si>
  <si>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</si>
  <si>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</si>
  <si>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</si>
  <si>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</si>
  <si>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</si>
  <si>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</si>
  <si>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</si>
  <si>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</si>
  <si>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</si>
  <si>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</si>
  <si>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</si>
  <si>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</si>
  <si>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</si>
  <si>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</si>
  <si>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</si>
  <si>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</si>
  <si>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</si>
  <si>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</si>
  <si>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</si>
  <si>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</si>
  <si>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</si>
  <si>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</si>
  <si>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</si>
  <si>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</si>
  <si>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</si>
  <si>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</si>
  <si>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</si>
  <si>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</si>
  <si>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</si>
  <si>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</si>
  <si>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</si>
  <si>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</si>
  <si>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</si>
  <si>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</si>
  <si>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</si>
  <si>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</si>
  <si>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</si>
  <si>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</si>
  <si>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</si>
  <si>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</si>
  <si>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</si>
  <si>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</si>
  <si>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</si>
  <si>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</si>
  <si>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</si>
  <si>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</si>
  <si>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</si>
  <si>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</si>
  <si>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</si>
  <si>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</si>
  <si>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</si>
  <si>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</si>
  <si>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</si>
  <si>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</si>
  <si>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</si>
  <si>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</si>
  <si>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</si>
  <si>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</si>
  <si>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</si>
  <si>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</si>
  <si>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</si>
  <si>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</si>
  <si>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</si>
  <si>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</si>
  <si>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</si>
  <si>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</si>
  <si>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</si>
  <si>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</si>
  <si>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</si>
  <si>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</si>
  <si>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</si>
  <si>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</si>
  <si>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</si>
  <si>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</si>
  <si>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</si>
  <si>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</si>
  <si>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</si>
  <si>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</si>
  <si>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</si>
  <si>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</si>
  <si>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</si>
  <si>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</si>
  <si>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</si>
  <si>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</si>
  <si>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</si>
  <si>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</si>
  <si>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</si>
  <si>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</si>
  <si>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</si>
  <si>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</si>
  <si>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</si>
  <si>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</si>
  <si>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</si>
  <si>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</si>
  <si>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</si>
  <si>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</si>
  <si>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</si>
  <si>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</si>
  <si>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</si>
  <si>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</si>
  <si>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</si>
  <si>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</si>
  <si>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</si>
  <si>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</si>
  <si>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</si>
  <si>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</si>
  <si>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</si>
  <si>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</si>
  <si>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</si>
  <si>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</si>
  <si>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</si>
  <si>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</si>
  <si>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</si>
  <si>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</si>
  <si>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</si>
  <si>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</si>
  <si>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</si>
  <si>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</si>
  <si>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</si>
  <si>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</si>
  <si>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</si>
  <si>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</si>
  <si>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</si>
  <si>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</si>
  <si>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</si>
  <si>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</si>
  <si>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</si>
  <si>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</si>
  <si>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</si>
  <si>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</si>
  <si>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</si>
  <si>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</si>
  <si>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</si>
  <si>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</si>
  <si>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</si>
  <si>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</si>
  <si>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</si>
  <si>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</si>
  <si>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</si>
  <si>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</si>
  <si>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</si>
  <si>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</si>
  <si>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</si>
  <si>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</si>
  <si>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</si>
  <si>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</si>
  <si>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</si>
  <si>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</si>
  <si>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</si>
  <si>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</si>
  <si>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</si>
  <si>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</si>
  <si>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</si>
  <si>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</si>
  <si>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</si>
  <si>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</si>
  <si>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</si>
  <si>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</si>
  <si>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</si>
  <si>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</si>
  <si>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</si>
  <si>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</si>
  <si>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</si>
  <si>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</si>
  <si>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</si>
  <si>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</si>
  <si>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</si>
  <si>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</si>
  <si>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</si>
  <si>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</si>
  <si>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</si>
  <si>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</si>
  <si>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</si>
  <si>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</si>
  <si>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</si>
  <si>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</si>
  <si>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</si>
  <si>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</si>
  <si>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</si>
  <si>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</si>
  <si>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</si>
  <si>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</si>
  <si>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</si>
  <si>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</si>
  <si>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</si>
  <si>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TBQ3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</si>
  <si>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</si>
  <si>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</si>
  <si>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</si>
  <si>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TBQ4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</si>
  <si>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</si>
  <si>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CTG1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</si>
  <si>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</si>
  <si>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CTG2</t>
  </si>
  <si>
    <t>CARTAGENA 2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</si>
  <si>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</si>
  <si>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CTG3</t>
  </si>
  <si>
    <t>CARTAGENA 3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</si>
  <si>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</si>
  <si>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TFL1</t>
  </si>
  <si>
    <t>FLORES I CC</t>
  </si>
  <si>
    <t>FLORES 1 GAS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</si>
  <si>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</si>
  <si>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FLORES 1 VAPOR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</si>
  <si>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</si>
  <si>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TFL4</t>
  </si>
  <si>
    <t>FLORES 4 CC</t>
  </si>
  <si>
    <t>FLORES 2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</si>
  <si>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</si>
  <si>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FLORES 3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</si>
  <si>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</si>
  <si>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</si>
  <si>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FLORES 4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</si>
  <si>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</si>
  <si>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GEC3</t>
  </si>
  <si>
    <t>GECELCA 3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</si>
  <si>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</si>
  <si>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</si>
  <si>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GE32</t>
  </si>
  <si>
    <t>GECELCA 32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</si>
  <si>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</si>
  <si>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</si>
  <si>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TGJ1</t>
  </si>
  <si>
    <t>GUAJIRA 1</t>
  </si>
  <si>
    <t>GUAJIRA 220</t>
  </si>
  <si>
    <t>Mezcla Gas - Carbón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</si>
  <si>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</si>
  <si>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TGJ2</t>
  </si>
  <si>
    <t>GUAJIRA 2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</si>
  <si>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</si>
  <si>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</si>
  <si>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</si>
  <si>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PPA1</t>
  </si>
  <si>
    <t>PAIPA 1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</si>
  <si>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</si>
  <si>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</si>
  <si>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PPA2</t>
  </si>
  <si>
    <t>PAIPA 2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</si>
  <si>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</si>
  <si>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PPA3</t>
  </si>
  <si>
    <t>PAIPA 3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</si>
  <si>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</si>
  <si>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PPA4</t>
  </si>
  <si>
    <t>PAIPA 4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</si>
  <si>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</si>
  <si>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</si>
  <si>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PRG1</t>
  </si>
  <si>
    <t>PROELECTRICA 1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</si>
  <si>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</si>
  <si>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</si>
  <si>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PRG2</t>
  </si>
  <si>
    <t>PROELECTRICA 2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</si>
  <si>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</si>
  <si>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TSJ1</t>
  </si>
  <si>
    <t>TASAJERO 1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</si>
  <si>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</si>
  <si>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</si>
  <si>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TSJ2</t>
  </si>
  <si>
    <t>TASAJERO 2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</si>
  <si>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</si>
  <si>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TBST</t>
  </si>
  <si>
    <t>TEBSAB CC</t>
  </si>
  <si>
    <t>TEBSA 11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</si>
  <si>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</si>
  <si>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</si>
  <si>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12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</si>
  <si>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</si>
  <si>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13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</si>
  <si>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</si>
  <si>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14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</si>
  <si>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</si>
  <si>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21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</si>
  <si>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</si>
  <si>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</si>
  <si>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22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</si>
  <si>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</si>
  <si>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24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</si>
  <si>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</si>
  <si>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TCDT</t>
  </si>
  <si>
    <t>TERMOCANDELARIA CC</t>
  </si>
  <si>
    <t>TERMOCANDELARIA CC 1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</si>
  <si>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</si>
  <si>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</si>
  <si>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TERMOCANDELARIA CC 2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</si>
  <si>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</si>
  <si>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TERMOCANDELARIA CC 3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</si>
  <si>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</si>
  <si>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TERMOCARIBE III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</si>
  <si>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</si>
  <si>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</si>
  <si>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1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</si>
  <si>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</si>
  <si>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</si>
  <si>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TERMOCENTRO 2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</si>
  <si>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</si>
  <si>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TERMOCENTRO 3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</si>
  <si>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</si>
  <si>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</si>
  <si>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</si>
  <si>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TEC1</t>
  </si>
  <si>
    <t>TERMOEMCALI CC</t>
  </si>
  <si>
    <t>TERMOEMCALI 1 GAS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</si>
  <si>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</si>
  <si>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</si>
  <si>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TERMOEMCALI 1 VAPOR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</si>
  <si>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</si>
  <si>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TERMONORTE 1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</si>
  <si>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</si>
  <si>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</si>
  <si>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10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</si>
  <si>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</si>
  <si>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2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</si>
  <si>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</si>
  <si>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3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</si>
  <si>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</si>
  <si>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4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</si>
  <si>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</si>
  <si>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5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</si>
  <si>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</si>
  <si>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6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</si>
  <si>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</si>
  <si>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7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</si>
  <si>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</si>
  <si>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8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</si>
  <si>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</si>
  <si>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9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</si>
  <si>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</si>
  <si>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TERMOSIERRA 1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</si>
  <si>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</si>
  <si>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</si>
  <si>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TERMOSIERRA 2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</si>
  <si>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</si>
  <si>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TERMOSIERRA 3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</si>
  <si>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</si>
  <si>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TVL1</t>
  </si>
  <si>
    <t>TERMOVALLE CC</t>
  </si>
  <si>
    <t>TERMOVALLE 1 GAS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</si>
  <si>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</si>
  <si>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</si>
  <si>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TERMOVALLE 1 VAPOR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</si>
  <si>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</si>
  <si>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TYP1</t>
  </si>
  <si>
    <t>TERMOYOPAL 1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</si>
  <si>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</si>
  <si>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</si>
  <si>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TYP2</t>
  </si>
  <si>
    <t>TERMOYOPAL 2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</si>
  <si>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</si>
  <si>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TYP3</t>
  </si>
  <si>
    <t>TERMOYOPAL G3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</si>
  <si>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</si>
  <si>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TYP4</t>
  </si>
  <si>
    <t>TERMOYOPAL G4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</si>
  <si>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</si>
  <si>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TYP5</t>
  </si>
  <si>
    <t>TERMOYOPAL G5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</si>
  <si>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</si>
  <si>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TESORITO 1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</si>
  <si>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</si>
  <si>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</si>
  <si>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10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</si>
  <si>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</si>
  <si>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11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</si>
  <si>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</si>
  <si>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2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</si>
  <si>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</si>
  <si>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3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</si>
  <si>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</si>
  <si>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4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</si>
  <si>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</si>
  <si>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5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</si>
  <si>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</si>
  <si>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6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</si>
  <si>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</si>
  <si>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7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</si>
  <si>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</si>
  <si>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8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</si>
  <si>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</si>
  <si>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9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</si>
  <si>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</si>
  <si>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VILLANUEVA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</si>
  <si>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</si>
  <si>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</si>
  <si>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ZPA2</t>
  </si>
  <si>
    <t>ZIPAEMG 2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</si>
  <si>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</si>
  <si>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</si>
  <si>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ZPA3</t>
  </si>
  <si>
    <t>ZIPAEMG 3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</si>
  <si>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</si>
  <si>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ZPA4</t>
  </si>
  <si>
    <t>ZIPAEMG 4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</si>
  <si>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</si>
  <si>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ZPA5</t>
  </si>
  <si>
    <t>ZIPAEMG 5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</si>
  <si>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</si>
  <si>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</si>
  <si>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</si>
  <si>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</si>
  <si>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</si>
  <si>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</si>
  <si>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MOY1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</si>
  <si>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</si>
  <si>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</si>
  <si>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AMOYA LA ESPERANZA 2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</si>
  <si>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</si>
  <si>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BAJO ANCHICAYA 1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</si>
  <si>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</si>
  <si>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BAJO ANCHICAYA 2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</si>
  <si>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</si>
  <si>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BAJO ANCHICAYA 3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</si>
  <si>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</si>
  <si>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BAJO ANCHICAYA 4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</si>
  <si>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</si>
  <si>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CHBG</t>
  </si>
  <si>
    <t>BETANIA</t>
  </si>
  <si>
    <t>BETANIA 1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</si>
  <si>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</si>
  <si>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</si>
  <si>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2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</si>
  <si>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</si>
  <si>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3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</si>
  <si>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</si>
  <si>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CLMG</t>
  </si>
  <si>
    <t>CALIMA</t>
  </si>
  <si>
    <t>CALIMA 1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</si>
  <si>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</si>
  <si>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</si>
  <si>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2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</si>
  <si>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</si>
  <si>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3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</si>
  <si>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</si>
  <si>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4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</si>
  <si>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</si>
  <si>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CLL1</t>
  </si>
  <si>
    <t>CARLOS LLERAS</t>
  </si>
  <si>
    <t>CARLOS LLERAS 1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</si>
  <si>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</si>
  <si>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</si>
  <si>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CARLOS LLERAS 2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</si>
  <si>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</si>
  <si>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CHVR</t>
  </si>
  <si>
    <t>CHIVOR</t>
  </si>
  <si>
    <t>CHIVOR 1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</si>
  <si>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</si>
  <si>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</si>
  <si>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CHIVOR 2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</si>
  <si>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</si>
  <si>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CHIVOR 3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</si>
  <si>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</si>
  <si>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CHIVOR 4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</si>
  <si>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</si>
  <si>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CHIVOR 5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</si>
  <si>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</si>
  <si>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CHIVOR 6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</si>
  <si>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</si>
  <si>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CHIVOR 7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</si>
  <si>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</si>
  <si>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CHIVOR 8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</si>
  <si>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</si>
  <si>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CUC1</t>
  </si>
  <si>
    <t>CUCUANA</t>
  </si>
  <si>
    <t>CUCUANA 1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</si>
  <si>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</si>
  <si>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</si>
  <si>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CUCUANA 2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</si>
  <si>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</si>
  <si>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DVS1</t>
  </si>
  <si>
    <t>DARIO VALENCIA SAMPER</t>
  </si>
  <si>
    <t>DARIO VALENCIA SAMPER 1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</si>
  <si>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</si>
  <si>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</si>
  <si>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DARIO VALENCIA SAMPER 2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</si>
  <si>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</si>
  <si>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DARIO VALENCIA SAMPER 5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</si>
  <si>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</si>
  <si>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EL QUIMBO 1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</si>
  <si>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</si>
  <si>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</si>
  <si>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EL QUIMBO 2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</si>
  <si>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</si>
  <si>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HMIN</t>
  </si>
  <si>
    <t>ESCUELA DE MINAS</t>
  </si>
  <si>
    <t>ESCUELA DE MINAS 1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</si>
  <si>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</si>
  <si>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</si>
  <si>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ESCUELA DE MINAS 2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</si>
  <si>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</si>
  <si>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ESCUELA DE MINAS 3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</si>
  <si>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</si>
  <si>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ESMR</t>
  </si>
  <si>
    <t>ESMERALDA</t>
  </si>
  <si>
    <t>ESMERALDA 1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</si>
  <si>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</si>
  <si>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</si>
  <si>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ESMERALDA 2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</si>
  <si>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</si>
  <si>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GUADALUPE III</t>
  </si>
  <si>
    <t>GUADALUPE 31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</si>
  <si>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</si>
  <si>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</si>
  <si>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32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</si>
  <si>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</si>
  <si>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GUADALUPE 33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</si>
  <si>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</si>
  <si>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GUADALUPE 34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</si>
  <si>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</si>
  <si>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35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</si>
  <si>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</si>
  <si>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36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</si>
  <si>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</si>
  <si>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</t>
  </si>
  <si>
    <t>GUADALUPE 41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</si>
  <si>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</si>
  <si>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</si>
  <si>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GUADALUPE 42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</si>
  <si>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</si>
  <si>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GUADALUPE 43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</si>
  <si>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</si>
  <si>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GTPE</t>
  </si>
  <si>
    <t>GUATAPE</t>
  </si>
  <si>
    <t>GUATAPE 1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</si>
  <si>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</si>
  <si>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</si>
  <si>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2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</si>
  <si>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</si>
  <si>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3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</si>
  <si>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</si>
  <si>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4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</si>
  <si>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</si>
  <si>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5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</si>
  <si>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</si>
  <si>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6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</si>
  <si>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</si>
  <si>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GUATAPE 7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</si>
  <si>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</si>
  <si>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8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</si>
  <si>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</si>
  <si>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GVIO</t>
  </si>
  <si>
    <t>GUAVIO</t>
  </si>
  <si>
    <t>GUAVIO 1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</si>
  <si>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</si>
  <si>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</si>
  <si>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GUAVIO 2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</si>
  <si>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</si>
  <si>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GUAVIO 3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</si>
  <si>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</si>
  <si>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GUAVIO 4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</si>
  <si>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</si>
  <si>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GUAVIO 5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</si>
  <si>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</si>
  <si>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PES1</t>
  </si>
  <si>
    <t>ITUANGO</t>
  </si>
  <si>
    <t>ITUANGO 1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</si>
  <si>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</si>
  <si>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</si>
  <si>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2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</si>
  <si>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</si>
  <si>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ITUANGO 3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</si>
  <si>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</si>
  <si>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4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</si>
  <si>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</si>
  <si>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JAGS</t>
  </si>
  <si>
    <t>JAGUAS</t>
  </si>
  <si>
    <t>JAGUAS 1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</si>
  <si>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</si>
  <si>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</si>
  <si>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JAGUAS 2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</si>
  <si>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</si>
  <si>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1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</si>
  <si>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</si>
  <si>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</si>
  <si>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2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</si>
  <si>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</si>
  <si>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3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</si>
  <si>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</si>
  <si>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LTSJ</t>
  </si>
  <si>
    <t>LA TASAJERA</t>
  </si>
  <si>
    <t>LA TASAJERA 1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</si>
  <si>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</si>
  <si>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</si>
  <si>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LA TASAJERA 2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</si>
  <si>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</si>
  <si>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LA TASAJERA 3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</si>
  <si>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</si>
  <si>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HMLG</t>
  </si>
  <si>
    <t>MIEL I</t>
  </si>
  <si>
    <t>MIEL I 1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</si>
  <si>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</si>
  <si>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</si>
  <si>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2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</si>
  <si>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</si>
  <si>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3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</si>
  <si>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</si>
  <si>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1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</si>
  <si>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</si>
  <si>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</si>
  <si>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PARAISO 2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</si>
  <si>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</si>
  <si>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PARAISO 3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</si>
  <si>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</si>
  <si>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PLYS</t>
  </si>
  <si>
    <t>PLAYAS</t>
  </si>
  <si>
    <t>PLAYAS 1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</si>
  <si>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</si>
  <si>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</si>
  <si>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PLAYAS 2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</si>
  <si>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</si>
  <si>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PLAYAS 3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</si>
  <si>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</si>
  <si>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PRC2</t>
  </si>
  <si>
    <t>PORCE II</t>
  </si>
  <si>
    <t>PORCE II 1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</si>
  <si>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</si>
  <si>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</si>
  <si>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PORCE II 2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</si>
  <si>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</si>
  <si>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PORCE II 3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</si>
  <si>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</si>
  <si>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PRC3</t>
  </si>
  <si>
    <t>PORCE III</t>
  </si>
  <si>
    <t>PORCE III 1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</si>
  <si>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</si>
  <si>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</si>
  <si>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2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</si>
  <si>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</si>
  <si>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3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</si>
  <si>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</si>
  <si>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4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</si>
  <si>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</si>
  <si>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PRDO</t>
  </si>
  <si>
    <t>PRADO</t>
  </si>
  <si>
    <t>PRADO 1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</si>
  <si>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</si>
  <si>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</si>
  <si>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2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</si>
  <si>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</si>
  <si>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3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</si>
  <si>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</si>
  <si>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2QEK</t>
  </si>
  <si>
    <t>SALTO II</t>
  </si>
  <si>
    <t>SALTO II 2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</si>
  <si>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</si>
  <si>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</si>
  <si>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SLVJ</t>
  </si>
  <si>
    <t>SALVAJINA</t>
  </si>
  <si>
    <t>SALVAJINA 1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</si>
  <si>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</si>
  <si>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</si>
  <si>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SALVAJINA 2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</si>
  <si>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</si>
  <si>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SALVAJINA 3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</si>
  <si>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</si>
  <si>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SNCR</t>
  </si>
  <si>
    <t>SAN CARLOS</t>
  </si>
  <si>
    <t>SAN CARLOS 1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</si>
  <si>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</si>
  <si>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</si>
  <si>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2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</si>
  <si>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</si>
  <si>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3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</si>
  <si>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</si>
  <si>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4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</si>
  <si>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</si>
  <si>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5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</si>
  <si>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</si>
  <si>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6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</si>
  <si>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</si>
  <si>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7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</si>
  <si>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</si>
  <si>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8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</si>
  <si>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</si>
  <si>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SNFR</t>
  </si>
  <si>
    <t>SAN FRANCISCO</t>
  </si>
  <si>
    <t>SAN FRANCISCO 1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</si>
  <si>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</si>
  <si>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2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</si>
  <si>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</si>
  <si>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3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</si>
  <si>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</si>
  <si>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SMI1</t>
  </si>
  <si>
    <t>SAN MIGUEL</t>
  </si>
  <si>
    <t>SAN MIGUEL 1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</si>
  <si>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</si>
  <si>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</si>
  <si>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SAN MIGUEL 2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</si>
  <si>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</si>
  <si>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1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</si>
  <si>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</si>
  <si>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</si>
  <si>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SOGAMOSO 2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</si>
  <si>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</si>
  <si>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SOGAMOSO 3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</si>
  <si>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</si>
  <si>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TRONERAS</t>
  </si>
  <si>
    <t>TRONERAS 1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</si>
  <si>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</si>
  <si>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TRONERAS 2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</si>
  <si>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</si>
  <si>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TUJ1</t>
  </si>
  <si>
    <t>TUNJITA</t>
  </si>
  <si>
    <t>TUNJITA 1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</si>
  <si>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</si>
  <si>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</si>
  <si>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TUNJITA 2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</si>
  <si>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</si>
  <si>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1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</si>
  <si>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</si>
  <si>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</si>
  <si>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URRA 2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</si>
  <si>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</si>
  <si>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URRA 3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</si>
  <si>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</si>
  <si>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URRA 4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</si>
  <si>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</si>
  <si>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</si>
  <si>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tipo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</si>
  <si>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</si>
  <si>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</si>
  <si>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</si>
  <si>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</si>
  <si>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</si>
  <si>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</si>
  <si>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</si>
  <si>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</si>
  <si>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</si>
  <si>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</si>
  <si>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</si>
  <si>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PGUG</t>
  </si>
  <si>
    <t>PAGUA</t>
  </si>
  <si>
    <t>componente-&gt;Phidraulica Nombre-&gt;Subarea</t>
  </si>
  <si>
    <t>ALBG</t>
  </si>
  <si>
    <t>ALBAN</t>
  </si>
  <si>
    <t>CADENA HIDRÁULICA ALBAN</t>
  </si>
  <si>
    <t>GTRG</t>
  </si>
  <si>
    <t>GUATRON</t>
  </si>
  <si>
    <t>CADENA HIDRÁULICA GUATRON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</si>
  <si>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</si>
  <si>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</si>
  <si>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</si>
  <si>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</si>
  <si>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</si>
  <si>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</si>
  <si>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</si>
  <si>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</si>
  <si>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</si>
  <si>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</si>
  <si>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</si>
  <si>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</si>
  <si>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</si>
  <si>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</si>
  <si>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</si>
  <si>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</si>
  <si>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</si>
  <si>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</si>
  <si>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</si>
  <si>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</si>
  <si>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</si>
  <si>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</si>
  <si>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</si>
  <si>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</si>
  <si>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</si>
  <si>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</si>
  <si>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</si>
  <si>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</si>
  <si>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</si>
  <si>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</si>
  <si>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</si>
  <si>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</si>
  <si>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</si>
  <si>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</si>
  <si>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</si>
  <si>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</si>
  <si>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</si>
  <si>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</si>
  <si>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</si>
  <si>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</si>
  <si>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</si>
  <si>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</si>
  <si>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</si>
  <si>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</si>
  <si>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</si>
  <si>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</si>
  <si>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</si>
  <si>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</si>
  <si>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</si>
  <si>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</si>
  <si>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COP/USD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</si>
  <si>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</si>
  <si>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</si>
  <si>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</si>
  <si>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</si>
  <si>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</si>
  <si>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</si>
  <si>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</si>
  <si>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</si>
  <si>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</si>
  <si>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</si>
  <si>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</si>
  <si>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</si>
  <si>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</si>
  <si>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</si>
  <si>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</si>
  <si>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</si>
  <si>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</si>
  <si>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</si>
  <si>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MW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</si>
  <si>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</si>
  <si>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</si>
  <si>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</si>
  <si>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</si>
  <si>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</si>
  <si>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</si>
  <si>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</si>
  <si>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</si>
  <si>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</si>
  <si>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</si>
  <si>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</si>
  <si>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</si>
  <si>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</si>
  <si>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</si>
  <si>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</si>
  <si>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</si>
  <si>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</si>
  <si>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</si>
  <si>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</si>
  <si>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</si>
  <si>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</si>
  <si>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</si>
  <si>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</si>
  <si>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</si>
  <si>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</si>
  <si>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</si>
  <si>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</si>
  <si>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</si>
  <si>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</si>
  <si>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</si>
  <si>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</si>
  <si>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</si>
  <si>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</si>
  <si>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</si>
  <si>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</si>
  <si>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</si>
  <si>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</si>
  <si>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</si>
  <si>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</si>
  <si>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</si>
  <si>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</si>
  <si>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</si>
  <si>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</si>
  <si>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</si>
  <si>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</si>
  <si>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</si>
  <si>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</si>
  <si>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</si>
  <si>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</si>
  <si>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</si>
  <si>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</si>
  <si>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</si>
  <si>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</si>
  <si>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</si>
  <si>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</si>
  <si>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</si>
  <si>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</si>
  <si>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</si>
  <si>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</si>
  <si>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</si>
  <si>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</si>
  <si>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</si>
  <si>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</si>
  <si>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</si>
  <si>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</si>
  <si>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</si>
  <si>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</si>
  <si>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</si>
  <si>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</si>
  <si>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</si>
  <si>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</si>
  <si>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</si>
  <si>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</si>
  <si>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</si>
  <si>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</si>
  <si>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</si>
  <si>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</si>
  <si>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</si>
  <si>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</si>
  <si>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</si>
  <si>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</si>
  <si>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</si>
  <si>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</si>
  <si>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</si>
  <si>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</si>
  <si>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Hidráulica</t>
  </si>
  <si>
    <t>Diésel (aceite combustible para motores)</t>
  </si>
  <si>
    <t>Tipo</t>
  </si>
  <si>
    <t>Térmica</t>
  </si>
  <si>
    <t xml:space="preserve">	Bagazo, residuos agrícolas</t>
  </si>
  <si>
    <t>Fuel oil, residuo pesado</t>
  </si>
  <si>
    <t>Gas natural</t>
  </si>
  <si>
    <t>Gas licuado de petróleo</t>
  </si>
  <si>
    <t>Queroseno de aviación</t>
  </si>
  <si>
    <t xml:space="preserve">	Diésel (aceite combustible para motores)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</si>
  <si>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</si>
  <si>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</si>
  <si>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</si>
  <si>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</si>
  <si>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</si>
  <si>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</si>
  <si>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c2</t>
  </si>
  <si>
    <t>c1</t>
  </si>
  <si>
    <t>c0</t>
  </si>
  <si>
    <t>u_init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</si>
  <si>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</si>
  <si>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</si>
  <si>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</si>
  <si>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</si>
  <si>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</si>
  <si>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</si>
  <si>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</si>
  <si>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</si>
  <si>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</si>
  <si>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</si>
  <si>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rampa_sub</t>
  </si>
  <si>
    <t>rampa_baj</t>
  </si>
  <si>
    <t>MW/min</t>
  </si>
  <si>
    <t>rampa_sub_min</t>
  </si>
  <si>
    <t>rampa_baj_min</t>
  </si>
  <si>
    <t>Carga_sincronizante_frío</t>
  </si>
  <si>
    <t>Tiempo_calentamiento_frío</t>
  </si>
  <si>
    <t>$/MWh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</si>
  <si>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</si>
  <si>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</si>
  <si>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</si>
  <si>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</si>
  <si>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</si>
  <si>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</si>
  <si>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</si>
  <si>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</si>
  <si>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</si>
  <si>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</si>
  <si>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</si>
  <si>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</si>
  <si>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Hidraulicos - Unidades hidraulicas y embalses</t>
  </si>
  <si>
    <t>Vacia si el sistema no tiene hidraulica. Embalse: vol_min/max/ini.</t>
  </si>
  <si>
    <t>°</t>
  </si>
  <si>
    <t xml:space="preserve"> Latitud</t>
  </si>
  <si>
    <t>Longitud</t>
  </si>
  <si>
    <t>Renovables - Generacion solar y eolica</t>
  </si>
  <si>
    <t>La disponibilidad horaria va en la hoja Demanda o un perfil aparte.</t>
  </si>
  <si>
    <t>capacidad</t>
  </si>
  <si>
    <t>solar/eolica</t>
  </si>
  <si>
    <t>solar</t>
  </si>
  <si>
    <t>frac</t>
  </si>
  <si>
    <t>hora</t>
  </si>
  <si>
    <t>Fecha</t>
  </si>
  <si>
    <t>Estructura {hora x recurso}. Fraccion de la capacidad instalada (0-1).</t>
  </si>
  <si>
    <t>Renov_Perfil - Disponibilidad horaria de generacion renovable</t>
  </si>
  <si>
    <t>Filo de agua especial</t>
  </si>
  <si>
    <t>Mm3</t>
  </si>
  <si>
    <t>Embalse</t>
  </si>
  <si>
    <t>Peñol</t>
  </si>
  <si>
    <t xml:space="preserve">Punchiná </t>
  </si>
  <si>
    <t>RioGrnade2</t>
  </si>
  <si>
    <t>San Lorenzo</t>
  </si>
  <si>
    <t>Amaní</t>
  </si>
  <si>
    <t>Topocoro</t>
  </si>
  <si>
    <t>Troneras / miraflores</t>
  </si>
  <si>
    <t>idem</t>
  </si>
  <si>
    <t>chuza</t>
  </si>
  <si>
    <t>akti abcguacaya</t>
  </si>
  <si>
    <t>La esmeralda</t>
  </si>
  <si>
    <t>t</t>
  </si>
  <si>
    <t>timestamp</t>
  </si>
  <si>
    <t>fecha</t>
  </si>
  <si>
    <t>nombre_dia</t>
  </si>
  <si>
    <t>dia_semana</t>
  </si>
  <si>
    <t>es_habil</t>
  </si>
  <si>
    <t>DemaReal_MW</t>
  </si>
  <si>
    <t>Wednesday</t>
  </si>
  <si>
    <t>Sistema</t>
  </si>
  <si>
    <t>DemaOR_MW</t>
  </si>
  <si>
    <t>Values_Name</t>
  </si>
  <si>
    <t>Values_Activity</t>
  </si>
  <si>
    <t>Cobertura</t>
  </si>
  <si>
    <t>SubArea</t>
  </si>
  <si>
    <t>CASD</t>
  </si>
  <si>
    <t>EMPRESA DE ENERGIA DE CASANARE S.A. ESP</t>
  </si>
  <si>
    <t>DISTRIBUCIÓN</t>
  </si>
  <si>
    <t>CDND</t>
  </si>
  <si>
    <t>CENTRALES ELECTRICAS DE NARIÑO S.A. E.S.P.</t>
  </si>
  <si>
    <t>CEOD</t>
  </si>
  <si>
    <t>COMPAÑIA ENERGETICA DE OCCIDENTE S.A.S. ESP</t>
  </si>
  <si>
    <t>CETD</t>
  </si>
  <si>
    <t>COMPAÑIA DE ELECTRICIDAD DE TULUA S.A. E.S.P.</t>
  </si>
  <si>
    <t>CHCD</t>
  </si>
  <si>
    <t>CENTRAL HIDROELECTRICA DE CALDAS S.A. E.S.P. BENEFICIO E INTERES COLECTIVO</t>
  </si>
  <si>
    <t>CMMD</t>
  </si>
  <si>
    <t>CARIBEMAR DE LA COSTA S.A.S. E.S.P.</t>
  </si>
  <si>
    <t>CNSD</t>
  </si>
  <si>
    <t>CENTRALES ELECTRICAS DEL NORTE DE SANTANDER S.A. E.S.P.</t>
  </si>
  <si>
    <t>CQTD</t>
  </si>
  <si>
    <t>ELECTRIFICADORA DEL CAQUETA S.A. E.S.P.</t>
  </si>
  <si>
    <t>CSID</t>
  </si>
  <si>
    <t>AIR- E S.A.S. E.S.P. - INTERVENIDO</t>
  </si>
  <si>
    <t>EBPD</t>
  </si>
  <si>
    <t>EMPRESA DE ENERGIA DEL BAJO PUTUMAYO S.A. E.S.P.</t>
  </si>
  <si>
    <t>EBSD</t>
  </si>
  <si>
    <t>EMPRESA DE ENERGIA DE BOYACA S.A. E.S.P.</t>
  </si>
  <si>
    <t>EDPD</t>
  </si>
  <si>
    <t>EMPRESA DISTRIBUIDORA DEL PACIFICO S.A. E.S.P.</t>
  </si>
  <si>
    <t>EDQD</t>
  </si>
  <si>
    <t>EMPRESA DE ENERGIA DEL QUINDIO S.A. E.S.P.</t>
  </si>
  <si>
    <t>EEPD</t>
  </si>
  <si>
    <t>EMPRESA DE ENERGIA DE PEREIRA S.A. E.S.P.</t>
  </si>
  <si>
    <t>EGVD</t>
  </si>
  <si>
    <t>EMPRESA DE ENERGIA ELECTRICA DEL DEPARTAMENTO DEL GUAVIARE S.A. E.S.P.</t>
  </si>
  <si>
    <t>EMED</t>
  </si>
  <si>
    <t>EMPRESA MUNICIPAL DE ENERGIA ELECTRICA S.A. E.S.P.</t>
  </si>
  <si>
    <t>EMID</t>
  </si>
  <si>
    <t>EMPRESAS MUNICIPALES DE CALI E.I.C.E. E.S.P.</t>
  </si>
  <si>
    <t>EMSD</t>
  </si>
  <si>
    <t>ELECTRIFICADORA DEL META S.A. E.S.P.</t>
  </si>
  <si>
    <t>ENDD</t>
  </si>
  <si>
    <t>ENID</t>
  </si>
  <si>
    <t>EMPRESA DE ENERGÍA DE ARAUCA E.S.P.</t>
  </si>
  <si>
    <t>EPMD</t>
  </si>
  <si>
    <t>EPSD</t>
  </si>
  <si>
    <t>EPTD</t>
  </si>
  <si>
    <t>EMPRESA DE ENERGIA DEL PUTUMAYO S.A. E.S.P.</t>
  </si>
  <si>
    <t>ESSD</t>
  </si>
  <si>
    <t>ELECTRIFICADORA DE SANTANDER S.A. E.S.P.</t>
  </si>
  <si>
    <t>EVSD</t>
  </si>
  <si>
    <t>EMPRESA DE ENERGIA DEL VALLE DE SIBUNDOY S.A. E.S.P.</t>
  </si>
  <si>
    <t>HLAD</t>
  </si>
  <si>
    <t>ELECTRIFICADORA DEL HUILA S.A. E.S.P.</t>
  </si>
  <si>
    <t>RTQD</t>
  </si>
  <si>
    <t>RUITOQUE S.A. E.S.P.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</si>
</sst>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\ h:mm:ss"/>
    <numFmt numFmtId="165" formatCode="yyyy\-mm\-dd\ hh:mm:ss"/>
    <numFmt numFmtId="166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i/>
      <sz val="9"/>
      <color rgb="FFFF0000"/>
      <name val="Calibri"/>
      <family val="2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44" fontId="3" fillId="3" borderId="1" xfId="2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9" fillId="5" borderId="1" xfId="4" applyNumberFormat="1" applyBorder="1" applyAlignment="1">
      <alignment horizontal="center" vertical="center"/>
    </xf>
    <xf numFmtId="2" fontId="9" fillId="5" borderId="1" xfId="4" applyNumberFormat="1" applyBorder="1" applyAlignment="1">
      <alignment horizontal="center" vertical="center"/>
    </xf>
    <xf numFmtId="0" fontId="9" fillId="5" borderId="1" xfId="4" applyBorder="1" applyAlignment="1">
      <alignment horizontal="center" vertical="center"/>
    </xf>
    <xf numFmtId="3" fontId="9" fillId="5" borderId="1" xfId="4" applyNumberForma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5" borderId="1" xfId="4" applyNumberForma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5">
    <cellStyle name="Bad" xfId="4" builtinId="27"/>
    <cellStyle name="Comma" xfId="3" builtinId="3"/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514349</xdr:colOff>
      <xdr:row>1</xdr:row>
      <xdr:rowOff>105165</xdr:rowOff>
    </xdr:from>
    <xdr:to>
      <xdr:col>18</xdr:col>
      <xdr:colOff>582064</xdr:colOff>
      <xdr:row>24</xdr:row>
      <xdr:rowOff>48534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46C32-C961-FBF2-E9D1-0B8E7CB3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49" y="295665"/>
          <a:ext cx="4944515" cy="4324869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</xdr:row>
      <xdr:rowOff>109698</xdr:rowOff>
    </xdr:from>
    <xdr:to>
      <xdr:col>27</xdr:col>
      <xdr:colOff>67616</xdr:colOff>
      <xdr:row>24</xdr:row>
      <xdr:rowOff>77037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DB224-DB98-2F84-0A40-D6148F82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350" y="300198"/>
          <a:ext cx="4887266" cy="434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21</xdr:col>
      <xdr:colOff>381989</xdr:colOff>
      <xdr:row>59</xdr:row>
      <xdr:rowOff>38983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73FEC-7685-3493-42A7-CF9243F0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2800" y="4953000"/>
          <a:ext cx="7087589" cy="632548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36</xdr:col>
      <xdr:colOff>163054</xdr:colOff>
      <xdr:row>38</xdr:row>
      <xdr:rowOff>95503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7838D-111A-325B-4DBB-7167F036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7600" y="5524500"/>
          <a:ext cx="8087854" cy="18100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Volu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VoluUtilDiarMasa_Jul26.xlsx?F99E7708" TargetMode="External"/><Relationship Id="rId1" Type="http://schemas.openxmlformats.org/officeDocument/2006/relationships/externalLinkPath" Target="file:///\\F99E7708\VoluUtilDiarMasa_Jul26.xlsx" TargetMode="External"/><Relationship Id="rId4" Type="http://schemas.openxmlformats.org/officeDocument/2006/relationships/externalLinkPath" Target="../03_Hidraulicos/VoluUtilDiarMasa_Jul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CapaUtilDiarMasa_Jul26.xlsx?F99E7708" TargetMode="External"/><Relationship Id="rId1" Type="http://schemas.openxmlformats.org/officeDocument/2006/relationships/externalLinkPath" Target="file:///\\F99E7708\CapaUtilDiarMasa_Jul26.xlsx" TargetMode="External"/><Relationship Id="rId4" Type="http://schemas.openxmlformats.org/officeDocument/2006/relationships/externalLinkPath" Target="../03_Hidraulicos/CapaUtilDiarMasa_Jul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Phidr&#225;ulica.xlsx?F99E7708" TargetMode="External"/><Relationship Id="rId1" Type="http://schemas.openxmlformats.org/officeDocument/2006/relationships/externalLinkPath" Target="file:///\\F99E7708\PARATEC_Phidr&#225;ulica.xlsx" TargetMode="External"/><Relationship Id="rId4" Type="http://schemas.openxmlformats.org/officeDocument/2006/relationships/externalLinkPath" Target="../03_Hidraulicos/PARATEC_Phidr&#225;ulic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Detalle_Embalse.xlsx?F99E7708" TargetMode="External"/><Relationship Id="rId1" Type="http://schemas.openxmlformats.org/officeDocument/2006/relationships/externalLinkPath" Target="file:///\\F99E7708\PARATEC_Detalle_Embalse.xlsx" TargetMode="External"/><Relationship Id="rId4" Type="http://schemas.openxmlformats.org/officeDocument/2006/relationships/externalLinkPath" Target="../03_Hidraulicos/PARATEC_Detalle_Embals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U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Uhidr&#225;ulica.xlsx?F99E7708" TargetMode="External"/><Relationship Id="rId1" Type="http://schemas.openxmlformats.org/officeDocument/2006/relationships/externalLinkPath" Target="file:///\\F99E7708\PARATEC_Uhidr&#225;ulica.xlsx" TargetMode="External"/><Relationship Id="rId4" Type="http://schemas.openxmlformats.org/officeDocument/2006/relationships/externalLinkPath" Target="../03_Hidraulicos/PARATEC_Uhidr&#225;ul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537110000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899210000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</row>
        <row r="11">
          <cell r="A11" t="str">
            <v>ALTO TULUA</v>
          </cell>
          <cell r="J11" t="str">
            <v>2,23</v>
          </cell>
        </row>
        <row r="12">
          <cell r="A12" t="str">
            <v>AMAIME</v>
          </cell>
          <cell r="J12" t="str">
            <v>1,55</v>
          </cell>
        </row>
        <row r="13">
          <cell r="A13" t="str">
            <v>AMALFI</v>
          </cell>
          <cell r="J13" t="str">
            <v>0</v>
          </cell>
        </row>
        <row r="14">
          <cell r="A14" t="str">
            <v>AMERICA</v>
          </cell>
          <cell r="J14" t="str">
            <v>0</v>
          </cell>
        </row>
        <row r="15">
          <cell r="A15" t="str">
            <v>ESCUELA DE MINAS</v>
          </cell>
          <cell r="J15" t="str">
            <v>1,603</v>
          </cell>
        </row>
        <row r="16">
          <cell r="A16" t="str">
            <v>ASNAZU</v>
          </cell>
          <cell r="J16" t="str">
            <v>0</v>
          </cell>
        </row>
        <row r="17">
          <cell r="A17" t="str">
            <v>AURES BAJO</v>
          </cell>
          <cell r="J17" t="str">
            <v>0,98</v>
          </cell>
        </row>
        <row r="18">
          <cell r="A18" t="str">
            <v>AUTOG ARGOS EL CAIRO</v>
          </cell>
          <cell r="J18" t="str">
            <v>0</v>
          </cell>
        </row>
        <row r="19">
          <cell r="A19" t="str">
            <v>AUTOG AYURA</v>
          </cell>
          <cell r="J19" t="str">
            <v>2,437</v>
          </cell>
        </row>
        <row r="20">
          <cell r="A20" t="str">
            <v>AUTOG CANTAYUS</v>
          </cell>
          <cell r="J20" t="str">
            <v>1,433</v>
          </cell>
        </row>
        <row r="21">
          <cell r="A21" t="str">
            <v>AUTOG CEMENTOS DEL NARE</v>
          </cell>
          <cell r="J21" t="str">
            <v>0</v>
          </cell>
        </row>
        <row r="22">
          <cell r="A22" t="str">
            <v>AUTOG GOLOSINAS TRULULU</v>
          </cell>
          <cell r="J22" t="str">
            <v>0,8</v>
          </cell>
        </row>
        <row r="23">
          <cell r="A23" t="str">
            <v>AUTOG GRAN COLOMBIA GOLD</v>
          </cell>
          <cell r="J23" t="str">
            <v>1,9</v>
          </cell>
        </row>
        <row r="24">
          <cell r="A24" t="str">
            <v>GUADALUPE III</v>
          </cell>
          <cell r="J24" t="str">
            <v>4,6155</v>
          </cell>
        </row>
        <row r="25">
          <cell r="A25" t="str">
            <v>BAJO TULUA</v>
          </cell>
          <cell r="J25" t="str">
            <v>1,65</v>
          </cell>
        </row>
        <row r="26">
          <cell r="A26" t="str">
            <v>BARROSO</v>
          </cell>
          <cell r="J26" t="str">
            <v>3,2097</v>
          </cell>
        </row>
        <row r="27">
          <cell r="A27" t="str">
            <v>BAYONA</v>
          </cell>
          <cell r="J27" t="str">
            <v>0,001</v>
          </cell>
        </row>
        <row r="28">
          <cell r="A28" t="str">
            <v>BELLO</v>
          </cell>
          <cell r="J28" t="str">
            <v>1</v>
          </cell>
        </row>
        <row r="29">
          <cell r="A29" t="str">
            <v>BELMONTE</v>
          </cell>
          <cell r="J29" t="str">
            <v>0</v>
          </cell>
        </row>
        <row r="30">
          <cell r="A30" t="str">
            <v>GUADALUPE IV</v>
          </cell>
          <cell r="J30" t="str">
            <v>3,6503</v>
          </cell>
        </row>
        <row r="31">
          <cell r="A31" t="str">
            <v>CALDERAS</v>
          </cell>
          <cell r="J31" t="str">
            <v>1,3143</v>
          </cell>
        </row>
        <row r="32">
          <cell r="A32" t="str">
            <v>GUATAPE</v>
          </cell>
          <cell r="J32" t="str">
            <v>7,2183</v>
          </cell>
        </row>
        <row r="33">
          <cell r="A33" t="str">
            <v>CAMPESTRE (CALARCA)</v>
          </cell>
          <cell r="J33" t="str">
            <v>0,001</v>
          </cell>
        </row>
        <row r="34">
          <cell r="A34" t="str">
            <v>CAMPESTRE (EPM)</v>
          </cell>
          <cell r="J34" t="str">
            <v>0,875</v>
          </cell>
        </row>
        <row r="35">
          <cell r="A35" t="str">
            <v>CARACOLI</v>
          </cell>
          <cell r="J35" t="str">
            <v>0,8011</v>
          </cell>
        </row>
        <row r="36">
          <cell r="A36" t="str">
            <v>ITUANGO</v>
          </cell>
          <cell r="J36" t="str">
            <v>1,7262</v>
          </cell>
        </row>
        <row r="37">
          <cell r="A37" t="str">
            <v>CARUQUIA</v>
          </cell>
          <cell r="J37" t="str">
            <v>1,53</v>
          </cell>
        </row>
        <row r="38">
          <cell r="A38" t="str">
            <v>CASCADA</v>
          </cell>
          <cell r="J38" t="str">
            <v>0</v>
          </cell>
        </row>
        <row r="39">
          <cell r="A39" t="str">
            <v>CAUYA</v>
          </cell>
          <cell r="J39" t="str">
            <v>0,75</v>
          </cell>
        </row>
        <row r="40">
          <cell r="A40" t="str">
            <v>CHARQUITO</v>
          </cell>
          <cell r="J40" t="str">
            <v>1,1483</v>
          </cell>
        </row>
        <row r="41">
          <cell r="A41" t="str">
            <v>JAGUAS</v>
          </cell>
          <cell r="J41" t="str">
            <v>2,3591</v>
          </cell>
        </row>
        <row r="42">
          <cell r="A42" t="str">
            <v>COCONUCO</v>
          </cell>
          <cell r="J42" t="str">
            <v>0</v>
          </cell>
        </row>
        <row r="43">
          <cell r="A43" t="str">
            <v>COELLO</v>
          </cell>
          <cell r="J43" t="str">
            <v>0,001</v>
          </cell>
        </row>
        <row r="44">
          <cell r="A44" t="str">
            <v>LA TASAJERA</v>
          </cell>
          <cell r="J44" t="str">
            <v>7,8151</v>
          </cell>
        </row>
        <row r="45">
          <cell r="A45" t="str">
            <v>CURRUCUCUES</v>
          </cell>
          <cell r="J45" t="str">
            <v>0,52</v>
          </cell>
        </row>
        <row r="46">
          <cell r="A46" t="str">
            <v>PLAYAS</v>
          </cell>
          <cell r="J46" t="str">
            <v>1,7306</v>
          </cell>
        </row>
        <row r="47">
          <cell r="A47" t="str">
            <v>EL BOSQUE</v>
          </cell>
          <cell r="J47" t="str">
            <v>0</v>
          </cell>
        </row>
        <row r="48">
          <cell r="A48" t="str">
            <v>EL COCUYO</v>
          </cell>
          <cell r="J48" t="str">
            <v>0,1</v>
          </cell>
        </row>
        <row r="49">
          <cell r="A49" t="str">
            <v>EL EDEN</v>
          </cell>
          <cell r="J49" t="str">
            <v>3,7092</v>
          </cell>
        </row>
        <row r="50">
          <cell r="A50" t="str">
            <v>EL LIMONAR</v>
          </cell>
          <cell r="J50" t="str">
            <v>0</v>
          </cell>
        </row>
        <row r="51">
          <cell r="A51" t="str">
            <v>EL MOLINO</v>
          </cell>
          <cell r="J51" t="str">
            <v>1,0236</v>
          </cell>
        </row>
        <row r="52">
          <cell r="A52" t="str">
            <v>EL POPAL</v>
          </cell>
          <cell r="J52" t="str">
            <v>1,442</v>
          </cell>
        </row>
        <row r="53">
          <cell r="A53" t="str">
            <v>PORCE II</v>
          </cell>
          <cell r="J53" t="str">
            <v>2,1432</v>
          </cell>
        </row>
        <row r="54">
          <cell r="A54" t="str">
            <v>PORCE III</v>
          </cell>
          <cell r="J54" t="str">
            <v>3,0607</v>
          </cell>
        </row>
        <row r="55">
          <cell r="A55" t="str">
            <v>SAN CARLOS</v>
          </cell>
          <cell r="J55" t="str">
            <v>5,3998</v>
          </cell>
        </row>
        <row r="56">
          <cell r="A56" t="str">
            <v>FLORIDA</v>
          </cell>
          <cell r="J56" t="str">
            <v>0,8333</v>
          </cell>
        </row>
        <row r="57">
          <cell r="A57" t="str">
            <v>GUACAICA</v>
          </cell>
          <cell r="J57" t="str">
            <v>0</v>
          </cell>
        </row>
        <row r="58">
          <cell r="A58" t="str">
            <v>SAN MIGUEL</v>
          </cell>
          <cell r="J58" t="str">
            <v>1,4933</v>
          </cell>
        </row>
        <row r="59">
          <cell r="A59" t="str">
            <v>TRONERAS</v>
          </cell>
          <cell r="J59" t="str">
            <v>0,6633</v>
          </cell>
        </row>
        <row r="60">
          <cell r="A60" t="str">
            <v>GUANAQUITAS</v>
          </cell>
          <cell r="J60" t="str">
            <v>1,4984</v>
          </cell>
        </row>
        <row r="61">
          <cell r="A61" t="str">
            <v>CHIVOR</v>
          </cell>
          <cell r="J61" t="str">
            <v>6,9833</v>
          </cell>
        </row>
        <row r="62">
          <cell r="A62" t="str">
            <v>DARIO VALENCIA SAMPER</v>
          </cell>
          <cell r="J62" t="str">
            <v>7,9708</v>
          </cell>
        </row>
        <row r="63">
          <cell r="A63" t="str">
            <v>GUAVIO MENOR</v>
          </cell>
          <cell r="J63" t="str">
            <v>0</v>
          </cell>
        </row>
        <row r="64">
          <cell r="A64" t="str">
            <v>HIDROBARRANCAS</v>
          </cell>
          <cell r="J64" t="str">
            <v>4,7</v>
          </cell>
        </row>
        <row r="65">
          <cell r="A65" t="str">
            <v>HIDROMONTAÑITAS</v>
          </cell>
          <cell r="J65" t="str">
            <v>3,7</v>
          </cell>
        </row>
        <row r="66">
          <cell r="A66" t="str">
            <v>INSULA</v>
          </cell>
          <cell r="J66" t="str">
            <v>0,85</v>
          </cell>
        </row>
        <row r="67">
          <cell r="A67" t="str">
            <v>INTERMEDIA</v>
          </cell>
          <cell r="J67" t="str">
            <v>0</v>
          </cell>
        </row>
        <row r="68">
          <cell r="A68" t="str">
            <v>INZA</v>
          </cell>
          <cell r="J68" t="str">
            <v>0</v>
          </cell>
        </row>
        <row r="69">
          <cell r="A69" t="str">
            <v>IQUIRA I</v>
          </cell>
          <cell r="J69" t="str">
            <v>0</v>
          </cell>
        </row>
        <row r="70">
          <cell r="A70" t="str">
            <v>IQUIRA II</v>
          </cell>
          <cell r="J70" t="str">
            <v>0</v>
          </cell>
        </row>
        <row r="71">
          <cell r="A71" t="str">
            <v>GUAVIO</v>
          </cell>
          <cell r="J71" t="str">
            <v>9,8457</v>
          </cell>
        </row>
        <row r="72">
          <cell r="A72" t="str">
            <v>LA GUACA</v>
          </cell>
          <cell r="J72" t="str">
            <v>8,6582</v>
          </cell>
        </row>
        <row r="73">
          <cell r="A73" t="str">
            <v>JUAN GARCIA</v>
          </cell>
          <cell r="J73" t="str">
            <v>1</v>
          </cell>
        </row>
        <row r="74">
          <cell r="A74" t="str">
            <v>LA CASCADA ( ABEJORRAL)</v>
          </cell>
          <cell r="J74" t="str">
            <v>0</v>
          </cell>
        </row>
        <row r="75">
          <cell r="A75" t="str">
            <v>LA CASCADA (ANTIOQUIA)</v>
          </cell>
          <cell r="J75" t="str">
            <v>0,001</v>
          </cell>
        </row>
        <row r="76">
          <cell r="A76" t="str">
            <v>LA CASCADA DE GRANADA</v>
          </cell>
          <cell r="J76" t="str">
            <v>1,8</v>
          </cell>
        </row>
        <row r="77">
          <cell r="A77" t="str">
            <v>LA CHORRERA</v>
          </cell>
          <cell r="J77" t="str">
            <v>10</v>
          </cell>
        </row>
        <row r="78">
          <cell r="A78" t="str">
            <v>LA FRISOLERA</v>
          </cell>
          <cell r="J78" t="str">
            <v>0,5625</v>
          </cell>
        </row>
        <row r="79">
          <cell r="A79" t="str">
            <v>PARAISO</v>
          </cell>
          <cell r="J79" t="str">
            <v>7,3725</v>
          </cell>
        </row>
        <row r="80">
          <cell r="A80" t="str">
            <v>LA HERRADURA</v>
          </cell>
          <cell r="J80" t="str">
            <v>0,0001</v>
          </cell>
        </row>
        <row r="81">
          <cell r="A81" t="str">
            <v>LA NAVETA</v>
          </cell>
          <cell r="J81" t="str">
            <v>0,1529</v>
          </cell>
        </row>
        <row r="82">
          <cell r="A82" t="str">
            <v>LA PITA</v>
          </cell>
          <cell r="J82" t="str">
            <v>0</v>
          </cell>
        </row>
        <row r="83">
          <cell r="A83" t="str">
            <v>LA REBUSCA</v>
          </cell>
          <cell r="J83" t="str">
            <v>1,09</v>
          </cell>
        </row>
        <row r="84">
          <cell r="A84" t="str">
            <v>SALTO II</v>
          </cell>
          <cell r="J84" t="str">
            <v>3,3736</v>
          </cell>
        </row>
        <row r="85">
          <cell r="A85" t="str">
            <v>LA VUELTA</v>
          </cell>
          <cell r="J85" t="str">
            <v>0</v>
          </cell>
        </row>
        <row r="86">
          <cell r="A86" t="str">
            <v>LAGUNETA</v>
          </cell>
          <cell r="J86" t="str">
            <v>2,509</v>
          </cell>
        </row>
        <row r="87">
          <cell r="A87" t="str">
            <v>LAS PALMAS</v>
          </cell>
          <cell r="J87" t="str">
            <v>0,15</v>
          </cell>
        </row>
        <row r="88">
          <cell r="A88" t="str">
            <v>LAS VIOLETAS</v>
          </cell>
          <cell r="J88" t="str">
            <v>0,5559</v>
          </cell>
        </row>
        <row r="89">
          <cell r="A89" t="str">
            <v>LUZMA I</v>
          </cell>
          <cell r="J89" t="str">
            <v>3,6594</v>
          </cell>
        </row>
        <row r="90">
          <cell r="A90" t="str">
            <v>LUZMA II</v>
          </cell>
          <cell r="J90" t="str">
            <v>3,6351</v>
          </cell>
        </row>
        <row r="91">
          <cell r="A91" t="str">
            <v>MAGALLO</v>
          </cell>
          <cell r="J91" t="str">
            <v>0</v>
          </cell>
        </row>
        <row r="92">
          <cell r="A92" t="str">
            <v>MANANTIALES</v>
          </cell>
          <cell r="J92" t="str">
            <v>0,633</v>
          </cell>
        </row>
        <row r="93">
          <cell r="A93" t="str">
            <v>TUNJITA</v>
          </cell>
          <cell r="J93" t="str">
            <v>2,4655</v>
          </cell>
        </row>
        <row r="94">
          <cell r="A94" t="str">
            <v>MIROLINDO</v>
          </cell>
          <cell r="J94" t="str">
            <v>0</v>
          </cell>
        </row>
        <row r="95">
          <cell r="A95" t="str">
            <v>MONDOMO</v>
          </cell>
          <cell r="J95" t="str">
            <v>0</v>
          </cell>
        </row>
        <row r="96">
          <cell r="A96" t="str">
            <v>MORRO AZUL</v>
          </cell>
          <cell r="J96" t="str">
            <v>1,1306</v>
          </cell>
        </row>
        <row r="97">
          <cell r="A97" t="str">
            <v>MULATOS II</v>
          </cell>
          <cell r="J97" t="str">
            <v>1,41</v>
          </cell>
        </row>
        <row r="98">
          <cell r="A98" t="str">
            <v>MUNICIPAL</v>
          </cell>
          <cell r="J98" t="str">
            <v>0</v>
          </cell>
        </row>
        <row r="99">
          <cell r="A99" t="str">
            <v>NIMA</v>
          </cell>
          <cell r="J99" t="str">
            <v>0</v>
          </cell>
        </row>
        <row r="100">
          <cell r="A100" t="str">
            <v>NIQUIA</v>
          </cell>
          <cell r="J100" t="str">
            <v>3,276</v>
          </cell>
        </row>
        <row r="101">
          <cell r="A101" t="str">
            <v>NUEVO LIBARE</v>
          </cell>
          <cell r="J101" t="str">
            <v>0</v>
          </cell>
        </row>
        <row r="102">
          <cell r="A102" t="str">
            <v>NUTIBARA</v>
          </cell>
          <cell r="J102" t="str">
            <v>1,125</v>
          </cell>
        </row>
        <row r="103">
          <cell r="A103" t="str">
            <v>OIBITA</v>
          </cell>
          <cell r="J103" t="str">
            <v>1,6205</v>
          </cell>
        </row>
        <row r="104">
          <cell r="A104" t="str">
            <v>OVEJAS</v>
          </cell>
          <cell r="J104" t="str">
            <v>0</v>
          </cell>
        </row>
        <row r="105">
          <cell r="A105" t="str">
            <v>PAJARITO</v>
          </cell>
          <cell r="J105" t="str">
            <v>1,8726</v>
          </cell>
        </row>
        <row r="106">
          <cell r="A106" t="str">
            <v>PALMAS SAN GIL</v>
          </cell>
          <cell r="J106" t="str">
            <v>0</v>
          </cell>
        </row>
        <row r="107">
          <cell r="A107" t="str">
            <v>EL QUIMBO</v>
          </cell>
          <cell r="J107" t="str">
            <v>1,1005</v>
          </cell>
        </row>
        <row r="108">
          <cell r="A108" t="str">
            <v>PASTALES</v>
          </cell>
          <cell r="J108" t="str">
            <v>0</v>
          </cell>
        </row>
        <row r="109">
          <cell r="A109" t="str">
            <v>PATICO - LA CABRERA</v>
          </cell>
          <cell r="J109" t="str">
            <v>0</v>
          </cell>
        </row>
        <row r="110">
          <cell r="A110" t="str">
            <v>PCH LA LIBERTAD</v>
          </cell>
          <cell r="J110" t="str">
            <v>1,111</v>
          </cell>
        </row>
        <row r="111">
          <cell r="A111" t="str">
            <v>PCH LA NOQUE</v>
          </cell>
          <cell r="J111" t="str">
            <v>1,747</v>
          </cell>
        </row>
        <row r="112">
          <cell r="A112" t="str">
            <v>URRA</v>
          </cell>
          <cell r="J112" t="str">
            <v>0,4756</v>
          </cell>
        </row>
        <row r="113">
          <cell r="A113" t="str">
            <v>POCUNE</v>
          </cell>
          <cell r="J113" t="str">
            <v>1,018</v>
          </cell>
        </row>
        <row r="114">
          <cell r="A114" t="str">
            <v>ESMERALDA</v>
          </cell>
          <cell r="J114" t="str">
            <v>1,3135</v>
          </cell>
        </row>
        <row r="115">
          <cell r="A115" t="str">
            <v>MIEL I</v>
          </cell>
          <cell r="J115" t="str">
            <v>2,0673</v>
          </cell>
        </row>
        <row r="116">
          <cell r="A116" t="str">
            <v>PORCE III MENOR</v>
          </cell>
          <cell r="J116" t="str">
            <v>0,892</v>
          </cell>
        </row>
        <row r="117">
          <cell r="A117" t="str">
            <v>SAN FRANCISCO</v>
          </cell>
          <cell r="J117" t="str">
            <v>1,5781</v>
          </cell>
        </row>
        <row r="118">
          <cell r="A118" t="str">
            <v>PRADO IV</v>
          </cell>
          <cell r="J118" t="str">
            <v>0,4904</v>
          </cell>
        </row>
        <row r="119">
          <cell r="A119" t="str">
            <v>PROVIDENCIA</v>
          </cell>
          <cell r="J119" t="str">
            <v>0,1</v>
          </cell>
        </row>
        <row r="120">
          <cell r="A120" t="str">
            <v>PUENTE GUILLERMO</v>
          </cell>
          <cell r="J120" t="str">
            <v>0</v>
          </cell>
        </row>
        <row r="121">
          <cell r="A121" t="str">
            <v>REMEDIOS</v>
          </cell>
          <cell r="J121" t="str">
            <v>0</v>
          </cell>
        </row>
        <row r="122">
          <cell r="A122" t="str">
            <v>RIO BOBO</v>
          </cell>
          <cell r="J122" t="str">
            <v>0</v>
          </cell>
        </row>
        <row r="123">
          <cell r="A123" t="str">
            <v>RIO CALI</v>
          </cell>
          <cell r="J123" t="str">
            <v>0</v>
          </cell>
        </row>
        <row r="124">
          <cell r="A124" t="str">
            <v>RIO FRIO I</v>
          </cell>
          <cell r="J124" t="str">
            <v>0</v>
          </cell>
        </row>
        <row r="125">
          <cell r="A125" t="str">
            <v>RIO FRIO II</v>
          </cell>
          <cell r="J125" t="str">
            <v>0</v>
          </cell>
        </row>
        <row r="126">
          <cell r="A126" t="str">
            <v>RIO GRANDE</v>
          </cell>
          <cell r="J126" t="str">
            <v>0</v>
          </cell>
        </row>
        <row r="127">
          <cell r="A127" t="str">
            <v>RIO MAYO</v>
          </cell>
          <cell r="J127" t="str">
            <v>1,7</v>
          </cell>
        </row>
        <row r="128">
          <cell r="A128" t="str">
            <v>RIO PALO</v>
          </cell>
          <cell r="J128" t="str">
            <v>0</v>
          </cell>
        </row>
        <row r="129">
          <cell r="A129" t="str">
            <v>RIO PIEDRAS</v>
          </cell>
          <cell r="J129" t="str">
            <v>5,88</v>
          </cell>
        </row>
        <row r="130">
          <cell r="A130" t="str">
            <v>RIO RECIO</v>
          </cell>
          <cell r="J130" t="str">
            <v>0</v>
          </cell>
        </row>
        <row r="131">
          <cell r="A131" t="str">
            <v>RIO SAPUYES</v>
          </cell>
          <cell r="J131" t="str">
            <v>0</v>
          </cell>
        </row>
        <row r="132">
          <cell r="A132" t="str">
            <v>RIOFRIO (TAMESIS)</v>
          </cell>
          <cell r="J132" t="str">
            <v>0</v>
          </cell>
        </row>
        <row r="133">
          <cell r="A133" t="str">
            <v>RIOGRANDE I</v>
          </cell>
          <cell r="J133" t="str">
            <v>2,9147</v>
          </cell>
        </row>
        <row r="134">
          <cell r="A134" t="str">
            <v>RIONEGRO</v>
          </cell>
          <cell r="J134" t="str">
            <v>0</v>
          </cell>
        </row>
        <row r="135">
          <cell r="A135" t="str">
            <v>RUMOR</v>
          </cell>
          <cell r="J135" t="str">
            <v>0,34</v>
          </cell>
        </row>
        <row r="136">
          <cell r="A136" t="str">
            <v>SAJANDI</v>
          </cell>
          <cell r="J136" t="str">
            <v>0</v>
          </cell>
        </row>
        <row r="137">
          <cell r="A137" t="str">
            <v>AMOYA LA ESPERANZA</v>
          </cell>
          <cell r="J137" t="str">
            <v>4,8544</v>
          </cell>
        </row>
        <row r="138">
          <cell r="A138" t="str">
            <v>BETANIA</v>
          </cell>
          <cell r="J138" t="str">
            <v>0,5895</v>
          </cell>
        </row>
        <row r="139">
          <cell r="A139" t="str">
            <v>SAN ANDRES DE CUERQUIA</v>
          </cell>
          <cell r="J139" t="str">
            <v>4,58</v>
          </cell>
        </row>
        <row r="140">
          <cell r="A140" t="str">
            <v>SAN BARTOLOME</v>
          </cell>
          <cell r="J140" t="str">
            <v>1,5474</v>
          </cell>
        </row>
        <row r="141">
          <cell r="A141" t="str">
            <v>SAN CANCIO</v>
          </cell>
          <cell r="J141" t="str">
            <v>0</v>
          </cell>
        </row>
        <row r="142">
          <cell r="A142" t="str">
            <v>CUCUANA</v>
          </cell>
          <cell r="J142" t="str">
            <v>5,9476</v>
          </cell>
        </row>
        <row r="143">
          <cell r="A143" t="str">
            <v>PRADO</v>
          </cell>
          <cell r="J143" t="str">
            <v>0,4983</v>
          </cell>
        </row>
        <row r="144">
          <cell r="A144" t="str">
            <v>SAN FRANCISCO (PUTUMAYO)</v>
          </cell>
          <cell r="J144" t="str">
            <v>0</v>
          </cell>
        </row>
        <row r="145">
          <cell r="A145" t="str">
            <v>SAN JOSE</v>
          </cell>
          <cell r="J145" t="str">
            <v>0,0001</v>
          </cell>
        </row>
        <row r="146">
          <cell r="A146" t="str">
            <v>SAN JOSE DE LA MONTAÑA</v>
          </cell>
          <cell r="J146" t="str">
            <v>0</v>
          </cell>
        </row>
        <row r="147">
          <cell r="A147" t="str">
            <v>SAN JOSE DE LA MONTAÑA II</v>
          </cell>
          <cell r="J147" t="str">
            <v>0,301</v>
          </cell>
        </row>
        <row r="148">
          <cell r="A148" t="str">
            <v>SAN MATIAS</v>
          </cell>
          <cell r="J148" t="str">
            <v>1,0237</v>
          </cell>
        </row>
        <row r="149">
          <cell r="A149" t="str">
            <v>SOGAMOSO</v>
          </cell>
          <cell r="J149" t="str">
            <v>1,3971</v>
          </cell>
        </row>
        <row r="150">
          <cell r="A150" t="str">
            <v>SANTA ANA</v>
          </cell>
          <cell r="J150" t="str">
            <v>0</v>
          </cell>
        </row>
        <row r="151">
          <cell r="A151" t="str">
            <v>SANTA RITA</v>
          </cell>
          <cell r="J151" t="str">
            <v>0,675</v>
          </cell>
        </row>
        <row r="152">
          <cell r="A152" t="str">
            <v>SANTIAGO</v>
          </cell>
          <cell r="J152" t="str">
            <v>2,8</v>
          </cell>
        </row>
        <row r="153">
          <cell r="A153" t="str">
            <v>SILVIA</v>
          </cell>
          <cell r="J153" t="str">
            <v>0</v>
          </cell>
        </row>
        <row r="154">
          <cell r="A154" t="str">
            <v>ALTO ANCHICAYA</v>
          </cell>
          <cell r="J154" t="str">
            <v>3,5092</v>
          </cell>
        </row>
        <row r="155">
          <cell r="A155" t="str">
            <v>SONSON</v>
          </cell>
          <cell r="J155" t="str">
            <v>0</v>
          </cell>
        </row>
        <row r="156">
          <cell r="A156" t="str">
            <v>SUBA</v>
          </cell>
          <cell r="J156" t="str">
            <v>0,944</v>
          </cell>
        </row>
        <row r="157">
          <cell r="A157" t="str">
            <v>SUEVA 2</v>
          </cell>
          <cell r="J157" t="str">
            <v>0</v>
          </cell>
        </row>
        <row r="158">
          <cell r="A158" t="str">
            <v>TEQUENDAMA 1</v>
          </cell>
          <cell r="J158" t="str">
            <v>1</v>
          </cell>
        </row>
        <row r="159">
          <cell r="A159" t="str">
            <v>TEQUENDAMA 2</v>
          </cell>
          <cell r="J159" t="str">
            <v>1</v>
          </cell>
        </row>
        <row r="160">
          <cell r="A160" t="str">
            <v>TEQUENDAMA 3</v>
          </cell>
          <cell r="J160" t="str">
            <v>1</v>
          </cell>
        </row>
        <row r="161">
          <cell r="A161" t="str">
            <v>TEQUENDAMA 4</v>
          </cell>
          <cell r="J161" t="str">
            <v>1</v>
          </cell>
        </row>
        <row r="162">
          <cell r="A162" t="str">
            <v>BAJO ANCHICAYA</v>
          </cell>
          <cell r="J162" t="str">
            <v>0,5905</v>
          </cell>
        </row>
        <row r="163">
          <cell r="A163" t="str">
            <v>CALIMA</v>
          </cell>
          <cell r="J163" t="str">
            <v>1,9765</v>
          </cell>
        </row>
        <row r="164">
          <cell r="A164" t="str">
            <v>TZ II</v>
          </cell>
          <cell r="J164" t="str">
            <v>0,7</v>
          </cell>
        </row>
        <row r="165">
          <cell r="A165" t="str">
            <v>UNION</v>
          </cell>
          <cell r="J165" t="str">
            <v>0,001</v>
          </cell>
        </row>
        <row r="166">
          <cell r="A166" t="str">
            <v>SALVAJINA</v>
          </cell>
          <cell r="J166" t="str">
            <v>0,8611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 refreshError="1"/>
      <sheetData sheetId="1">
        <row r="7">
          <cell r="A7" t="str">
            <v>ESMERALDA</v>
          </cell>
          <cell r="F7" t="str">
            <v>67,7</v>
          </cell>
          <cell r="G7">
            <v>528.48</v>
          </cell>
        </row>
        <row r="8">
          <cell r="A8" t="str">
            <v>ALTO ANCHICAYA</v>
          </cell>
          <cell r="F8" t="str">
            <v>6,32</v>
          </cell>
          <cell r="G8">
            <v>38.380000000000003</v>
          </cell>
        </row>
        <row r="9">
          <cell r="A9" t="str">
            <v>CALIMA</v>
          </cell>
          <cell r="F9" t="str">
            <v>104,36</v>
          </cell>
          <cell r="G9">
            <v>529.29999999999995</v>
          </cell>
        </row>
        <row r="10">
          <cell r="A10" t="str">
            <v>PRADO</v>
          </cell>
          <cell r="F10" t="str">
            <v>327,82</v>
          </cell>
          <cell r="G10">
            <v>980.89</v>
          </cell>
        </row>
        <row r="11">
          <cell r="A11" t="str">
            <v>SALVAJINA</v>
          </cell>
          <cell r="F11" t="str">
            <v>91,45</v>
          </cell>
          <cell r="G11">
            <v>807.22</v>
          </cell>
        </row>
        <row r="12">
          <cell r="A12" t="str">
            <v>URRA</v>
          </cell>
          <cell r="F12" t="str">
            <v>354,01</v>
          </cell>
          <cell r="G12">
            <v>1418.17</v>
          </cell>
        </row>
        <row r="13">
          <cell r="A13" t="str">
            <v>ITUANGO</v>
          </cell>
          <cell r="F13" t="str">
            <v>1.299</v>
          </cell>
          <cell r="G13">
            <v>1431</v>
          </cell>
        </row>
        <row r="14">
          <cell r="A14" t="str">
            <v>MIRAFLORES</v>
          </cell>
          <cell r="F14" t="str">
            <v>5,32</v>
          </cell>
          <cell r="G14">
            <v>142.44</v>
          </cell>
        </row>
        <row r="15">
          <cell r="A15" t="str">
            <v>AGREGADO MIRAFLORES - TRONERAS</v>
          </cell>
          <cell r="F15" t="str">
            <v>13,77</v>
          </cell>
          <cell r="G15">
            <v>170.09</v>
          </cell>
        </row>
        <row r="16">
          <cell r="A16" t="str">
            <v>PEÑOL</v>
          </cell>
          <cell r="F16" t="str">
            <v>77,84</v>
          </cell>
          <cell r="G16">
            <v>1120.02</v>
          </cell>
        </row>
        <row r="17">
          <cell r="A17" t="str">
            <v>PLAYAS</v>
          </cell>
          <cell r="F17" t="str">
            <v>19,57</v>
          </cell>
          <cell r="G17">
            <v>67.59</v>
          </cell>
        </row>
        <row r="18">
          <cell r="A18" t="str">
            <v>PORCE II</v>
          </cell>
          <cell r="F18" t="str">
            <v>38,79</v>
          </cell>
          <cell r="G18">
            <v>124.67</v>
          </cell>
        </row>
        <row r="19">
          <cell r="A19" t="str">
            <v>PORCE III</v>
          </cell>
          <cell r="F19" t="str">
            <v>29,45</v>
          </cell>
          <cell r="G19">
            <v>161.28</v>
          </cell>
        </row>
        <row r="20">
          <cell r="A20" t="str">
            <v>RIOGRANDE2</v>
          </cell>
          <cell r="F20" t="str">
            <v>47,64</v>
          </cell>
          <cell r="G20">
            <v>185.26</v>
          </cell>
        </row>
        <row r="21">
          <cell r="A21" t="str">
            <v>TRONERAS</v>
          </cell>
          <cell r="F21" t="str">
            <v>8,45</v>
          </cell>
          <cell r="G21">
            <v>27.65</v>
          </cell>
        </row>
        <row r="22">
          <cell r="A22" t="str">
            <v>AGREGADO BOGOTÁ</v>
          </cell>
          <cell r="F22" t="str">
            <v>0</v>
          </cell>
          <cell r="G22">
            <v>899.21</v>
          </cell>
        </row>
        <row r="23">
          <cell r="A23" t="str">
            <v>BETANIA</v>
          </cell>
          <cell r="F23" t="str">
            <v>448,19</v>
          </cell>
          <cell r="G23">
            <v>1171.79</v>
          </cell>
        </row>
        <row r="24">
          <cell r="A24" t="str">
            <v>CHUZA</v>
          </cell>
          <cell r="F24" t="str">
            <v>10,32</v>
          </cell>
          <cell r="G24">
            <v>228.43</v>
          </cell>
        </row>
        <row r="25">
          <cell r="A25" t="str">
            <v>EL QUIMBO</v>
          </cell>
          <cell r="F25" t="str">
            <v>453,72</v>
          </cell>
          <cell r="G25">
            <v>2742.14</v>
          </cell>
        </row>
        <row r="26">
          <cell r="A26" t="str">
            <v>EMBALSES BOGOTÁ</v>
          </cell>
          <cell r="F26" t="str">
            <v>10,4</v>
          </cell>
          <cell r="G26">
            <v>1140.05</v>
          </cell>
        </row>
        <row r="27">
          <cell r="A27" t="str">
            <v>GUAVIO</v>
          </cell>
          <cell r="F27" t="str">
            <v>18,47</v>
          </cell>
          <cell r="G27">
            <v>741.69</v>
          </cell>
        </row>
        <row r="28">
          <cell r="A28" t="str">
            <v>MUÑA</v>
          </cell>
          <cell r="F28" t="str">
            <v>0,08</v>
          </cell>
          <cell r="G28">
            <v>12.41</v>
          </cell>
        </row>
        <row r="29">
          <cell r="A29" t="str">
            <v>NEUSA</v>
          </cell>
          <cell r="F29" t="str">
            <v>0</v>
          </cell>
          <cell r="G29">
            <v>117.4</v>
          </cell>
        </row>
        <row r="30">
          <cell r="A30" t="str">
            <v>SISGA</v>
          </cell>
          <cell r="F30" t="str">
            <v>0</v>
          </cell>
          <cell r="G30">
            <v>92.28</v>
          </cell>
        </row>
        <row r="31">
          <cell r="A31" t="str">
            <v>TOMINÉ</v>
          </cell>
          <cell r="F31" t="str">
            <v>0</v>
          </cell>
          <cell r="G31">
            <v>689.53</v>
          </cell>
        </row>
        <row r="32">
          <cell r="A32" t="str">
            <v>AMANÍ</v>
          </cell>
          <cell r="F32" t="str">
            <v>48,01</v>
          </cell>
          <cell r="G32">
            <v>489.8</v>
          </cell>
        </row>
        <row r="33">
          <cell r="A33" t="str">
            <v>PUNCHINÁ</v>
          </cell>
          <cell r="F33" t="str">
            <v>13,98</v>
          </cell>
          <cell r="G33">
            <v>57.94</v>
          </cell>
        </row>
        <row r="34">
          <cell r="A34" t="str">
            <v>SAN LORENZO</v>
          </cell>
          <cell r="F34" t="str">
            <v>16,86</v>
          </cell>
          <cell r="G34">
            <v>178.37</v>
          </cell>
        </row>
        <row r="35">
          <cell r="A35" t="str">
            <v>TOPOCORO</v>
          </cell>
          <cell r="F35" t="str">
            <v>555,84</v>
          </cell>
          <cell r="G35">
            <v>3206.49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Uhidráulica"/>
      <sheetName val="AGC"/>
      <sheetName val="VelCarga-Descarga"/>
    </sheetNames>
    <sheetDataSet>
      <sheetData sheetId="0">
        <row r="8">
          <cell r="H8" t="str">
            <v>CARLOS LLERAS</v>
          </cell>
          <cell r="P8">
            <v>15.6</v>
          </cell>
        </row>
        <row r="9">
          <cell r="H9" t="str">
            <v>CARLOS LLERAS</v>
          </cell>
          <cell r="P9">
            <v>15.6</v>
          </cell>
        </row>
        <row r="10">
          <cell r="H10" t="str">
            <v>ESCUELA DE MINAS</v>
          </cell>
          <cell r="P10">
            <v>8</v>
          </cell>
        </row>
        <row r="11">
          <cell r="H11" t="str">
            <v>ESCUELA DE MINAS</v>
          </cell>
          <cell r="P11">
            <v>8</v>
          </cell>
        </row>
        <row r="12">
          <cell r="H12" t="str">
            <v>ESCUELA DE MINAS</v>
          </cell>
          <cell r="P12">
            <v>8</v>
          </cell>
        </row>
        <row r="13">
          <cell r="H13" t="str">
            <v>GUADALUPE III</v>
          </cell>
          <cell r="P13">
            <v>0</v>
          </cell>
        </row>
        <row r="14">
          <cell r="H14" t="str">
            <v>GUADALUPE III</v>
          </cell>
          <cell r="P14">
            <v>0</v>
          </cell>
        </row>
        <row r="15">
          <cell r="H15" t="str">
            <v>GUADALUPE III</v>
          </cell>
          <cell r="P15">
            <v>0</v>
          </cell>
        </row>
        <row r="16">
          <cell r="H16" t="str">
            <v>GUADALUPE III</v>
          </cell>
          <cell r="P16">
            <v>0</v>
          </cell>
        </row>
        <row r="17">
          <cell r="H17" t="str">
            <v>GUADALUPE III</v>
          </cell>
          <cell r="P17">
            <v>0</v>
          </cell>
        </row>
        <row r="18">
          <cell r="H18" t="str">
            <v>GUADALUPE III</v>
          </cell>
          <cell r="P18">
            <v>0</v>
          </cell>
        </row>
        <row r="19">
          <cell r="H19" t="str">
            <v>GUADALUPE IV</v>
          </cell>
          <cell r="P19">
            <v>35</v>
          </cell>
        </row>
        <row r="20">
          <cell r="H20" t="str">
            <v>GUADALUPE IV</v>
          </cell>
          <cell r="P20">
            <v>35</v>
          </cell>
        </row>
        <row r="21">
          <cell r="H21" t="str">
            <v>GUADALUPE IV</v>
          </cell>
          <cell r="P21">
            <v>35</v>
          </cell>
        </row>
        <row r="22">
          <cell r="H22" t="str">
            <v>GUATAPE</v>
          </cell>
          <cell r="P22">
            <v>0</v>
          </cell>
        </row>
        <row r="23">
          <cell r="H23" t="str">
            <v>GUATAPE</v>
          </cell>
          <cell r="P23">
            <v>0</v>
          </cell>
        </row>
        <row r="24">
          <cell r="H24" t="str">
            <v>GUATAPE</v>
          </cell>
          <cell r="P24">
            <v>0</v>
          </cell>
        </row>
        <row r="25">
          <cell r="H25" t="str">
            <v>GUATAPE</v>
          </cell>
          <cell r="P25">
            <v>0</v>
          </cell>
        </row>
        <row r="26">
          <cell r="H26" t="str">
            <v>GUATAPE</v>
          </cell>
          <cell r="P26">
            <v>0</v>
          </cell>
        </row>
        <row r="27">
          <cell r="H27" t="str">
            <v>GUATAPE</v>
          </cell>
          <cell r="P27">
            <v>0</v>
          </cell>
        </row>
        <row r="28">
          <cell r="H28" t="str">
            <v>GUATAPE</v>
          </cell>
          <cell r="P28">
            <v>0</v>
          </cell>
        </row>
        <row r="29">
          <cell r="H29" t="str">
            <v>GUATAPE</v>
          </cell>
          <cell r="P29">
            <v>0</v>
          </cell>
        </row>
        <row r="30">
          <cell r="H30" t="str">
            <v>ITUANGO</v>
          </cell>
          <cell r="P30">
            <v>154</v>
          </cell>
        </row>
        <row r="31">
          <cell r="H31" t="str">
            <v>ITUANGO</v>
          </cell>
          <cell r="P31">
            <v>154</v>
          </cell>
        </row>
        <row r="32">
          <cell r="H32" t="str">
            <v>ITUANGO</v>
          </cell>
          <cell r="P32">
            <v>154</v>
          </cell>
        </row>
        <row r="33">
          <cell r="H33" t="str">
            <v>ITUANGO</v>
          </cell>
          <cell r="P33">
            <v>154</v>
          </cell>
        </row>
        <row r="34">
          <cell r="H34" t="str">
            <v>JAGUAS</v>
          </cell>
          <cell r="P34">
            <v>15</v>
          </cell>
        </row>
        <row r="35">
          <cell r="H35" t="str">
            <v>JAGUAS</v>
          </cell>
          <cell r="P35">
            <v>15</v>
          </cell>
        </row>
        <row r="36">
          <cell r="H36" t="str">
            <v>LA TASAJERA</v>
          </cell>
          <cell r="P36">
            <v>0</v>
          </cell>
        </row>
        <row r="37">
          <cell r="H37" t="str">
            <v>LA TASAJERA</v>
          </cell>
          <cell r="P37">
            <v>0</v>
          </cell>
        </row>
        <row r="38">
          <cell r="H38" t="str">
            <v>LA TASAJERA</v>
          </cell>
          <cell r="P38">
            <v>0</v>
          </cell>
        </row>
        <row r="39">
          <cell r="H39" t="str">
            <v>PLAYAS</v>
          </cell>
          <cell r="P39">
            <v>49</v>
          </cell>
        </row>
        <row r="40">
          <cell r="H40" t="str">
            <v>PLAYAS</v>
          </cell>
          <cell r="P40">
            <v>49</v>
          </cell>
        </row>
        <row r="41">
          <cell r="H41" t="str">
            <v>PLAYAS</v>
          </cell>
          <cell r="P41">
            <v>49</v>
          </cell>
        </row>
        <row r="42">
          <cell r="H42" t="str">
            <v>PORCE II</v>
          </cell>
          <cell r="P42">
            <v>75</v>
          </cell>
        </row>
        <row r="43">
          <cell r="H43" t="str">
            <v>PORCE II</v>
          </cell>
          <cell r="P43">
            <v>75</v>
          </cell>
        </row>
        <row r="44">
          <cell r="H44" t="str">
            <v>PORCE II</v>
          </cell>
          <cell r="P44">
            <v>75</v>
          </cell>
        </row>
        <row r="45">
          <cell r="H45" t="str">
            <v>PORCE III</v>
          </cell>
          <cell r="P45">
            <v>125</v>
          </cell>
        </row>
        <row r="46">
          <cell r="H46" t="str">
            <v>PORCE III</v>
          </cell>
          <cell r="P46">
            <v>125</v>
          </cell>
        </row>
        <row r="47">
          <cell r="H47" t="str">
            <v>PORCE III</v>
          </cell>
          <cell r="P47">
            <v>125</v>
          </cell>
        </row>
        <row r="48">
          <cell r="H48" t="str">
            <v>PORCE III</v>
          </cell>
          <cell r="P48">
            <v>125</v>
          </cell>
        </row>
        <row r="49">
          <cell r="H49" t="str">
            <v>SAN CARLOS</v>
          </cell>
          <cell r="P49">
            <v>22</v>
          </cell>
        </row>
        <row r="50">
          <cell r="H50" t="str">
            <v>SAN CARLOS</v>
          </cell>
          <cell r="P50">
            <v>22</v>
          </cell>
        </row>
        <row r="51">
          <cell r="H51" t="str">
            <v>SAN CARLOS</v>
          </cell>
          <cell r="P51">
            <v>22</v>
          </cell>
        </row>
        <row r="52">
          <cell r="H52" t="str">
            <v>SAN CARLOS</v>
          </cell>
          <cell r="P52">
            <v>22</v>
          </cell>
        </row>
        <row r="53">
          <cell r="H53" t="str">
            <v>SAN CARLOS</v>
          </cell>
          <cell r="P53">
            <v>22</v>
          </cell>
        </row>
        <row r="54">
          <cell r="H54" t="str">
            <v>SAN CARLOS</v>
          </cell>
          <cell r="P54">
            <v>22</v>
          </cell>
        </row>
        <row r="55">
          <cell r="H55" t="str">
            <v>SAN CARLOS</v>
          </cell>
          <cell r="P55">
            <v>22</v>
          </cell>
        </row>
        <row r="56">
          <cell r="H56" t="str">
            <v>SAN CARLOS</v>
          </cell>
          <cell r="P56">
            <v>22</v>
          </cell>
        </row>
        <row r="57">
          <cell r="H57" t="str">
            <v>SAN MIGUEL</v>
          </cell>
          <cell r="P57">
            <v>9.4499999999999993</v>
          </cell>
        </row>
        <row r="58">
          <cell r="H58" t="str">
            <v>SAN MIGUEL</v>
          </cell>
          <cell r="P58">
            <v>9.4499999999999993</v>
          </cell>
        </row>
        <row r="59">
          <cell r="H59" t="str">
            <v>TRONERAS</v>
          </cell>
          <cell r="P59">
            <v>1</v>
          </cell>
        </row>
        <row r="60">
          <cell r="H60" t="str">
            <v>TRONERAS</v>
          </cell>
          <cell r="P60">
            <v>0</v>
          </cell>
        </row>
        <row r="61">
          <cell r="H61" t="str">
            <v>CHIVOR</v>
          </cell>
          <cell r="P61">
            <v>10</v>
          </cell>
        </row>
        <row r="62">
          <cell r="H62" t="str">
            <v>CHIVOR</v>
          </cell>
          <cell r="P62">
            <v>10</v>
          </cell>
        </row>
        <row r="63">
          <cell r="H63" t="str">
            <v>CHIVOR</v>
          </cell>
          <cell r="P63">
            <v>10</v>
          </cell>
        </row>
        <row r="64">
          <cell r="H64" t="str">
            <v>CHIVOR</v>
          </cell>
          <cell r="P64">
            <v>10</v>
          </cell>
        </row>
        <row r="65">
          <cell r="H65" t="str">
            <v>CHIVOR</v>
          </cell>
          <cell r="P65">
            <v>10</v>
          </cell>
        </row>
        <row r="66">
          <cell r="H66" t="str">
            <v>CHIVOR</v>
          </cell>
          <cell r="P66">
            <v>10</v>
          </cell>
        </row>
        <row r="67">
          <cell r="H67" t="str">
            <v>CHIVOR</v>
          </cell>
          <cell r="P67">
            <v>10</v>
          </cell>
        </row>
        <row r="68">
          <cell r="H68" t="str">
            <v>CHIVOR</v>
          </cell>
          <cell r="P68">
            <v>10</v>
          </cell>
        </row>
        <row r="69">
          <cell r="H69" t="str">
            <v>DARIO VALENCIA SAMPER</v>
          </cell>
          <cell r="P69">
            <v>5</v>
          </cell>
        </row>
        <row r="70">
          <cell r="H70" t="str">
            <v>DARIO VALENCIA SAMPER</v>
          </cell>
          <cell r="P70">
            <v>30</v>
          </cell>
        </row>
        <row r="71">
          <cell r="H71" t="str">
            <v>DARIO VALENCIA SAMPER</v>
          </cell>
          <cell r="P71">
            <v>5</v>
          </cell>
        </row>
        <row r="72">
          <cell r="H72" t="str">
            <v>GUAVIO</v>
          </cell>
          <cell r="P72">
            <v>60</v>
          </cell>
        </row>
        <row r="73">
          <cell r="H73" t="str">
            <v>GUAVIO</v>
          </cell>
          <cell r="P73">
            <v>60</v>
          </cell>
        </row>
        <row r="74">
          <cell r="H74" t="str">
            <v>GUAVIO</v>
          </cell>
          <cell r="P74">
            <v>60</v>
          </cell>
        </row>
        <row r="75">
          <cell r="H75" t="str">
            <v>GUAVIO</v>
          </cell>
          <cell r="P75">
            <v>60</v>
          </cell>
        </row>
        <row r="76">
          <cell r="H76" t="str">
            <v>GUAVIO</v>
          </cell>
          <cell r="P76">
            <v>60</v>
          </cell>
        </row>
        <row r="77">
          <cell r="H77" t="str">
            <v>LA GUACA</v>
          </cell>
          <cell r="P77">
            <v>40</v>
          </cell>
        </row>
        <row r="78">
          <cell r="H78" t="str">
            <v>LA GUACA</v>
          </cell>
          <cell r="P78">
            <v>40</v>
          </cell>
        </row>
        <row r="79">
          <cell r="H79" t="str">
            <v>LA GUACA</v>
          </cell>
          <cell r="P79">
            <v>40</v>
          </cell>
        </row>
        <row r="80">
          <cell r="H80" t="str">
            <v>PARAISO</v>
          </cell>
          <cell r="P80">
            <v>34</v>
          </cell>
        </row>
        <row r="81">
          <cell r="H81" t="str">
            <v>PARAISO</v>
          </cell>
          <cell r="P81">
            <v>34</v>
          </cell>
        </row>
        <row r="82">
          <cell r="H82" t="str">
            <v>PARAISO</v>
          </cell>
          <cell r="P82">
            <v>34</v>
          </cell>
        </row>
        <row r="83">
          <cell r="H83" t="str">
            <v>SALTO II</v>
          </cell>
          <cell r="P83">
            <v>5</v>
          </cell>
        </row>
        <row r="84">
          <cell r="H84" t="str">
            <v>TUNJITA</v>
          </cell>
          <cell r="P84">
            <v>4.0999999999999996</v>
          </cell>
        </row>
        <row r="85">
          <cell r="H85" t="str">
            <v>TUNJITA</v>
          </cell>
          <cell r="P85">
            <v>4.0999999999999996</v>
          </cell>
        </row>
        <row r="86">
          <cell r="H86" t="str">
            <v>EL QUIMBO</v>
          </cell>
          <cell r="P86">
            <v>0</v>
          </cell>
        </row>
        <row r="87">
          <cell r="H87" t="str">
            <v>EL QUIMBO</v>
          </cell>
          <cell r="P87">
            <v>0</v>
          </cell>
        </row>
        <row r="88">
          <cell r="H88" t="str">
            <v>URRA</v>
          </cell>
          <cell r="P88">
            <v>30</v>
          </cell>
        </row>
        <row r="89">
          <cell r="H89" t="str">
            <v>URRA</v>
          </cell>
          <cell r="P89">
            <v>30</v>
          </cell>
        </row>
        <row r="90">
          <cell r="H90" t="str">
            <v>URRA</v>
          </cell>
          <cell r="P90">
            <v>30</v>
          </cell>
        </row>
        <row r="91">
          <cell r="H91" t="str">
            <v>URRA</v>
          </cell>
          <cell r="P91">
            <v>30</v>
          </cell>
        </row>
        <row r="92">
          <cell r="H92" t="str">
            <v>ESMERALDA</v>
          </cell>
          <cell r="P92">
            <v>0</v>
          </cell>
        </row>
        <row r="93">
          <cell r="H93" t="str">
            <v>ESMERALDA</v>
          </cell>
          <cell r="P93">
            <v>0</v>
          </cell>
        </row>
        <row r="94">
          <cell r="H94" t="str">
            <v>MIEL I</v>
          </cell>
          <cell r="P94">
            <v>20</v>
          </cell>
        </row>
        <row r="95">
          <cell r="H95" t="str">
            <v>MIEL I</v>
          </cell>
          <cell r="P95">
            <v>20</v>
          </cell>
        </row>
        <row r="96">
          <cell r="H96" t="str">
            <v>MIEL I</v>
          </cell>
          <cell r="P96">
            <v>20</v>
          </cell>
        </row>
        <row r="97">
          <cell r="H97" t="str">
            <v>SAN FRANCISCO</v>
          </cell>
          <cell r="P97">
            <v>12</v>
          </cell>
        </row>
        <row r="98">
          <cell r="H98" t="str">
            <v>SAN FRANCISCO</v>
          </cell>
          <cell r="P98">
            <v>12</v>
          </cell>
        </row>
        <row r="99">
          <cell r="H99" t="str">
            <v>SAN FRANCISCO</v>
          </cell>
          <cell r="P99">
            <v>12</v>
          </cell>
        </row>
        <row r="100">
          <cell r="H100" t="str">
            <v>AMOYA LA ESPERANZA</v>
          </cell>
          <cell r="P100">
            <v>6.6</v>
          </cell>
        </row>
        <row r="101">
          <cell r="H101" t="str">
            <v>AMOYA LA ESPERANZA</v>
          </cell>
          <cell r="P101">
            <v>6.6</v>
          </cell>
        </row>
        <row r="102">
          <cell r="H102" t="str">
            <v>BETANIA</v>
          </cell>
          <cell r="P102">
            <v>60</v>
          </cell>
        </row>
        <row r="103">
          <cell r="H103" t="str">
            <v>BETANIA</v>
          </cell>
          <cell r="P103">
            <v>60</v>
          </cell>
        </row>
        <row r="104">
          <cell r="H104" t="str">
            <v>BETANIA</v>
          </cell>
          <cell r="P104">
            <v>60</v>
          </cell>
        </row>
        <row r="105">
          <cell r="H105" t="str">
            <v>CUCUANA</v>
          </cell>
          <cell r="P105">
            <v>3</v>
          </cell>
        </row>
        <row r="106">
          <cell r="H106" t="str">
            <v>CUCUANA</v>
          </cell>
          <cell r="P106">
            <v>3</v>
          </cell>
        </row>
        <row r="107">
          <cell r="H107" t="str">
            <v>PRADO</v>
          </cell>
          <cell r="P107">
            <v>1</v>
          </cell>
        </row>
        <row r="108">
          <cell r="H108" t="str">
            <v>PRADO</v>
          </cell>
          <cell r="P108">
            <v>1</v>
          </cell>
        </row>
        <row r="109">
          <cell r="H109" t="str">
            <v>PRADO</v>
          </cell>
          <cell r="P109">
            <v>1</v>
          </cell>
        </row>
        <row r="110">
          <cell r="H110" t="str">
            <v>SOGAMOSO</v>
          </cell>
          <cell r="P110">
            <v>120</v>
          </cell>
        </row>
        <row r="111">
          <cell r="H111" t="str">
            <v>SOGAMOSO</v>
          </cell>
          <cell r="P111">
            <v>120</v>
          </cell>
        </row>
        <row r="112">
          <cell r="H112" t="str">
            <v>SOGAMOSO</v>
          </cell>
          <cell r="P112">
            <v>120</v>
          </cell>
        </row>
        <row r="113">
          <cell r="H113" t="str">
            <v>ALTO ANCHICAYA</v>
          </cell>
          <cell r="P113">
            <v>30</v>
          </cell>
        </row>
        <row r="114">
          <cell r="H114" t="str">
            <v>ALTO ANCHICAYA</v>
          </cell>
          <cell r="P114">
            <v>30</v>
          </cell>
        </row>
        <row r="115">
          <cell r="H115" t="str">
            <v>ALTO ANCHICAYA</v>
          </cell>
          <cell r="P115">
            <v>30</v>
          </cell>
        </row>
        <row r="116">
          <cell r="H116" t="str">
            <v>BAJO ANCHICAYA</v>
          </cell>
          <cell r="P116">
            <v>1</v>
          </cell>
        </row>
        <row r="117">
          <cell r="H117" t="str">
            <v>BAJO ANCHICAYA</v>
          </cell>
          <cell r="P117">
            <v>1</v>
          </cell>
        </row>
        <row r="118">
          <cell r="H118" t="str">
            <v>BAJO ANCHICAYA</v>
          </cell>
          <cell r="P118">
            <v>3</v>
          </cell>
        </row>
        <row r="119">
          <cell r="H119" t="str">
            <v>BAJO ANCHICAYA</v>
          </cell>
          <cell r="P119">
            <v>3</v>
          </cell>
        </row>
        <row r="120">
          <cell r="H120" t="str">
            <v>CALIMA</v>
          </cell>
          <cell r="P120">
            <v>16</v>
          </cell>
        </row>
        <row r="121">
          <cell r="H121" t="str">
            <v>CALIMA</v>
          </cell>
          <cell r="P121">
            <v>16</v>
          </cell>
        </row>
        <row r="122">
          <cell r="H122" t="str">
            <v>CALIMA</v>
          </cell>
          <cell r="P122">
            <v>16</v>
          </cell>
        </row>
        <row r="123">
          <cell r="H123" t="str">
            <v>CALIMA</v>
          </cell>
          <cell r="P123">
            <v>16</v>
          </cell>
        </row>
        <row r="124">
          <cell r="H124" t="str">
            <v>SALVAJINA</v>
          </cell>
          <cell r="P124">
            <v>30</v>
          </cell>
        </row>
        <row r="125">
          <cell r="H125" t="str">
            <v>SALVAJINA</v>
          </cell>
          <cell r="P125">
            <v>30</v>
          </cell>
        </row>
        <row r="126">
          <cell r="H126" t="str">
            <v>SALVAJINA</v>
          </cell>
          <cell r="P126">
            <v>30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8E5154EF-696C-4B7A-A651-BCE4068D27EF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8-22T15:20:37.54" personId="{8E5154EF-696C-4B7A-A651-BCE4068D27EF}" id="{FC3FB7D8-6337-4F1A-B06E-B4E13EDB90D1}">
    <text xml:space="preserve">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2T18:11:27.30" personId="{8E5154EF-696C-4B7A-A651-BCE4068D27EF}" id="{A3DAC7BA-9B6F-4AF2-93A4-0921DA2294C0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A626277B-461E-43F6-B75F-A81B9DD96282}">
    <text xml:space="preserve"> q = Pmin / eta</text>
  </threadedComment>
  <threadedComment ref="F4" dT="2026-08-22T21:39:57.65" personId="{8E5154EF-696C-4B7A-A651-BCE4068D27EF}" id="{5F94B969-A9B8-4E4A-B64F-5938913B1BB4}">
    <text xml:space="preserve"> q = Pmax / eta</text>
  </threadedComment>
  <threadedComment ref="G4" dT="2026-08-22T21:30:59.68" personId="{8E5154EF-696C-4B7A-A651-BCE4068D27EF}" id="{B51F5684-F621-4CC3-85F9-58F8460C57C2}">
    <text>η  = eficiencia</text>
  </threadedComment>
  <threadedComment ref="I4" dT="2026-08-22T22:29:47.74" personId="{8E5154EF-696C-4B7A-A651-BCE4068D27EF}" id="{645ED46D-4974-499C-B70A-8AC8709BE198}">
    <text xml:space="preserve">0 = filo de agua
Unidades en PARATEC en Mm3 =hm3
1 hm3=(100 m)3=100×100×100=1000000 m3=1 Mm3 </text>
  </threadedComment>
  <threadedComment ref="J4" dT="2026-08-22T23:25:33.97" personId="{8E5154EF-696C-4B7A-A651-BCE4068D27EF}" id="{F1DA4CED-5456-4C74-A53D-B54509878DB5}">
    <text xml:space="preserve">Vinit=Vmin+%llenado​×(Vmax−Vmin) 
%llenado​=CapaUtilDiarMasaVoluUtilDiarMasa​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8A34629C-C428-43A8-9A29-25751533DEDB}">
    <text xml:space="preserve"> q = Pmin / eta</text>
  </threadedComment>
  <threadedComment ref="F4" dT="2026-08-22T21:39:57.65" personId="{8E5154EF-696C-4B7A-A651-BCE4068D27EF}" id="{63D2E902-92E5-4B47-9632-83BF20F94D35}">
    <text xml:space="preserve"> q = Pmax / eta</text>
  </threadedComment>
  <threadedComment ref="G4" dT="2026-08-22T21:30:59.68" personId="{8E5154EF-696C-4B7A-A651-BCE4068D27EF}" id="{AF4FD171-93CE-482C-848C-4AF1C0DA318F}">
    <text>η  = eficiencia</text>
  </threadedComment>
  <threadedComment ref="I4" dT="2026-08-22T22:29:47.74" personId="{8E5154EF-696C-4B7A-A651-BCE4068D27EF}" id="{8F66F75D-E6CD-46AB-B435-62286E4D1645}">
    <text xml:space="preserve">0 = filo de agua
Unidades en PARATEC en Mm3 =hm3
1 hm3=(100 m)3=100×100×100=1000000 m3=1 Mm3 </text>
  </threadedComment>
  <threadedComment ref="J4" dT="2026-08-22T23:25:33.97" personId="{8E5154EF-696C-4B7A-A651-BCE4068D27EF}" id="{B821865E-108C-41E6-81ED-164B124FA213}">
    <text xml:space="preserve">Vinit=Vmin+%llenado​×(Vmax−Vmin) 
%llenado​=CapaUtilDiarMasaVoluUtilDiarMasa​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ED3D550C-51A5-4FDB-8169-EFB23B5AB39D}">
    <text xml:space="preserve"> q = Pmin / eta</text>
  </threadedComment>
  <threadedComment ref="F4" dT="2026-08-22T21:39:57.65" personId="{8E5154EF-696C-4B7A-A651-BCE4068D27EF}" id="{C93B51E4-E578-4304-A50C-AAF60CA49E9C}">
    <text xml:space="preserve"> q = Pmax / eta</text>
  </threadedComment>
  <threadedComment ref="G4" dT="2026-08-22T21:30:59.68" personId="{8E5154EF-696C-4B7A-A651-BCE4068D27EF}" id="{0396E370-DCE1-42FE-9388-6962D8A6D073}">
    <text>η  = eficiencia</text>
  </threadedComment>
  <threadedComment ref="I4" dT="2026-08-22T22:29:47.74" personId="{8E5154EF-696C-4B7A-A651-BCE4068D27EF}" id="{0C952EFC-B274-46FB-B75B-511B84A02918}">
    <text xml:space="preserve">0 = filo de agua
Unidades en PARATEC en Mm3 =hm3
1 hm3=(100 m)3=100×100×100=1000000 m3=1 Mm3 </text>
  </threadedComment>
  <threadedComment ref="J4" dT="2026-08-22T23:25:33.97" personId="{8E5154EF-696C-4B7A-A651-BCE4068D27EF}" id="{0C84310F-6378-4A5F-B30F-6F265EDB5B2B}">
    <text xml:space="preserve">Vinit=Vmin+%llenado​×(Vmax−Vmin) 
%llenado​=CapaUtilDiarMasaVoluUtilDiarMasa​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12</v>
      </c>
      <c r="B3" t="s">
        <v>13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19</v>
      </c>
      <c r="I3" t="s">
        <v>15</v>
      </c>
      <c r="J3" t="s">
        <v>20</v>
      </c>
      <c r="K3" t="s">
        <v>21</v>
      </c>
    </row>
    <row r="4" spans="1:12" hidden="1" x14ac:dyDescent="0.25">
      <c r="A4" t="s">
        <v>12</v>
      </c>
      <c r="B4" t="s">
        <v>13</v>
      </c>
      <c r="C4">
        <v>6</v>
      </c>
      <c r="D4">
        <v>3</v>
      </c>
      <c r="E4">
        <v>2000</v>
      </c>
      <c r="F4">
        <v>33</v>
      </c>
      <c r="G4">
        <v>3</v>
      </c>
      <c r="H4" t="s">
        <v>22</v>
      </c>
      <c r="I4" t="s">
        <v>15</v>
      </c>
      <c r="J4" t="s">
        <v>23</v>
      </c>
    </row>
    <row r="5" spans="1:12" hidden="1" x14ac:dyDescent="0.25">
      <c r="A5" t="s">
        <v>12</v>
      </c>
      <c r="B5" t="s">
        <v>13</v>
      </c>
      <c r="C5">
        <v>6</v>
      </c>
      <c r="D5">
        <v>3</v>
      </c>
      <c r="E5">
        <v>2000</v>
      </c>
      <c r="F5">
        <v>33</v>
      </c>
      <c r="G5">
        <v>4</v>
      </c>
      <c r="H5" t="s">
        <v>24</v>
      </c>
      <c r="I5" t="s">
        <v>15</v>
      </c>
      <c r="J5" t="s">
        <v>25</v>
      </c>
    </row>
    <row r="6" spans="1:12" hidden="1" x14ac:dyDescent="0.25">
      <c r="A6" t="s">
        <v>12</v>
      </c>
      <c r="B6" t="s">
        <v>13</v>
      </c>
      <c r="C6">
        <v>6</v>
      </c>
      <c r="D6">
        <v>3</v>
      </c>
      <c r="E6">
        <v>2000</v>
      </c>
      <c r="F6">
        <v>33</v>
      </c>
      <c r="G6">
        <v>5</v>
      </c>
      <c r="H6" t="s">
        <v>26</v>
      </c>
      <c r="I6" t="s">
        <v>15</v>
      </c>
      <c r="J6" t="s">
        <v>27</v>
      </c>
    </row>
    <row r="7" spans="1:12" hidden="1" x14ac:dyDescent="0.25">
      <c r="A7" t="s">
        <v>12</v>
      </c>
      <c r="B7" t="s">
        <v>13</v>
      </c>
      <c r="C7">
        <v>6</v>
      </c>
      <c r="D7">
        <v>3</v>
      </c>
      <c r="E7">
        <v>2000</v>
      </c>
      <c r="F7">
        <v>33</v>
      </c>
      <c r="G7">
        <v>6</v>
      </c>
      <c r="H7" t="s">
        <v>28</v>
      </c>
      <c r="I7" t="s">
        <v>15</v>
      </c>
      <c r="J7" t="s">
        <v>29</v>
      </c>
      <c r="K7" t="s">
        <v>30</v>
      </c>
      <c r="L7" t="s">
        <v>31</v>
      </c>
    </row>
    <row r="8" spans="1:12" hidden="1" x14ac:dyDescent="0.25">
      <c r="A8" t="s">
        <v>12</v>
      </c>
      <c r="B8" t="s">
        <v>13</v>
      </c>
      <c r="C8">
        <v>6</v>
      </c>
      <c r="D8">
        <v>3</v>
      </c>
      <c r="E8">
        <v>2000</v>
      </c>
      <c r="F8">
        <v>33</v>
      </c>
      <c r="G8">
        <v>7</v>
      </c>
      <c r="H8" t="s">
        <v>32</v>
      </c>
      <c r="I8" t="s">
        <v>15</v>
      </c>
      <c r="J8" t="s">
        <v>33</v>
      </c>
    </row>
    <row r="9" spans="1:12" hidden="1" x14ac:dyDescent="0.25">
      <c r="A9" t="s">
        <v>12</v>
      </c>
      <c r="B9" t="s">
        <v>13</v>
      </c>
      <c r="C9">
        <v>6</v>
      </c>
      <c r="D9">
        <v>3</v>
      </c>
      <c r="E9">
        <v>2000</v>
      </c>
      <c r="F9">
        <v>33</v>
      </c>
      <c r="G9">
        <v>8</v>
      </c>
      <c r="H9" t="s">
        <v>34</v>
      </c>
      <c r="I9" t="s">
        <v>15</v>
      </c>
      <c r="J9" t="s">
        <v>35</v>
      </c>
      <c r="K9" t="s">
        <v>36</v>
      </c>
      <c r="L9" t="s">
        <v>37</v>
      </c>
    </row>
    <row r="10" spans="1:12" hidden="1" x14ac:dyDescent="0.25">
      <c r="A10" t="s">
        <v>12</v>
      </c>
      <c r="B10" t="s">
        <v>13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38</v>
      </c>
      <c r="I10" t="s">
        <v>15</v>
      </c>
      <c r="J10" t="s">
        <v>39</v>
      </c>
      <c r="K10" t="s">
        <v>40</v>
      </c>
    </row>
    <row r="11" spans="1:12" hidden="1" x14ac:dyDescent="0.25">
      <c r="A11" t="s">
        <v>12</v>
      </c>
      <c r="B11" t="s">
        <v>13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41</v>
      </c>
      <c r="I11" t="s">
        <v>15</v>
      </c>
      <c r="J11" t="s">
        <v>42</v>
      </c>
      <c r="K11" t="s">
        <v>43</v>
      </c>
      <c r="L11" t="s">
        <v>44</v>
      </c>
    </row>
    <row r="12" spans="1:12" hidden="1" x14ac:dyDescent="0.25">
      <c r="A12" t="s">
        <v>12</v>
      </c>
      <c r="B12" t="s">
        <v>13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45</v>
      </c>
      <c r="I12" t="s">
        <v>15</v>
      </c>
      <c r="J12" t="s">
        <v>42</v>
      </c>
      <c r="K12" t="s">
        <v>43</v>
      </c>
      <c r="L12" t="s">
        <v>46</v>
      </c>
    </row>
    <row r="13" spans="1:12" hidden="1" x14ac:dyDescent="0.25">
      <c r="A13" t="s">
        <v>12</v>
      </c>
      <c r="B13" t="s">
        <v>13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47</v>
      </c>
      <c r="I13" t="s">
        <v>15</v>
      </c>
      <c r="J13" t="s">
        <v>48</v>
      </c>
      <c r="K13" t="s">
        <v>49</v>
      </c>
      <c r="L13" t="s">
        <v>50</v>
      </c>
    </row>
    <row r="14" spans="1:12" hidden="1" x14ac:dyDescent="0.25">
      <c r="A14" t="s">
        <v>12</v>
      </c>
      <c r="B14" t="s">
        <v>13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51</v>
      </c>
      <c r="I14" t="s">
        <v>15</v>
      </c>
      <c r="J14" t="s">
        <v>52</v>
      </c>
      <c r="K14" t="s">
        <v>53</v>
      </c>
      <c r="L14" t="s">
        <v>54</v>
      </c>
    </row>
    <row r="15" spans="1:12" hidden="1" x14ac:dyDescent="0.25">
      <c r="A15" t="s">
        <v>12</v>
      </c>
      <c r="B15" t="s">
        <v>13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55</v>
      </c>
      <c r="I15" t="s">
        <v>15</v>
      </c>
      <c r="J15" t="s">
        <v>56</v>
      </c>
    </row>
    <row r="16" spans="1:12" hidden="1" x14ac:dyDescent="0.25">
      <c r="A16" t="s">
        <v>12</v>
      </c>
      <c r="B16" t="s">
        <v>13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57</v>
      </c>
      <c r="I16" t="s">
        <v>15</v>
      </c>
      <c r="J16" t="s">
        <v>58</v>
      </c>
    </row>
    <row r="17" spans="1:12" hidden="1" x14ac:dyDescent="0.25">
      <c r="A17" t="s">
        <v>12</v>
      </c>
      <c r="B17" t="s">
        <v>13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59</v>
      </c>
      <c r="I17" t="s">
        <v>15</v>
      </c>
      <c r="J17" t="s">
        <v>60</v>
      </c>
    </row>
    <row r="18" spans="1:12" hidden="1" x14ac:dyDescent="0.25">
      <c r="A18" t="s">
        <v>12</v>
      </c>
      <c r="B18" t="s">
        <v>13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61</v>
      </c>
      <c r="I18" t="s">
        <v>15</v>
      </c>
      <c r="J18" t="s">
        <v>62</v>
      </c>
    </row>
    <row r="19" spans="1:12" hidden="1" x14ac:dyDescent="0.25">
      <c r="A19" t="s">
        <v>12</v>
      </c>
      <c r="B19" t="s">
        <v>13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63</v>
      </c>
      <c r="I19" t="s">
        <v>15</v>
      </c>
      <c r="J19" t="s">
        <v>58</v>
      </c>
    </row>
    <row r="20" spans="1:12" hidden="1" x14ac:dyDescent="0.25">
      <c r="A20" t="s">
        <v>12</v>
      </c>
      <c r="B20" t="s">
        <v>13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64</v>
      </c>
      <c r="I20" t="s">
        <v>15</v>
      </c>
      <c r="J20" t="s">
        <v>65</v>
      </c>
    </row>
    <row r="21" spans="1:12" hidden="1" x14ac:dyDescent="0.25">
      <c r="A21" t="s">
        <v>12</v>
      </c>
      <c r="B21" t="s">
        <v>13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66</v>
      </c>
      <c r="I21" t="s">
        <v>15</v>
      </c>
      <c r="J21" t="s">
        <v>67</v>
      </c>
    </row>
    <row r="22" spans="1:12" hidden="1" x14ac:dyDescent="0.25">
      <c r="A22" t="s">
        <v>12</v>
      </c>
      <c r="B22" t="s">
        <v>13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68</v>
      </c>
      <c r="I22" t="s">
        <v>15</v>
      </c>
      <c r="J22" t="s">
        <v>69</v>
      </c>
      <c r="K22" t="s">
        <v>70</v>
      </c>
      <c r="L22" t="s">
        <v>71</v>
      </c>
    </row>
    <row r="23" spans="1:12" hidden="1" x14ac:dyDescent="0.25">
      <c r="A23" t="s">
        <v>12</v>
      </c>
      <c r="B23" t="s">
        <v>13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72</v>
      </c>
      <c r="I23" t="s">
        <v>15</v>
      </c>
      <c r="J23" t="s">
        <v>69</v>
      </c>
      <c r="K23" t="s">
        <v>70</v>
      </c>
      <c r="L23" t="s">
        <v>71</v>
      </c>
    </row>
    <row r="24" spans="1:12" hidden="1" x14ac:dyDescent="0.25">
      <c r="A24" t="s">
        <v>12</v>
      </c>
      <c r="B24" t="s">
        <v>13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73</v>
      </c>
      <c r="I24" t="s">
        <v>15</v>
      </c>
      <c r="J24" t="s">
        <v>60</v>
      </c>
      <c r="K24" t="s">
        <v>74</v>
      </c>
    </row>
    <row r="25" spans="1:12" hidden="1" x14ac:dyDescent="0.25">
      <c r="A25" t="s">
        <v>12</v>
      </c>
      <c r="B25" t="s">
        <v>13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75</v>
      </c>
      <c r="I25" t="s">
        <v>15</v>
      </c>
      <c r="J25" t="s">
        <v>76</v>
      </c>
    </row>
    <row r="26" spans="1:12" hidden="1" x14ac:dyDescent="0.25">
      <c r="A26" t="s">
        <v>12</v>
      </c>
      <c r="B26" t="s">
        <v>13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77</v>
      </c>
      <c r="I26" t="s">
        <v>15</v>
      </c>
      <c r="J26" t="s">
        <v>60</v>
      </c>
    </row>
    <row r="27" spans="1:12" hidden="1" x14ac:dyDescent="0.25">
      <c r="A27" t="s">
        <v>12</v>
      </c>
      <c r="B27" t="s">
        <v>13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78</v>
      </c>
      <c r="I27" t="s">
        <v>15</v>
      </c>
      <c r="J27" t="s">
        <v>79</v>
      </c>
    </row>
    <row r="28" spans="1:12" hidden="1" x14ac:dyDescent="0.25">
      <c r="A28" t="s">
        <v>12</v>
      </c>
      <c r="B28" t="s">
        <v>13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80</v>
      </c>
      <c r="I28" t="s">
        <v>15</v>
      </c>
      <c r="J28" t="s">
        <v>60</v>
      </c>
    </row>
    <row r="29" spans="1:12" hidden="1" x14ac:dyDescent="0.25">
      <c r="A29" t="s">
        <v>12</v>
      </c>
      <c r="B29" t="s">
        <v>13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81</v>
      </c>
      <c r="I29" t="s">
        <v>15</v>
      </c>
      <c r="J29" t="s">
        <v>82</v>
      </c>
      <c r="K29" t="s">
        <v>58</v>
      </c>
    </row>
    <row r="30" spans="1:12" hidden="1" x14ac:dyDescent="0.25">
      <c r="A30" t="s">
        <v>12</v>
      </c>
      <c r="B30" t="s">
        <v>13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83</v>
      </c>
      <c r="I30" t="s">
        <v>15</v>
      </c>
      <c r="J30" t="s">
        <v>84</v>
      </c>
      <c r="K30" t="s">
        <v>54</v>
      </c>
      <c r="L30" t="s">
        <v>85</v>
      </c>
    </row>
    <row r="31" spans="1:12" hidden="1" x14ac:dyDescent="0.25">
      <c r="A31" t="s">
        <v>12</v>
      </c>
      <c r="B31" t="s">
        <v>13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86</v>
      </c>
      <c r="I31" t="s">
        <v>15</v>
      </c>
      <c r="J31" t="s">
        <v>84</v>
      </c>
      <c r="K31" t="s">
        <v>54</v>
      </c>
      <c r="L31" t="s">
        <v>85</v>
      </c>
    </row>
    <row r="32" spans="1:12" hidden="1" x14ac:dyDescent="0.25">
      <c r="A32" t="s">
        <v>12</v>
      </c>
      <c r="B32" t="s">
        <v>13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87</v>
      </c>
      <c r="I32" t="s">
        <v>15</v>
      </c>
      <c r="J32" t="s">
        <v>88</v>
      </c>
      <c r="K32" t="s">
        <v>89</v>
      </c>
    </row>
    <row r="33" spans="1:12" hidden="1" x14ac:dyDescent="0.25">
      <c r="A33" t="s">
        <v>12</v>
      </c>
      <c r="B33" t="s">
        <v>13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90</v>
      </c>
      <c r="I33" t="s">
        <v>15</v>
      </c>
      <c r="J33" t="s">
        <v>91</v>
      </c>
      <c r="K33" t="s">
        <v>92</v>
      </c>
    </row>
    <row r="34" spans="1:12" hidden="1" x14ac:dyDescent="0.25">
      <c r="A34" t="s">
        <v>12</v>
      </c>
      <c r="B34" t="s">
        <v>13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93</v>
      </c>
      <c r="I34" t="s">
        <v>15</v>
      </c>
      <c r="J34" t="s">
        <v>94</v>
      </c>
      <c r="K34" t="s">
        <v>95</v>
      </c>
    </row>
    <row r="35" spans="1:12" hidden="1" x14ac:dyDescent="0.25">
      <c r="A35" t="s">
        <v>96</v>
      </c>
      <c r="B35" t="s">
        <v>97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14</v>
      </c>
      <c r="I35" t="s">
        <v>98</v>
      </c>
      <c r="J35" t="s">
        <v>35</v>
      </c>
      <c r="K35" t="s">
        <v>36</v>
      </c>
      <c r="L35" t="s">
        <v>37</v>
      </c>
    </row>
    <row r="36" spans="1:12" hidden="1" x14ac:dyDescent="0.25">
      <c r="A36" t="s">
        <v>96</v>
      </c>
      <c r="B36" t="s">
        <v>97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19</v>
      </c>
      <c r="I36" t="s">
        <v>98</v>
      </c>
      <c r="J36" t="s">
        <v>20</v>
      </c>
      <c r="K36" t="s">
        <v>21</v>
      </c>
    </row>
    <row r="37" spans="1:12" hidden="1" x14ac:dyDescent="0.25">
      <c r="A37" t="s">
        <v>96</v>
      </c>
      <c r="B37" t="s">
        <v>97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22</v>
      </c>
      <c r="I37" t="s">
        <v>98</v>
      </c>
      <c r="J37" t="s">
        <v>23</v>
      </c>
    </row>
    <row r="38" spans="1:12" hidden="1" x14ac:dyDescent="0.25">
      <c r="A38" t="s">
        <v>96</v>
      </c>
      <c r="B38" t="s">
        <v>97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24</v>
      </c>
      <c r="I38" t="s">
        <v>98</v>
      </c>
      <c r="J38" t="s">
        <v>25</v>
      </c>
    </row>
    <row r="39" spans="1:12" hidden="1" x14ac:dyDescent="0.25">
      <c r="A39" t="s">
        <v>96</v>
      </c>
      <c r="B39" t="s">
        <v>97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26</v>
      </c>
      <c r="I39" t="s">
        <v>98</v>
      </c>
      <c r="J39" t="s">
        <v>27</v>
      </c>
    </row>
    <row r="40" spans="1:12" hidden="1" x14ac:dyDescent="0.25">
      <c r="A40" t="s">
        <v>96</v>
      </c>
      <c r="B40" t="s">
        <v>97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99</v>
      </c>
      <c r="I40" t="s">
        <v>98</v>
      </c>
      <c r="J40" t="s">
        <v>100</v>
      </c>
      <c r="K40" t="s">
        <v>101</v>
      </c>
      <c r="L40" t="s">
        <v>102</v>
      </c>
    </row>
    <row r="41" spans="1:12" hidden="1" x14ac:dyDescent="0.25">
      <c r="A41" t="s">
        <v>96</v>
      </c>
      <c r="B41" t="s">
        <v>97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103</v>
      </c>
      <c r="I41" t="s">
        <v>98</v>
      </c>
      <c r="J41" t="s">
        <v>25</v>
      </c>
      <c r="K41" t="s">
        <v>18</v>
      </c>
    </row>
    <row r="42" spans="1:12" hidden="1" x14ac:dyDescent="0.25">
      <c r="A42" t="s">
        <v>96</v>
      </c>
      <c r="B42" t="s">
        <v>97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38</v>
      </c>
      <c r="I42" t="s">
        <v>98</v>
      </c>
      <c r="J42" t="s">
        <v>39</v>
      </c>
      <c r="K42" t="s">
        <v>40</v>
      </c>
    </row>
    <row r="43" spans="1:12" hidden="1" x14ac:dyDescent="0.25">
      <c r="A43" t="s">
        <v>96</v>
      </c>
      <c r="B43" t="s">
        <v>97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104</v>
      </c>
      <c r="I43" t="s">
        <v>98</v>
      </c>
      <c r="J43" t="s">
        <v>105</v>
      </c>
      <c r="K43" t="s">
        <v>106</v>
      </c>
      <c r="L43" t="s">
        <v>107</v>
      </c>
    </row>
    <row r="44" spans="1:12" hidden="1" x14ac:dyDescent="0.25">
      <c r="A44" t="s">
        <v>96</v>
      </c>
      <c r="B44" t="s">
        <v>97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108</v>
      </c>
      <c r="I44" t="s">
        <v>98</v>
      </c>
      <c r="J44" t="s">
        <v>109</v>
      </c>
      <c r="K44" t="s">
        <v>110</v>
      </c>
      <c r="L44" t="s">
        <v>111</v>
      </c>
    </row>
    <row r="45" spans="1:12" hidden="1" x14ac:dyDescent="0.25">
      <c r="A45" t="s">
        <v>96</v>
      </c>
      <c r="B45" t="s">
        <v>97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112</v>
      </c>
      <c r="I45" t="s">
        <v>98</v>
      </c>
      <c r="J45" t="s">
        <v>113</v>
      </c>
      <c r="K45" t="s">
        <v>39</v>
      </c>
    </row>
    <row r="46" spans="1:12" hidden="1" x14ac:dyDescent="0.25">
      <c r="A46" t="s">
        <v>96</v>
      </c>
      <c r="B46" t="s">
        <v>97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114</v>
      </c>
      <c r="I46" t="s">
        <v>98</v>
      </c>
      <c r="J46" t="s">
        <v>115</v>
      </c>
      <c r="K46" t="s">
        <v>116</v>
      </c>
    </row>
    <row r="47" spans="1:12" hidden="1" x14ac:dyDescent="0.25">
      <c r="A47" t="s">
        <v>96</v>
      </c>
      <c r="B47" t="s">
        <v>97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117</v>
      </c>
      <c r="I47" t="s">
        <v>98</v>
      </c>
      <c r="J47" t="s">
        <v>118</v>
      </c>
      <c r="K47" t="s">
        <v>119</v>
      </c>
    </row>
    <row r="48" spans="1:12" hidden="1" x14ac:dyDescent="0.25">
      <c r="A48" t="s">
        <v>96</v>
      </c>
      <c r="B48" t="s">
        <v>97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120</v>
      </c>
      <c r="I48" t="s">
        <v>98</v>
      </c>
      <c r="J48" t="s">
        <v>60</v>
      </c>
      <c r="K48" t="s">
        <v>82</v>
      </c>
      <c r="L48" t="s">
        <v>74</v>
      </c>
    </row>
    <row r="49" spans="1:12" hidden="1" x14ac:dyDescent="0.25">
      <c r="A49" t="s">
        <v>96</v>
      </c>
      <c r="B49" t="s">
        <v>97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121</v>
      </c>
      <c r="I49" t="s">
        <v>98</v>
      </c>
      <c r="J49" t="s">
        <v>122</v>
      </c>
      <c r="K49" t="s">
        <v>123</v>
      </c>
      <c r="L49" t="s">
        <v>124</v>
      </c>
    </row>
    <row r="50" spans="1:12" hidden="1" x14ac:dyDescent="0.25">
      <c r="A50" t="s">
        <v>96</v>
      </c>
      <c r="B50" t="s">
        <v>97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125</v>
      </c>
      <c r="I50" t="s">
        <v>98</v>
      </c>
      <c r="J50" t="s">
        <v>126</v>
      </c>
      <c r="K50" t="s">
        <v>127</v>
      </c>
      <c r="L50" t="s">
        <v>44</v>
      </c>
    </row>
    <row r="51" spans="1:12" hidden="1" x14ac:dyDescent="0.25">
      <c r="A51" t="s">
        <v>96</v>
      </c>
      <c r="B51" t="s">
        <v>97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128</v>
      </c>
      <c r="I51" t="s">
        <v>98</v>
      </c>
      <c r="J51" t="s">
        <v>129</v>
      </c>
      <c r="K51" t="s">
        <v>130</v>
      </c>
    </row>
    <row r="52" spans="1:12" hidden="1" x14ac:dyDescent="0.25">
      <c r="A52" t="s">
        <v>96</v>
      </c>
      <c r="B52" t="s">
        <v>97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131</v>
      </c>
      <c r="I52" t="s">
        <v>98</v>
      </c>
      <c r="J52" t="s">
        <v>132</v>
      </c>
      <c r="K52" t="s">
        <v>133</v>
      </c>
      <c r="L52" t="s">
        <v>134</v>
      </c>
    </row>
    <row r="53" spans="1:12" hidden="1" x14ac:dyDescent="0.25">
      <c r="A53" t="s">
        <v>96</v>
      </c>
      <c r="B53" t="s">
        <v>97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135</v>
      </c>
      <c r="I53" t="s">
        <v>98</v>
      </c>
      <c r="J53" t="s">
        <v>136</v>
      </c>
      <c r="K53" t="s">
        <v>137</v>
      </c>
      <c r="L53" t="s">
        <v>138</v>
      </c>
    </row>
    <row r="54" spans="1:12" hidden="1" x14ac:dyDescent="0.25">
      <c r="A54" t="s">
        <v>96</v>
      </c>
      <c r="B54" t="s">
        <v>97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139</v>
      </c>
      <c r="I54" t="s">
        <v>98</v>
      </c>
      <c r="J54" t="s">
        <v>140</v>
      </c>
    </row>
    <row r="55" spans="1:12" hidden="1" x14ac:dyDescent="0.25">
      <c r="A55" t="s">
        <v>96</v>
      </c>
      <c r="B55" t="s">
        <v>97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141</v>
      </c>
      <c r="I55" t="s">
        <v>98</v>
      </c>
      <c r="J55" t="s">
        <v>142</v>
      </c>
      <c r="K55" t="s">
        <v>143</v>
      </c>
      <c r="L55" t="s">
        <v>25</v>
      </c>
    </row>
    <row r="56" spans="1:12" hidden="1" x14ac:dyDescent="0.25">
      <c r="A56" t="s">
        <v>96</v>
      </c>
      <c r="B56" t="s">
        <v>97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144</v>
      </c>
      <c r="I56" t="s">
        <v>98</v>
      </c>
      <c r="J56" t="s">
        <v>145</v>
      </c>
      <c r="K56" t="s">
        <v>146</v>
      </c>
      <c r="L56" t="s">
        <v>147</v>
      </c>
    </row>
    <row r="57" spans="1:12" hidden="1" x14ac:dyDescent="0.25">
      <c r="A57" t="s">
        <v>96</v>
      </c>
      <c r="B57" t="s">
        <v>97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148</v>
      </c>
      <c r="I57" t="s">
        <v>98</v>
      </c>
      <c r="J57" t="s">
        <v>149</v>
      </c>
      <c r="K57" t="s">
        <v>150</v>
      </c>
      <c r="L57" t="s">
        <v>151</v>
      </c>
    </row>
    <row r="58" spans="1:12" hidden="1" x14ac:dyDescent="0.25">
      <c r="A58" t="s">
        <v>96</v>
      </c>
      <c r="B58" t="s">
        <v>97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152</v>
      </c>
      <c r="I58" t="s">
        <v>98</v>
      </c>
      <c r="J58" t="s">
        <v>153</v>
      </c>
      <c r="K58" t="s">
        <v>154</v>
      </c>
      <c r="L58" t="s">
        <v>155</v>
      </c>
    </row>
    <row r="59" spans="1:12" hidden="1" x14ac:dyDescent="0.25">
      <c r="A59" t="s">
        <v>96</v>
      </c>
      <c r="B59" t="s">
        <v>97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156</v>
      </c>
      <c r="I59" t="s">
        <v>98</v>
      </c>
      <c r="J59" t="s">
        <v>157</v>
      </c>
      <c r="K59" t="s">
        <v>158</v>
      </c>
    </row>
    <row r="60" spans="1:12" hidden="1" x14ac:dyDescent="0.25">
      <c r="A60" t="s">
        <v>96</v>
      </c>
      <c r="B60" t="s">
        <v>97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159</v>
      </c>
      <c r="I60" t="s">
        <v>98</v>
      </c>
      <c r="J60" t="s">
        <v>25</v>
      </c>
      <c r="K60" t="s">
        <v>160</v>
      </c>
    </row>
    <row r="61" spans="1:12" hidden="1" x14ac:dyDescent="0.25">
      <c r="A61" t="s">
        <v>96</v>
      </c>
      <c r="B61" t="s">
        <v>97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161</v>
      </c>
      <c r="I61" t="s">
        <v>98</v>
      </c>
      <c r="J61" t="s">
        <v>162</v>
      </c>
      <c r="K61" t="s">
        <v>163</v>
      </c>
      <c r="L61" t="s">
        <v>164</v>
      </c>
    </row>
    <row r="62" spans="1:12" hidden="1" x14ac:dyDescent="0.25">
      <c r="A62" t="s">
        <v>96</v>
      </c>
      <c r="B62" t="s">
        <v>97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165</v>
      </c>
      <c r="I62" t="s">
        <v>98</v>
      </c>
      <c r="J62" t="s">
        <v>166</v>
      </c>
      <c r="K62" t="s">
        <v>167</v>
      </c>
      <c r="L62" t="s">
        <v>168</v>
      </c>
    </row>
    <row r="63" spans="1:12" hidden="1" x14ac:dyDescent="0.25">
      <c r="A63" t="s">
        <v>96</v>
      </c>
      <c r="B63" t="s">
        <v>97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169</v>
      </c>
      <c r="I63" t="s">
        <v>98</v>
      </c>
      <c r="J63" t="s">
        <v>170</v>
      </c>
      <c r="K63" t="s">
        <v>171</v>
      </c>
      <c r="L63" t="s">
        <v>172</v>
      </c>
    </row>
    <row r="64" spans="1:12" hidden="1" x14ac:dyDescent="0.25">
      <c r="A64" t="s">
        <v>96</v>
      </c>
      <c r="B64" t="s">
        <v>97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173</v>
      </c>
      <c r="I64" t="s">
        <v>98</v>
      </c>
      <c r="J64" t="s">
        <v>25</v>
      </c>
      <c r="K64" t="s">
        <v>174</v>
      </c>
    </row>
    <row r="65" spans="1:12" hidden="1" x14ac:dyDescent="0.25">
      <c r="A65" t="s">
        <v>96</v>
      </c>
      <c r="B65" t="s">
        <v>97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175</v>
      </c>
      <c r="I65" t="s">
        <v>98</v>
      </c>
      <c r="J65" t="s">
        <v>176</v>
      </c>
      <c r="K65" t="s">
        <v>177</v>
      </c>
      <c r="L65" t="s">
        <v>178</v>
      </c>
    </row>
    <row r="66" spans="1:12" hidden="1" x14ac:dyDescent="0.25">
      <c r="A66" t="s">
        <v>96</v>
      </c>
      <c r="B66" t="s">
        <v>97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179</v>
      </c>
      <c r="I66" t="s">
        <v>98</v>
      </c>
      <c r="J66" t="s">
        <v>25</v>
      </c>
    </row>
    <row r="67" spans="1:12" hidden="1" x14ac:dyDescent="0.25">
      <c r="A67" t="s">
        <v>96</v>
      </c>
      <c r="B67" t="s">
        <v>97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87</v>
      </c>
      <c r="I67" t="s">
        <v>98</v>
      </c>
      <c r="J67" t="s">
        <v>88</v>
      </c>
      <c r="K67" t="s">
        <v>89</v>
      </c>
    </row>
    <row r="68" spans="1:12" hidden="1" x14ac:dyDescent="0.25">
      <c r="A68" t="s">
        <v>96</v>
      </c>
      <c r="B68" t="s">
        <v>97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90</v>
      </c>
      <c r="I68" t="s">
        <v>98</v>
      </c>
      <c r="J68" t="s">
        <v>180</v>
      </c>
      <c r="K68" t="s">
        <v>181</v>
      </c>
      <c r="L68" t="s">
        <v>92</v>
      </c>
    </row>
    <row r="69" spans="1:12" hidden="1" x14ac:dyDescent="0.25">
      <c r="A69" t="s">
        <v>96</v>
      </c>
      <c r="B69" t="s">
        <v>97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93</v>
      </c>
      <c r="I69" t="s">
        <v>98</v>
      </c>
      <c r="J69" t="s">
        <v>94</v>
      </c>
      <c r="K69" t="s">
        <v>95</v>
      </c>
    </row>
    <row r="70" spans="1:12" hidden="1" x14ac:dyDescent="0.25">
      <c r="A70" t="s">
        <v>182</v>
      </c>
      <c r="B70" t="s">
        <v>183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</row>
    <row r="71" spans="1:12" hidden="1" x14ac:dyDescent="0.25">
      <c r="A71" t="s">
        <v>182</v>
      </c>
      <c r="B71" t="s">
        <v>183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189</v>
      </c>
      <c r="I71" t="s">
        <v>185</v>
      </c>
      <c r="J71" t="s">
        <v>190</v>
      </c>
      <c r="K71" t="s">
        <v>191</v>
      </c>
      <c r="L71" t="s">
        <v>192</v>
      </c>
    </row>
    <row r="72" spans="1:12" hidden="1" x14ac:dyDescent="0.25">
      <c r="A72" t="s">
        <v>182</v>
      </c>
      <c r="B72" t="s">
        <v>183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193</v>
      </c>
      <c r="I72" t="s">
        <v>185</v>
      </c>
      <c r="J72" t="s">
        <v>194</v>
      </c>
      <c r="K72" t="s">
        <v>195</v>
      </c>
      <c r="L72" t="s">
        <v>196</v>
      </c>
    </row>
    <row r="73" spans="1:12" hidden="1" x14ac:dyDescent="0.25">
      <c r="A73" t="s">
        <v>182</v>
      </c>
      <c r="B73" t="s">
        <v>183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19</v>
      </c>
      <c r="I73" t="s">
        <v>185</v>
      </c>
      <c r="J73" t="s">
        <v>197</v>
      </c>
      <c r="K73" t="s">
        <v>20</v>
      </c>
      <c r="L73" t="s">
        <v>198</v>
      </c>
    </row>
    <row r="74" spans="1:12" hidden="1" x14ac:dyDescent="0.25">
      <c r="A74" t="s">
        <v>199</v>
      </c>
      <c r="B74" t="s">
        <v>200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14</v>
      </c>
      <c r="I74" t="s">
        <v>201</v>
      </c>
      <c r="J74" t="s">
        <v>202</v>
      </c>
      <c r="K74" t="s">
        <v>203</v>
      </c>
      <c r="L74" t="s">
        <v>204</v>
      </c>
    </row>
    <row r="75" spans="1:12" hidden="1" x14ac:dyDescent="0.25">
      <c r="A75" t="s">
        <v>199</v>
      </c>
      <c r="B75" t="s">
        <v>200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19</v>
      </c>
      <c r="I75" t="s">
        <v>201</v>
      </c>
      <c r="J75" t="s">
        <v>205</v>
      </c>
      <c r="K75" t="s">
        <v>206</v>
      </c>
      <c r="L75" t="s">
        <v>20</v>
      </c>
    </row>
    <row r="76" spans="1:12" hidden="1" x14ac:dyDescent="0.25">
      <c r="A76" t="s">
        <v>199</v>
      </c>
      <c r="B76" t="s">
        <v>200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22</v>
      </c>
      <c r="I76" t="s">
        <v>201</v>
      </c>
      <c r="J76" t="s">
        <v>207</v>
      </c>
      <c r="K76" t="s">
        <v>23</v>
      </c>
    </row>
    <row r="77" spans="1:12" hidden="1" x14ac:dyDescent="0.25">
      <c r="A77" t="s">
        <v>199</v>
      </c>
      <c r="B77" t="s">
        <v>200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24</v>
      </c>
      <c r="I77" t="s">
        <v>201</v>
      </c>
      <c r="J77" t="s">
        <v>208</v>
      </c>
      <c r="K77" t="s">
        <v>209</v>
      </c>
      <c r="L77" t="s">
        <v>210</v>
      </c>
    </row>
    <row r="78" spans="1:12" hidden="1" x14ac:dyDescent="0.25">
      <c r="A78" t="s">
        <v>199</v>
      </c>
      <c r="B78" t="s">
        <v>200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26</v>
      </c>
      <c r="I78" t="s">
        <v>201</v>
      </c>
      <c r="J78" t="s">
        <v>27</v>
      </c>
      <c r="K78" t="s">
        <v>211</v>
      </c>
    </row>
    <row r="79" spans="1:12" hidden="1" x14ac:dyDescent="0.25">
      <c r="A79" t="s">
        <v>199</v>
      </c>
      <c r="B79" t="s">
        <v>200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32</v>
      </c>
      <c r="I79" t="s">
        <v>201</v>
      </c>
      <c r="J79" t="s">
        <v>33</v>
      </c>
      <c r="K79" t="s">
        <v>212</v>
      </c>
      <c r="L79" t="s">
        <v>213</v>
      </c>
    </row>
    <row r="80" spans="1:12" hidden="1" x14ac:dyDescent="0.25">
      <c r="A80" t="s">
        <v>199</v>
      </c>
      <c r="B80" t="s">
        <v>200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214</v>
      </c>
      <c r="I80" t="s">
        <v>201</v>
      </c>
      <c r="J80" t="s">
        <v>56</v>
      </c>
      <c r="K80" t="s">
        <v>215</v>
      </c>
    </row>
    <row r="81" spans="1:12" hidden="1" x14ac:dyDescent="0.25">
      <c r="A81" t="s">
        <v>199</v>
      </c>
      <c r="B81" t="s">
        <v>200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216</v>
      </c>
      <c r="I81" t="s">
        <v>201</v>
      </c>
      <c r="J81" t="s">
        <v>217</v>
      </c>
      <c r="K81" t="s">
        <v>218</v>
      </c>
      <c r="L81" t="s">
        <v>219</v>
      </c>
    </row>
    <row r="82" spans="1:12" hidden="1" x14ac:dyDescent="0.25">
      <c r="A82" t="s">
        <v>199</v>
      </c>
      <c r="B82" t="s">
        <v>200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51</v>
      </c>
      <c r="I82" t="s">
        <v>201</v>
      </c>
      <c r="J82" t="s">
        <v>220</v>
      </c>
      <c r="K82" t="s">
        <v>221</v>
      </c>
      <c r="L82" t="s">
        <v>222</v>
      </c>
    </row>
    <row r="83" spans="1:12" hidden="1" x14ac:dyDescent="0.25">
      <c r="A83" t="s">
        <v>199</v>
      </c>
      <c r="B83" t="s">
        <v>200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223</v>
      </c>
      <c r="I83" t="s">
        <v>201</v>
      </c>
      <c r="J83" t="s">
        <v>224</v>
      </c>
      <c r="K83" t="s">
        <v>225</v>
      </c>
      <c r="L83" t="s">
        <v>226</v>
      </c>
    </row>
    <row r="84" spans="1:12" hidden="1" x14ac:dyDescent="0.25">
      <c r="A84" t="s">
        <v>199</v>
      </c>
      <c r="B84" t="s">
        <v>200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227</v>
      </c>
      <c r="I84" t="s">
        <v>201</v>
      </c>
      <c r="J84" t="s">
        <v>228</v>
      </c>
      <c r="K84" t="s">
        <v>229</v>
      </c>
      <c r="L84" t="s">
        <v>230</v>
      </c>
    </row>
    <row r="85" spans="1:12" hidden="1" x14ac:dyDescent="0.25">
      <c r="A85" t="s">
        <v>199</v>
      </c>
      <c r="B85" t="s">
        <v>200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231</v>
      </c>
      <c r="I85" t="s">
        <v>201</v>
      </c>
      <c r="J85" t="s">
        <v>56</v>
      </c>
      <c r="K85" t="s">
        <v>215</v>
      </c>
    </row>
    <row r="86" spans="1:12" hidden="1" x14ac:dyDescent="0.25">
      <c r="A86" t="s">
        <v>199</v>
      </c>
      <c r="B86" t="s">
        <v>200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55</v>
      </c>
      <c r="I86" t="s">
        <v>201</v>
      </c>
      <c r="J86" t="s">
        <v>56</v>
      </c>
      <c r="K86" t="s">
        <v>215</v>
      </c>
    </row>
    <row r="87" spans="1:12" hidden="1" x14ac:dyDescent="0.25">
      <c r="A87" t="s">
        <v>199</v>
      </c>
      <c r="B87" t="s">
        <v>200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87</v>
      </c>
      <c r="I87" t="s">
        <v>201</v>
      </c>
      <c r="J87" t="s">
        <v>232</v>
      </c>
      <c r="K87" t="s">
        <v>233</v>
      </c>
      <c r="L87" t="s">
        <v>234</v>
      </c>
    </row>
    <row r="88" spans="1:12" hidden="1" x14ac:dyDescent="0.25">
      <c r="A88" t="s">
        <v>199</v>
      </c>
      <c r="B88" t="s">
        <v>200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90</v>
      </c>
      <c r="I88" t="s">
        <v>201</v>
      </c>
      <c r="J88" t="s">
        <v>235</v>
      </c>
      <c r="K88" t="s">
        <v>236</v>
      </c>
      <c r="L88" t="s">
        <v>237</v>
      </c>
    </row>
    <row r="89" spans="1:12" hidden="1" x14ac:dyDescent="0.25">
      <c r="A89" t="s">
        <v>199</v>
      </c>
      <c r="B89" t="s">
        <v>200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93</v>
      </c>
      <c r="I89" t="s">
        <v>201</v>
      </c>
      <c r="J89" t="s">
        <v>238</v>
      </c>
      <c r="K89" t="s">
        <v>239</v>
      </c>
      <c r="L89" t="s">
        <v>240</v>
      </c>
    </row>
    <row r="90" spans="1:12" hidden="1" x14ac:dyDescent="0.25">
      <c r="A90" t="s">
        <v>199</v>
      </c>
      <c r="B90" t="s">
        <v>241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242</v>
      </c>
      <c r="I90" t="s">
        <v>243</v>
      </c>
      <c r="J90" t="s">
        <v>244</v>
      </c>
    </row>
    <row r="91" spans="1:12" hidden="1" x14ac:dyDescent="0.25">
      <c r="A91" t="s">
        <v>199</v>
      </c>
      <c r="B91" t="s">
        <v>241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224</v>
      </c>
      <c r="I91" t="s">
        <v>243</v>
      </c>
      <c r="J91" t="s">
        <v>245</v>
      </c>
      <c r="K91" t="s">
        <v>246</v>
      </c>
      <c r="L91" t="s">
        <v>25</v>
      </c>
    </row>
    <row r="92" spans="1:12" hidden="1" x14ac:dyDescent="0.25">
      <c r="A92" t="s">
        <v>199</v>
      </c>
      <c r="B92" t="s">
        <v>241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247</v>
      </c>
      <c r="I92" t="s">
        <v>243</v>
      </c>
      <c r="J92" t="s">
        <v>248</v>
      </c>
      <c r="K92" t="s">
        <v>224</v>
      </c>
    </row>
    <row r="93" spans="1:12" hidden="1" x14ac:dyDescent="0.25">
      <c r="A93" t="s">
        <v>199</v>
      </c>
      <c r="B93" t="s">
        <v>241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247</v>
      </c>
      <c r="I93" t="s">
        <v>243</v>
      </c>
      <c r="J93" t="s">
        <v>249</v>
      </c>
      <c r="K93" t="s">
        <v>25</v>
      </c>
    </row>
    <row r="94" spans="1:12" hidden="1" x14ac:dyDescent="0.25">
      <c r="A94" t="s">
        <v>199</v>
      </c>
      <c r="B94" t="s">
        <v>241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224</v>
      </c>
      <c r="I94" t="s">
        <v>243</v>
      </c>
      <c r="J94" t="s">
        <v>250</v>
      </c>
      <c r="K94" t="s">
        <v>25</v>
      </c>
    </row>
    <row r="95" spans="1:12" hidden="1" x14ac:dyDescent="0.25">
      <c r="A95" t="s">
        <v>199</v>
      </c>
      <c r="B95" t="s">
        <v>241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251</v>
      </c>
      <c r="I95" t="s">
        <v>243</v>
      </c>
      <c r="J95" t="s">
        <v>25</v>
      </c>
    </row>
    <row r="96" spans="1:12" hidden="1" x14ac:dyDescent="0.25">
      <c r="A96" t="s">
        <v>199</v>
      </c>
      <c r="B96" t="s">
        <v>241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252</v>
      </c>
      <c r="I96" t="s">
        <v>243</v>
      </c>
      <c r="J96" t="s">
        <v>253</v>
      </c>
      <c r="K96" t="s">
        <v>246</v>
      </c>
      <c r="L96" t="s">
        <v>25</v>
      </c>
    </row>
    <row r="97" spans="1:12" hidden="1" x14ac:dyDescent="0.25">
      <c r="A97" t="s">
        <v>199</v>
      </c>
      <c r="B97" t="s">
        <v>241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247</v>
      </c>
      <c r="I97" t="s">
        <v>243</v>
      </c>
      <c r="J97" t="s">
        <v>254</v>
      </c>
      <c r="K97" t="s">
        <v>25</v>
      </c>
    </row>
    <row r="98" spans="1:12" hidden="1" x14ac:dyDescent="0.25">
      <c r="A98" t="s">
        <v>199</v>
      </c>
      <c r="B98" t="s">
        <v>241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255</v>
      </c>
      <c r="I98" t="s">
        <v>243</v>
      </c>
      <c r="J98" t="s">
        <v>256</v>
      </c>
      <c r="K98" t="s">
        <v>224</v>
      </c>
    </row>
    <row r="99" spans="1:12" hidden="1" x14ac:dyDescent="0.25">
      <c r="A99" t="s">
        <v>199</v>
      </c>
      <c r="B99" t="s">
        <v>241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224</v>
      </c>
      <c r="I99" t="s">
        <v>243</v>
      </c>
      <c r="J99" t="s">
        <v>257</v>
      </c>
      <c r="K99" t="s">
        <v>25</v>
      </c>
    </row>
    <row r="100" spans="1:12" hidden="1" x14ac:dyDescent="0.25">
      <c r="A100" t="s">
        <v>199</v>
      </c>
      <c r="B100" t="s">
        <v>258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242</v>
      </c>
      <c r="I100" t="s">
        <v>259</v>
      </c>
      <c r="J100" t="s">
        <v>244</v>
      </c>
    </row>
    <row r="101" spans="1:12" hidden="1" x14ac:dyDescent="0.25">
      <c r="A101" t="s">
        <v>199</v>
      </c>
      <c r="B101" t="s">
        <v>258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224</v>
      </c>
      <c r="I101" t="s">
        <v>259</v>
      </c>
      <c r="J101" t="s">
        <v>260</v>
      </c>
      <c r="K101" t="s">
        <v>261</v>
      </c>
      <c r="L101" t="s">
        <v>245</v>
      </c>
    </row>
    <row r="102" spans="1:12" hidden="1" x14ac:dyDescent="0.25">
      <c r="A102" t="s">
        <v>199</v>
      </c>
      <c r="B102" t="s">
        <v>258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262</v>
      </c>
      <c r="I102" t="s">
        <v>259</v>
      </c>
      <c r="J102" t="s">
        <v>67</v>
      </c>
      <c r="K102" t="s">
        <v>263</v>
      </c>
      <c r="L102" t="s">
        <v>248</v>
      </c>
    </row>
    <row r="103" spans="1:12" hidden="1" x14ac:dyDescent="0.25">
      <c r="A103" t="s">
        <v>199</v>
      </c>
      <c r="B103" t="s">
        <v>258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67</v>
      </c>
      <c r="I103" t="s">
        <v>259</v>
      </c>
      <c r="J103" t="s">
        <v>264</v>
      </c>
      <c r="K103" t="s">
        <v>265</v>
      </c>
      <c r="L103" t="s">
        <v>249</v>
      </c>
    </row>
    <row r="104" spans="1:12" hidden="1" x14ac:dyDescent="0.25">
      <c r="A104" t="s">
        <v>199</v>
      </c>
      <c r="B104" t="s">
        <v>258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224</v>
      </c>
      <c r="I104" t="s">
        <v>259</v>
      </c>
      <c r="J104" t="s">
        <v>266</v>
      </c>
      <c r="K104" t="s">
        <v>264</v>
      </c>
      <c r="L104" t="s">
        <v>250</v>
      </c>
    </row>
    <row r="105" spans="1:12" hidden="1" x14ac:dyDescent="0.25">
      <c r="A105" t="s">
        <v>199</v>
      </c>
      <c r="B105" t="s">
        <v>258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251</v>
      </c>
      <c r="I105" t="s">
        <v>259</v>
      </c>
      <c r="J105" t="s">
        <v>25</v>
      </c>
    </row>
    <row r="106" spans="1:12" hidden="1" x14ac:dyDescent="0.25">
      <c r="A106" t="s">
        <v>199</v>
      </c>
      <c r="B106" t="s">
        <v>258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67</v>
      </c>
      <c r="I106" t="s">
        <v>259</v>
      </c>
      <c r="J106" t="s">
        <v>267</v>
      </c>
      <c r="K106" t="s">
        <v>268</v>
      </c>
      <c r="L106" t="s">
        <v>253</v>
      </c>
    </row>
    <row r="107" spans="1:12" hidden="1" x14ac:dyDescent="0.25">
      <c r="A107" t="s">
        <v>199</v>
      </c>
      <c r="B107" t="s">
        <v>258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265</v>
      </c>
      <c r="I107" t="s">
        <v>259</v>
      </c>
      <c r="J107" t="s">
        <v>25</v>
      </c>
      <c r="K107" t="s">
        <v>254</v>
      </c>
    </row>
    <row r="108" spans="1:12" hidden="1" x14ac:dyDescent="0.25">
      <c r="A108" t="s">
        <v>199</v>
      </c>
      <c r="B108" t="s">
        <v>258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269</v>
      </c>
      <c r="I108" t="s">
        <v>259</v>
      </c>
      <c r="J108" t="s">
        <v>25</v>
      </c>
      <c r="K108" t="s">
        <v>256</v>
      </c>
      <c r="L108" t="s">
        <v>224</v>
      </c>
    </row>
    <row r="109" spans="1:12" hidden="1" x14ac:dyDescent="0.25">
      <c r="A109" t="s">
        <v>199</v>
      </c>
      <c r="B109" t="s">
        <v>258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224</v>
      </c>
      <c r="I109" t="s">
        <v>259</v>
      </c>
      <c r="J109" t="s">
        <v>25</v>
      </c>
      <c r="K109" t="s">
        <v>257</v>
      </c>
    </row>
    <row r="110" spans="1:12" hidden="1" x14ac:dyDescent="0.25">
      <c r="A110" t="s">
        <v>270</v>
      </c>
      <c r="B110" t="s">
        <v>271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14</v>
      </c>
      <c r="I110" t="s">
        <v>272</v>
      </c>
      <c r="J110" t="s">
        <v>273</v>
      </c>
      <c r="K110" t="s">
        <v>274</v>
      </c>
      <c r="L110" t="s">
        <v>275</v>
      </c>
    </row>
    <row r="111" spans="1:12" hidden="1" x14ac:dyDescent="0.25">
      <c r="A111" t="s">
        <v>270</v>
      </c>
      <c r="B111" t="s">
        <v>271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19</v>
      </c>
      <c r="I111" t="s">
        <v>272</v>
      </c>
      <c r="J111" t="s">
        <v>20</v>
      </c>
      <c r="K111" t="s">
        <v>21</v>
      </c>
      <c r="L111" t="s">
        <v>197</v>
      </c>
    </row>
    <row r="112" spans="1:12" hidden="1" x14ac:dyDescent="0.25">
      <c r="A112" t="s">
        <v>270</v>
      </c>
      <c r="B112" t="s">
        <v>271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22</v>
      </c>
      <c r="I112" t="s">
        <v>272</v>
      </c>
      <c r="J112" t="s">
        <v>207</v>
      </c>
    </row>
    <row r="113" spans="1:12" hidden="1" x14ac:dyDescent="0.25">
      <c r="A113" t="s">
        <v>270</v>
      </c>
      <c r="B113" t="s">
        <v>271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24</v>
      </c>
      <c r="I113" t="s">
        <v>272</v>
      </c>
      <c r="J113" t="s">
        <v>210</v>
      </c>
      <c r="K113" t="s">
        <v>276</v>
      </c>
      <c r="L113" t="s">
        <v>277</v>
      </c>
    </row>
    <row r="114" spans="1:12" hidden="1" x14ac:dyDescent="0.25">
      <c r="A114" t="s">
        <v>270</v>
      </c>
      <c r="B114" t="s">
        <v>271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26</v>
      </c>
      <c r="I114" t="s">
        <v>272</v>
      </c>
      <c r="J114" t="s">
        <v>211</v>
      </c>
    </row>
    <row r="115" spans="1:12" hidden="1" x14ac:dyDescent="0.25">
      <c r="A115" t="s">
        <v>270</v>
      </c>
      <c r="B115" t="s">
        <v>271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278</v>
      </c>
      <c r="I115" t="s">
        <v>272</v>
      </c>
      <c r="J115" t="s">
        <v>279</v>
      </c>
      <c r="K115" t="s">
        <v>280</v>
      </c>
      <c r="L115" t="s">
        <v>281</v>
      </c>
    </row>
    <row r="116" spans="1:12" hidden="1" x14ac:dyDescent="0.25">
      <c r="A116" t="s">
        <v>270</v>
      </c>
      <c r="B116" t="s">
        <v>271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32</v>
      </c>
      <c r="I116" t="s">
        <v>272</v>
      </c>
      <c r="J116" t="s">
        <v>33</v>
      </c>
    </row>
    <row r="117" spans="1:12" hidden="1" x14ac:dyDescent="0.25">
      <c r="A117" t="s">
        <v>270</v>
      </c>
      <c r="B117" t="s">
        <v>271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282</v>
      </c>
      <c r="I117" t="s">
        <v>272</v>
      </c>
      <c r="J117" t="s">
        <v>204</v>
      </c>
      <c r="K117" t="s">
        <v>283</v>
      </c>
      <c r="L117" t="s">
        <v>284</v>
      </c>
    </row>
    <row r="118" spans="1:12" hidden="1" x14ac:dyDescent="0.25">
      <c r="A118" t="s">
        <v>270</v>
      </c>
      <c r="B118" t="s">
        <v>271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285</v>
      </c>
      <c r="I118" t="s">
        <v>272</v>
      </c>
      <c r="J118" t="s">
        <v>286</v>
      </c>
      <c r="K118" t="s">
        <v>287</v>
      </c>
    </row>
    <row r="119" spans="1:12" hidden="1" x14ac:dyDescent="0.25">
      <c r="A119" t="s">
        <v>270</v>
      </c>
      <c r="B119" t="s">
        <v>271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104</v>
      </c>
      <c r="I119" t="s">
        <v>272</v>
      </c>
      <c r="J119" t="s">
        <v>288</v>
      </c>
      <c r="K119" t="s">
        <v>289</v>
      </c>
      <c r="L119" t="s">
        <v>290</v>
      </c>
    </row>
    <row r="120" spans="1:12" hidden="1" x14ac:dyDescent="0.25">
      <c r="A120" t="s">
        <v>270</v>
      </c>
      <c r="B120" t="s">
        <v>271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112</v>
      </c>
      <c r="I120" t="s">
        <v>272</v>
      </c>
      <c r="J120" t="s">
        <v>44</v>
      </c>
      <c r="K120" t="s">
        <v>291</v>
      </c>
      <c r="L120" t="s">
        <v>292</v>
      </c>
    </row>
    <row r="121" spans="1:12" hidden="1" x14ac:dyDescent="0.25">
      <c r="A121" t="s">
        <v>270</v>
      </c>
      <c r="B121" t="s">
        <v>271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293</v>
      </c>
      <c r="I121" t="s">
        <v>272</v>
      </c>
      <c r="J121" t="s">
        <v>292</v>
      </c>
      <c r="K121" t="s">
        <v>294</v>
      </c>
      <c r="L121" t="s">
        <v>295</v>
      </c>
    </row>
    <row r="122" spans="1:12" hidden="1" x14ac:dyDescent="0.25">
      <c r="A122" t="s">
        <v>270</v>
      </c>
      <c r="B122" t="s">
        <v>271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296</v>
      </c>
      <c r="I122" t="s">
        <v>272</v>
      </c>
      <c r="J122" t="s">
        <v>297</v>
      </c>
      <c r="K122" t="s">
        <v>298</v>
      </c>
      <c r="L122" t="s">
        <v>79</v>
      </c>
    </row>
    <row r="123" spans="1:12" hidden="1" x14ac:dyDescent="0.25">
      <c r="A123" t="s">
        <v>270</v>
      </c>
      <c r="B123" t="s">
        <v>271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299</v>
      </c>
      <c r="I123" t="s">
        <v>272</v>
      </c>
      <c r="J123" t="s">
        <v>300</v>
      </c>
      <c r="K123" t="s">
        <v>301</v>
      </c>
      <c r="L123" t="s">
        <v>302</v>
      </c>
    </row>
    <row r="124" spans="1:12" hidden="1" x14ac:dyDescent="0.25">
      <c r="A124" t="s">
        <v>270</v>
      </c>
      <c r="B124" t="s">
        <v>271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51</v>
      </c>
      <c r="I124" t="s">
        <v>272</v>
      </c>
      <c r="J124" t="s">
        <v>303</v>
      </c>
      <c r="K124" t="s">
        <v>67</v>
      </c>
      <c r="L124" t="s">
        <v>140</v>
      </c>
    </row>
    <row r="125" spans="1:12" hidden="1" x14ac:dyDescent="0.25">
      <c r="A125" t="s">
        <v>270</v>
      </c>
      <c r="B125" t="s">
        <v>271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47</v>
      </c>
      <c r="I125" t="s">
        <v>272</v>
      </c>
      <c r="J125" t="s">
        <v>65</v>
      </c>
      <c r="K125" t="s">
        <v>70</v>
      </c>
      <c r="L125" t="s">
        <v>160</v>
      </c>
    </row>
    <row r="126" spans="1:12" hidden="1" x14ac:dyDescent="0.25">
      <c r="A126" t="s">
        <v>270</v>
      </c>
      <c r="B126" t="s">
        <v>271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304</v>
      </c>
      <c r="I126" t="s">
        <v>272</v>
      </c>
      <c r="J126" t="s">
        <v>305</v>
      </c>
      <c r="K126" t="s">
        <v>306</v>
      </c>
      <c r="L126" t="s">
        <v>307</v>
      </c>
    </row>
    <row r="127" spans="1:12" hidden="1" x14ac:dyDescent="0.25">
      <c r="A127" t="s">
        <v>270</v>
      </c>
      <c r="B127" t="s">
        <v>271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308</v>
      </c>
      <c r="I127" t="s">
        <v>272</v>
      </c>
      <c r="J127" t="s">
        <v>309</v>
      </c>
      <c r="K127" t="s">
        <v>310</v>
      </c>
      <c r="L127" t="s">
        <v>311</v>
      </c>
    </row>
    <row r="128" spans="1:12" hidden="1" x14ac:dyDescent="0.25">
      <c r="A128" t="s">
        <v>270</v>
      </c>
      <c r="B128" t="s">
        <v>271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312</v>
      </c>
      <c r="I128" t="s">
        <v>272</v>
      </c>
      <c r="J128" t="s">
        <v>65</v>
      </c>
    </row>
    <row r="129" spans="1:12" hidden="1" x14ac:dyDescent="0.25">
      <c r="A129" t="s">
        <v>270</v>
      </c>
      <c r="B129" t="s">
        <v>271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313</v>
      </c>
      <c r="I129" t="s">
        <v>272</v>
      </c>
      <c r="J129" t="s">
        <v>314</v>
      </c>
      <c r="K129" t="s">
        <v>315</v>
      </c>
      <c r="L129" t="s">
        <v>316</v>
      </c>
    </row>
    <row r="130" spans="1:12" hidden="1" x14ac:dyDescent="0.25">
      <c r="A130" t="s">
        <v>270</v>
      </c>
      <c r="B130" t="s">
        <v>271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317</v>
      </c>
      <c r="I130" t="s">
        <v>272</v>
      </c>
      <c r="J130" t="s">
        <v>318</v>
      </c>
      <c r="K130" t="s">
        <v>319</v>
      </c>
      <c r="L130" t="s">
        <v>320</v>
      </c>
    </row>
    <row r="131" spans="1:12" hidden="1" x14ac:dyDescent="0.25">
      <c r="A131" t="s">
        <v>270</v>
      </c>
      <c r="B131" t="s">
        <v>271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321</v>
      </c>
      <c r="I131" t="s">
        <v>272</v>
      </c>
      <c r="J131" t="s">
        <v>322</v>
      </c>
      <c r="K131" t="s">
        <v>323</v>
      </c>
      <c r="L131" t="s">
        <v>324</v>
      </c>
    </row>
    <row r="132" spans="1:12" hidden="1" x14ac:dyDescent="0.25">
      <c r="A132" t="s">
        <v>270</v>
      </c>
      <c r="B132" t="s">
        <v>271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325</v>
      </c>
      <c r="I132" t="s">
        <v>272</v>
      </c>
      <c r="J132" t="s">
        <v>25</v>
      </c>
      <c r="K132" t="s">
        <v>224</v>
      </c>
    </row>
    <row r="133" spans="1:12" hidden="1" x14ac:dyDescent="0.25">
      <c r="A133" t="s">
        <v>270</v>
      </c>
      <c r="B133" t="s">
        <v>271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326</v>
      </c>
      <c r="I133" t="s">
        <v>272</v>
      </c>
      <c r="J133" t="s">
        <v>327</v>
      </c>
      <c r="K133" t="s">
        <v>328</v>
      </c>
      <c r="L133" t="s">
        <v>329</v>
      </c>
    </row>
    <row r="134" spans="1:12" hidden="1" x14ac:dyDescent="0.25">
      <c r="A134" t="s">
        <v>270</v>
      </c>
      <c r="B134" t="s">
        <v>271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330</v>
      </c>
      <c r="I134" t="s">
        <v>272</v>
      </c>
      <c r="J134" t="s">
        <v>331</v>
      </c>
      <c r="K134" t="s">
        <v>332</v>
      </c>
      <c r="L134" t="s">
        <v>333</v>
      </c>
    </row>
    <row r="135" spans="1:12" hidden="1" x14ac:dyDescent="0.25">
      <c r="A135" t="s">
        <v>270</v>
      </c>
      <c r="B135" t="s">
        <v>271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334</v>
      </c>
      <c r="I135" t="s">
        <v>272</v>
      </c>
      <c r="J135" t="s">
        <v>335</v>
      </c>
      <c r="K135" t="s">
        <v>336</v>
      </c>
      <c r="L135" t="s">
        <v>337</v>
      </c>
    </row>
    <row r="136" spans="1:12" hidden="1" x14ac:dyDescent="0.25">
      <c r="A136" t="s">
        <v>270</v>
      </c>
      <c r="B136" t="s">
        <v>271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338</v>
      </c>
      <c r="I136" t="s">
        <v>272</v>
      </c>
      <c r="J136" t="s">
        <v>339</v>
      </c>
      <c r="K136" t="s">
        <v>340</v>
      </c>
      <c r="L136" t="s">
        <v>341</v>
      </c>
    </row>
    <row r="137" spans="1:12" hidden="1" x14ac:dyDescent="0.25">
      <c r="A137" t="s">
        <v>270</v>
      </c>
      <c r="B137" t="s">
        <v>271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342</v>
      </c>
      <c r="I137" t="s">
        <v>272</v>
      </c>
      <c r="J137" t="s">
        <v>343</v>
      </c>
      <c r="K137" t="s">
        <v>344</v>
      </c>
      <c r="L137" t="s">
        <v>345</v>
      </c>
    </row>
    <row r="138" spans="1:12" hidden="1" x14ac:dyDescent="0.25">
      <c r="A138" t="s">
        <v>270</v>
      </c>
      <c r="B138" t="s">
        <v>271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346</v>
      </c>
      <c r="I138" t="s">
        <v>272</v>
      </c>
      <c r="J138" t="s">
        <v>25</v>
      </c>
      <c r="K138" t="s">
        <v>224</v>
      </c>
      <c r="L138" t="s">
        <v>347</v>
      </c>
    </row>
    <row r="139" spans="1:12" hidden="1" x14ac:dyDescent="0.25">
      <c r="A139" t="s">
        <v>270</v>
      </c>
      <c r="B139" t="s">
        <v>271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348</v>
      </c>
      <c r="I139" t="s">
        <v>272</v>
      </c>
      <c r="J139" t="s">
        <v>349</v>
      </c>
      <c r="K139" t="s">
        <v>350</v>
      </c>
      <c r="L139" t="s">
        <v>351</v>
      </c>
    </row>
    <row r="140" spans="1:12" hidden="1" x14ac:dyDescent="0.25">
      <c r="A140" t="s">
        <v>270</v>
      </c>
      <c r="B140" t="s">
        <v>271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352</v>
      </c>
      <c r="I140" t="s">
        <v>272</v>
      </c>
      <c r="J140" t="s">
        <v>224</v>
      </c>
      <c r="K140" t="s">
        <v>353</v>
      </c>
      <c r="L140" t="s">
        <v>354</v>
      </c>
    </row>
    <row r="141" spans="1:12" hidden="1" x14ac:dyDescent="0.25">
      <c r="A141" t="s">
        <v>270</v>
      </c>
      <c r="B141" t="s">
        <v>271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355</v>
      </c>
      <c r="I141" t="s">
        <v>272</v>
      </c>
      <c r="J141" t="s">
        <v>356</v>
      </c>
      <c r="K141" t="s">
        <v>357</v>
      </c>
      <c r="L141" t="s">
        <v>358</v>
      </c>
    </row>
    <row r="142" spans="1:12" hidden="1" x14ac:dyDescent="0.25">
      <c r="A142" t="s">
        <v>270</v>
      </c>
      <c r="B142" t="s">
        <v>271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359</v>
      </c>
      <c r="I142" t="s">
        <v>272</v>
      </c>
      <c r="J142" t="s">
        <v>360</v>
      </c>
      <c r="K142" t="s">
        <v>361</v>
      </c>
      <c r="L142" t="s">
        <v>362</v>
      </c>
    </row>
    <row r="143" spans="1:12" hidden="1" x14ac:dyDescent="0.25">
      <c r="A143" t="s">
        <v>270</v>
      </c>
      <c r="B143" t="s">
        <v>271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363</v>
      </c>
      <c r="I143" t="s">
        <v>272</v>
      </c>
      <c r="J143" t="s">
        <v>339</v>
      </c>
      <c r="K143" t="s">
        <v>349</v>
      </c>
      <c r="L143" t="s">
        <v>364</v>
      </c>
    </row>
    <row r="144" spans="1:12" hidden="1" x14ac:dyDescent="0.25">
      <c r="A144" t="s">
        <v>270</v>
      </c>
      <c r="B144" t="s">
        <v>271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365</v>
      </c>
      <c r="I144" t="s">
        <v>272</v>
      </c>
      <c r="J144" t="s">
        <v>224</v>
      </c>
      <c r="K144" t="s">
        <v>366</v>
      </c>
      <c r="L144" t="s">
        <v>367</v>
      </c>
    </row>
    <row r="145" spans="1:12" hidden="1" x14ac:dyDescent="0.25">
      <c r="A145" t="s">
        <v>270</v>
      </c>
      <c r="B145" t="s">
        <v>271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368</v>
      </c>
      <c r="I145" t="s">
        <v>272</v>
      </c>
      <c r="J145" t="s">
        <v>369</v>
      </c>
      <c r="K145" t="s">
        <v>370</v>
      </c>
      <c r="L145" t="s">
        <v>371</v>
      </c>
    </row>
    <row r="146" spans="1:12" hidden="1" x14ac:dyDescent="0.25">
      <c r="A146" t="s">
        <v>270</v>
      </c>
      <c r="B146" t="s">
        <v>271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372</v>
      </c>
      <c r="I146" t="s">
        <v>272</v>
      </c>
      <c r="J146" t="s">
        <v>224</v>
      </c>
      <c r="K146" t="s">
        <v>354</v>
      </c>
      <c r="L146" t="s">
        <v>361</v>
      </c>
    </row>
    <row r="147" spans="1:12" hidden="1" x14ac:dyDescent="0.25">
      <c r="A147" t="s">
        <v>270</v>
      </c>
      <c r="B147" t="s">
        <v>271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373</v>
      </c>
      <c r="I147" t="s">
        <v>272</v>
      </c>
      <c r="J147" t="s">
        <v>224</v>
      </c>
      <c r="K147" t="s">
        <v>374</v>
      </c>
      <c r="L147" t="s">
        <v>375</v>
      </c>
    </row>
    <row r="148" spans="1:12" hidden="1" x14ac:dyDescent="0.25">
      <c r="A148" t="s">
        <v>270</v>
      </c>
      <c r="B148" t="s">
        <v>271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376</v>
      </c>
      <c r="I148" t="s">
        <v>272</v>
      </c>
      <c r="J148" t="s">
        <v>306</v>
      </c>
      <c r="K148" t="s">
        <v>377</v>
      </c>
      <c r="L148" t="s">
        <v>378</v>
      </c>
    </row>
    <row r="149" spans="1:12" hidden="1" x14ac:dyDescent="0.25">
      <c r="A149" t="s">
        <v>270</v>
      </c>
      <c r="B149" t="s">
        <v>271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379</v>
      </c>
      <c r="I149" t="s">
        <v>272</v>
      </c>
      <c r="J149" t="s">
        <v>380</v>
      </c>
    </row>
    <row r="150" spans="1:12" hidden="1" x14ac:dyDescent="0.25">
      <c r="A150" t="s">
        <v>270</v>
      </c>
      <c r="B150" t="s">
        <v>271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381</v>
      </c>
      <c r="I150" t="s">
        <v>272</v>
      </c>
      <c r="J150" t="s">
        <v>382</v>
      </c>
      <c r="K150" t="s">
        <v>357</v>
      </c>
      <c r="L150" t="s">
        <v>383</v>
      </c>
    </row>
    <row r="151" spans="1:12" hidden="1" x14ac:dyDescent="0.25">
      <c r="A151" t="s">
        <v>270</v>
      </c>
      <c r="B151" t="s">
        <v>271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384</v>
      </c>
      <c r="I151" t="s">
        <v>272</v>
      </c>
      <c r="J151" t="s">
        <v>385</v>
      </c>
      <c r="K151" t="s">
        <v>386</v>
      </c>
      <c r="L151" t="s">
        <v>387</v>
      </c>
    </row>
    <row r="152" spans="1:12" hidden="1" x14ac:dyDescent="0.25">
      <c r="A152" t="s">
        <v>270</v>
      </c>
      <c r="B152" t="s">
        <v>271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388</v>
      </c>
      <c r="I152" t="s">
        <v>272</v>
      </c>
      <c r="J152" t="s">
        <v>389</v>
      </c>
      <c r="K152" t="s">
        <v>390</v>
      </c>
      <c r="L152" t="s">
        <v>221</v>
      </c>
    </row>
    <row r="153" spans="1:12" hidden="1" x14ac:dyDescent="0.25">
      <c r="A153" t="s">
        <v>270</v>
      </c>
      <c r="B153" t="s">
        <v>271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391</v>
      </c>
      <c r="I153" t="s">
        <v>272</v>
      </c>
      <c r="J153" t="s">
        <v>392</v>
      </c>
      <c r="K153" t="s">
        <v>393</v>
      </c>
      <c r="L153" t="s">
        <v>43</v>
      </c>
    </row>
    <row r="154" spans="1:12" hidden="1" x14ac:dyDescent="0.25">
      <c r="A154" t="s">
        <v>270</v>
      </c>
      <c r="B154" t="s">
        <v>271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87</v>
      </c>
      <c r="I154" t="s">
        <v>272</v>
      </c>
      <c r="J154" t="s">
        <v>233</v>
      </c>
      <c r="K154" t="s">
        <v>234</v>
      </c>
      <c r="L154" t="s">
        <v>394</v>
      </c>
    </row>
    <row r="155" spans="1:12" hidden="1" x14ac:dyDescent="0.25">
      <c r="A155" t="s">
        <v>270</v>
      </c>
      <c r="B155" t="s">
        <v>271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90</v>
      </c>
      <c r="I155" t="s">
        <v>272</v>
      </c>
      <c r="J155" t="s">
        <v>237</v>
      </c>
      <c r="K155" t="s">
        <v>395</v>
      </c>
      <c r="L155" t="s">
        <v>396</v>
      </c>
    </row>
    <row r="156" spans="1:12" hidden="1" x14ac:dyDescent="0.25">
      <c r="A156" t="s">
        <v>270</v>
      </c>
      <c r="B156" t="s">
        <v>271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93</v>
      </c>
      <c r="I156" t="s">
        <v>272</v>
      </c>
      <c r="J156" t="s">
        <v>239</v>
      </c>
      <c r="K156" t="s">
        <v>240</v>
      </c>
      <c r="L156" t="s">
        <v>238</v>
      </c>
    </row>
    <row r="157" spans="1:12" hidden="1" x14ac:dyDescent="0.25">
      <c r="A157" t="s">
        <v>270</v>
      </c>
      <c r="B157" t="s">
        <v>397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14</v>
      </c>
      <c r="I157" t="s">
        <v>398</v>
      </c>
      <c r="J157" t="s">
        <v>273</v>
      </c>
      <c r="K157" t="s">
        <v>274</v>
      </c>
      <c r="L157" t="s">
        <v>275</v>
      </c>
    </row>
    <row r="158" spans="1:12" hidden="1" x14ac:dyDescent="0.25">
      <c r="A158" t="s">
        <v>270</v>
      </c>
      <c r="B158" t="s">
        <v>397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399</v>
      </c>
      <c r="I158" t="s">
        <v>398</v>
      </c>
      <c r="J158" t="s">
        <v>215</v>
      </c>
      <c r="K158" t="s">
        <v>56</v>
      </c>
    </row>
    <row r="159" spans="1:12" hidden="1" x14ac:dyDescent="0.25">
      <c r="A159" t="s">
        <v>270</v>
      </c>
      <c r="B159" t="s">
        <v>397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400</v>
      </c>
      <c r="I159" t="s">
        <v>398</v>
      </c>
      <c r="J159" t="s">
        <v>65</v>
      </c>
      <c r="K159" t="s">
        <v>25</v>
      </c>
      <c r="L159" t="s">
        <v>160</v>
      </c>
    </row>
    <row r="160" spans="1:12" hidden="1" x14ac:dyDescent="0.25">
      <c r="A160" t="s">
        <v>270</v>
      </c>
      <c r="B160" t="s">
        <v>397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401</v>
      </c>
      <c r="I160" t="s">
        <v>398</v>
      </c>
      <c r="J160" t="s">
        <v>303</v>
      </c>
      <c r="K160" t="s">
        <v>67</v>
      </c>
      <c r="L160" t="s">
        <v>25</v>
      </c>
    </row>
    <row r="161" spans="1:12" hidden="1" x14ac:dyDescent="0.25">
      <c r="A161" t="s">
        <v>270</v>
      </c>
      <c r="B161" t="s">
        <v>397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402</v>
      </c>
      <c r="I161" t="s">
        <v>398</v>
      </c>
      <c r="J161" t="s">
        <v>403</v>
      </c>
      <c r="K161" t="s">
        <v>404</v>
      </c>
      <c r="L161" t="s">
        <v>405</v>
      </c>
    </row>
    <row r="162" spans="1:12" hidden="1" x14ac:dyDescent="0.25">
      <c r="A162" t="s">
        <v>270</v>
      </c>
      <c r="B162" t="s">
        <v>397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406</v>
      </c>
      <c r="I162" t="s">
        <v>398</v>
      </c>
      <c r="J162" t="s">
        <v>403</v>
      </c>
      <c r="K162" t="s">
        <v>407</v>
      </c>
      <c r="L162" t="s">
        <v>408</v>
      </c>
    </row>
    <row r="163" spans="1:12" x14ac:dyDescent="0.25">
      <c r="A163" t="s">
        <v>270</v>
      </c>
      <c r="B163" t="s">
        <v>409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273</v>
      </c>
      <c r="I163" t="s">
        <v>410</v>
      </c>
      <c r="J163" t="s">
        <v>274</v>
      </c>
      <c r="K163" t="s">
        <v>275</v>
      </c>
      <c r="L163" t="s">
        <v>411</v>
      </c>
    </row>
    <row r="164" spans="1:12" x14ac:dyDescent="0.25">
      <c r="A164" t="s">
        <v>270</v>
      </c>
      <c r="B164" t="s">
        <v>409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160</v>
      </c>
      <c r="I164" t="s">
        <v>410</v>
      </c>
      <c r="J164" t="s">
        <v>160</v>
      </c>
    </row>
    <row r="165" spans="1:12" x14ac:dyDescent="0.25">
      <c r="A165" t="s">
        <v>270</v>
      </c>
      <c r="B165" t="s">
        <v>409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224</v>
      </c>
      <c r="I165" t="s">
        <v>410</v>
      </c>
      <c r="J165" t="s">
        <v>224</v>
      </c>
    </row>
    <row r="166" spans="1:12" x14ac:dyDescent="0.25">
      <c r="A166" t="s">
        <v>270</v>
      </c>
      <c r="B166" t="s">
        <v>409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303</v>
      </c>
      <c r="I166" t="s">
        <v>410</v>
      </c>
      <c r="J166" t="s">
        <v>67</v>
      </c>
      <c r="K166" t="s">
        <v>140</v>
      </c>
      <c r="L166" t="s">
        <v>302</v>
      </c>
    </row>
    <row r="167" spans="1:12" x14ac:dyDescent="0.25">
      <c r="A167" t="s">
        <v>270</v>
      </c>
      <c r="B167" t="s">
        <v>409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43</v>
      </c>
      <c r="I167" t="s">
        <v>410</v>
      </c>
      <c r="J167" t="s">
        <v>43</v>
      </c>
      <c r="K167" t="s">
        <v>412</v>
      </c>
      <c r="L167" t="s">
        <v>413</v>
      </c>
    </row>
    <row r="168" spans="1:12" x14ac:dyDescent="0.25">
      <c r="A168" t="s">
        <v>270</v>
      </c>
      <c r="B168" t="s">
        <v>409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160</v>
      </c>
      <c r="I168" t="s">
        <v>410</v>
      </c>
      <c r="J168" t="s">
        <v>160</v>
      </c>
    </row>
    <row r="169" spans="1:12" x14ac:dyDescent="0.25">
      <c r="A169" t="s">
        <v>270</v>
      </c>
      <c r="B169" t="s">
        <v>409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224</v>
      </c>
      <c r="I169" t="s">
        <v>410</v>
      </c>
      <c r="J169" t="s">
        <v>224</v>
      </c>
      <c r="K169" t="s">
        <v>300</v>
      </c>
    </row>
    <row r="170" spans="1:12" x14ac:dyDescent="0.25">
      <c r="A170" t="s">
        <v>270</v>
      </c>
      <c r="B170" t="s">
        <v>409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303</v>
      </c>
      <c r="I170" t="s">
        <v>410</v>
      </c>
      <c r="J170" t="s">
        <v>67</v>
      </c>
      <c r="K170" t="s">
        <v>140</v>
      </c>
      <c r="L170" t="s">
        <v>302</v>
      </c>
    </row>
    <row r="171" spans="1:12" x14ac:dyDescent="0.25">
      <c r="A171" t="s">
        <v>270</v>
      </c>
      <c r="B171" t="s">
        <v>409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43</v>
      </c>
      <c r="I171" t="s">
        <v>410</v>
      </c>
      <c r="J171" t="s">
        <v>43</v>
      </c>
      <c r="K171" t="s">
        <v>414</v>
      </c>
      <c r="L171" t="s">
        <v>415</v>
      </c>
    </row>
    <row r="172" spans="1:12" hidden="1" x14ac:dyDescent="0.25">
      <c r="A172" t="s">
        <v>416</v>
      </c>
      <c r="B172" t="s">
        <v>271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14</v>
      </c>
      <c r="I172" t="s">
        <v>272</v>
      </c>
      <c r="J172" t="s">
        <v>217</v>
      </c>
      <c r="K172" t="s">
        <v>417</v>
      </c>
      <c r="L172" t="s">
        <v>418</v>
      </c>
    </row>
    <row r="173" spans="1:12" hidden="1" x14ac:dyDescent="0.25">
      <c r="A173" t="s">
        <v>416</v>
      </c>
      <c r="B173" t="s">
        <v>271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19</v>
      </c>
      <c r="I173" t="s">
        <v>272</v>
      </c>
      <c r="J173" t="s">
        <v>205</v>
      </c>
      <c r="K173" t="s">
        <v>206</v>
      </c>
      <c r="L173" t="s">
        <v>20</v>
      </c>
    </row>
    <row r="174" spans="1:12" hidden="1" x14ac:dyDescent="0.25">
      <c r="A174" t="s">
        <v>416</v>
      </c>
      <c r="B174" t="s">
        <v>271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22</v>
      </c>
      <c r="I174" t="s">
        <v>272</v>
      </c>
      <c r="J174" t="s">
        <v>207</v>
      </c>
      <c r="K174" t="s">
        <v>23</v>
      </c>
    </row>
    <row r="175" spans="1:12" hidden="1" x14ac:dyDescent="0.25">
      <c r="A175" t="s">
        <v>416</v>
      </c>
      <c r="B175" t="s">
        <v>271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24</v>
      </c>
      <c r="I175" t="s">
        <v>272</v>
      </c>
      <c r="J175" t="s">
        <v>419</v>
      </c>
      <c r="K175" t="s">
        <v>420</v>
      </c>
      <c r="L175" t="s">
        <v>421</v>
      </c>
    </row>
    <row r="176" spans="1:12" hidden="1" x14ac:dyDescent="0.25">
      <c r="A176" t="s">
        <v>416</v>
      </c>
      <c r="B176" t="s">
        <v>271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26</v>
      </c>
      <c r="I176" t="s">
        <v>272</v>
      </c>
      <c r="J176" t="s">
        <v>27</v>
      </c>
      <c r="K176" t="s">
        <v>211</v>
      </c>
    </row>
    <row r="177" spans="1:12" hidden="1" x14ac:dyDescent="0.25">
      <c r="A177" t="s">
        <v>416</v>
      </c>
      <c r="B177" t="s">
        <v>271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278</v>
      </c>
      <c r="I177" t="s">
        <v>272</v>
      </c>
      <c r="J177" t="s">
        <v>422</v>
      </c>
      <c r="K177" t="s">
        <v>423</v>
      </c>
      <c r="L177" t="s">
        <v>424</v>
      </c>
    </row>
    <row r="178" spans="1:12" hidden="1" x14ac:dyDescent="0.25">
      <c r="A178" t="s">
        <v>416</v>
      </c>
      <c r="B178" t="s">
        <v>271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32</v>
      </c>
      <c r="I178" t="s">
        <v>272</v>
      </c>
      <c r="J178" t="s">
        <v>33</v>
      </c>
      <c r="K178" t="s">
        <v>212</v>
      </c>
      <c r="L178" t="s">
        <v>213</v>
      </c>
    </row>
    <row r="179" spans="1:12" hidden="1" x14ac:dyDescent="0.25">
      <c r="A179" t="s">
        <v>416</v>
      </c>
      <c r="B179" t="s">
        <v>271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282</v>
      </c>
      <c r="I179" t="s">
        <v>272</v>
      </c>
      <c r="J179" t="s">
        <v>202</v>
      </c>
      <c r="K179" t="s">
        <v>203</v>
      </c>
      <c r="L179" t="s">
        <v>204</v>
      </c>
    </row>
    <row r="180" spans="1:12" hidden="1" x14ac:dyDescent="0.25">
      <c r="A180" t="s">
        <v>416</v>
      </c>
      <c r="B180" t="s">
        <v>271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285</v>
      </c>
      <c r="I180" t="s">
        <v>272</v>
      </c>
      <c r="J180" t="s">
        <v>25</v>
      </c>
      <c r="K180" t="s">
        <v>286</v>
      </c>
      <c r="L180" t="s">
        <v>425</v>
      </c>
    </row>
    <row r="181" spans="1:12" hidden="1" x14ac:dyDescent="0.25">
      <c r="A181" t="s">
        <v>416</v>
      </c>
      <c r="B181" t="s">
        <v>271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104</v>
      </c>
      <c r="I181" t="s">
        <v>272</v>
      </c>
      <c r="J181" t="s">
        <v>70</v>
      </c>
      <c r="K181" t="s">
        <v>426</v>
      </c>
      <c r="L181" t="s">
        <v>314</v>
      </c>
    </row>
    <row r="182" spans="1:12" hidden="1" x14ac:dyDescent="0.25">
      <c r="A182" t="s">
        <v>416</v>
      </c>
      <c r="B182" t="s">
        <v>271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112</v>
      </c>
      <c r="I182" t="s">
        <v>272</v>
      </c>
      <c r="J182" t="s">
        <v>70</v>
      </c>
      <c r="K182" t="s">
        <v>44</v>
      </c>
      <c r="L182" t="s">
        <v>427</v>
      </c>
    </row>
    <row r="183" spans="1:12" hidden="1" x14ac:dyDescent="0.25">
      <c r="A183" t="s">
        <v>416</v>
      </c>
      <c r="B183" t="s">
        <v>271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293</v>
      </c>
      <c r="I183" t="s">
        <v>272</v>
      </c>
      <c r="J183" t="s">
        <v>428</v>
      </c>
      <c r="K183" t="s">
        <v>429</v>
      </c>
      <c r="L183" t="s">
        <v>292</v>
      </c>
    </row>
    <row r="184" spans="1:12" hidden="1" x14ac:dyDescent="0.25">
      <c r="A184" t="s">
        <v>416</v>
      </c>
      <c r="B184" t="s">
        <v>271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296</v>
      </c>
      <c r="I184" t="s">
        <v>272</v>
      </c>
      <c r="J184" t="s">
        <v>25</v>
      </c>
      <c r="K184" t="s">
        <v>430</v>
      </c>
      <c r="L184" t="s">
        <v>297</v>
      </c>
    </row>
    <row r="185" spans="1:12" hidden="1" x14ac:dyDescent="0.25">
      <c r="A185" t="s">
        <v>416</v>
      </c>
      <c r="B185" t="s">
        <v>271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299</v>
      </c>
      <c r="I185" t="s">
        <v>272</v>
      </c>
      <c r="J185" t="s">
        <v>220</v>
      </c>
      <c r="K185" t="s">
        <v>431</v>
      </c>
      <c r="L185" t="s">
        <v>432</v>
      </c>
    </row>
    <row r="186" spans="1:12" hidden="1" x14ac:dyDescent="0.25">
      <c r="A186" t="s">
        <v>416</v>
      </c>
      <c r="B186" t="s">
        <v>271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51</v>
      </c>
      <c r="I186" t="s">
        <v>272</v>
      </c>
      <c r="J186" t="s">
        <v>220</v>
      </c>
      <c r="K186" t="s">
        <v>415</v>
      </c>
      <c r="L186" t="s">
        <v>60</v>
      </c>
    </row>
    <row r="187" spans="1:12" hidden="1" x14ac:dyDescent="0.25">
      <c r="A187" t="s">
        <v>416</v>
      </c>
      <c r="B187" t="s">
        <v>271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47</v>
      </c>
      <c r="I187" t="s">
        <v>272</v>
      </c>
      <c r="J187" t="s">
        <v>433</v>
      </c>
      <c r="K187" t="s">
        <v>434</v>
      </c>
      <c r="L187" t="s">
        <v>224</v>
      </c>
    </row>
    <row r="188" spans="1:12" hidden="1" x14ac:dyDescent="0.25">
      <c r="A188" t="s">
        <v>416</v>
      </c>
      <c r="B188" t="s">
        <v>271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304</v>
      </c>
      <c r="I188" t="s">
        <v>272</v>
      </c>
      <c r="J188" t="s">
        <v>305</v>
      </c>
      <c r="K188" t="s">
        <v>25</v>
      </c>
      <c r="L188" t="s">
        <v>306</v>
      </c>
    </row>
    <row r="189" spans="1:12" hidden="1" x14ac:dyDescent="0.25">
      <c r="A189" t="s">
        <v>416</v>
      </c>
      <c r="B189" t="s">
        <v>271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308</v>
      </c>
      <c r="I189" t="s">
        <v>272</v>
      </c>
      <c r="J189" t="s">
        <v>58</v>
      </c>
      <c r="K189" t="s">
        <v>25</v>
      </c>
      <c r="L189" t="s">
        <v>74</v>
      </c>
    </row>
    <row r="190" spans="1:12" hidden="1" x14ac:dyDescent="0.25">
      <c r="A190" t="s">
        <v>416</v>
      </c>
      <c r="B190" t="s">
        <v>271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312</v>
      </c>
      <c r="I190" t="s">
        <v>272</v>
      </c>
      <c r="J190" t="s">
        <v>65</v>
      </c>
      <c r="K190" t="s">
        <v>25</v>
      </c>
      <c r="L190" t="s">
        <v>67</v>
      </c>
    </row>
    <row r="191" spans="1:12" hidden="1" x14ac:dyDescent="0.25">
      <c r="A191" t="s">
        <v>416</v>
      </c>
      <c r="B191" t="s">
        <v>271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313</v>
      </c>
      <c r="I191" t="s">
        <v>272</v>
      </c>
      <c r="J191" t="s">
        <v>347</v>
      </c>
      <c r="K191" t="s">
        <v>25</v>
      </c>
      <c r="L191" t="s">
        <v>435</v>
      </c>
    </row>
    <row r="192" spans="1:12" hidden="1" x14ac:dyDescent="0.25">
      <c r="A192" t="s">
        <v>416</v>
      </c>
      <c r="B192" t="s">
        <v>271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317</v>
      </c>
      <c r="I192" t="s">
        <v>272</v>
      </c>
      <c r="J192" t="s">
        <v>436</v>
      </c>
      <c r="K192" t="s">
        <v>437</v>
      </c>
      <c r="L192" t="s">
        <v>438</v>
      </c>
    </row>
    <row r="193" spans="1:12" hidden="1" x14ac:dyDescent="0.25">
      <c r="A193" t="s">
        <v>416</v>
      </c>
      <c r="B193" t="s">
        <v>271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321</v>
      </c>
      <c r="I193" t="s">
        <v>272</v>
      </c>
      <c r="J193" t="s">
        <v>439</v>
      </c>
      <c r="K193" t="s">
        <v>440</v>
      </c>
      <c r="L193" t="s">
        <v>322</v>
      </c>
    </row>
    <row r="194" spans="1:12" hidden="1" x14ac:dyDescent="0.25">
      <c r="A194" t="s">
        <v>416</v>
      </c>
      <c r="B194" t="s">
        <v>271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325</v>
      </c>
      <c r="I194" t="s">
        <v>272</v>
      </c>
      <c r="J194" t="s">
        <v>224</v>
      </c>
      <c r="K194" t="s">
        <v>25</v>
      </c>
      <c r="L194" t="s">
        <v>441</v>
      </c>
    </row>
    <row r="195" spans="1:12" hidden="1" x14ac:dyDescent="0.25">
      <c r="A195" t="s">
        <v>416</v>
      </c>
      <c r="B195" t="s">
        <v>271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326</v>
      </c>
      <c r="I195" t="s">
        <v>272</v>
      </c>
      <c r="J195" t="s">
        <v>442</v>
      </c>
      <c r="K195" t="s">
        <v>443</v>
      </c>
      <c r="L195" t="s">
        <v>444</v>
      </c>
    </row>
    <row r="196" spans="1:12" hidden="1" x14ac:dyDescent="0.25">
      <c r="A196" t="s">
        <v>416</v>
      </c>
      <c r="B196" t="s">
        <v>271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330</v>
      </c>
      <c r="I196" t="s">
        <v>272</v>
      </c>
      <c r="J196" t="s">
        <v>445</v>
      </c>
      <c r="K196" t="s">
        <v>446</v>
      </c>
      <c r="L196" t="s">
        <v>447</v>
      </c>
    </row>
    <row r="197" spans="1:12" hidden="1" x14ac:dyDescent="0.25">
      <c r="A197" t="s">
        <v>416</v>
      </c>
      <c r="B197" t="s">
        <v>271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334</v>
      </c>
      <c r="I197" t="s">
        <v>272</v>
      </c>
      <c r="J197" t="s">
        <v>448</v>
      </c>
      <c r="K197" t="s">
        <v>362</v>
      </c>
      <c r="L197" t="s">
        <v>449</v>
      </c>
    </row>
    <row r="198" spans="1:12" hidden="1" x14ac:dyDescent="0.25">
      <c r="A198" t="s">
        <v>416</v>
      </c>
      <c r="B198" t="s">
        <v>271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338</v>
      </c>
      <c r="I198" t="s">
        <v>272</v>
      </c>
      <c r="J198" t="s">
        <v>450</v>
      </c>
      <c r="K198" t="s">
        <v>385</v>
      </c>
      <c r="L198" t="s">
        <v>451</v>
      </c>
    </row>
    <row r="199" spans="1:12" hidden="1" x14ac:dyDescent="0.25">
      <c r="A199" t="s">
        <v>416</v>
      </c>
      <c r="B199" t="s">
        <v>271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342</v>
      </c>
      <c r="I199" t="s">
        <v>272</v>
      </c>
      <c r="J199" t="s">
        <v>452</v>
      </c>
      <c r="K199" t="s">
        <v>453</v>
      </c>
      <c r="L199" t="s">
        <v>454</v>
      </c>
    </row>
    <row r="200" spans="1:12" hidden="1" x14ac:dyDescent="0.25">
      <c r="A200" t="s">
        <v>416</v>
      </c>
      <c r="B200" t="s">
        <v>271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346</v>
      </c>
      <c r="I200" t="s">
        <v>272</v>
      </c>
      <c r="J200" t="s">
        <v>452</v>
      </c>
      <c r="K200" t="s">
        <v>25</v>
      </c>
      <c r="L200" t="s">
        <v>454</v>
      </c>
    </row>
    <row r="201" spans="1:12" hidden="1" x14ac:dyDescent="0.25">
      <c r="A201" t="s">
        <v>416</v>
      </c>
      <c r="B201" t="s">
        <v>271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348</v>
      </c>
      <c r="I201" t="s">
        <v>272</v>
      </c>
      <c r="J201" t="s">
        <v>455</v>
      </c>
      <c r="K201" t="s">
        <v>456</v>
      </c>
      <c r="L201" t="s">
        <v>457</v>
      </c>
    </row>
    <row r="202" spans="1:12" hidden="1" x14ac:dyDescent="0.25">
      <c r="A202" t="s">
        <v>416</v>
      </c>
      <c r="B202" t="s">
        <v>271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352</v>
      </c>
      <c r="I202" t="s">
        <v>272</v>
      </c>
      <c r="J202" t="s">
        <v>25</v>
      </c>
      <c r="K202" t="s">
        <v>224</v>
      </c>
      <c r="L202" t="s">
        <v>458</v>
      </c>
    </row>
    <row r="203" spans="1:12" hidden="1" x14ac:dyDescent="0.25">
      <c r="A203" t="s">
        <v>416</v>
      </c>
      <c r="B203" t="s">
        <v>271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355</v>
      </c>
      <c r="I203" t="s">
        <v>272</v>
      </c>
      <c r="J203" t="s">
        <v>224</v>
      </c>
      <c r="K203" t="s">
        <v>25</v>
      </c>
      <c r="L203" t="s">
        <v>459</v>
      </c>
    </row>
    <row r="204" spans="1:12" hidden="1" x14ac:dyDescent="0.25">
      <c r="A204" t="s">
        <v>416</v>
      </c>
      <c r="B204" t="s">
        <v>271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359</v>
      </c>
      <c r="I204" t="s">
        <v>272</v>
      </c>
      <c r="J204" t="s">
        <v>224</v>
      </c>
      <c r="K204" t="s">
        <v>25</v>
      </c>
      <c r="L204" t="s">
        <v>460</v>
      </c>
    </row>
    <row r="205" spans="1:12" hidden="1" x14ac:dyDescent="0.25">
      <c r="A205" t="s">
        <v>416</v>
      </c>
      <c r="B205" t="s">
        <v>271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363</v>
      </c>
      <c r="I205" t="s">
        <v>272</v>
      </c>
      <c r="J205" t="s">
        <v>461</v>
      </c>
      <c r="K205" t="s">
        <v>462</v>
      </c>
      <c r="L205" t="s">
        <v>463</v>
      </c>
    </row>
    <row r="206" spans="1:12" hidden="1" x14ac:dyDescent="0.25">
      <c r="A206" t="s">
        <v>416</v>
      </c>
      <c r="B206" t="s">
        <v>271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365</v>
      </c>
      <c r="I206" t="s">
        <v>272</v>
      </c>
      <c r="J206" t="s">
        <v>464</v>
      </c>
      <c r="K206" t="s">
        <v>224</v>
      </c>
      <c r="L206" t="s">
        <v>465</v>
      </c>
    </row>
    <row r="207" spans="1:12" hidden="1" x14ac:dyDescent="0.25">
      <c r="A207" t="s">
        <v>416</v>
      </c>
      <c r="B207" t="s">
        <v>271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368</v>
      </c>
      <c r="I207" t="s">
        <v>272</v>
      </c>
      <c r="J207" t="s">
        <v>466</v>
      </c>
      <c r="K207" t="s">
        <v>467</v>
      </c>
      <c r="L207" t="s">
        <v>468</v>
      </c>
    </row>
    <row r="208" spans="1:12" hidden="1" x14ac:dyDescent="0.25">
      <c r="A208" t="s">
        <v>416</v>
      </c>
      <c r="B208" t="s">
        <v>271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372</v>
      </c>
      <c r="I208" t="s">
        <v>272</v>
      </c>
      <c r="J208" t="s">
        <v>469</v>
      </c>
      <c r="K208" t="s">
        <v>224</v>
      </c>
      <c r="L208" t="s">
        <v>470</v>
      </c>
    </row>
    <row r="209" spans="1:12" hidden="1" x14ac:dyDescent="0.25">
      <c r="A209" t="s">
        <v>416</v>
      </c>
      <c r="B209" t="s">
        <v>271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373</v>
      </c>
      <c r="I209" t="s">
        <v>272</v>
      </c>
      <c r="J209" t="s">
        <v>25</v>
      </c>
      <c r="K209" t="s">
        <v>224</v>
      </c>
      <c r="L209" t="s">
        <v>471</v>
      </c>
    </row>
    <row r="210" spans="1:12" hidden="1" x14ac:dyDescent="0.25">
      <c r="A210" t="s">
        <v>416</v>
      </c>
      <c r="B210" t="s">
        <v>271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376</v>
      </c>
      <c r="I210" t="s">
        <v>272</v>
      </c>
      <c r="J210" t="s">
        <v>224</v>
      </c>
      <c r="K210" t="s">
        <v>393</v>
      </c>
      <c r="L210" t="s">
        <v>472</v>
      </c>
    </row>
    <row r="211" spans="1:12" hidden="1" x14ac:dyDescent="0.25">
      <c r="A211" t="s">
        <v>416</v>
      </c>
      <c r="B211" t="s">
        <v>271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379</v>
      </c>
      <c r="I211" t="s">
        <v>272</v>
      </c>
      <c r="J211" t="s">
        <v>380</v>
      </c>
      <c r="K211" t="s">
        <v>25</v>
      </c>
      <c r="L211" t="s">
        <v>473</v>
      </c>
    </row>
    <row r="212" spans="1:12" hidden="1" x14ac:dyDescent="0.25">
      <c r="A212" t="s">
        <v>416</v>
      </c>
      <c r="B212" t="s">
        <v>271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381</v>
      </c>
      <c r="I212" t="s">
        <v>272</v>
      </c>
      <c r="J212" t="s">
        <v>474</v>
      </c>
      <c r="K212" t="s">
        <v>450</v>
      </c>
      <c r="L212" t="s">
        <v>475</v>
      </c>
    </row>
    <row r="213" spans="1:12" hidden="1" x14ac:dyDescent="0.25">
      <c r="A213" t="s">
        <v>416</v>
      </c>
      <c r="B213" t="s">
        <v>271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384</v>
      </c>
      <c r="I213" t="s">
        <v>272</v>
      </c>
      <c r="J213" t="s">
        <v>476</v>
      </c>
      <c r="K213" t="s">
        <v>25</v>
      </c>
      <c r="L213" t="s">
        <v>224</v>
      </c>
    </row>
    <row r="214" spans="1:12" hidden="1" x14ac:dyDescent="0.25">
      <c r="A214" t="s">
        <v>416</v>
      </c>
      <c r="B214" t="s">
        <v>271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388</v>
      </c>
      <c r="I214" t="s">
        <v>272</v>
      </c>
      <c r="J214" t="s">
        <v>25</v>
      </c>
      <c r="K214" t="s">
        <v>477</v>
      </c>
      <c r="L214" t="s">
        <v>160</v>
      </c>
    </row>
    <row r="215" spans="1:12" hidden="1" x14ac:dyDescent="0.25">
      <c r="A215" t="s">
        <v>416</v>
      </c>
      <c r="B215" t="s">
        <v>271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391</v>
      </c>
      <c r="I215" t="s">
        <v>272</v>
      </c>
      <c r="J215" t="s">
        <v>478</v>
      </c>
      <c r="K215" t="s">
        <v>477</v>
      </c>
      <c r="L215" t="s">
        <v>224</v>
      </c>
    </row>
    <row r="216" spans="1:12" hidden="1" x14ac:dyDescent="0.25">
      <c r="A216" t="s">
        <v>416</v>
      </c>
      <c r="B216" t="s">
        <v>271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87</v>
      </c>
      <c r="I216" t="s">
        <v>272</v>
      </c>
      <c r="J216" t="s">
        <v>232</v>
      </c>
      <c r="K216" t="s">
        <v>233</v>
      </c>
      <c r="L216" t="s">
        <v>234</v>
      </c>
    </row>
    <row r="217" spans="1:12" hidden="1" x14ac:dyDescent="0.25">
      <c r="A217" t="s">
        <v>416</v>
      </c>
      <c r="B217" t="s">
        <v>271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90</v>
      </c>
      <c r="I217" t="s">
        <v>272</v>
      </c>
      <c r="J217" t="s">
        <v>235</v>
      </c>
      <c r="K217" t="s">
        <v>236</v>
      </c>
      <c r="L217" t="s">
        <v>237</v>
      </c>
    </row>
    <row r="218" spans="1:12" hidden="1" x14ac:dyDescent="0.25">
      <c r="A218" t="s">
        <v>416</v>
      </c>
      <c r="B218" t="s">
        <v>271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93</v>
      </c>
      <c r="I218" t="s">
        <v>272</v>
      </c>
      <c r="J218" t="s">
        <v>238</v>
      </c>
      <c r="K218" t="s">
        <v>239</v>
      </c>
      <c r="L218" t="s">
        <v>240</v>
      </c>
    </row>
    <row r="219" spans="1:12" hidden="1" x14ac:dyDescent="0.25">
      <c r="A219" t="s">
        <v>416</v>
      </c>
      <c r="B219" t="s">
        <v>397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14</v>
      </c>
      <c r="I219" t="s">
        <v>398</v>
      </c>
      <c r="J219" t="s">
        <v>217</v>
      </c>
      <c r="K219" t="s">
        <v>417</v>
      </c>
      <c r="L219" t="s">
        <v>418</v>
      </c>
    </row>
    <row r="220" spans="1:12" hidden="1" x14ac:dyDescent="0.25">
      <c r="A220" t="s">
        <v>416</v>
      </c>
      <c r="B220" t="s">
        <v>397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399</v>
      </c>
      <c r="I220" t="s">
        <v>398</v>
      </c>
      <c r="J220" t="s">
        <v>56</v>
      </c>
      <c r="K220" t="s">
        <v>215</v>
      </c>
    </row>
    <row r="221" spans="1:12" hidden="1" x14ac:dyDescent="0.25">
      <c r="A221" t="s">
        <v>416</v>
      </c>
      <c r="B221" t="s">
        <v>397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400</v>
      </c>
      <c r="I221" t="s">
        <v>398</v>
      </c>
      <c r="J221" t="s">
        <v>25</v>
      </c>
      <c r="K221" t="s">
        <v>65</v>
      </c>
      <c r="L221" t="s">
        <v>224</v>
      </c>
    </row>
    <row r="222" spans="1:12" hidden="1" x14ac:dyDescent="0.25">
      <c r="A222" t="s">
        <v>416</v>
      </c>
      <c r="B222" t="s">
        <v>397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401</v>
      </c>
      <c r="I222" t="s">
        <v>398</v>
      </c>
      <c r="J222" t="s">
        <v>25</v>
      </c>
      <c r="K222" t="s">
        <v>303</v>
      </c>
      <c r="L222" t="s">
        <v>67</v>
      </c>
    </row>
    <row r="223" spans="1:12" hidden="1" x14ac:dyDescent="0.25">
      <c r="A223" t="s">
        <v>416</v>
      </c>
      <c r="B223" t="s">
        <v>397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402</v>
      </c>
      <c r="I223" t="s">
        <v>398</v>
      </c>
      <c r="J223" t="s">
        <v>60</v>
      </c>
      <c r="K223" t="s">
        <v>25</v>
      </c>
      <c r="L223" t="s">
        <v>403</v>
      </c>
    </row>
    <row r="224" spans="1:12" hidden="1" x14ac:dyDescent="0.25">
      <c r="A224" t="s">
        <v>416</v>
      </c>
      <c r="B224" t="s">
        <v>397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406</v>
      </c>
      <c r="I224" t="s">
        <v>398</v>
      </c>
      <c r="J224" t="s">
        <v>25</v>
      </c>
      <c r="K224" t="s">
        <v>403</v>
      </c>
      <c r="L224" t="s">
        <v>407</v>
      </c>
    </row>
    <row r="225" spans="1:12" x14ac:dyDescent="0.25">
      <c r="A225" t="s">
        <v>416</v>
      </c>
      <c r="B225" t="s">
        <v>409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217</v>
      </c>
      <c r="I225" t="s">
        <v>479</v>
      </c>
      <c r="J225" t="s">
        <v>417</v>
      </c>
      <c r="K225" t="s">
        <v>418</v>
      </c>
      <c r="L225" t="s">
        <v>480</v>
      </c>
    </row>
    <row r="226" spans="1:12" x14ac:dyDescent="0.25">
      <c r="A226" t="s">
        <v>416</v>
      </c>
      <c r="B226" t="s">
        <v>409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160</v>
      </c>
      <c r="I226" t="s">
        <v>479</v>
      </c>
      <c r="J226" t="s">
        <v>224</v>
      </c>
      <c r="K226" t="s">
        <v>160</v>
      </c>
    </row>
    <row r="227" spans="1:12" x14ac:dyDescent="0.25">
      <c r="A227" t="s">
        <v>416</v>
      </c>
      <c r="B227" t="s">
        <v>409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224</v>
      </c>
      <c r="I227" t="s">
        <v>479</v>
      </c>
      <c r="J227" t="s">
        <v>25</v>
      </c>
      <c r="K227" t="s">
        <v>224</v>
      </c>
    </row>
    <row r="228" spans="1:12" x14ac:dyDescent="0.25">
      <c r="A228" t="s">
        <v>416</v>
      </c>
      <c r="B228" t="s">
        <v>409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220</v>
      </c>
      <c r="I228" t="s">
        <v>479</v>
      </c>
      <c r="J228" t="s">
        <v>25</v>
      </c>
      <c r="K228" t="s">
        <v>415</v>
      </c>
      <c r="L228" t="s">
        <v>60</v>
      </c>
    </row>
    <row r="229" spans="1:12" x14ac:dyDescent="0.25">
      <c r="A229" t="s">
        <v>416</v>
      </c>
      <c r="B229" t="s">
        <v>409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481</v>
      </c>
      <c r="I229" t="s">
        <v>479</v>
      </c>
      <c r="J229" t="s">
        <v>25</v>
      </c>
      <c r="K229" t="s">
        <v>60</v>
      </c>
      <c r="L229" t="s">
        <v>43</v>
      </c>
    </row>
    <row r="230" spans="1:12" x14ac:dyDescent="0.25">
      <c r="A230" t="s">
        <v>416</v>
      </c>
      <c r="B230" t="s">
        <v>409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160</v>
      </c>
      <c r="I230" t="s">
        <v>479</v>
      </c>
      <c r="J230" t="s">
        <v>224</v>
      </c>
      <c r="K230" t="s">
        <v>160</v>
      </c>
    </row>
    <row r="231" spans="1:12" x14ac:dyDescent="0.25">
      <c r="A231" t="s">
        <v>416</v>
      </c>
      <c r="B231" t="s">
        <v>409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224</v>
      </c>
      <c r="I231" t="s">
        <v>479</v>
      </c>
      <c r="J231" t="s">
        <v>25</v>
      </c>
      <c r="K231" t="s">
        <v>224</v>
      </c>
      <c r="L231" t="s">
        <v>300</v>
      </c>
    </row>
    <row r="232" spans="1:12" x14ac:dyDescent="0.25">
      <c r="A232" t="s">
        <v>416</v>
      </c>
      <c r="B232" t="s">
        <v>409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220</v>
      </c>
      <c r="I232" t="s">
        <v>479</v>
      </c>
      <c r="J232" t="s">
        <v>25</v>
      </c>
      <c r="K232" t="s">
        <v>415</v>
      </c>
      <c r="L232" t="s">
        <v>60</v>
      </c>
    </row>
    <row r="233" spans="1:12" x14ac:dyDescent="0.25">
      <c r="A233" t="s">
        <v>416</v>
      </c>
      <c r="B233" t="s">
        <v>409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482</v>
      </c>
      <c r="I233" t="s">
        <v>479</v>
      </c>
      <c r="J233" t="s">
        <v>25</v>
      </c>
      <c r="K233" t="s">
        <v>60</v>
      </c>
      <c r="L233" t="s">
        <v>43</v>
      </c>
    </row>
    <row r="234" spans="1:12" hidden="1" x14ac:dyDescent="0.25">
      <c r="A234" t="s">
        <v>483</v>
      </c>
      <c r="B234" t="s">
        <v>484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485</v>
      </c>
      <c r="I234" t="s">
        <v>486</v>
      </c>
      <c r="J234" t="s">
        <v>487</v>
      </c>
      <c r="K234" t="s">
        <v>488</v>
      </c>
      <c r="L234" t="s">
        <v>489</v>
      </c>
    </row>
    <row r="235" spans="1:12" hidden="1" x14ac:dyDescent="0.25">
      <c r="A235" t="s">
        <v>483</v>
      </c>
      <c r="B235" t="s">
        <v>484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51</v>
      </c>
      <c r="I235" t="s">
        <v>486</v>
      </c>
      <c r="J235" t="s">
        <v>490</v>
      </c>
      <c r="K235" t="s">
        <v>491</v>
      </c>
      <c r="L235" t="s">
        <v>492</v>
      </c>
    </row>
    <row r="236" spans="1:12" hidden="1" x14ac:dyDescent="0.25">
      <c r="A236" t="s">
        <v>483</v>
      </c>
      <c r="B236" t="s">
        <v>484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19</v>
      </c>
      <c r="I236" t="s">
        <v>486</v>
      </c>
      <c r="J236" t="s">
        <v>25</v>
      </c>
      <c r="K236" t="s">
        <v>493</v>
      </c>
      <c r="L236" t="s">
        <v>198</v>
      </c>
    </row>
    <row r="237" spans="1:12" hidden="1" x14ac:dyDescent="0.25">
      <c r="A237" t="s">
        <v>483</v>
      </c>
      <c r="B237" t="s">
        <v>484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24</v>
      </c>
      <c r="I237" t="s">
        <v>486</v>
      </c>
      <c r="J237" t="s">
        <v>25</v>
      </c>
      <c r="K237" t="s">
        <v>494</v>
      </c>
      <c r="L237" t="s">
        <v>495</v>
      </c>
    </row>
    <row r="238" spans="1:12" hidden="1" x14ac:dyDescent="0.25">
      <c r="A238" t="s">
        <v>483</v>
      </c>
      <c r="B238" t="s">
        <v>484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90</v>
      </c>
      <c r="I238" t="s">
        <v>486</v>
      </c>
      <c r="J238" t="s">
        <v>25</v>
      </c>
      <c r="K238" t="s">
        <v>496</v>
      </c>
      <c r="L238" t="s">
        <v>497</v>
      </c>
    </row>
    <row r="239" spans="1:12" hidden="1" x14ac:dyDescent="0.25">
      <c r="A239" t="s">
        <v>483</v>
      </c>
      <c r="B239" t="s">
        <v>484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87</v>
      </c>
      <c r="I239" t="s">
        <v>486</v>
      </c>
      <c r="J239" t="s">
        <v>25</v>
      </c>
      <c r="K239" t="s">
        <v>232</v>
      </c>
      <c r="L239" t="s">
        <v>498</v>
      </c>
    </row>
    <row r="240" spans="1:12" hidden="1" x14ac:dyDescent="0.25">
      <c r="A240" t="s">
        <v>483</v>
      </c>
      <c r="B240" t="s">
        <v>484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93</v>
      </c>
      <c r="I240" t="s">
        <v>486</v>
      </c>
      <c r="J240" t="s">
        <v>25</v>
      </c>
      <c r="K240" t="s">
        <v>238</v>
      </c>
      <c r="L240" t="s">
        <v>239</v>
      </c>
    </row>
    <row r="241" spans="1:12" hidden="1" x14ac:dyDescent="0.25">
      <c r="A241" t="s">
        <v>499</v>
      </c>
      <c r="B241" t="s">
        <v>500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14</v>
      </c>
      <c r="I241" t="s">
        <v>501</v>
      </c>
      <c r="J241" t="s">
        <v>502</v>
      </c>
      <c r="K241" t="s">
        <v>503</v>
      </c>
      <c r="L241" t="s">
        <v>504</v>
      </c>
    </row>
    <row r="242" spans="1:12" hidden="1" x14ac:dyDescent="0.25">
      <c r="A242" t="s">
        <v>499</v>
      </c>
      <c r="B242" t="s">
        <v>500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19</v>
      </c>
      <c r="I242" t="s">
        <v>501</v>
      </c>
      <c r="J242" t="s">
        <v>505</v>
      </c>
      <c r="K242" t="s">
        <v>197</v>
      </c>
      <c r="L242" t="s">
        <v>198</v>
      </c>
    </row>
    <row r="243" spans="1:12" hidden="1" x14ac:dyDescent="0.25">
      <c r="A243" t="s">
        <v>499</v>
      </c>
      <c r="B243" t="s">
        <v>500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22</v>
      </c>
      <c r="I243" t="s">
        <v>501</v>
      </c>
      <c r="J243" t="s">
        <v>207</v>
      </c>
      <c r="K243" t="s">
        <v>23</v>
      </c>
    </row>
    <row r="244" spans="1:12" hidden="1" x14ac:dyDescent="0.25">
      <c r="A244" t="s">
        <v>499</v>
      </c>
      <c r="B244" t="s">
        <v>500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24</v>
      </c>
      <c r="I244" t="s">
        <v>501</v>
      </c>
      <c r="J244" t="s">
        <v>506</v>
      </c>
      <c r="K244" t="s">
        <v>25</v>
      </c>
      <c r="L244" t="s">
        <v>507</v>
      </c>
    </row>
    <row r="245" spans="1:12" hidden="1" x14ac:dyDescent="0.25">
      <c r="A245" t="s">
        <v>499</v>
      </c>
      <c r="B245" t="s">
        <v>500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26</v>
      </c>
      <c r="I245" t="s">
        <v>501</v>
      </c>
      <c r="J245" t="s">
        <v>27</v>
      </c>
      <c r="K245" t="s">
        <v>211</v>
      </c>
    </row>
    <row r="246" spans="1:12" hidden="1" x14ac:dyDescent="0.25">
      <c r="A246" t="s">
        <v>499</v>
      </c>
      <c r="B246" t="s">
        <v>500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32</v>
      </c>
      <c r="I246" t="s">
        <v>501</v>
      </c>
      <c r="J246" t="s">
        <v>33</v>
      </c>
      <c r="K246" t="s">
        <v>213</v>
      </c>
      <c r="L246" t="s">
        <v>212</v>
      </c>
    </row>
    <row r="247" spans="1:12" hidden="1" x14ac:dyDescent="0.25">
      <c r="A247" t="s">
        <v>499</v>
      </c>
      <c r="B247" t="s">
        <v>500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508</v>
      </c>
      <c r="I247" t="s">
        <v>501</v>
      </c>
      <c r="J247" t="s">
        <v>509</v>
      </c>
      <c r="K247" t="s">
        <v>510</v>
      </c>
      <c r="L247" t="s">
        <v>511</v>
      </c>
    </row>
    <row r="248" spans="1:12" hidden="1" x14ac:dyDescent="0.25">
      <c r="A248" t="s">
        <v>499</v>
      </c>
      <c r="B248" t="s">
        <v>500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38</v>
      </c>
      <c r="I248" t="s">
        <v>501</v>
      </c>
      <c r="J248" t="s">
        <v>39</v>
      </c>
      <c r="K248" t="s">
        <v>512</v>
      </c>
      <c r="L248" t="s">
        <v>303</v>
      </c>
    </row>
    <row r="249" spans="1:12" hidden="1" x14ac:dyDescent="0.25">
      <c r="A249" t="s">
        <v>499</v>
      </c>
      <c r="B249" t="s">
        <v>500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41</v>
      </c>
      <c r="I249" t="s">
        <v>501</v>
      </c>
      <c r="J249" t="s">
        <v>513</v>
      </c>
      <c r="K249" t="s">
        <v>514</v>
      </c>
      <c r="L249" t="s">
        <v>515</v>
      </c>
    </row>
    <row r="250" spans="1:12" hidden="1" x14ac:dyDescent="0.25">
      <c r="A250" t="s">
        <v>499</v>
      </c>
      <c r="B250" t="s">
        <v>500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45</v>
      </c>
      <c r="I250" t="s">
        <v>501</v>
      </c>
      <c r="J250" t="s">
        <v>513</v>
      </c>
      <c r="K250" t="s">
        <v>514</v>
      </c>
      <c r="L250" t="s">
        <v>515</v>
      </c>
    </row>
    <row r="251" spans="1:12" hidden="1" x14ac:dyDescent="0.25">
      <c r="A251" t="s">
        <v>499</v>
      </c>
      <c r="B251" t="s">
        <v>500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47</v>
      </c>
      <c r="I251" t="s">
        <v>501</v>
      </c>
      <c r="J251" t="s">
        <v>224</v>
      </c>
      <c r="K251" t="s">
        <v>58</v>
      </c>
      <c r="L251" t="s">
        <v>459</v>
      </c>
    </row>
    <row r="252" spans="1:12" hidden="1" x14ac:dyDescent="0.25">
      <c r="A252" t="s">
        <v>499</v>
      </c>
      <c r="B252" t="s">
        <v>500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51</v>
      </c>
      <c r="I252" t="s">
        <v>501</v>
      </c>
      <c r="J252" t="s">
        <v>513</v>
      </c>
      <c r="K252" t="s">
        <v>516</v>
      </c>
      <c r="L252" t="s">
        <v>515</v>
      </c>
    </row>
    <row r="253" spans="1:12" hidden="1" x14ac:dyDescent="0.25">
      <c r="A253" t="s">
        <v>499</v>
      </c>
      <c r="B253" t="s">
        <v>500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55</v>
      </c>
      <c r="I253" t="s">
        <v>501</v>
      </c>
      <c r="J253" t="s">
        <v>56</v>
      </c>
    </row>
    <row r="254" spans="1:12" hidden="1" x14ac:dyDescent="0.25">
      <c r="A254" t="s">
        <v>499</v>
      </c>
      <c r="B254" t="s">
        <v>500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57</v>
      </c>
      <c r="I254" t="s">
        <v>501</v>
      </c>
      <c r="J254" t="s">
        <v>58</v>
      </c>
      <c r="K254" t="s">
        <v>74</v>
      </c>
      <c r="L254" t="s">
        <v>25</v>
      </c>
    </row>
    <row r="255" spans="1:12" hidden="1" x14ac:dyDescent="0.25">
      <c r="A255" t="s">
        <v>499</v>
      </c>
      <c r="B255" t="s">
        <v>500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59</v>
      </c>
      <c r="I255" t="s">
        <v>501</v>
      </c>
      <c r="J255" t="s">
        <v>60</v>
      </c>
      <c r="K255" t="s">
        <v>25</v>
      </c>
      <c r="L255" t="s">
        <v>316</v>
      </c>
    </row>
    <row r="256" spans="1:12" hidden="1" x14ac:dyDescent="0.25">
      <c r="A256" t="s">
        <v>499</v>
      </c>
      <c r="B256" t="s">
        <v>500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61</v>
      </c>
      <c r="I256" t="s">
        <v>501</v>
      </c>
      <c r="J256" t="s">
        <v>62</v>
      </c>
      <c r="K256" t="s">
        <v>25</v>
      </c>
      <c r="L256" t="s">
        <v>58</v>
      </c>
    </row>
    <row r="257" spans="1:12" hidden="1" x14ac:dyDescent="0.25">
      <c r="A257" t="s">
        <v>499</v>
      </c>
      <c r="B257" t="s">
        <v>500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63</v>
      </c>
      <c r="I257" t="s">
        <v>501</v>
      </c>
      <c r="J257" t="s">
        <v>517</v>
      </c>
      <c r="K257" t="s">
        <v>518</v>
      </c>
      <c r="L257" t="s">
        <v>25</v>
      </c>
    </row>
    <row r="258" spans="1:12" hidden="1" x14ac:dyDescent="0.25">
      <c r="A258" t="s">
        <v>499</v>
      </c>
      <c r="B258" t="s">
        <v>500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64</v>
      </c>
      <c r="I258" t="s">
        <v>501</v>
      </c>
      <c r="J258" t="s">
        <v>65</v>
      </c>
      <c r="K258" t="s">
        <v>25</v>
      </c>
      <c r="L258" t="s">
        <v>82</v>
      </c>
    </row>
    <row r="259" spans="1:12" hidden="1" x14ac:dyDescent="0.25">
      <c r="A259" t="s">
        <v>499</v>
      </c>
      <c r="B259" t="s">
        <v>500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66</v>
      </c>
      <c r="I259" t="s">
        <v>501</v>
      </c>
      <c r="J259" t="s">
        <v>67</v>
      </c>
      <c r="K259" t="s">
        <v>25</v>
      </c>
      <c r="L259" t="s">
        <v>76</v>
      </c>
    </row>
    <row r="260" spans="1:12" hidden="1" x14ac:dyDescent="0.25">
      <c r="A260" t="s">
        <v>499</v>
      </c>
      <c r="B260" t="s">
        <v>500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68</v>
      </c>
      <c r="I260" t="s">
        <v>501</v>
      </c>
      <c r="J260" t="s">
        <v>519</v>
      </c>
      <c r="K260" t="s">
        <v>520</v>
      </c>
      <c r="L260" t="s">
        <v>25</v>
      </c>
    </row>
    <row r="261" spans="1:12" hidden="1" x14ac:dyDescent="0.25">
      <c r="A261" t="s">
        <v>499</v>
      </c>
      <c r="B261" t="s">
        <v>500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72</v>
      </c>
      <c r="I261" t="s">
        <v>501</v>
      </c>
      <c r="J261" t="s">
        <v>519</v>
      </c>
      <c r="K261" t="s">
        <v>520</v>
      </c>
      <c r="L261" t="s">
        <v>25</v>
      </c>
    </row>
    <row r="262" spans="1:12" hidden="1" x14ac:dyDescent="0.25">
      <c r="A262" t="s">
        <v>499</v>
      </c>
      <c r="B262" t="s">
        <v>500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73</v>
      </c>
      <c r="I262" t="s">
        <v>501</v>
      </c>
      <c r="J262" t="s">
        <v>60</v>
      </c>
      <c r="K262" t="s">
        <v>25</v>
      </c>
      <c r="L262" t="s">
        <v>521</v>
      </c>
    </row>
    <row r="263" spans="1:12" hidden="1" x14ac:dyDescent="0.25">
      <c r="A263" t="s">
        <v>499</v>
      </c>
      <c r="B263" t="s">
        <v>500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75</v>
      </c>
      <c r="I263" t="s">
        <v>501</v>
      </c>
      <c r="J263" t="s">
        <v>76</v>
      </c>
      <c r="K263" t="s">
        <v>25</v>
      </c>
      <c r="L263" t="s">
        <v>522</v>
      </c>
    </row>
    <row r="264" spans="1:12" hidden="1" x14ac:dyDescent="0.25">
      <c r="A264" t="s">
        <v>499</v>
      </c>
      <c r="B264" t="s">
        <v>500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77</v>
      </c>
      <c r="I264" t="s">
        <v>501</v>
      </c>
      <c r="J264" t="s">
        <v>523</v>
      </c>
      <c r="K264" t="s">
        <v>60</v>
      </c>
      <c r="L264" t="s">
        <v>25</v>
      </c>
    </row>
    <row r="265" spans="1:12" hidden="1" x14ac:dyDescent="0.25">
      <c r="A265" t="s">
        <v>499</v>
      </c>
      <c r="B265" t="s">
        <v>500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78</v>
      </c>
      <c r="I265" t="s">
        <v>501</v>
      </c>
      <c r="J265" t="s">
        <v>518</v>
      </c>
      <c r="K265" t="s">
        <v>79</v>
      </c>
      <c r="L265" t="s">
        <v>25</v>
      </c>
    </row>
    <row r="266" spans="1:12" hidden="1" x14ac:dyDescent="0.25">
      <c r="A266" t="s">
        <v>499</v>
      </c>
      <c r="B266" t="s">
        <v>500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80</v>
      </c>
      <c r="I266" t="s">
        <v>501</v>
      </c>
      <c r="J266" t="s">
        <v>523</v>
      </c>
      <c r="K266" t="s">
        <v>60</v>
      </c>
      <c r="L266" t="s">
        <v>25</v>
      </c>
    </row>
    <row r="267" spans="1:12" hidden="1" x14ac:dyDescent="0.25">
      <c r="A267" t="s">
        <v>499</v>
      </c>
      <c r="B267" t="s">
        <v>500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81</v>
      </c>
      <c r="I267" t="s">
        <v>501</v>
      </c>
      <c r="J267" t="s">
        <v>518</v>
      </c>
      <c r="K267" t="s">
        <v>82</v>
      </c>
      <c r="L267" t="s">
        <v>25</v>
      </c>
    </row>
    <row r="268" spans="1:12" hidden="1" x14ac:dyDescent="0.25">
      <c r="A268" t="s">
        <v>499</v>
      </c>
      <c r="B268" t="s">
        <v>500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83</v>
      </c>
      <c r="I268" t="s">
        <v>501</v>
      </c>
      <c r="J268" t="s">
        <v>25</v>
      </c>
      <c r="K268" t="s">
        <v>524</v>
      </c>
      <c r="L268" t="s">
        <v>224</v>
      </c>
    </row>
    <row r="269" spans="1:12" hidden="1" x14ac:dyDescent="0.25">
      <c r="A269" t="s">
        <v>499</v>
      </c>
      <c r="B269" t="s">
        <v>500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86</v>
      </c>
      <c r="I269" t="s">
        <v>501</v>
      </c>
      <c r="J269" t="s">
        <v>25</v>
      </c>
      <c r="K269" t="s">
        <v>524</v>
      </c>
      <c r="L269" t="s">
        <v>224</v>
      </c>
    </row>
    <row r="270" spans="1:12" hidden="1" x14ac:dyDescent="0.25">
      <c r="A270" t="s">
        <v>499</v>
      </c>
      <c r="B270" t="s">
        <v>500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87</v>
      </c>
      <c r="I270" t="s">
        <v>501</v>
      </c>
      <c r="J270" t="s">
        <v>525</v>
      </c>
      <c r="K270" t="s">
        <v>88</v>
      </c>
      <c r="L270" t="s">
        <v>526</v>
      </c>
    </row>
    <row r="271" spans="1:12" hidden="1" x14ac:dyDescent="0.25">
      <c r="A271" t="s">
        <v>499</v>
      </c>
      <c r="B271" t="s">
        <v>500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90</v>
      </c>
      <c r="I271" t="s">
        <v>501</v>
      </c>
      <c r="J271" t="s">
        <v>525</v>
      </c>
      <c r="K271" t="s">
        <v>527</v>
      </c>
      <c r="L271" t="s">
        <v>528</v>
      </c>
    </row>
    <row r="272" spans="1:12" hidden="1" x14ac:dyDescent="0.25">
      <c r="A272" t="s">
        <v>499</v>
      </c>
      <c r="B272" t="s">
        <v>500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529</v>
      </c>
      <c r="I272" t="s">
        <v>501</v>
      </c>
      <c r="J272" t="s">
        <v>530</v>
      </c>
      <c r="K272" t="s">
        <v>94</v>
      </c>
      <c r="L272" t="s">
        <v>531</v>
      </c>
    </row>
    <row r="273" spans="1:12" hidden="1" x14ac:dyDescent="0.25">
      <c r="A273" t="s">
        <v>532</v>
      </c>
      <c r="B273" t="s">
        <v>533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14</v>
      </c>
      <c r="I273" t="s">
        <v>534</v>
      </c>
      <c r="J273" t="s">
        <v>535</v>
      </c>
      <c r="K273" t="s">
        <v>536</v>
      </c>
      <c r="L273" t="s">
        <v>537</v>
      </c>
    </row>
    <row r="274" spans="1:12" hidden="1" x14ac:dyDescent="0.25">
      <c r="A274" t="s">
        <v>532</v>
      </c>
      <c r="B274" t="s">
        <v>533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19</v>
      </c>
      <c r="I274" t="s">
        <v>534</v>
      </c>
      <c r="J274" t="s">
        <v>197</v>
      </c>
      <c r="K274" t="s">
        <v>20</v>
      </c>
      <c r="L274" t="s">
        <v>21</v>
      </c>
    </row>
    <row r="275" spans="1:12" hidden="1" x14ac:dyDescent="0.25">
      <c r="A275" t="s">
        <v>532</v>
      </c>
      <c r="B275" t="s">
        <v>533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22</v>
      </c>
      <c r="I275" t="s">
        <v>534</v>
      </c>
      <c r="J275" t="s">
        <v>207</v>
      </c>
      <c r="K275" t="s">
        <v>23</v>
      </c>
    </row>
    <row r="276" spans="1:12" hidden="1" x14ac:dyDescent="0.25">
      <c r="A276" t="s">
        <v>532</v>
      </c>
      <c r="B276" t="s">
        <v>533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24</v>
      </c>
      <c r="I276" t="s">
        <v>534</v>
      </c>
      <c r="J276" t="s">
        <v>538</v>
      </c>
      <c r="K276" t="s">
        <v>539</v>
      </c>
      <c r="L276" t="s">
        <v>540</v>
      </c>
    </row>
    <row r="277" spans="1:12" hidden="1" x14ac:dyDescent="0.25">
      <c r="A277" t="s">
        <v>532</v>
      </c>
      <c r="B277" t="s">
        <v>533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541</v>
      </c>
      <c r="I277" t="s">
        <v>534</v>
      </c>
      <c r="J277" t="s">
        <v>542</v>
      </c>
      <c r="K277" t="s">
        <v>543</v>
      </c>
      <c r="L277" t="s">
        <v>544</v>
      </c>
    </row>
    <row r="278" spans="1:12" hidden="1" x14ac:dyDescent="0.25">
      <c r="A278" t="s">
        <v>532</v>
      </c>
      <c r="B278" t="s">
        <v>533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104</v>
      </c>
      <c r="I278" t="s">
        <v>534</v>
      </c>
      <c r="J278" t="s">
        <v>545</v>
      </c>
      <c r="K278" t="s">
        <v>546</v>
      </c>
      <c r="L278" t="s">
        <v>547</v>
      </c>
    </row>
    <row r="279" spans="1:12" hidden="1" x14ac:dyDescent="0.25">
      <c r="A279" t="s">
        <v>532</v>
      </c>
      <c r="B279" t="s">
        <v>533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108</v>
      </c>
      <c r="I279" t="s">
        <v>534</v>
      </c>
      <c r="J279" t="s">
        <v>548</v>
      </c>
      <c r="K279" t="s">
        <v>549</v>
      </c>
      <c r="L279" t="s">
        <v>550</v>
      </c>
    </row>
    <row r="280" spans="1:12" hidden="1" x14ac:dyDescent="0.25">
      <c r="A280" t="s">
        <v>532</v>
      </c>
      <c r="B280" t="s">
        <v>533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112</v>
      </c>
      <c r="I280" t="s">
        <v>534</v>
      </c>
      <c r="J280" t="s">
        <v>343</v>
      </c>
      <c r="K280" t="s">
        <v>39</v>
      </c>
      <c r="L280" t="s">
        <v>306</v>
      </c>
    </row>
    <row r="281" spans="1:12" hidden="1" x14ac:dyDescent="0.25">
      <c r="A281" t="s">
        <v>532</v>
      </c>
      <c r="B281" t="s">
        <v>533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114</v>
      </c>
      <c r="I281" t="s">
        <v>534</v>
      </c>
      <c r="J281" t="s">
        <v>115</v>
      </c>
      <c r="K281" t="s">
        <v>551</v>
      </c>
      <c r="L281" t="s">
        <v>552</v>
      </c>
    </row>
    <row r="282" spans="1:12" hidden="1" x14ac:dyDescent="0.25">
      <c r="A282" t="s">
        <v>532</v>
      </c>
      <c r="B282" t="s">
        <v>533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117</v>
      </c>
      <c r="I282" t="s">
        <v>534</v>
      </c>
      <c r="J282" t="s">
        <v>119</v>
      </c>
      <c r="K282" t="s">
        <v>551</v>
      </c>
      <c r="L282" t="s">
        <v>553</v>
      </c>
    </row>
    <row r="283" spans="1:12" hidden="1" x14ac:dyDescent="0.25">
      <c r="A283" t="s">
        <v>532</v>
      </c>
      <c r="B283" t="s">
        <v>533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554</v>
      </c>
      <c r="I283" t="s">
        <v>534</v>
      </c>
      <c r="J283">
        <v>56</v>
      </c>
      <c r="K283">
        <v>126</v>
      </c>
      <c r="L283">
        <v>2</v>
      </c>
    </row>
    <row r="284" spans="1:12" hidden="1" x14ac:dyDescent="0.25">
      <c r="A284" t="s">
        <v>532</v>
      </c>
      <c r="B284" t="s">
        <v>533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121</v>
      </c>
      <c r="I284" t="s">
        <v>534</v>
      </c>
      <c r="J284" t="s">
        <v>358</v>
      </c>
      <c r="K284" t="s">
        <v>25</v>
      </c>
      <c r="L284" t="s">
        <v>460</v>
      </c>
    </row>
    <row r="285" spans="1:12" hidden="1" x14ac:dyDescent="0.25">
      <c r="A285" t="s">
        <v>532</v>
      </c>
      <c r="B285" t="s">
        <v>533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125</v>
      </c>
      <c r="I285" t="s">
        <v>534</v>
      </c>
      <c r="J285" t="s">
        <v>555</v>
      </c>
      <c r="K285" t="s">
        <v>513</v>
      </c>
      <c r="L285" t="s">
        <v>556</v>
      </c>
    </row>
    <row r="286" spans="1:12" hidden="1" x14ac:dyDescent="0.25">
      <c r="A286" t="s">
        <v>532</v>
      </c>
      <c r="B286" t="s">
        <v>533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148</v>
      </c>
      <c r="I286" t="s">
        <v>534</v>
      </c>
      <c r="J286" t="s">
        <v>557</v>
      </c>
      <c r="K286" t="s">
        <v>558</v>
      </c>
      <c r="L286" t="s">
        <v>559</v>
      </c>
    </row>
    <row r="287" spans="1:12" hidden="1" x14ac:dyDescent="0.25">
      <c r="A287" t="s">
        <v>532</v>
      </c>
      <c r="B287" t="s">
        <v>533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152</v>
      </c>
      <c r="I287" t="s">
        <v>534</v>
      </c>
      <c r="J287" t="s">
        <v>560</v>
      </c>
      <c r="K287" t="s">
        <v>561</v>
      </c>
      <c r="L287" t="s">
        <v>562</v>
      </c>
    </row>
    <row r="288" spans="1:12" hidden="1" x14ac:dyDescent="0.25">
      <c r="A288" t="s">
        <v>532</v>
      </c>
      <c r="B288" t="s">
        <v>533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563</v>
      </c>
      <c r="I288" t="s">
        <v>534</v>
      </c>
      <c r="J288" t="s">
        <v>564</v>
      </c>
      <c r="K288" t="s">
        <v>565</v>
      </c>
      <c r="L288" t="s">
        <v>566</v>
      </c>
    </row>
    <row r="289" spans="1:12" hidden="1" x14ac:dyDescent="0.25">
      <c r="A289" t="s">
        <v>532</v>
      </c>
      <c r="B289" t="s">
        <v>533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567</v>
      </c>
      <c r="I289" t="s">
        <v>534</v>
      </c>
      <c r="J289" t="s">
        <v>224</v>
      </c>
      <c r="K289" t="s">
        <v>160</v>
      </c>
      <c r="L289" t="s">
        <v>375</v>
      </c>
    </row>
    <row r="290" spans="1:12" hidden="1" x14ac:dyDescent="0.25">
      <c r="A290" t="s">
        <v>532</v>
      </c>
      <c r="B290" t="s">
        <v>533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161</v>
      </c>
      <c r="I290" t="s">
        <v>534</v>
      </c>
      <c r="J290" t="s">
        <v>568</v>
      </c>
      <c r="K290" t="s">
        <v>569</v>
      </c>
      <c r="L290" t="s">
        <v>570</v>
      </c>
    </row>
    <row r="291" spans="1:12" hidden="1" x14ac:dyDescent="0.25">
      <c r="A291" t="s">
        <v>532</v>
      </c>
      <c r="B291" t="s">
        <v>533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165</v>
      </c>
      <c r="I291" t="s">
        <v>534</v>
      </c>
      <c r="J291" t="s">
        <v>568</v>
      </c>
      <c r="K291" t="s">
        <v>571</v>
      </c>
      <c r="L291" t="s">
        <v>572</v>
      </c>
    </row>
    <row r="292" spans="1:12" hidden="1" x14ac:dyDescent="0.25">
      <c r="A292" t="s">
        <v>532</v>
      </c>
      <c r="B292" t="s">
        <v>533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169</v>
      </c>
      <c r="I292" t="s">
        <v>534</v>
      </c>
      <c r="J292" t="s">
        <v>568</v>
      </c>
      <c r="K292" t="s">
        <v>571</v>
      </c>
      <c r="L292" t="s">
        <v>572</v>
      </c>
    </row>
    <row r="293" spans="1:12" hidden="1" x14ac:dyDescent="0.25">
      <c r="A293" t="s">
        <v>532</v>
      </c>
      <c r="B293" t="s">
        <v>533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173</v>
      </c>
      <c r="I293" t="s">
        <v>534</v>
      </c>
      <c r="J293" t="s">
        <v>568</v>
      </c>
      <c r="K293" t="s">
        <v>571</v>
      </c>
      <c r="L293" t="s">
        <v>572</v>
      </c>
    </row>
    <row r="294" spans="1:12" hidden="1" x14ac:dyDescent="0.25">
      <c r="A294" t="s">
        <v>532</v>
      </c>
      <c r="B294" t="s">
        <v>533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175</v>
      </c>
      <c r="I294" t="s">
        <v>534</v>
      </c>
      <c r="J294" t="s">
        <v>568</v>
      </c>
      <c r="K294" t="s">
        <v>25</v>
      </c>
      <c r="L294" t="s">
        <v>573</v>
      </c>
    </row>
    <row r="295" spans="1:12" hidden="1" x14ac:dyDescent="0.25">
      <c r="A295" t="s">
        <v>532</v>
      </c>
      <c r="B295" t="s">
        <v>533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179</v>
      </c>
      <c r="I295" t="s">
        <v>534</v>
      </c>
      <c r="J295" t="s">
        <v>25</v>
      </c>
      <c r="K295" t="s">
        <v>224</v>
      </c>
      <c r="L295" t="s">
        <v>574</v>
      </c>
    </row>
    <row r="296" spans="1:12" hidden="1" x14ac:dyDescent="0.25">
      <c r="A296" t="s">
        <v>532</v>
      </c>
      <c r="B296" t="s">
        <v>533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87</v>
      </c>
      <c r="I296" t="s">
        <v>534</v>
      </c>
      <c r="J296" t="s">
        <v>575</v>
      </c>
      <c r="K296" t="s">
        <v>234</v>
      </c>
      <c r="L296" t="s">
        <v>576</v>
      </c>
    </row>
    <row r="297" spans="1:12" hidden="1" x14ac:dyDescent="0.25">
      <c r="A297" t="s">
        <v>532</v>
      </c>
      <c r="B297" t="s">
        <v>533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90</v>
      </c>
      <c r="I297" t="s">
        <v>534</v>
      </c>
      <c r="J297" t="s">
        <v>542</v>
      </c>
      <c r="K297" t="s">
        <v>577</v>
      </c>
      <c r="L297" t="s">
        <v>578</v>
      </c>
    </row>
    <row r="298" spans="1:12" hidden="1" x14ac:dyDescent="0.25">
      <c r="A298" t="s">
        <v>532</v>
      </c>
      <c r="B298" t="s">
        <v>533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529</v>
      </c>
      <c r="I298" t="s">
        <v>534</v>
      </c>
      <c r="J298" t="s">
        <v>95</v>
      </c>
      <c r="K298" t="s">
        <v>240</v>
      </c>
      <c r="L298" t="s">
        <v>579</v>
      </c>
    </row>
    <row r="299" spans="1:12" hidden="1" x14ac:dyDescent="0.25">
      <c r="A299" t="s">
        <v>580</v>
      </c>
      <c r="B299" t="s">
        <v>581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14</v>
      </c>
      <c r="I299" t="s">
        <v>582</v>
      </c>
      <c r="J299" t="s">
        <v>583</v>
      </c>
      <c r="K299" t="s">
        <v>584</v>
      </c>
      <c r="L299" t="s">
        <v>585</v>
      </c>
    </row>
    <row r="300" spans="1:12" hidden="1" x14ac:dyDescent="0.25">
      <c r="A300" t="s">
        <v>580</v>
      </c>
      <c r="B300" t="s">
        <v>581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19</v>
      </c>
      <c r="I300" t="s">
        <v>582</v>
      </c>
      <c r="J300" t="s">
        <v>586</v>
      </c>
      <c r="K300" t="s">
        <v>505</v>
      </c>
      <c r="L300" t="s">
        <v>587</v>
      </c>
    </row>
    <row r="301" spans="1:12" hidden="1" x14ac:dyDescent="0.25">
      <c r="A301" t="s">
        <v>580</v>
      </c>
      <c r="B301" t="s">
        <v>581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22</v>
      </c>
      <c r="I301" t="s">
        <v>582</v>
      </c>
      <c r="J301" t="s">
        <v>207</v>
      </c>
      <c r="K301" t="s">
        <v>23</v>
      </c>
    </row>
    <row r="302" spans="1:12" hidden="1" x14ac:dyDescent="0.25">
      <c r="A302" t="s">
        <v>580</v>
      </c>
      <c r="B302" t="s">
        <v>581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24</v>
      </c>
      <c r="I302" t="s">
        <v>582</v>
      </c>
      <c r="J302" t="s">
        <v>588</v>
      </c>
      <c r="K302" t="s">
        <v>589</v>
      </c>
      <c r="L302" t="s">
        <v>590</v>
      </c>
    </row>
    <row r="303" spans="1:12" hidden="1" x14ac:dyDescent="0.25">
      <c r="A303" t="s">
        <v>580</v>
      </c>
      <c r="B303" t="s">
        <v>581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591</v>
      </c>
      <c r="I303" t="s">
        <v>582</v>
      </c>
      <c r="J303" t="s">
        <v>592</v>
      </c>
      <c r="K303" t="s">
        <v>25</v>
      </c>
      <c r="L303" t="s">
        <v>593</v>
      </c>
    </row>
    <row r="304" spans="1:12" hidden="1" x14ac:dyDescent="0.25">
      <c r="A304" t="s">
        <v>580</v>
      </c>
      <c r="B304" t="s">
        <v>581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32</v>
      </c>
      <c r="I304" t="s">
        <v>582</v>
      </c>
      <c r="J304" t="s">
        <v>213</v>
      </c>
      <c r="K304" t="s">
        <v>33</v>
      </c>
      <c r="L304" t="s">
        <v>594</v>
      </c>
    </row>
    <row r="305" spans="1:12" hidden="1" x14ac:dyDescent="0.25">
      <c r="A305" t="s">
        <v>580</v>
      </c>
      <c r="B305" t="s">
        <v>581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595</v>
      </c>
      <c r="I305" t="s">
        <v>582</v>
      </c>
      <c r="J305" t="s">
        <v>27</v>
      </c>
      <c r="K305" t="s">
        <v>211</v>
      </c>
    </row>
    <row r="306" spans="1:12" hidden="1" x14ac:dyDescent="0.25">
      <c r="A306" t="s">
        <v>580</v>
      </c>
      <c r="B306" t="s">
        <v>581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596</v>
      </c>
      <c r="I306" t="s">
        <v>582</v>
      </c>
      <c r="J306" t="s">
        <v>25</v>
      </c>
      <c r="K306" t="s">
        <v>597</v>
      </c>
      <c r="L306" t="s">
        <v>598</v>
      </c>
    </row>
    <row r="307" spans="1:12" hidden="1" x14ac:dyDescent="0.25">
      <c r="A307" t="s">
        <v>580</v>
      </c>
      <c r="B307" t="s">
        <v>581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599</v>
      </c>
      <c r="I307" t="s">
        <v>582</v>
      </c>
      <c r="J307" t="s">
        <v>25</v>
      </c>
      <c r="K307" t="s">
        <v>600</v>
      </c>
      <c r="L307" t="s">
        <v>601</v>
      </c>
    </row>
    <row r="308" spans="1:12" hidden="1" x14ac:dyDescent="0.25">
      <c r="A308" t="s">
        <v>580</v>
      </c>
      <c r="B308" t="s">
        <v>581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602</v>
      </c>
      <c r="I308" t="s">
        <v>582</v>
      </c>
      <c r="J308" t="s">
        <v>25</v>
      </c>
      <c r="K308" t="s">
        <v>603</v>
      </c>
      <c r="L308" t="s">
        <v>604</v>
      </c>
    </row>
    <row r="309" spans="1:12" hidden="1" x14ac:dyDescent="0.25">
      <c r="A309" t="s">
        <v>580</v>
      </c>
      <c r="B309" t="s">
        <v>581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605</v>
      </c>
      <c r="I309" t="s">
        <v>582</v>
      </c>
      <c r="J309" t="s">
        <v>606</v>
      </c>
      <c r="K309" t="s">
        <v>607</v>
      </c>
      <c r="L309" t="s">
        <v>608</v>
      </c>
    </row>
    <row r="310" spans="1:12" hidden="1" x14ac:dyDescent="0.25">
      <c r="A310" t="s">
        <v>580</v>
      </c>
      <c r="B310" t="s">
        <v>581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87</v>
      </c>
      <c r="I310" t="s">
        <v>582</v>
      </c>
      <c r="J310" t="s">
        <v>609</v>
      </c>
      <c r="K310" t="s">
        <v>233</v>
      </c>
      <c r="L310" t="s">
        <v>610</v>
      </c>
    </row>
    <row r="311" spans="1:12" hidden="1" x14ac:dyDescent="0.25">
      <c r="A311" t="s">
        <v>580</v>
      </c>
      <c r="B311" t="s">
        <v>581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90</v>
      </c>
      <c r="I311" t="s">
        <v>582</v>
      </c>
      <c r="J311" t="s">
        <v>611</v>
      </c>
      <c r="K311" t="s">
        <v>612</v>
      </c>
      <c r="L311" t="s">
        <v>613</v>
      </c>
    </row>
    <row r="312" spans="1:12" hidden="1" x14ac:dyDescent="0.25">
      <c r="A312" t="s">
        <v>580</v>
      </c>
      <c r="B312" t="s">
        <v>581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529</v>
      </c>
      <c r="I312" t="s">
        <v>582</v>
      </c>
      <c r="J312" t="s">
        <v>614</v>
      </c>
      <c r="K312" t="s">
        <v>239</v>
      </c>
      <c r="L312" t="s">
        <v>615</v>
      </c>
    </row>
    <row r="313" spans="1:12" x14ac:dyDescent="0.25">
      <c r="A313" t="s">
        <v>580</v>
      </c>
      <c r="B313" t="s">
        <v>616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14</v>
      </c>
      <c r="I313" t="s">
        <v>617</v>
      </c>
      <c r="J313" t="s">
        <v>583</v>
      </c>
      <c r="K313" t="s">
        <v>584</v>
      </c>
      <c r="L313" t="s">
        <v>585</v>
      </c>
    </row>
    <row r="314" spans="1:12" x14ac:dyDescent="0.25">
      <c r="A314" t="s">
        <v>580</v>
      </c>
      <c r="B314" t="s">
        <v>616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618</v>
      </c>
      <c r="I314" t="s">
        <v>617</v>
      </c>
      <c r="J314" t="s">
        <v>619</v>
      </c>
      <c r="K314" t="s">
        <v>620</v>
      </c>
      <c r="L314" t="s">
        <v>621</v>
      </c>
    </row>
    <row r="315" spans="1:12" x14ac:dyDescent="0.25">
      <c r="A315" t="s">
        <v>580</v>
      </c>
      <c r="B315" t="s">
        <v>616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51</v>
      </c>
      <c r="I315" t="s">
        <v>617</v>
      </c>
      <c r="J315" t="s">
        <v>622</v>
      </c>
      <c r="K315" t="s">
        <v>623</v>
      </c>
      <c r="L315" t="s">
        <v>311</v>
      </c>
    </row>
    <row r="316" spans="1:12" x14ac:dyDescent="0.25">
      <c r="A316" t="s">
        <v>580</v>
      </c>
      <c r="B316" t="s">
        <v>616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624</v>
      </c>
      <c r="I316" t="s">
        <v>617</v>
      </c>
      <c r="J316" t="s">
        <v>25</v>
      </c>
      <c r="K316" t="s">
        <v>625</v>
      </c>
      <c r="L316" t="s">
        <v>626</v>
      </c>
    </row>
    <row r="317" spans="1:12" x14ac:dyDescent="0.25">
      <c r="A317" t="s">
        <v>580</v>
      </c>
      <c r="B317" t="s">
        <v>616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627</v>
      </c>
      <c r="I317" t="s">
        <v>617</v>
      </c>
      <c r="J317" t="s">
        <v>25</v>
      </c>
      <c r="K317" t="s">
        <v>628</v>
      </c>
      <c r="L317" t="s">
        <v>329</v>
      </c>
    </row>
    <row r="318" spans="1:12" x14ac:dyDescent="0.25">
      <c r="A318" t="s">
        <v>580</v>
      </c>
      <c r="B318" t="s">
        <v>616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629</v>
      </c>
      <c r="I318" t="s">
        <v>617</v>
      </c>
      <c r="J318" t="s">
        <v>25</v>
      </c>
      <c r="K318" t="s">
        <v>630</v>
      </c>
      <c r="L318" t="s">
        <v>631</v>
      </c>
    </row>
    <row r="319" spans="1:12" x14ac:dyDescent="0.25">
      <c r="A319" t="s">
        <v>580</v>
      </c>
      <c r="B319" t="s">
        <v>616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632</v>
      </c>
      <c r="I319" t="s">
        <v>617</v>
      </c>
      <c r="J319" t="s">
        <v>25</v>
      </c>
      <c r="K319" t="s">
        <v>633</v>
      </c>
      <c r="L319" t="s">
        <v>631</v>
      </c>
    </row>
    <row r="320" spans="1:12" x14ac:dyDescent="0.25">
      <c r="A320" t="s">
        <v>580</v>
      </c>
      <c r="B320" t="s">
        <v>616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634</v>
      </c>
      <c r="I320" t="s">
        <v>617</v>
      </c>
      <c r="J320" t="s">
        <v>25</v>
      </c>
      <c r="K320" t="s">
        <v>635</v>
      </c>
      <c r="L320" t="s">
        <v>631</v>
      </c>
    </row>
    <row r="321" spans="1:12" x14ac:dyDescent="0.25">
      <c r="A321" t="s">
        <v>580</v>
      </c>
      <c r="B321" t="s">
        <v>616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636</v>
      </c>
      <c r="I321" t="s">
        <v>617</v>
      </c>
      <c r="J321" t="s">
        <v>25</v>
      </c>
      <c r="K321" t="s">
        <v>224</v>
      </c>
      <c r="L321" t="s">
        <v>637</v>
      </c>
    </row>
    <row r="322" spans="1:12" x14ac:dyDescent="0.25">
      <c r="A322" t="s">
        <v>580</v>
      </c>
      <c r="B322" t="s">
        <v>616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638</v>
      </c>
      <c r="I322" t="s">
        <v>617</v>
      </c>
      <c r="J322" t="s">
        <v>25</v>
      </c>
      <c r="K322" t="s">
        <v>630</v>
      </c>
      <c r="L322" t="s">
        <v>639</v>
      </c>
    </row>
    <row r="323" spans="1:12" x14ac:dyDescent="0.25">
      <c r="A323" t="s">
        <v>580</v>
      </c>
      <c r="B323" t="s">
        <v>616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640</v>
      </c>
      <c r="I323" t="s">
        <v>617</v>
      </c>
      <c r="J323" t="s">
        <v>25</v>
      </c>
      <c r="K323" t="s">
        <v>641</v>
      </c>
      <c r="L323" t="s">
        <v>642</v>
      </c>
    </row>
    <row r="324" spans="1:12" x14ac:dyDescent="0.25">
      <c r="A324" t="s">
        <v>580</v>
      </c>
      <c r="B324" t="s">
        <v>616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643</v>
      </c>
      <c r="I324" t="s">
        <v>617</v>
      </c>
      <c r="J324" t="s">
        <v>25</v>
      </c>
      <c r="K324" t="s">
        <v>644</v>
      </c>
      <c r="L324" t="s">
        <v>645</v>
      </c>
    </row>
    <row r="325" spans="1:12" hidden="1" x14ac:dyDescent="0.25">
      <c r="A325" t="s">
        <v>580</v>
      </c>
      <c r="B325" t="s">
        <v>646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647</v>
      </c>
      <c r="I325" t="s">
        <v>648</v>
      </c>
      <c r="J325" t="s">
        <v>649</v>
      </c>
      <c r="K325" t="s">
        <v>650</v>
      </c>
      <c r="L325" t="s">
        <v>651</v>
      </c>
    </row>
    <row r="326" spans="1:12" hidden="1" x14ac:dyDescent="0.25">
      <c r="A326" t="s">
        <v>580</v>
      </c>
      <c r="B326" t="s">
        <v>646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618</v>
      </c>
      <c r="I326" t="s">
        <v>648</v>
      </c>
      <c r="J326" t="s">
        <v>621</v>
      </c>
      <c r="K326" t="s">
        <v>652</v>
      </c>
      <c r="L326" t="s">
        <v>653</v>
      </c>
    </row>
    <row r="327" spans="1:12" hidden="1" x14ac:dyDescent="0.25">
      <c r="A327" t="s">
        <v>580</v>
      </c>
      <c r="B327" t="s">
        <v>646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654</v>
      </c>
      <c r="I327" t="s">
        <v>648</v>
      </c>
      <c r="J327" t="s">
        <v>655</v>
      </c>
      <c r="K327" t="s">
        <v>656</v>
      </c>
      <c r="L327" t="s">
        <v>635</v>
      </c>
    </row>
    <row r="328" spans="1:12" hidden="1" x14ac:dyDescent="0.25">
      <c r="A328" t="s">
        <v>580</v>
      </c>
      <c r="B328" t="s">
        <v>646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657</v>
      </c>
      <c r="I328" t="s">
        <v>648</v>
      </c>
      <c r="J328" t="s">
        <v>658</v>
      </c>
      <c r="K328" t="s">
        <v>659</v>
      </c>
      <c r="L328" t="s">
        <v>660</v>
      </c>
    </row>
    <row r="329" spans="1:12" hidden="1" x14ac:dyDescent="0.25">
      <c r="A329" t="s">
        <v>580</v>
      </c>
      <c r="B329" t="s">
        <v>646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661</v>
      </c>
      <c r="I329" t="s">
        <v>648</v>
      </c>
      <c r="J329" t="s">
        <v>662</v>
      </c>
      <c r="K329" t="s">
        <v>663</v>
      </c>
      <c r="L329" t="s">
        <v>664</v>
      </c>
    </row>
    <row r="330" spans="1:12" hidden="1" x14ac:dyDescent="0.25">
      <c r="A330" t="s">
        <v>580</v>
      </c>
      <c r="B330" t="s">
        <v>646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47</v>
      </c>
      <c r="I330" t="s">
        <v>648</v>
      </c>
      <c r="J330" t="s">
        <v>665</v>
      </c>
      <c r="K330" t="s">
        <v>666</v>
      </c>
      <c r="L330" t="s">
        <v>637</v>
      </c>
    </row>
    <row r="331" spans="1:12" hidden="1" x14ac:dyDescent="0.25">
      <c r="A331" t="s">
        <v>580</v>
      </c>
      <c r="B331" t="s">
        <v>646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667</v>
      </c>
      <c r="I331" t="s">
        <v>648</v>
      </c>
      <c r="J331" t="s">
        <v>224</v>
      </c>
      <c r="K331" t="s">
        <v>655</v>
      </c>
      <c r="L331" t="s">
        <v>656</v>
      </c>
    </row>
    <row r="332" spans="1:12" hidden="1" x14ac:dyDescent="0.25">
      <c r="A332" t="s">
        <v>580</v>
      </c>
      <c r="B332" t="s">
        <v>646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668</v>
      </c>
      <c r="I332" t="s">
        <v>648</v>
      </c>
      <c r="J332" t="s">
        <v>224</v>
      </c>
      <c r="K332" t="s">
        <v>655</v>
      </c>
    </row>
    <row r="333" spans="1:12" hidden="1" x14ac:dyDescent="0.25">
      <c r="A333" t="s">
        <v>580</v>
      </c>
      <c r="B333" t="s">
        <v>646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669</v>
      </c>
      <c r="I333" t="s">
        <v>648</v>
      </c>
      <c r="J333" t="s">
        <v>224</v>
      </c>
      <c r="K333" t="s">
        <v>655</v>
      </c>
      <c r="L333" t="s">
        <v>656</v>
      </c>
    </row>
    <row r="334" spans="1:12" hidden="1" x14ac:dyDescent="0.25">
      <c r="A334" t="s">
        <v>580</v>
      </c>
      <c r="B334" t="s">
        <v>646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670</v>
      </c>
      <c r="I334" t="s">
        <v>648</v>
      </c>
      <c r="J334" t="s">
        <v>224</v>
      </c>
      <c r="K334" t="s">
        <v>655</v>
      </c>
      <c r="L334" t="s">
        <v>656</v>
      </c>
    </row>
    <row r="335" spans="1:12" hidden="1" x14ac:dyDescent="0.25">
      <c r="A335" t="s">
        <v>580</v>
      </c>
      <c r="B335" t="s">
        <v>646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671</v>
      </c>
      <c r="I335" t="s">
        <v>648</v>
      </c>
      <c r="J335" t="s">
        <v>224</v>
      </c>
      <c r="K335" t="s">
        <v>655</v>
      </c>
      <c r="L335" t="s">
        <v>656</v>
      </c>
    </row>
    <row r="336" spans="1:12" hidden="1" x14ac:dyDescent="0.25">
      <c r="A336" t="s">
        <v>580</v>
      </c>
      <c r="B336" t="s">
        <v>646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672</v>
      </c>
      <c r="I336" t="s">
        <v>648</v>
      </c>
      <c r="J336" t="s">
        <v>224</v>
      </c>
      <c r="K336" t="s">
        <v>655</v>
      </c>
      <c r="L336" t="s">
        <v>656</v>
      </c>
    </row>
    <row r="337" spans="1:12" hidden="1" x14ac:dyDescent="0.25">
      <c r="A337" t="s">
        <v>580</v>
      </c>
      <c r="B337" t="s">
        <v>646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673</v>
      </c>
      <c r="I337" t="s">
        <v>648</v>
      </c>
      <c r="J337" t="s">
        <v>25</v>
      </c>
      <c r="K337" t="s">
        <v>224</v>
      </c>
      <c r="L337" t="s">
        <v>674</v>
      </c>
    </row>
    <row r="338" spans="1:12" hidden="1" x14ac:dyDescent="0.25">
      <c r="A338" t="s">
        <v>675</v>
      </c>
      <c r="B338" t="s">
        <v>676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14</v>
      </c>
      <c r="I338" t="s">
        <v>677</v>
      </c>
      <c r="J338" t="s">
        <v>678</v>
      </c>
      <c r="K338" t="s">
        <v>679</v>
      </c>
      <c r="L338" t="s">
        <v>680</v>
      </c>
    </row>
    <row r="339" spans="1:12" hidden="1" x14ac:dyDescent="0.25">
      <c r="A339" t="s">
        <v>675</v>
      </c>
      <c r="B339" t="s">
        <v>676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19</v>
      </c>
      <c r="I339" t="s">
        <v>677</v>
      </c>
      <c r="J339" t="s">
        <v>586</v>
      </c>
      <c r="K339" t="s">
        <v>505</v>
      </c>
      <c r="L339" t="s">
        <v>587</v>
      </c>
    </row>
    <row r="340" spans="1:12" hidden="1" x14ac:dyDescent="0.25">
      <c r="A340" t="s">
        <v>675</v>
      </c>
      <c r="B340" t="s">
        <v>676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22</v>
      </c>
      <c r="I340" t="s">
        <v>677</v>
      </c>
      <c r="J340" t="s">
        <v>207</v>
      </c>
      <c r="K340" t="s">
        <v>23</v>
      </c>
    </row>
    <row r="341" spans="1:12" hidden="1" x14ac:dyDescent="0.25">
      <c r="A341" t="s">
        <v>675</v>
      </c>
      <c r="B341" t="s">
        <v>676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24</v>
      </c>
      <c r="I341" t="s">
        <v>677</v>
      </c>
      <c r="J341" t="s">
        <v>588</v>
      </c>
      <c r="K341" t="s">
        <v>589</v>
      </c>
      <c r="L341" t="s">
        <v>590</v>
      </c>
    </row>
    <row r="342" spans="1:12" hidden="1" x14ac:dyDescent="0.25">
      <c r="A342" t="s">
        <v>675</v>
      </c>
      <c r="B342" t="s">
        <v>676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278</v>
      </c>
      <c r="I342" t="s">
        <v>677</v>
      </c>
      <c r="J342" t="s">
        <v>681</v>
      </c>
      <c r="K342" t="s">
        <v>682</v>
      </c>
      <c r="L342" t="s">
        <v>683</v>
      </c>
    </row>
    <row r="343" spans="1:12" hidden="1" x14ac:dyDescent="0.25">
      <c r="A343" t="s">
        <v>675</v>
      </c>
      <c r="B343" t="s">
        <v>676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32</v>
      </c>
      <c r="I343" t="s">
        <v>677</v>
      </c>
      <c r="J343" t="s">
        <v>213</v>
      </c>
      <c r="K343" t="s">
        <v>33</v>
      </c>
      <c r="L343" t="s">
        <v>594</v>
      </c>
    </row>
    <row r="344" spans="1:12" hidden="1" x14ac:dyDescent="0.25">
      <c r="A344" t="s">
        <v>675</v>
      </c>
      <c r="B344" t="s">
        <v>676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595</v>
      </c>
      <c r="I344" t="s">
        <v>677</v>
      </c>
      <c r="J344" t="s">
        <v>27</v>
      </c>
      <c r="K344" t="s">
        <v>211</v>
      </c>
    </row>
    <row r="345" spans="1:12" hidden="1" x14ac:dyDescent="0.25">
      <c r="A345" t="s">
        <v>675</v>
      </c>
      <c r="B345" t="s">
        <v>676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591</v>
      </c>
      <c r="I345" t="s">
        <v>677</v>
      </c>
      <c r="J345" t="s">
        <v>592</v>
      </c>
      <c r="K345" t="s">
        <v>645</v>
      </c>
      <c r="L345" t="s">
        <v>593</v>
      </c>
    </row>
    <row r="346" spans="1:12" hidden="1" x14ac:dyDescent="0.25">
      <c r="A346" t="s">
        <v>675</v>
      </c>
      <c r="B346" t="s">
        <v>676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684</v>
      </c>
      <c r="I346" t="s">
        <v>677</v>
      </c>
      <c r="J346" t="s">
        <v>583</v>
      </c>
      <c r="K346" t="s">
        <v>584</v>
      </c>
      <c r="L346" t="s">
        <v>585</v>
      </c>
    </row>
    <row r="347" spans="1:12" hidden="1" x14ac:dyDescent="0.25">
      <c r="A347" t="s">
        <v>675</v>
      </c>
      <c r="B347" t="s">
        <v>676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285</v>
      </c>
      <c r="I347" t="s">
        <v>677</v>
      </c>
      <c r="J347" t="s">
        <v>25</v>
      </c>
      <c r="K347" t="s">
        <v>685</v>
      </c>
      <c r="L347" t="s">
        <v>686</v>
      </c>
    </row>
    <row r="348" spans="1:12" hidden="1" x14ac:dyDescent="0.25">
      <c r="A348" t="s">
        <v>675</v>
      </c>
      <c r="B348" t="s">
        <v>676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104</v>
      </c>
      <c r="I348" t="s">
        <v>677</v>
      </c>
      <c r="J348" t="s">
        <v>25</v>
      </c>
      <c r="K348" t="s">
        <v>288</v>
      </c>
      <c r="L348" t="s">
        <v>687</v>
      </c>
    </row>
    <row r="349" spans="1:12" hidden="1" x14ac:dyDescent="0.25">
      <c r="A349" t="s">
        <v>675</v>
      </c>
      <c r="B349" t="s">
        <v>676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112</v>
      </c>
      <c r="I349" t="s">
        <v>677</v>
      </c>
      <c r="J349" t="s">
        <v>44</v>
      </c>
      <c r="K349" t="s">
        <v>25</v>
      </c>
      <c r="L349" t="s">
        <v>48</v>
      </c>
    </row>
    <row r="350" spans="1:12" hidden="1" x14ac:dyDescent="0.25">
      <c r="A350" t="s">
        <v>675</v>
      </c>
      <c r="B350" t="s">
        <v>676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293</v>
      </c>
      <c r="I350" t="s">
        <v>677</v>
      </c>
      <c r="J350" t="s">
        <v>25</v>
      </c>
      <c r="K350" t="s">
        <v>688</v>
      </c>
      <c r="L350" t="s">
        <v>292</v>
      </c>
    </row>
    <row r="351" spans="1:12" hidden="1" x14ac:dyDescent="0.25">
      <c r="A351" t="s">
        <v>675</v>
      </c>
      <c r="B351" t="s">
        <v>676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296</v>
      </c>
      <c r="I351" t="s">
        <v>677</v>
      </c>
      <c r="J351" t="s">
        <v>25</v>
      </c>
      <c r="K351" t="s">
        <v>82</v>
      </c>
      <c r="L351" t="s">
        <v>689</v>
      </c>
    </row>
    <row r="352" spans="1:12" hidden="1" x14ac:dyDescent="0.25">
      <c r="A352" t="s">
        <v>675</v>
      </c>
      <c r="B352" t="s">
        <v>676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690</v>
      </c>
      <c r="I352" t="s">
        <v>677</v>
      </c>
      <c r="J352" t="s">
        <v>79</v>
      </c>
      <c r="K352" t="s">
        <v>691</v>
      </c>
      <c r="L352" t="s">
        <v>692</v>
      </c>
    </row>
    <row r="353" spans="1:12" hidden="1" x14ac:dyDescent="0.25">
      <c r="A353" t="s">
        <v>675</v>
      </c>
      <c r="B353" t="s">
        <v>676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299</v>
      </c>
      <c r="I353" t="s">
        <v>677</v>
      </c>
      <c r="J353" t="s">
        <v>79</v>
      </c>
      <c r="K353" t="s">
        <v>691</v>
      </c>
      <c r="L353" t="s">
        <v>692</v>
      </c>
    </row>
    <row r="354" spans="1:12" hidden="1" x14ac:dyDescent="0.25">
      <c r="A354" t="s">
        <v>675</v>
      </c>
      <c r="B354" t="s">
        <v>676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693</v>
      </c>
      <c r="I354" t="s">
        <v>677</v>
      </c>
      <c r="J354" t="s">
        <v>306</v>
      </c>
      <c r="K354" t="s">
        <v>25</v>
      </c>
      <c r="L354" t="s">
        <v>305</v>
      </c>
    </row>
    <row r="355" spans="1:12" hidden="1" x14ac:dyDescent="0.25">
      <c r="A355" t="s">
        <v>675</v>
      </c>
      <c r="B355" t="s">
        <v>676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308</v>
      </c>
      <c r="I355" t="s">
        <v>677</v>
      </c>
      <c r="J355" t="s">
        <v>25</v>
      </c>
      <c r="K355" t="s">
        <v>316</v>
      </c>
      <c r="L355" t="s">
        <v>434</v>
      </c>
    </row>
    <row r="356" spans="1:12" hidden="1" x14ac:dyDescent="0.25">
      <c r="A356" t="s">
        <v>675</v>
      </c>
      <c r="B356" t="s">
        <v>676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312</v>
      </c>
      <c r="I356" t="s">
        <v>677</v>
      </c>
      <c r="J356" t="s">
        <v>25</v>
      </c>
      <c r="K356" t="s">
        <v>224</v>
      </c>
      <c r="L356" t="s">
        <v>67</v>
      </c>
    </row>
    <row r="357" spans="1:12" hidden="1" x14ac:dyDescent="0.25">
      <c r="A357" t="s">
        <v>675</v>
      </c>
      <c r="B357" t="s">
        <v>676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313</v>
      </c>
      <c r="I357" t="s">
        <v>677</v>
      </c>
      <c r="J357" t="s">
        <v>694</v>
      </c>
      <c r="K357" t="s">
        <v>25</v>
      </c>
      <c r="L357" t="s">
        <v>695</v>
      </c>
    </row>
    <row r="358" spans="1:12" hidden="1" x14ac:dyDescent="0.25">
      <c r="A358" t="s">
        <v>675</v>
      </c>
      <c r="B358" t="s">
        <v>676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317</v>
      </c>
      <c r="I358" t="s">
        <v>677</v>
      </c>
      <c r="J358" t="s">
        <v>696</v>
      </c>
      <c r="K358" t="s">
        <v>25</v>
      </c>
      <c r="L358" t="s">
        <v>316</v>
      </c>
    </row>
    <row r="359" spans="1:12" hidden="1" x14ac:dyDescent="0.25">
      <c r="A359" t="s">
        <v>675</v>
      </c>
      <c r="B359" t="s">
        <v>676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321</v>
      </c>
      <c r="I359" t="s">
        <v>677</v>
      </c>
      <c r="J359" t="s">
        <v>697</v>
      </c>
      <c r="K359" t="s">
        <v>25</v>
      </c>
      <c r="L359" t="s">
        <v>698</v>
      </c>
    </row>
    <row r="360" spans="1:12" hidden="1" x14ac:dyDescent="0.25">
      <c r="A360" t="s">
        <v>675</v>
      </c>
      <c r="B360" t="s">
        <v>676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325</v>
      </c>
      <c r="I360" t="s">
        <v>677</v>
      </c>
      <c r="J360" t="s">
        <v>25</v>
      </c>
      <c r="K360" t="s">
        <v>523</v>
      </c>
      <c r="L360" t="s">
        <v>160</v>
      </c>
    </row>
    <row r="361" spans="1:12" hidden="1" x14ac:dyDescent="0.25">
      <c r="A361" t="s">
        <v>675</v>
      </c>
      <c r="B361" t="s">
        <v>676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326</v>
      </c>
      <c r="I361" t="s">
        <v>677</v>
      </c>
      <c r="J361" t="s">
        <v>699</v>
      </c>
      <c r="K361" t="s">
        <v>25</v>
      </c>
      <c r="L361" t="s">
        <v>442</v>
      </c>
    </row>
    <row r="362" spans="1:12" hidden="1" x14ac:dyDescent="0.25">
      <c r="A362" t="s">
        <v>675</v>
      </c>
      <c r="B362" t="s">
        <v>676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330</v>
      </c>
      <c r="I362" t="s">
        <v>677</v>
      </c>
      <c r="J362" t="s">
        <v>700</v>
      </c>
      <c r="K362" t="s">
        <v>25</v>
      </c>
      <c r="L362" t="s">
        <v>701</v>
      </c>
    </row>
    <row r="363" spans="1:12" hidden="1" x14ac:dyDescent="0.25">
      <c r="A363" t="s">
        <v>675</v>
      </c>
      <c r="B363" t="s">
        <v>676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334</v>
      </c>
      <c r="I363" t="s">
        <v>677</v>
      </c>
      <c r="J363" t="s">
        <v>702</v>
      </c>
      <c r="K363" t="s">
        <v>25</v>
      </c>
      <c r="L363" t="s">
        <v>335</v>
      </c>
    </row>
    <row r="364" spans="1:12" hidden="1" x14ac:dyDescent="0.25">
      <c r="A364" t="s">
        <v>675</v>
      </c>
      <c r="B364" t="s">
        <v>676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338</v>
      </c>
      <c r="I364" t="s">
        <v>677</v>
      </c>
      <c r="J364" t="s">
        <v>703</v>
      </c>
      <c r="K364" t="s">
        <v>25</v>
      </c>
      <c r="L364" t="s">
        <v>385</v>
      </c>
    </row>
    <row r="365" spans="1:12" hidden="1" x14ac:dyDescent="0.25">
      <c r="A365" t="s">
        <v>675</v>
      </c>
      <c r="B365" t="s">
        <v>676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342</v>
      </c>
      <c r="I365" t="s">
        <v>677</v>
      </c>
      <c r="J365" t="s">
        <v>160</v>
      </c>
      <c r="K365" t="s">
        <v>25</v>
      </c>
      <c r="L365" t="s">
        <v>704</v>
      </c>
    </row>
    <row r="366" spans="1:12" hidden="1" x14ac:dyDescent="0.25">
      <c r="A366" t="s">
        <v>675</v>
      </c>
      <c r="B366" t="s">
        <v>676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346</v>
      </c>
      <c r="I366" t="s">
        <v>677</v>
      </c>
      <c r="J366" t="s">
        <v>50</v>
      </c>
      <c r="K366" t="s">
        <v>25</v>
      </c>
      <c r="L366" t="s">
        <v>705</v>
      </c>
    </row>
    <row r="367" spans="1:12" hidden="1" x14ac:dyDescent="0.25">
      <c r="A367" t="s">
        <v>675</v>
      </c>
      <c r="B367" t="s">
        <v>676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348</v>
      </c>
      <c r="I367" t="s">
        <v>677</v>
      </c>
      <c r="J367" t="s">
        <v>574</v>
      </c>
      <c r="K367" t="s">
        <v>25</v>
      </c>
      <c r="L367" t="s">
        <v>335</v>
      </c>
    </row>
    <row r="368" spans="1:12" hidden="1" x14ac:dyDescent="0.25">
      <c r="A368" t="s">
        <v>675</v>
      </c>
      <c r="B368" t="s">
        <v>676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352</v>
      </c>
      <c r="I368" t="s">
        <v>677</v>
      </c>
      <c r="J368" t="s">
        <v>25</v>
      </c>
      <c r="K368" t="s">
        <v>172</v>
      </c>
      <c r="L368" t="s">
        <v>706</v>
      </c>
    </row>
    <row r="369" spans="1:12" hidden="1" x14ac:dyDescent="0.25">
      <c r="A369" t="s">
        <v>675</v>
      </c>
      <c r="B369" t="s">
        <v>676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355</v>
      </c>
      <c r="I369" t="s">
        <v>677</v>
      </c>
      <c r="J369" t="s">
        <v>707</v>
      </c>
      <c r="K369" t="s">
        <v>25</v>
      </c>
      <c r="L369" t="s">
        <v>708</v>
      </c>
    </row>
    <row r="370" spans="1:12" hidden="1" x14ac:dyDescent="0.25">
      <c r="A370" t="s">
        <v>675</v>
      </c>
      <c r="B370" t="s">
        <v>676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359</v>
      </c>
      <c r="I370" t="s">
        <v>677</v>
      </c>
      <c r="J370" t="s">
        <v>709</v>
      </c>
      <c r="K370" t="s">
        <v>25</v>
      </c>
      <c r="L370" t="s">
        <v>710</v>
      </c>
    </row>
    <row r="371" spans="1:12" hidden="1" x14ac:dyDescent="0.25">
      <c r="A371" t="s">
        <v>675</v>
      </c>
      <c r="B371" t="s">
        <v>676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363</v>
      </c>
      <c r="I371" t="s">
        <v>677</v>
      </c>
      <c r="J371" t="s">
        <v>711</v>
      </c>
      <c r="K371" t="s">
        <v>25</v>
      </c>
      <c r="L371" t="s">
        <v>712</v>
      </c>
    </row>
    <row r="372" spans="1:12" hidden="1" x14ac:dyDescent="0.25">
      <c r="A372" t="s">
        <v>675</v>
      </c>
      <c r="B372" t="s">
        <v>676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365</v>
      </c>
      <c r="I372" t="s">
        <v>677</v>
      </c>
      <c r="J372" t="s">
        <v>224</v>
      </c>
      <c r="K372" t="s">
        <v>25</v>
      </c>
      <c r="L372" t="s">
        <v>713</v>
      </c>
    </row>
    <row r="373" spans="1:12" hidden="1" x14ac:dyDescent="0.25">
      <c r="A373" t="s">
        <v>675</v>
      </c>
      <c r="B373" t="s">
        <v>676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368</v>
      </c>
      <c r="I373" t="s">
        <v>677</v>
      </c>
      <c r="J373" t="s">
        <v>714</v>
      </c>
      <c r="K373" t="s">
        <v>25</v>
      </c>
      <c r="L373" t="s">
        <v>329</v>
      </c>
    </row>
    <row r="374" spans="1:12" hidden="1" x14ac:dyDescent="0.25">
      <c r="A374" t="s">
        <v>675</v>
      </c>
      <c r="B374" t="s">
        <v>676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372</v>
      </c>
      <c r="I374" t="s">
        <v>677</v>
      </c>
      <c r="J374" t="s">
        <v>711</v>
      </c>
      <c r="K374" t="s">
        <v>25</v>
      </c>
      <c r="L374" t="s">
        <v>715</v>
      </c>
    </row>
    <row r="375" spans="1:12" hidden="1" x14ac:dyDescent="0.25">
      <c r="A375" t="s">
        <v>675</v>
      </c>
      <c r="B375" t="s">
        <v>676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373</v>
      </c>
      <c r="I375" t="s">
        <v>677</v>
      </c>
      <c r="J375" t="s">
        <v>25</v>
      </c>
      <c r="K375" t="s">
        <v>224</v>
      </c>
      <c r="L375" t="s">
        <v>358</v>
      </c>
    </row>
    <row r="376" spans="1:12" hidden="1" x14ac:dyDescent="0.25">
      <c r="A376" t="s">
        <v>675</v>
      </c>
      <c r="B376" t="s">
        <v>676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376</v>
      </c>
      <c r="I376" t="s">
        <v>677</v>
      </c>
      <c r="J376" t="s">
        <v>25</v>
      </c>
      <c r="K376" t="s">
        <v>716</v>
      </c>
      <c r="L376" t="s">
        <v>160</v>
      </c>
    </row>
    <row r="377" spans="1:12" hidden="1" x14ac:dyDescent="0.25">
      <c r="A377" t="s">
        <v>675</v>
      </c>
      <c r="B377" t="s">
        <v>676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379</v>
      </c>
      <c r="I377" t="s">
        <v>677</v>
      </c>
      <c r="J377" t="s">
        <v>473</v>
      </c>
      <c r="K377" t="s">
        <v>25</v>
      </c>
      <c r="L377" t="s">
        <v>380</v>
      </c>
    </row>
    <row r="378" spans="1:12" hidden="1" x14ac:dyDescent="0.25">
      <c r="A378" t="s">
        <v>675</v>
      </c>
      <c r="B378" t="s">
        <v>676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381</v>
      </c>
      <c r="I378" t="s">
        <v>677</v>
      </c>
      <c r="J378" t="s">
        <v>717</v>
      </c>
      <c r="K378" t="s">
        <v>25</v>
      </c>
      <c r="L378" t="s">
        <v>718</v>
      </c>
    </row>
    <row r="379" spans="1:12" hidden="1" x14ac:dyDescent="0.25">
      <c r="A379" t="s">
        <v>675</v>
      </c>
      <c r="B379" t="s">
        <v>676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384</v>
      </c>
      <c r="I379" t="s">
        <v>677</v>
      </c>
      <c r="J379" t="s">
        <v>719</v>
      </c>
      <c r="K379" t="s">
        <v>25</v>
      </c>
      <c r="L379" t="s">
        <v>358</v>
      </c>
    </row>
    <row r="380" spans="1:12" hidden="1" x14ac:dyDescent="0.25">
      <c r="A380" t="s">
        <v>675</v>
      </c>
      <c r="B380" t="s">
        <v>676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720</v>
      </c>
      <c r="I380" t="s">
        <v>677</v>
      </c>
      <c r="J380" t="s">
        <v>721</v>
      </c>
      <c r="K380" t="s">
        <v>25</v>
      </c>
      <c r="L380" t="s">
        <v>74</v>
      </c>
    </row>
    <row r="381" spans="1:12" hidden="1" x14ac:dyDescent="0.25">
      <c r="A381" t="s">
        <v>675</v>
      </c>
      <c r="B381" t="s">
        <v>676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722</v>
      </c>
      <c r="I381" t="s">
        <v>677</v>
      </c>
      <c r="J381" t="s">
        <v>721</v>
      </c>
      <c r="K381" t="s">
        <v>25</v>
      </c>
      <c r="L381" t="s">
        <v>723</v>
      </c>
    </row>
    <row r="382" spans="1:12" hidden="1" x14ac:dyDescent="0.25">
      <c r="A382" t="s">
        <v>675</v>
      </c>
      <c r="B382" t="s">
        <v>676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87</v>
      </c>
      <c r="I382" t="s">
        <v>677</v>
      </c>
      <c r="J382" t="s">
        <v>609</v>
      </c>
      <c r="K382" t="s">
        <v>233</v>
      </c>
      <c r="L382" t="s">
        <v>610</v>
      </c>
    </row>
    <row r="383" spans="1:12" hidden="1" x14ac:dyDescent="0.25">
      <c r="A383" t="s">
        <v>675</v>
      </c>
      <c r="B383" t="s">
        <v>676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90</v>
      </c>
      <c r="I383" t="s">
        <v>677</v>
      </c>
      <c r="J383" t="s">
        <v>611</v>
      </c>
      <c r="K383" t="s">
        <v>612</v>
      </c>
      <c r="L383" t="s">
        <v>613</v>
      </c>
    </row>
    <row r="384" spans="1:12" hidden="1" x14ac:dyDescent="0.25">
      <c r="A384" t="s">
        <v>675</v>
      </c>
      <c r="B384" t="s">
        <v>676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93</v>
      </c>
      <c r="I384" t="s">
        <v>677</v>
      </c>
      <c r="J384" t="s">
        <v>614</v>
      </c>
      <c r="K384" t="s">
        <v>239</v>
      </c>
      <c r="L384" t="s">
        <v>615</v>
      </c>
    </row>
    <row r="385" spans="1:12" hidden="1" x14ac:dyDescent="0.25">
      <c r="A385" t="s">
        <v>675</v>
      </c>
      <c r="B385" t="s">
        <v>397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14</v>
      </c>
      <c r="I385" t="s">
        <v>398</v>
      </c>
      <c r="J385" t="s">
        <v>678</v>
      </c>
      <c r="K385" t="s">
        <v>679</v>
      </c>
      <c r="L385" t="s">
        <v>680</v>
      </c>
    </row>
    <row r="386" spans="1:12" hidden="1" x14ac:dyDescent="0.25">
      <c r="A386" t="s">
        <v>675</v>
      </c>
      <c r="B386" t="s">
        <v>397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399</v>
      </c>
      <c r="I386" t="s">
        <v>398</v>
      </c>
      <c r="J386" t="s">
        <v>56</v>
      </c>
    </row>
    <row r="387" spans="1:12" hidden="1" x14ac:dyDescent="0.25">
      <c r="A387" t="s">
        <v>675</v>
      </c>
      <c r="B387" t="s">
        <v>397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400</v>
      </c>
      <c r="I387" t="s">
        <v>398</v>
      </c>
      <c r="J387" t="s">
        <v>25</v>
      </c>
      <c r="K387" t="s">
        <v>224</v>
      </c>
    </row>
    <row r="388" spans="1:12" hidden="1" x14ac:dyDescent="0.25">
      <c r="A388" t="s">
        <v>675</v>
      </c>
      <c r="B388" t="s">
        <v>397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401</v>
      </c>
      <c r="I388" t="s">
        <v>398</v>
      </c>
      <c r="J388" t="s">
        <v>25</v>
      </c>
    </row>
    <row r="389" spans="1:12" hidden="1" x14ac:dyDescent="0.25">
      <c r="A389" t="s">
        <v>675</v>
      </c>
      <c r="B389" t="s">
        <v>397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402</v>
      </c>
      <c r="I389" t="s">
        <v>398</v>
      </c>
      <c r="J389" t="s">
        <v>25</v>
      </c>
      <c r="K389" t="s">
        <v>224</v>
      </c>
    </row>
    <row r="390" spans="1:12" hidden="1" x14ac:dyDescent="0.25">
      <c r="A390" t="s">
        <v>675</v>
      </c>
      <c r="B390" t="s">
        <v>397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406</v>
      </c>
      <c r="I390" t="s">
        <v>398</v>
      </c>
      <c r="J390" t="s">
        <v>25</v>
      </c>
    </row>
    <row r="391" spans="1:12" x14ac:dyDescent="0.25">
      <c r="A391" t="s">
        <v>675</v>
      </c>
      <c r="B391" t="s">
        <v>724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14</v>
      </c>
      <c r="I391" t="s">
        <v>725</v>
      </c>
      <c r="J391" t="s">
        <v>678</v>
      </c>
      <c r="K391" t="s">
        <v>679</v>
      </c>
      <c r="L391" t="s">
        <v>680</v>
      </c>
    </row>
    <row r="392" spans="1:12" x14ac:dyDescent="0.25">
      <c r="A392" t="s">
        <v>675</v>
      </c>
      <c r="B392" t="s">
        <v>724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618</v>
      </c>
      <c r="I392" t="s">
        <v>725</v>
      </c>
      <c r="J392" t="s">
        <v>619</v>
      </c>
      <c r="K392" t="s">
        <v>620</v>
      </c>
      <c r="L392" t="s">
        <v>621</v>
      </c>
    </row>
    <row r="393" spans="1:12" x14ac:dyDescent="0.25">
      <c r="A393" t="s">
        <v>675</v>
      </c>
      <c r="B393" t="s">
        <v>724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51</v>
      </c>
      <c r="I393" t="s">
        <v>725</v>
      </c>
      <c r="J393" t="s">
        <v>79</v>
      </c>
      <c r="K393" t="s">
        <v>691</v>
      </c>
      <c r="L393" t="s">
        <v>311</v>
      </c>
    </row>
    <row r="394" spans="1:12" x14ac:dyDescent="0.25">
      <c r="A394" t="s">
        <v>675</v>
      </c>
      <c r="B394" t="s">
        <v>724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47</v>
      </c>
      <c r="I394" t="s">
        <v>725</v>
      </c>
      <c r="J394" t="s">
        <v>224</v>
      </c>
      <c r="K394" t="s">
        <v>49</v>
      </c>
      <c r="L394" t="s">
        <v>160</v>
      </c>
    </row>
    <row r="395" spans="1:12" x14ac:dyDescent="0.25">
      <c r="A395" t="s">
        <v>675</v>
      </c>
      <c r="B395" t="s">
        <v>724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627</v>
      </c>
      <c r="I395" t="s">
        <v>725</v>
      </c>
      <c r="J395" t="s">
        <v>25</v>
      </c>
      <c r="K395" t="s">
        <v>49</v>
      </c>
      <c r="L395" t="s">
        <v>329</v>
      </c>
    </row>
    <row r="396" spans="1:12" x14ac:dyDescent="0.25">
      <c r="A396" t="s">
        <v>675</v>
      </c>
      <c r="B396" t="s">
        <v>724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726</v>
      </c>
      <c r="I396" t="s">
        <v>725</v>
      </c>
      <c r="J396" t="s">
        <v>25</v>
      </c>
      <c r="K396" t="s">
        <v>49</v>
      </c>
      <c r="L396" t="s">
        <v>329</v>
      </c>
    </row>
    <row r="397" spans="1:12" x14ac:dyDescent="0.25">
      <c r="A397" t="s">
        <v>675</v>
      </c>
      <c r="B397" t="s">
        <v>724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727</v>
      </c>
      <c r="I397" t="s">
        <v>725</v>
      </c>
      <c r="J397" t="s">
        <v>25</v>
      </c>
      <c r="K397" t="s">
        <v>49</v>
      </c>
      <c r="L397" t="s">
        <v>329</v>
      </c>
    </row>
    <row r="398" spans="1:12" x14ac:dyDescent="0.25">
      <c r="A398" t="s">
        <v>675</v>
      </c>
      <c r="B398" t="s">
        <v>724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728</v>
      </c>
      <c r="I398" t="s">
        <v>725</v>
      </c>
      <c r="J398" t="s">
        <v>25</v>
      </c>
      <c r="K398" t="s">
        <v>54</v>
      </c>
      <c r="L398" t="s">
        <v>729</v>
      </c>
    </row>
    <row r="399" spans="1:12" x14ac:dyDescent="0.25">
      <c r="A399" t="s">
        <v>675</v>
      </c>
      <c r="B399" t="s">
        <v>724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730</v>
      </c>
      <c r="I399" t="s">
        <v>725</v>
      </c>
      <c r="J399" t="s">
        <v>25</v>
      </c>
      <c r="K399" t="s">
        <v>62</v>
      </c>
      <c r="L399" t="s">
        <v>729</v>
      </c>
    </row>
    <row r="400" spans="1:12" x14ac:dyDescent="0.25">
      <c r="A400" t="s">
        <v>675</v>
      </c>
      <c r="B400" t="s">
        <v>724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731</v>
      </c>
      <c r="I400" t="s">
        <v>725</v>
      </c>
      <c r="J400" t="s">
        <v>25</v>
      </c>
      <c r="K400" t="s">
        <v>74</v>
      </c>
      <c r="L400" t="s">
        <v>729</v>
      </c>
    </row>
    <row r="401" spans="1:12" x14ac:dyDescent="0.25">
      <c r="A401" t="s">
        <v>675</v>
      </c>
      <c r="B401" t="s">
        <v>724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629</v>
      </c>
      <c r="I401" t="s">
        <v>725</v>
      </c>
      <c r="J401" t="s">
        <v>25</v>
      </c>
      <c r="K401" t="s">
        <v>518</v>
      </c>
      <c r="L401" t="s">
        <v>732</v>
      </c>
    </row>
    <row r="402" spans="1:12" x14ac:dyDescent="0.25">
      <c r="A402" t="s">
        <v>675</v>
      </c>
      <c r="B402" t="s">
        <v>724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632</v>
      </c>
      <c r="I402" t="s">
        <v>725</v>
      </c>
      <c r="J402" t="s">
        <v>25</v>
      </c>
      <c r="K402" t="s">
        <v>74</v>
      </c>
      <c r="L402" t="s">
        <v>732</v>
      </c>
    </row>
    <row r="403" spans="1:12" x14ac:dyDescent="0.25">
      <c r="A403" t="s">
        <v>675</v>
      </c>
      <c r="B403" t="s">
        <v>724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634</v>
      </c>
      <c r="I403" t="s">
        <v>725</v>
      </c>
      <c r="J403" t="s">
        <v>25</v>
      </c>
      <c r="K403" t="s">
        <v>316</v>
      </c>
      <c r="L403" t="s">
        <v>732</v>
      </c>
    </row>
    <row r="404" spans="1:12" x14ac:dyDescent="0.25">
      <c r="A404" t="s">
        <v>675</v>
      </c>
      <c r="B404" t="s">
        <v>724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733</v>
      </c>
      <c r="I404" t="s">
        <v>725</v>
      </c>
      <c r="J404" t="s">
        <v>25</v>
      </c>
      <c r="K404" t="s">
        <v>392</v>
      </c>
      <c r="L404" t="s">
        <v>734</v>
      </c>
    </row>
    <row r="405" spans="1:12" x14ac:dyDescent="0.25">
      <c r="A405" t="s">
        <v>675</v>
      </c>
      <c r="B405" t="s">
        <v>724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735</v>
      </c>
      <c r="I405" t="s">
        <v>725</v>
      </c>
      <c r="J405" t="s">
        <v>25</v>
      </c>
      <c r="K405">
        <v>1</v>
      </c>
      <c r="L405">
        <v>2</v>
      </c>
    </row>
    <row r="406" spans="1:12" x14ac:dyDescent="0.25">
      <c r="A406" t="s">
        <v>675</v>
      </c>
      <c r="B406" t="s">
        <v>724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736</v>
      </c>
      <c r="I406" t="s">
        <v>725</v>
      </c>
      <c r="J406" t="s">
        <v>25</v>
      </c>
      <c r="K406" t="s">
        <v>737</v>
      </c>
      <c r="L406" t="s">
        <v>729</v>
      </c>
    </row>
    <row r="407" spans="1:12" x14ac:dyDescent="0.25">
      <c r="A407" t="s">
        <v>675</v>
      </c>
      <c r="B407" t="s">
        <v>724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738</v>
      </c>
      <c r="I407" t="s">
        <v>725</v>
      </c>
      <c r="J407" t="s">
        <v>25</v>
      </c>
      <c r="K407" t="s">
        <v>224</v>
      </c>
      <c r="L407" t="s">
        <v>160</v>
      </c>
    </row>
    <row r="408" spans="1:12" x14ac:dyDescent="0.25">
      <c r="A408" t="s">
        <v>675</v>
      </c>
      <c r="B408" t="s">
        <v>724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596</v>
      </c>
      <c r="I408" t="s">
        <v>725</v>
      </c>
      <c r="J408" t="s">
        <v>25</v>
      </c>
      <c r="K408" t="s">
        <v>597</v>
      </c>
      <c r="L408" t="s">
        <v>598</v>
      </c>
    </row>
    <row r="409" spans="1:12" x14ac:dyDescent="0.25">
      <c r="A409" t="s">
        <v>675</v>
      </c>
      <c r="B409" t="s">
        <v>724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599</v>
      </c>
      <c r="I409" t="s">
        <v>725</v>
      </c>
      <c r="J409" t="s">
        <v>25</v>
      </c>
      <c r="K409" t="s">
        <v>739</v>
      </c>
      <c r="L409" t="s">
        <v>601</v>
      </c>
    </row>
    <row r="410" spans="1:12" x14ac:dyDescent="0.25">
      <c r="A410" t="s">
        <v>675</v>
      </c>
      <c r="B410" t="s">
        <v>724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602</v>
      </c>
      <c r="I410" t="s">
        <v>725</v>
      </c>
      <c r="J410" t="s">
        <v>25</v>
      </c>
      <c r="K410" t="s">
        <v>603</v>
      </c>
      <c r="L410" t="s">
        <v>604</v>
      </c>
    </row>
    <row r="411" spans="1:12" x14ac:dyDescent="0.25">
      <c r="A411" t="s">
        <v>675</v>
      </c>
      <c r="B411" t="s">
        <v>409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14</v>
      </c>
      <c r="I411" t="s">
        <v>740</v>
      </c>
      <c r="J411" t="s">
        <v>678</v>
      </c>
      <c r="K411" t="s">
        <v>679</v>
      </c>
      <c r="L411" t="s">
        <v>680</v>
      </c>
    </row>
    <row r="412" spans="1:12" x14ac:dyDescent="0.25">
      <c r="A412" t="s">
        <v>675</v>
      </c>
      <c r="B412" t="s">
        <v>409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741</v>
      </c>
      <c r="I412" t="s">
        <v>740</v>
      </c>
      <c r="J412" t="s">
        <v>160</v>
      </c>
      <c r="K412" t="s">
        <v>316</v>
      </c>
      <c r="L412" t="s">
        <v>742</v>
      </c>
    </row>
    <row r="413" spans="1:12" x14ac:dyDescent="0.25">
      <c r="A413" t="s">
        <v>675</v>
      </c>
      <c r="B413" t="s">
        <v>409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743</v>
      </c>
      <c r="I413" t="s">
        <v>740</v>
      </c>
      <c r="J413" t="s">
        <v>224</v>
      </c>
      <c r="K413" t="s">
        <v>25</v>
      </c>
      <c r="L413" t="s">
        <v>744</v>
      </c>
    </row>
    <row r="414" spans="1:12" x14ac:dyDescent="0.25">
      <c r="A414" t="s">
        <v>675</v>
      </c>
      <c r="B414" t="s">
        <v>409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745</v>
      </c>
      <c r="I414" t="s">
        <v>740</v>
      </c>
      <c r="J414" t="s">
        <v>79</v>
      </c>
      <c r="K414" t="s">
        <v>691</v>
      </c>
      <c r="L414" t="s">
        <v>311</v>
      </c>
    </row>
    <row r="415" spans="1:12" x14ac:dyDescent="0.25">
      <c r="A415" t="s">
        <v>675</v>
      </c>
      <c r="B415" t="s">
        <v>409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746</v>
      </c>
      <c r="I415" t="s">
        <v>740</v>
      </c>
      <c r="J415" t="s">
        <v>25</v>
      </c>
      <c r="K415" t="s">
        <v>707</v>
      </c>
      <c r="L415" t="s">
        <v>49</v>
      </c>
    </row>
    <row r="416" spans="1:12" x14ac:dyDescent="0.25">
      <c r="A416" t="s">
        <v>675</v>
      </c>
      <c r="B416" t="s">
        <v>409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741</v>
      </c>
      <c r="I416" t="s">
        <v>740</v>
      </c>
      <c r="J416" t="s">
        <v>160</v>
      </c>
      <c r="K416" t="s">
        <v>316</v>
      </c>
      <c r="L416" t="s">
        <v>60</v>
      </c>
    </row>
    <row r="417" spans="1:12" x14ac:dyDescent="0.25">
      <c r="A417" t="s">
        <v>675</v>
      </c>
      <c r="B417" t="s">
        <v>409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743</v>
      </c>
      <c r="I417" t="s">
        <v>740</v>
      </c>
      <c r="J417" t="s">
        <v>224</v>
      </c>
      <c r="K417" t="s">
        <v>25</v>
      </c>
    </row>
    <row r="418" spans="1:12" x14ac:dyDescent="0.25">
      <c r="A418" t="s">
        <v>675</v>
      </c>
      <c r="B418" t="s">
        <v>409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745</v>
      </c>
      <c r="I418" t="s">
        <v>740</v>
      </c>
      <c r="J418" t="s">
        <v>79</v>
      </c>
      <c r="K418" t="s">
        <v>691</v>
      </c>
      <c r="L418" t="s">
        <v>311</v>
      </c>
    </row>
    <row r="419" spans="1:12" x14ac:dyDescent="0.25">
      <c r="A419" t="s">
        <v>675</v>
      </c>
      <c r="B419" t="s">
        <v>409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746</v>
      </c>
      <c r="I419" t="s">
        <v>740</v>
      </c>
      <c r="J419" t="s">
        <v>25</v>
      </c>
      <c r="K419" t="s">
        <v>707</v>
      </c>
      <c r="L419" t="s">
        <v>523</v>
      </c>
    </row>
    <row r="420" spans="1:12" hidden="1" x14ac:dyDescent="0.25">
      <c r="A420" t="s">
        <v>747</v>
      </c>
      <c r="B420" t="s">
        <v>676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14</v>
      </c>
      <c r="I420" t="s">
        <v>677</v>
      </c>
      <c r="J420" t="s">
        <v>649</v>
      </c>
      <c r="K420" t="s">
        <v>650</v>
      </c>
      <c r="L420" t="s">
        <v>651</v>
      </c>
    </row>
    <row r="421" spans="1:12" hidden="1" x14ac:dyDescent="0.25">
      <c r="A421" t="s">
        <v>747</v>
      </c>
      <c r="B421" t="s">
        <v>676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19</v>
      </c>
      <c r="I421" t="s">
        <v>677</v>
      </c>
      <c r="J421" t="s">
        <v>748</v>
      </c>
      <c r="K421" t="s">
        <v>587</v>
      </c>
      <c r="L421" t="s">
        <v>749</v>
      </c>
    </row>
    <row r="422" spans="1:12" hidden="1" x14ac:dyDescent="0.25">
      <c r="A422" t="s">
        <v>747</v>
      </c>
      <c r="B422" t="s">
        <v>676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22</v>
      </c>
      <c r="I422" t="s">
        <v>677</v>
      </c>
      <c r="J422" t="s">
        <v>207</v>
      </c>
    </row>
    <row r="423" spans="1:12" hidden="1" x14ac:dyDescent="0.25">
      <c r="A423" t="s">
        <v>747</v>
      </c>
      <c r="B423" t="s">
        <v>676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24</v>
      </c>
      <c r="I423" t="s">
        <v>677</v>
      </c>
      <c r="J423" t="s">
        <v>750</v>
      </c>
      <c r="K423" t="s">
        <v>751</v>
      </c>
      <c r="L423" t="s">
        <v>752</v>
      </c>
    </row>
    <row r="424" spans="1:12" hidden="1" x14ac:dyDescent="0.25">
      <c r="A424" t="s">
        <v>747</v>
      </c>
      <c r="B424" t="s">
        <v>676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278</v>
      </c>
      <c r="I424" t="s">
        <v>677</v>
      </c>
      <c r="J424" t="s">
        <v>753</v>
      </c>
      <c r="K424" t="s">
        <v>754</v>
      </c>
      <c r="L424" t="s">
        <v>755</v>
      </c>
    </row>
    <row r="425" spans="1:12" hidden="1" x14ac:dyDescent="0.25">
      <c r="A425" t="s">
        <v>747</v>
      </c>
      <c r="B425" t="s">
        <v>676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32</v>
      </c>
      <c r="I425" t="s">
        <v>677</v>
      </c>
      <c r="J425" t="s">
        <v>33</v>
      </c>
    </row>
    <row r="426" spans="1:12" hidden="1" x14ac:dyDescent="0.25">
      <c r="A426" t="s">
        <v>747</v>
      </c>
      <c r="B426" t="s">
        <v>676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595</v>
      </c>
      <c r="I426" t="s">
        <v>677</v>
      </c>
      <c r="J426" t="s">
        <v>211</v>
      </c>
    </row>
    <row r="427" spans="1:12" hidden="1" x14ac:dyDescent="0.25">
      <c r="A427" t="s">
        <v>747</v>
      </c>
      <c r="B427" t="s">
        <v>676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591</v>
      </c>
      <c r="I427" t="s">
        <v>677</v>
      </c>
      <c r="J427" t="s">
        <v>592</v>
      </c>
      <c r="K427" t="s">
        <v>756</v>
      </c>
      <c r="L427" t="s">
        <v>593</v>
      </c>
    </row>
    <row r="428" spans="1:12" hidden="1" x14ac:dyDescent="0.25">
      <c r="A428" t="s">
        <v>747</v>
      </c>
      <c r="B428" t="s">
        <v>676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684</v>
      </c>
      <c r="I428" t="s">
        <v>677</v>
      </c>
      <c r="J428" t="s">
        <v>649</v>
      </c>
      <c r="K428" t="s">
        <v>650</v>
      </c>
      <c r="L428" t="s">
        <v>651</v>
      </c>
    </row>
    <row r="429" spans="1:12" hidden="1" x14ac:dyDescent="0.25">
      <c r="A429" t="s">
        <v>747</v>
      </c>
      <c r="B429" t="s">
        <v>676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285</v>
      </c>
      <c r="I429" t="s">
        <v>677</v>
      </c>
      <c r="J429" t="s">
        <v>685</v>
      </c>
      <c r="K429" t="s">
        <v>757</v>
      </c>
      <c r="L429" t="s">
        <v>758</v>
      </c>
    </row>
    <row r="430" spans="1:12" hidden="1" x14ac:dyDescent="0.25">
      <c r="A430" t="s">
        <v>747</v>
      </c>
      <c r="B430" t="s">
        <v>676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104</v>
      </c>
      <c r="I430" t="s">
        <v>677</v>
      </c>
      <c r="J430" t="s">
        <v>289</v>
      </c>
      <c r="K430" t="s">
        <v>759</v>
      </c>
      <c r="L430" t="s">
        <v>760</v>
      </c>
    </row>
    <row r="431" spans="1:12" hidden="1" x14ac:dyDescent="0.25">
      <c r="A431" t="s">
        <v>747</v>
      </c>
      <c r="B431" t="s">
        <v>676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112</v>
      </c>
      <c r="I431" t="s">
        <v>677</v>
      </c>
      <c r="J431" t="s">
        <v>44</v>
      </c>
      <c r="K431" t="s">
        <v>729</v>
      </c>
      <c r="L431" t="s">
        <v>170</v>
      </c>
    </row>
    <row r="432" spans="1:12" hidden="1" x14ac:dyDescent="0.25">
      <c r="A432" t="s">
        <v>747</v>
      </c>
      <c r="B432" t="s">
        <v>676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293</v>
      </c>
      <c r="I432" t="s">
        <v>677</v>
      </c>
      <c r="J432" t="s">
        <v>292</v>
      </c>
      <c r="K432" t="s">
        <v>294</v>
      </c>
      <c r="L432" t="s">
        <v>761</v>
      </c>
    </row>
    <row r="433" spans="1:12" hidden="1" x14ac:dyDescent="0.25">
      <c r="A433" t="s">
        <v>747</v>
      </c>
      <c r="B433" t="s">
        <v>676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296</v>
      </c>
      <c r="I433" t="s">
        <v>677</v>
      </c>
      <c r="J433" t="s">
        <v>762</v>
      </c>
      <c r="K433" t="s">
        <v>763</v>
      </c>
      <c r="L433" t="s">
        <v>764</v>
      </c>
    </row>
    <row r="434" spans="1:12" hidden="1" x14ac:dyDescent="0.25">
      <c r="A434" t="s">
        <v>747</v>
      </c>
      <c r="B434" t="s">
        <v>676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690</v>
      </c>
      <c r="I434" t="s">
        <v>677</v>
      </c>
      <c r="J434" t="s">
        <v>765</v>
      </c>
      <c r="K434" t="s">
        <v>766</v>
      </c>
      <c r="L434" t="s">
        <v>255</v>
      </c>
    </row>
    <row r="435" spans="1:12" hidden="1" x14ac:dyDescent="0.25">
      <c r="A435" t="s">
        <v>747</v>
      </c>
      <c r="B435" t="s">
        <v>676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299</v>
      </c>
      <c r="I435" t="s">
        <v>677</v>
      </c>
      <c r="J435" t="s">
        <v>767</v>
      </c>
      <c r="K435" t="s">
        <v>255</v>
      </c>
      <c r="L435" t="s">
        <v>768</v>
      </c>
    </row>
    <row r="436" spans="1:12" hidden="1" x14ac:dyDescent="0.25">
      <c r="A436" t="s">
        <v>747</v>
      </c>
      <c r="B436" t="s">
        <v>676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693</v>
      </c>
      <c r="I436" t="s">
        <v>677</v>
      </c>
      <c r="J436" t="s">
        <v>307</v>
      </c>
      <c r="K436" t="s">
        <v>305</v>
      </c>
      <c r="L436" t="s">
        <v>306</v>
      </c>
    </row>
    <row r="437" spans="1:12" hidden="1" x14ac:dyDescent="0.25">
      <c r="A437" t="s">
        <v>747</v>
      </c>
      <c r="B437" t="s">
        <v>676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308</v>
      </c>
      <c r="I437" t="s">
        <v>677</v>
      </c>
      <c r="J437" t="s">
        <v>769</v>
      </c>
      <c r="K437" t="s">
        <v>770</v>
      </c>
      <c r="L437" t="s">
        <v>771</v>
      </c>
    </row>
    <row r="438" spans="1:12" hidden="1" x14ac:dyDescent="0.25">
      <c r="A438" t="s">
        <v>747</v>
      </c>
      <c r="B438" t="s">
        <v>676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312</v>
      </c>
      <c r="I438" t="s">
        <v>677</v>
      </c>
      <c r="J438" t="s">
        <v>224</v>
      </c>
      <c r="K438" t="s">
        <v>65</v>
      </c>
      <c r="L438" t="s">
        <v>737</v>
      </c>
    </row>
    <row r="439" spans="1:12" hidden="1" x14ac:dyDescent="0.25">
      <c r="A439" t="s">
        <v>747</v>
      </c>
      <c r="B439" t="s">
        <v>676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313</v>
      </c>
      <c r="I439" t="s">
        <v>677</v>
      </c>
      <c r="J439" t="s">
        <v>772</v>
      </c>
      <c r="K439" t="s">
        <v>773</v>
      </c>
      <c r="L439" t="s">
        <v>774</v>
      </c>
    </row>
    <row r="440" spans="1:12" hidden="1" x14ac:dyDescent="0.25">
      <c r="A440" t="s">
        <v>747</v>
      </c>
      <c r="B440" t="s">
        <v>676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317</v>
      </c>
      <c r="I440" t="s">
        <v>677</v>
      </c>
      <c r="J440" t="s">
        <v>775</v>
      </c>
      <c r="K440" t="s">
        <v>776</v>
      </c>
      <c r="L440" t="s">
        <v>777</v>
      </c>
    </row>
    <row r="441" spans="1:12" hidden="1" x14ac:dyDescent="0.25">
      <c r="A441" t="s">
        <v>747</v>
      </c>
      <c r="B441" t="s">
        <v>676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321</v>
      </c>
      <c r="I441" t="s">
        <v>677</v>
      </c>
      <c r="J441" t="s">
        <v>778</v>
      </c>
      <c r="K441" t="s">
        <v>779</v>
      </c>
      <c r="L441" t="s">
        <v>780</v>
      </c>
    </row>
    <row r="442" spans="1:12" hidden="1" x14ac:dyDescent="0.25">
      <c r="A442" t="s">
        <v>747</v>
      </c>
      <c r="B442" t="s">
        <v>676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325</v>
      </c>
      <c r="I442" t="s">
        <v>677</v>
      </c>
      <c r="J442" t="s">
        <v>781</v>
      </c>
      <c r="K442" t="s">
        <v>782</v>
      </c>
      <c r="L442" t="s">
        <v>783</v>
      </c>
    </row>
    <row r="443" spans="1:12" hidden="1" x14ac:dyDescent="0.25">
      <c r="A443" t="s">
        <v>747</v>
      </c>
      <c r="B443" t="s">
        <v>676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326</v>
      </c>
      <c r="I443" t="s">
        <v>677</v>
      </c>
      <c r="J443" t="s">
        <v>778</v>
      </c>
      <c r="K443" t="s">
        <v>779</v>
      </c>
      <c r="L443" t="s">
        <v>784</v>
      </c>
    </row>
    <row r="444" spans="1:12" hidden="1" x14ac:dyDescent="0.25">
      <c r="A444" t="s">
        <v>747</v>
      </c>
      <c r="B444" t="s">
        <v>676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330</v>
      </c>
      <c r="I444" t="s">
        <v>677</v>
      </c>
      <c r="J444" t="s">
        <v>785</v>
      </c>
      <c r="K444" t="s">
        <v>786</v>
      </c>
      <c r="L444" t="s">
        <v>787</v>
      </c>
    </row>
    <row r="445" spans="1:12" hidden="1" x14ac:dyDescent="0.25">
      <c r="A445" t="s">
        <v>747</v>
      </c>
      <c r="B445" t="s">
        <v>676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334</v>
      </c>
      <c r="I445" t="s">
        <v>677</v>
      </c>
      <c r="J445" t="s">
        <v>361</v>
      </c>
      <c r="K445" t="s">
        <v>788</v>
      </c>
      <c r="L445" t="s">
        <v>789</v>
      </c>
    </row>
    <row r="446" spans="1:12" hidden="1" x14ac:dyDescent="0.25">
      <c r="A446" t="s">
        <v>747</v>
      </c>
      <c r="B446" t="s">
        <v>676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338</v>
      </c>
      <c r="I446" t="s">
        <v>677</v>
      </c>
      <c r="J446" t="s">
        <v>335</v>
      </c>
      <c r="K446" t="s">
        <v>790</v>
      </c>
      <c r="L446" t="s">
        <v>791</v>
      </c>
    </row>
    <row r="447" spans="1:12" hidden="1" x14ac:dyDescent="0.25">
      <c r="A447" t="s">
        <v>747</v>
      </c>
      <c r="B447" t="s">
        <v>676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342</v>
      </c>
      <c r="I447" t="s">
        <v>677</v>
      </c>
      <c r="J447" t="s">
        <v>792</v>
      </c>
      <c r="K447" t="s">
        <v>793</v>
      </c>
      <c r="L447" t="s">
        <v>794</v>
      </c>
    </row>
    <row r="448" spans="1:12" hidden="1" x14ac:dyDescent="0.25">
      <c r="A448" t="s">
        <v>747</v>
      </c>
      <c r="B448" t="s">
        <v>676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346</v>
      </c>
      <c r="I448" t="s">
        <v>677</v>
      </c>
      <c r="J448" t="s">
        <v>360</v>
      </c>
      <c r="K448" t="s">
        <v>795</v>
      </c>
      <c r="L448" t="s">
        <v>796</v>
      </c>
    </row>
    <row r="449" spans="1:12" hidden="1" x14ac:dyDescent="0.25">
      <c r="A449" t="s">
        <v>747</v>
      </c>
      <c r="B449" t="s">
        <v>676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348</v>
      </c>
      <c r="I449" t="s">
        <v>677</v>
      </c>
      <c r="J449" t="s">
        <v>797</v>
      </c>
      <c r="K449" t="s">
        <v>790</v>
      </c>
      <c r="L449" t="s">
        <v>798</v>
      </c>
    </row>
    <row r="450" spans="1:12" hidden="1" x14ac:dyDescent="0.25">
      <c r="A450" t="s">
        <v>747</v>
      </c>
      <c r="B450" t="s">
        <v>676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352</v>
      </c>
      <c r="I450" t="s">
        <v>677</v>
      </c>
      <c r="J450" t="s">
        <v>224</v>
      </c>
      <c r="K450" t="s">
        <v>799</v>
      </c>
      <c r="L450" t="s">
        <v>800</v>
      </c>
    </row>
    <row r="451" spans="1:12" hidden="1" x14ac:dyDescent="0.25">
      <c r="A451" t="s">
        <v>747</v>
      </c>
      <c r="B451" t="s">
        <v>676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355</v>
      </c>
      <c r="I451" t="s">
        <v>677</v>
      </c>
      <c r="J451" t="s">
        <v>801</v>
      </c>
      <c r="K451" t="s">
        <v>356</v>
      </c>
      <c r="L451" t="s">
        <v>707</v>
      </c>
    </row>
    <row r="452" spans="1:12" hidden="1" x14ac:dyDescent="0.25">
      <c r="A452" t="s">
        <v>747</v>
      </c>
      <c r="B452" t="s">
        <v>676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359</v>
      </c>
      <c r="I452" t="s">
        <v>677</v>
      </c>
      <c r="J452" t="s">
        <v>802</v>
      </c>
      <c r="K452" t="s">
        <v>49</v>
      </c>
      <c r="L452" t="s">
        <v>709</v>
      </c>
    </row>
    <row r="453" spans="1:12" hidden="1" x14ac:dyDescent="0.25">
      <c r="A453" t="s">
        <v>747</v>
      </c>
      <c r="B453" t="s">
        <v>676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363</v>
      </c>
      <c r="I453" t="s">
        <v>677</v>
      </c>
      <c r="J453" t="s">
        <v>357</v>
      </c>
      <c r="K453" t="s">
        <v>803</v>
      </c>
      <c r="L453" t="s">
        <v>804</v>
      </c>
    </row>
    <row r="454" spans="1:12" hidden="1" x14ac:dyDescent="0.25">
      <c r="A454" t="s">
        <v>747</v>
      </c>
      <c r="B454" t="s">
        <v>676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365</v>
      </c>
      <c r="I454" t="s">
        <v>677</v>
      </c>
      <c r="J454" t="s">
        <v>224</v>
      </c>
      <c r="K454" t="s">
        <v>805</v>
      </c>
      <c r="L454" t="s">
        <v>806</v>
      </c>
    </row>
    <row r="455" spans="1:12" hidden="1" x14ac:dyDescent="0.25">
      <c r="A455" t="s">
        <v>747</v>
      </c>
      <c r="B455" t="s">
        <v>676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368</v>
      </c>
      <c r="I455" t="s">
        <v>677</v>
      </c>
      <c r="J455" t="s">
        <v>369</v>
      </c>
      <c r="K455" t="s">
        <v>807</v>
      </c>
      <c r="L455" t="s">
        <v>808</v>
      </c>
    </row>
    <row r="456" spans="1:12" hidden="1" x14ac:dyDescent="0.25">
      <c r="A456" t="s">
        <v>747</v>
      </c>
      <c r="B456" t="s">
        <v>676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372</v>
      </c>
      <c r="I456" t="s">
        <v>677</v>
      </c>
      <c r="J456" t="s">
        <v>224</v>
      </c>
      <c r="K456" t="s">
        <v>809</v>
      </c>
      <c r="L456" t="s">
        <v>810</v>
      </c>
    </row>
    <row r="457" spans="1:12" hidden="1" x14ac:dyDescent="0.25">
      <c r="A457" t="s">
        <v>747</v>
      </c>
      <c r="B457" t="s">
        <v>676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373</v>
      </c>
      <c r="I457" t="s">
        <v>677</v>
      </c>
      <c r="J457" t="s">
        <v>224</v>
      </c>
      <c r="K457" t="s">
        <v>369</v>
      </c>
      <c r="L457" t="s">
        <v>811</v>
      </c>
    </row>
    <row r="458" spans="1:12" hidden="1" x14ac:dyDescent="0.25">
      <c r="A458" t="s">
        <v>747</v>
      </c>
      <c r="B458" t="s">
        <v>676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376</v>
      </c>
      <c r="I458" t="s">
        <v>677</v>
      </c>
      <c r="J458" t="s">
        <v>812</v>
      </c>
      <c r="K458" t="s">
        <v>224</v>
      </c>
      <c r="L458" t="s">
        <v>813</v>
      </c>
    </row>
    <row r="459" spans="1:12" hidden="1" x14ac:dyDescent="0.25">
      <c r="A459" t="s">
        <v>747</v>
      </c>
      <c r="B459" t="s">
        <v>676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379</v>
      </c>
      <c r="I459" t="s">
        <v>677</v>
      </c>
      <c r="J459" t="s">
        <v>473</v>
      </c>
      <c r="K459" t="s">
        <v>380</v>
      </c>
    </row>
    <row r="460" spans="1:12" hidden="1" x14ac:dyDescent="0.25">
      <c r="A460" t="s">
        <v>747</v>
      </c>
      <c r="B460" t="s">
        <v>676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381</v>
      </c>
      <c r="I460" t="s">
        <v>677</v>
      </c>
      <c r="J460" t="s">
        <v>574</v>
      </c>
      <c r="K460" t="s">
        <v>790</v>
      </c>
      <c r="L460" t="s">
        <v>813</v>
      </c>
    </row>
    <row r="461" spans="1:12" hidden="1" x14ac:dyDescent="0.25">
      <c r="A461" t="s">
        <v>747</v>
      </c>
      <c r="B461" t="s">
        <v>676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384</v>
      </c>
      <c r="I461" t="s">
        <v>677</v>
      </c>
      <c r="J461" t="s">
        <v>349</v>
      </c>
      <c r="K461" t="s">
        <v>814</v>
      </c>
      <c r="L461" t="s">
        <v>358</v>
      </c>
    </row>
    <row r="462" spans="1:12" hidden="1" x14ac:dyDescent="0.25">
      <c r="A462" t="s">
        <v>747</v>
      </c>
      <c r="B462" t="s">
        <v>676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720</v>
      </c>
      <c r="I462" t="s">
        <v>677</v>
      </c>
      <c r="J462" t="s">
        <v>732</v>
      </c>
      <c r="K462" t="s">
        <v>43</v>
      </c>
      <c r="L462" t="s">
        <v>815</v>
      </c>
    </row>
    <row r="463" spans="1:12" hidden="1" x14ac:dyDescent="0.25">
      <c r="A463" t="s">
        <v>747</v>
      </c>
      <c r="B463" t="s">
        <v>676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722</v>
      </c>
      <c r="I463" t="s">
        <v>677</v>
      </c>
      <c r="J463" t="s">
        <v>816</v>
      </c>
      <c r="K463" t="s">
        <v>817</v>
      </c>
      <c r="L463" t="s">
        <v>76</v>
      </c>
    </row>
    <row r="464" spans="1:12" hidden="1" x14ac:dyDescent="0.25">
      <c r="A464" t="s">
        <v>747</v>
      </c>
      <c r="B464" t="s">
        <v>676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87</v>
      </c>
      <c r="I464" t="s">
        <v>677</v>
      </c>
      <c r="J464" t="s">
        <v>88</v>
      </c>
      <c r="K464" t="s">
        <v>818</v>
      </c>
      <c r="L464" t="s">
        <v>526</v>
      </c>
    </row>
    <row r="465" spans="1:12" hidden="1" x14ac:dyDescent="0.25">
      <c r="A465" t="s">
        <v>747</v>
      </c>
      <c r="B465" t="s">
        <v>676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90</v>
      </c>
      <c r="I465" t="s">
        <v>677</v>
      </c>
      <c r="J465" t="s">
        <v>819</v>
      </c>
      <c r="K465" t="s">
        <v>820</v>
      </c>
      <c r="L465" t="s">
        <v>821</v>
      </c>
    </row>
    <row r="466" spans="1:12" hidden="1" x14ac:dyDescent="0.25">
      <c r="A466" t="s">
        <v>747</v>
      </c>
      <c r="B466" t="s">
        <v>676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93</v>
      </c>
      <c r="I466" t="s">
        <v>677</v>
      </c>
      <c r="J466" t="s">
        <v>94</v>
      </c>
      <c r="K466" t="s">
        <v>822</v>
      </c>
      <c r="L466" t="s">
        <v>823</v>
      </c>
    </row>
    <row r="467" spans="1:12" hidden="1" x14ac:dyDescent="0.25">
      <c r="A467" t="s">
        <v>747</v>
      </c>
      <c r="B467" t="s">
        <v>397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14</v>
      </c>
      <c r="I467" t="s">
        <v>398</v>
      </c>
      <c r="J467" t="s">
        <v>649</v>
      </c>
      <c r="K467" t="s">
        <v>650</v>
      </c>
      <c r="L467" t="s">
        <v>651</v>
      </c>
    </row>
    <row r="468" spans="1:12" hidden="1" x14ac:dyDescent="0.25">
      <c r="A468" t="s">
        <v>747</v>
      </c>
      <c r="B468" t="s">
        <v>397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399</v>
      </c>
      <c r="I468" t="s">
        <v>398</v>
      </c>
      <c r="J468" t="s">
        <v>56</v>
      </c>
    </row>
    <row r="469" spans="1:12" hidden="1" x14ac:dyDescent="0.25">
      <c r="A469" t="s">
        <v>747</v>
      </c>
      <c r="B469" t="s">
        <v>397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400</v>
      </c>
      <c r="I469" t="s">
        <v>398</v>
      </c>
      <c r="J469" t="s">
        <v>25</v>
      </c>
    </row>
    <row r="470" spans="1:12" hidden="1" x14ac:dyDescent="0.25">
      <c r="A470" t="s">
        <v>747</v>
      </c>
      <c r="B470" t="s">
        <v>397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401</v>
      </c>
      <c r="I470" t="s">
        <v>398</v>
      </c>
      <c r="J470" t="s">
        <v>25</v>
      </c>
    </row>
    <row r="471" spans="1:12" hidden="1" x14ac:dyDescent="0.25">
      <c r="A471" t="s">
        <v>747</v>
      </c>
      <c r="B471" t="s">
        <v>397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402</v>
      </c>
      <c r="I471" t="s">
        <v>398</v>
      </c>
      <c r="J471" t="s">
        <v>25</v>
      </c>
    </row>
    <row r="472" spans="1:12" hidden="1" x14ac:dyDescent="0.25">
      <c r="A472" t="s">
        <v>747</v>
      </c>
      <c r="B472" t="s">
        <v>397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406</v>
      </c>
      <c r="I472" t="s">
        <v>398</v>
      </c>
      <c r="J472" t="s">
        <v>25</v>
      </c>
    </row>
    <row r="473" spans="1:12" x14ac:dyDescent="0.25">
      <c r="A473" t="s">
        <v>747</v>
      </c>
      <c r="B473" t="s">
        <v>724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14</v>
      </c>
      <c r="I473" t="s">
        <v>725</v>
      </c>
      <c r="J473" t="s">
        <v>649</v>
      </c>
      <c r="K473" t="s">
        <v>650</v>
      </c>
      <c r="L473" t="s">
        <v>651</v>
      </c>
    </row>
    <row r="474" spans="1:12" x14ac:dyDescent="0.25">
      <c r="A474" t="s">
        <v>747</v>
      </c>
      <c r="B474" t="s">
        <v>724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618</v>
      </c>
      <c r="I474" t="s">
        <v>725</v>
      </c>
      <c r="J474" t="s">
        <v>621</v>
      </c>
      <c r="K474" t="s">
        <v>652</v>
      </c>
      <c r="L474" t="s">
        <v>619</v>
      </c>
    </row>
    <row r="475" spans="1:12" x14ac:dyDescent="0.25">
      <c r="A475" t="s">
        <v>747</v>
      </c>
      <c r="B475" t="s">
        <v>724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51</v>
      </c>
      <c r="I475" t="s">
        <v>725</v>
      </c>
      <c r="J475" t="s">
        <v>551</v>
      </c>
      <c r="K475" t="s">
        <v>824</v>
      </c>
      <c r="L475" t="s">
        <v>255</v>
      </c>
    </row>
    <row r="476" spans="1:12" x14ac:dyDescent="0.25">
      <c r="A476" t="s">
        <v>747</v>
      </c>
      <c r="B476" t="s">
        <v>724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47</v>
      </c>
      <c r="I476" t="s">
        <v>725</v>
      </c>
      <c r="J476" t="s">
        <v>390</v>
      </c>
      <c r="K476" t="s">
        <v>65</v>
      </c>
      <c r="L476" t="s">
        <v>825</v>
      </c>
    </row>
    <row r="477" spans="1:12" x14ac:dyDescent="0.25">
      <c r="A477" t="s">
        <v>747</v>
      </c>
      <c r="B477" t="s">
        <v>724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627</v>
      </c>
      <c r="I477" t="s">
        <v>725</v>
      </c>
      <c r="J477" t="s">
        <v>58</v>
      </c>
      <c r="K477" t="s">
        <v>82</v>
      </c>
      <c r="L477" t="s">
        <v>826</v>
      </c>
    </row>
    <row r="478" spans="1:12" x14ac:dyDescent="0.25">
      <c r="A478" t="s">
        <v>747</v>
      </c>
      <c r="B478" t="s">
        <v>724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726</v>
      </c>
      <c r="I478" t="s">
        <v>725</v>
      </c>
      <c r="J478" t="s">
        <v>58</v>
      </c>
      <c r="K478" t="s">
        <v>82</v>
      </c>
      <c r="L478" t="s">
        <v>826</v>
      </c>
    </row>
    <row r="479" spans="1:12" x14ac:dyDescent="0.25">
      <c r="A479" t="s">
        <v>747</v>
      </c>
      <c r="B479" t="s">
        <v>724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727</v>
      </c>
      <c r="I479" t="s">
        <v>725</v>
      </c>
      <c r="J479" t="s">
        <v>58</v>
      </c>
      <c r="K479" t="s">
        <v>82</v>
      </c>
      <c r="L479" t="s">
        <v>826</v>
      </c>
    </row>
    <row r="480" spans="1:12" x14ac:dyDescent="0.25">
      <c r="A480" t="s">
        <v>747</v>
      </c>
      <c r="B480" t="s">
        <v>724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728</v>
      </c>
      <c r="I480" t="s">
        <v>725</v>
      </c>
      <c r="J480" t="s">
        <v>54</v>
      </c>
      <c r="K480" t="s">
        <v>729</v>
      </c>
      <c r="L480" t="s">
        <v>62</v>
      </c>
    </row>
    <row r="481" spans="1:12" x14ac:dyDescent="0.25">
      <c r="A481" t="s">
        <v>747</v>
      </c>
      <c r="B481" t="s">
        <v>724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730</v>
      </c>
      <c r="I481" t="s">
        <v>725</v>
      </c>
      <c r="J481" t="s">
        <v>62</v>
      </c>
      <c r="K481" t="s">
        <v>729</v>
      </c>
      <c r="L481" t="s">
        <v>82</v>
      </c>
    </row>
    <row r="482" spans="1:12" x14ac:dyDescent="0.25">
      <c r="A482" t="s">
        <v>747</v>
      </c>
      <c r="B482" t="s">
        <v>724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731</v>
      </c>
      <c r="I482" t="s">
        <v>725</v>
      </c>
      <c r="J482" t="s">
        <v>74</v>
      </c>
      <c r="K482" t="s">
        <v>729</v>
      </c>
      <c r="L482" t="s">
        <v>62</v>
      </c>
    </row>
    <row r="483" spans="1:12" x14ac:dyDescent="0.25">
      <c r="A483" t="s">
        <v>747</v>
      </c>
      <c r="B483" t="s">
        <v>724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629</v>
      </c>
      <c r="I483" t="s">
        <v>725</v>
      </c>
      <c r="J483" t="s">
        <v>518</v>
      </c>
      <c r="K483" t="s">
        <v>732</v>
      </c>
      <c r="L483" t="s">
        <v>827</v>
      </c>
    </row>
    <row r="484" spans="1:12" x14ac:dyDescent="0.25">
      <c r="A484" t="s">
        <v>747</v>
      </c>
      <c r="B484" t="s">
        <v>724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632</v>
      </c>
      <c r="I484" t="s">
        <v>725</v>
      </c>
      <c r="J484" t="s">
        <v>74</v>
      </c>
      <c r="K484" t="s">
        <v>732</v>
      </c>
      <c r="L484" t="s">
        <v>827</v>
      </c>
    </row>
    <row r="485" spans="1:12" x14ac:dyDescent="0.25">
      <c r="A485" t="s">
        <v>747</v>
      </c>
      <c r="B485" t="s">
        <v>724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634</v>
      </c>
      <c r="I485" t="s">
        <v>725</v>
      </c>
      <c r="J485" t="s">
        <v>316</v>
      </c>
      <c r="K485" t="s">
        <v>732</v>
      </c>
      <c r="L485" t="s">
        <v>827</v>
      </c>
    </row>
    <row r="486" spans="1:12" x14ac:dyDescent="0.25">
      <c r="A486" t="s">
        <v>747</v>
      </c>
      <c r="B486" t="s">
        <v>724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733</v>
      </c>
      <c r="I486" t="s">
        <v>725</v>
      </c>
      <c r="J486" t="s">
        <v>392</v>
      </c>
      <c r="K486" t="s">
        <v>734</v>
      </c>
      <c r="L486" t="s">
        <v>518</v>
      </c>
    </row>
    <row r="487" spans="1:12" x14ac:dyDescent="0.25">
      <c r="A487" t="s">
        <v>747</v>
      </c>
      <c r="B487" t="s">
        <v>724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735</v>
      </c>
      <c r="I487" t="s">
        <v>725</v>
      </c>
      <c r="J487">
        <v>1</v>
      </c>
      <c r="K487">
        <v>2</v>
      </c>
      <c r="L487">
        <v>3</v>
      </c>
    </row>
    <row r="488" spans="1:12" x14ac:dyDescent="0.25">
      <c r="A488" t="s">
        <v>747</v>
      </c>
      <c r="B488" t="s">
        <v>724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736</v>
      </c>
      <c r="I488" t="s">
        <v>725</v>
      </c>
      <c r="J488" t="s">
        <v>737</v>
      </c>
      <c r="K488" t="s">
        <v>729</v>
      </c>
      <c r="L488" t="s">
        <v>732</v>
      </c>
    </row>
    <row r="489" spans="1:12" x14ac:dyDescent="0.25">
      <c r="A489" t="s">
        <v>747</v>
      </c>
      <c r="B489" t="s">
        <v>724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738</v>
      </c>
      <c r="I489" t="s">
        <v>725</v>
      </c>
      <c r="J489" t="s">
        <v>224</v>
      </c>
      <c r="K489" t="s">
        <v>160</v>
      </c>
      <c r="L489" t="s">
        <v>60</v>
      </c>
    </row>
    <row r="490" spans="1:12" x14ac:dyDescent="0.25">
      <c r="A490" t="s">
        <v>747</v>
      </c>
      <c r="B490" t="s">
        <v>724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596</v>
      </c>
      <c r="I490" t="s">
        <v>725</v>
      </c>
      <c r="J490" t="s">
        <v>597</v>
      </c>
      <c r="K490" t="s">
        <v>598</v>
      </c>
      <c r="L490" t="s">
        <v>828</v>
      </c>
    </row>
    <row r="491" spans="1:12" x14ac:dyDescent="0.25">
      <c r="A491" t="s">
        <v>747</v>
      </c>
      <c r="B491" t="s">
        <v>724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599</v>
      </c>
      <c r="I491" t="s">
        <v>725</v>
      </c>
      <c r="J491" t="s">
        <v>739</v>
      </c>
      <c r="K491" t="s">
        <v>601</v>
      </c>
      <c r="L491" t="s">
        <v>829</v>
      </c>
    </row>
    <row r="492" spans="1:12" x14ac:dyDescent="0.25">
      <c r="A492" t="s">
        <v>747</v>
      </c>
      <c r="B492" t="s">
        <v>724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602</v>
      </c>
      <c r="I492" t="s">
        <v>725</v>
      </c>
      <c r="J492" t="s">
        <v>603</v>
      </c>
      <c r="K492" t="s">
        <v>604</v>
      </c>
      <c r="L492" t="s">
        <v>830</v>
      </c>
    </row>
    <row r="493" spans="1:12" x14ac:dyDescent="0.25">
      <c r="A493" t="s">
        <v>747</v>
      </c>
      <c r="B493" t="s">
        <v>409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14</v>
      </c>
      <c r="I493" t="s">
        <v>740</v>
      </c>
      <c r="J493" t="s">
        <v>649</v>
      </c>
      <c r="K493" t="s">
        <v>650</v>
      </c>
      <c r="L493" t="s">
        <v>651</v>
      </c>
    </row>
    <row r="494" spans="1:12" x14ac:dyDescent="0.25">
      <c r="A494" t="s">
        <v>747</v>
      </c>
      <c r="B494" t="s">
        <v>409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741</v>
      </c>
      <c r="I494" t="s">
        <v>740</v>
      </c>
      <c r="J494" t="s">
        <v>160</v>
      </c>
      <c r="K494" t="s">
        <v>316</v>
      </c>
      <c r="L494" t="s">
        <v>742</v>
      </c>
    </row>
    <row r="495" spans="1:12" x14ac:dyDescent="0.25">
      <c r="A495" t="s">
        <v>747</v>
      </c>
      <c r="B495" t="s">
        <v>409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743</v>
      </c>
      <c r="I495" t="s">
        <v>740</v>
      </c>
      <c r="J495" t="s">
        <v>224</v>
      </c>
      <c r="K495" t="s">
        <v>25</v>
      </c>
      <c r="L495" t="s">
        <v>744</v>
      </c>
    </row>
    <row r="496" spans="1:12" x14ac:dyDescent="0.25">
      <c r="A496" t="s">
        <v>747</v>
      </c>
      <c r="B496" t="s">
        <v>409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745</v>
      </c>
      <c r="I496" t="s">
        <v>740</v>
      </c>
      <c r="J496" t="s">
        <v>551</v>
      </c>
      <c r="K496" t="s">
        <v>824</v>
      </c>
      <c r="L496" t="s">
        <v>25</v>
      </c>
    </row>
    <row r="497" spans="1:12" x14ac:dyDescent="0.25">
      <c r="A497" t="s">
        <v>747</v>
      </c>
      <c r="B497" t="s">
        <v>409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746</v>
      </c>
      <c r="I497" t="s">
        <v>740</v>
      </c>
      <c r="J497" t="s">
        <v>831</v>
      </c>
      <c r="K497" t="s">
        <v>478</v>
      </c>
      <c r="L497" t="s">
        <v>832</v>
      </c>
    </row>
    <row r="498" spans="1:12" x14ac:dyDescent="0.25">
      <c r="A498" t="s">
        <v>747</v>
      </c>
      <c r="B498" t="s">
        <v>409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741</v>
      </c>
      <c r="I498" t="s">
        <v>740</v>
      </c>
      <c r="J498" t="s">
        <v>160</v>
      </c>
      <c r="K498" t="s">
        <v>316</v>
      </c>
      <c r="L498" t="s">
        <v>60</v>
      </c>
    </row>
    <row r="499" spans="1:12" x14ac:dyDescent="0.25">
      <c r="A499" t="s">
        <v>747</v>
      </c>
      <c r="B499" t="s">
        <v>409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743</v>
      </c>
      <c r="I499" t="s">
        <v>740</v>
      </c>
      <c r="J499" t="s">
        <v>224</v>
      </c>
      <c r="K499" t="s">
        <v>25</v>
      </c>
    </row>
    <row r="500" spans="1:12" x14ac:dyDescent="0.25">
      <c r="A500" t="s">
        <v>747</v>
      </c>
      <c r="B500" t="s">
        <v>409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745</v>
      </c>
      <c r="I500" t="s">
        <v>740</v>
      </c>
      <c r="J500" t="s">
        <v>551</v>
      </c>
      <c r="K500" t="s">
        <v>824</v>
      </c>
      <c r="L500" t="s">
        <v>25</v>
      </c>
    </row>
    <row r="501" spans="1:12" x14ac:dyDescent="0.25">
      <c r="A501" t="s">
        <v>747</v>
      </c>
      <c r="B501" t="s">
        <v>409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746</v>
      </c>
      <c r="I501" t="s">
        <v>740</v>
      </c>
      <c r="J501" t="s">
        <v>831</v>
      </c>
      <c r="K501" t="s">
        <v>833</v>
      </c>
      <c r="L501" t="s">
        <v>832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834</v>
      </c>
      <c r="B1" s="1" t="s">
        <v>835</v>
      </c>
      <c r="C1" s="1"/>
      <c r="D1" s="1" t="s">
        <v>3089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t="s">
        <v>853</v>
      </c>
    </row>
    <row r="2" spans="1:22" x14ac:dyDescent="0.25">
      <c r="A2" t="s">
        <v>238</v>
      </c>
      <c r="B2" t="s">
        <v>854</v>
      </c>
      <c r="C2" t="s">
        <v>3096</v>
      </c>
      <c r="D2" t="s">
        <v>3090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855</v>
      </c>
      <c r="P2" t="s">
        <v>856</v>
      </c>
      <c r="Q2" s="2">
        <v>46209</v>
      </c>
      <c r="R2">
        <v>10516.62571875</v>
      </c>
      <c r="S2">
        <v>3334.93</v>
      </c>
      <c r="U2" t="s">
        <v>857</v>
      </c>
      <c r="V2">
        <v>416.54727385582311</v>
      </c>
    </row>
    <row r="3" spans="1:22" hidden="1" x14ac:dyDescent="0.25">
      <c r="A3" t="s">
        <v>238</v>
      </c>
      <c r="B3" t="s">
        <v>858</v>
      </c>
      <c r="C3" t="s">
        <v>3087</v>
      </c>
      <c r="D3" t="s">
        <v>3087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859</v>
      </c>
      <c r="P3" t="s">
        <v>860</v>
      </c>
      <c r="Q3" s="2">
        <v>46209</v>
      </c>
      <c r="R3">
        <v>10516.62571875</v>
      </c>
      <c r="S3">
        <v>3334.93</v>
      </c>
      <c r="U3" t="s">
        <v>861</v>
      </c>
      <c r="V3">
        <v>176.7270089489254</v>
      </c>
    </row>
    <row r="4" spans="1:22" x14ac:dyDescent="0.25">
      <c r="A4" t="s">
        <v>238</v>
      </c>
      <c r="B4" t="s">
        <v>862</v>
      </c>
      <c r="C4" t="s">
        <v>3093</v>
      </c>
      <c r="D4" t="s">
        <v>3090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863</v>
      </c>
      <c r="P4" t="s">
        <v>864</v>
      </c>
      <c r="Q4" s="2">
        <v>46209</v>
      </c>
      <c r="R4">
        <v>10516.62571875</v>
      </c>
      <c r="S4">
        <v>3334.93</v>
      </c>
      <c r="U4" t="s">
        <v>865</v>
      </c>
      <c r="V4">
        <v>300.85369108197182</v>
      </c>
    </row>
    <row r="5" spans="1:22" x14ac:dyDescent="0.25">
      <c r="A5" t="s">
        <v>94</v>
      </c>
      <c r="B5" t="s">
        <v>862</v>
      </c>
      <c r="C5" t="s">
        <v>3093</v>
      </c>
      <c r="D5" t="s">
        <v>3090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866</v>
      </c>
      <c r="P5" t="s">
        <v>867</v>
      </c>
      <c r="Q5" s="2">
        <v>46209</v>
      </c>
      <c r="R5">
        <v>10516.62571875</v>
      </c>
      <c r="S5">
        <v>3334.93</v>
      </c>
      <c r="U5" t="s">
        <v>868</v>
      </c>
      <c r="V5">
        <v>274.22150106721568</v>
      </c>
    </row>
    <row r="6" spans="1:22" hidden="1" x14ac:dyDescent="0.25">
      <c r="A6" t="s">
        <v>615</v>
      </c>
      <c r="B6" t="s">
        <v>858</v>
      </c>
      <c r="C6" t="s">
        <v>3087</v>
      </c>
      <c r="D6" t="s">
        <v>3087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869</v>
      </c>
      <c r="P6" t="s">
        <v>870</v>
      </c>
      <c r="Q6" s="2">
        <v>46209</v>
      </c>
      <c r="R6">
        <v>10516.62571875</v>
      </c>
      <c r="S6">
        <v>3334.93</v>
      </c>
      <c r="U6" t="s">
        <v>871</v>
      </c>
      <c r="V6">
        <v>62.21801290231717</v>
      </c>
    </row>
    <row r="7" spans="1:22" x14ac:dyDescent="0.25">
      <c r="A7" t="s">
        <v>615</v>
      </c>
      <c r="B7" t="s">
        <v>872</v>
      </c>
      <c r="C7" t="s">
        <v>619</v>
      </c>
      <c r="D7" t="s">
        <v>3090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873</v>
      </c>
      <c r="P7" t="s">
        <v>874</v>
      </c>
      <c r="Q7" s="2">
        <v>46209</v>
      </c>
      <c r="R7">
        <v>10516.62571875</v>
      </c>
      <c r="S7">
        <v>3334.93</v>
      </c>
      <c r="U7" t="s">
        <v>875</v>
      </c>
      <c r="V7">
        <v>91.771000173059946</v>
      </c>
    </row>
    <row r="8" spans="1:22" x14ac:dyDescent="0.25">
      <c r="A8" t="s">
        <v>822</v>
      </c>
      <c r="B8" t="s">
        <v>876</v>
      </c>
      <c r="C8" t="s">
        <v>3092</v>
      </c>
      <c r="D8" t="s">
        <v>3090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877</v>
      </c>
      <c r="P8" t="s">
        <v>878</v>
      </c>
      <c r="Q8" s="2">
        <v>46209</v>
      </c>
      <c r="R8">
        <v>10516.62571875</v>
      </c>
      <c r="S8">
        <v>3334.93</v>
      </c>
      <c r="U8" t="s">
        <v>879</v>
      </c>
      <c r="V8">
        <v>426.6492327703121</v>
      </c>
    </row>
    <row r="9" spans="1:22" x14ac:dyDescent="0.25">
      <c r="A9" t="s">
        <v>822</v>
      </c>
      <c r="B9" t="s">
        <v>862</v>
      </c>
      <c r="C9" t="s">
        <v>3093</v>
      </c>
      <c r="D9" t="s">
        <v>3090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880</v>
      </c>
      <c r="P9" t="s">
        <v>881</v>
      </c>
      <c r="Q9" s="2">
        <v>46209</v>
      </c>
      <c r="R9">
        <v>10516.62571875</v>
      </c>
      <c r="S9">
        <v>3334.93</v>
      </c>
      <c r="U9" t="s">
        <v>882</v>
      </c>
      <c r="V9">
        <v>207.5152513573905</v>
      </c>
    </row>
    <row r="10" spans="1:22" x14ac:dyDescent="0.25">
      <c r="A10" t="s">
        <v>822</v>
      </c>
      <c r="B10" t="s">
        <v>883</v>
      </c>
      <c r="C10" t="s">
        <v>3094</v>
      </c>
      <c r="D10" t="s">
        <v>3090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884</v>
      </c>
      <c r="P10" t="s">
        <v>885</v>
      </c>
      <c r="Q10" s="2">
        <v>46209</v>
      </c>
      <c r="R10">
        <v>10516.62571875</v>
      </c>
      <c r="S10">
        <v>3334.93</v>
      </c>
      <c r="U10" t="s">
        <v>886</v>
      </c>
      <c r="V10">
        <v>263.87360454342371</v>
      </c>
    </row>
    <row r="11" spans="1:22" x14ac:dyDescent="0.25">
      <c r="A11" t="s">
        <v>614</v>
      </c>
      <c r="B11" t="s">
        <v>887</v>
      </c>
      <c r="C11" t="s">
        <v>3091</v>
      </c>
      <c r="D11" t="s">
        <v>3090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888</v>
      </c>
      <c r="P11" t="s">
        <v>889</v>
      </c>
      <c r="Q11" s="2">
        <v>46209</v>
      </c>
      <c r="R11">
        <v>10516.62571875</v>
      </c>
      <c r="S11">
        <v>3334.93</v>
      </c>
      <c r="U11" t="s">
        <v>890</v>
      </c>
      <c r="V11">
        <v>71.134926370268644</v>
      </c>
    </row>
    <row r="12" spans="1:22" x14ac:dyDescent="0.25">
      <c r="A12" t="s">
        <v>614</v>
      </c>
      <c r="B12" t="s">
        <v>872</v>
      </c>
      <c r="C12" t="s">
        <v>619</v>
      </c>
      <c r="D12" t="s">
        <v>3090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891</v>
      </c>
      <c r="P12" t="s">
        <v>892</v>
      </c>
      <c r="Q12" s="2">
        <v>46209</v>
      </c>
      <c r="R12">
        <v>10516.62571875</v>
      </c>
      <c r="S12">
        <v>3334.93</v>
      </c>
      <c r="U12" t="s">
        <v>893</v>
      </c>
      <c r="V12">
        <v>83.275559112141551</v>
      </c>
    </row>
    <row r="13" spans="1:22" x14ac:dyDescent="0.25">
      <c r="A13" t="s">
        <v>614</v>
      </c>
      <c r="B13" t="s">
        <v>862</v>
      </c>
      <c r="C13" t="s">
        <v>3093</v>
      </c>
      <c r="D13" t="s">
        <v>3090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894</v>
      </c>
      <c r="P13" t="s">
        <v>895</v>
      </c>
      <c r="Q13" s="2">
        <v>46209</v>
      </c>
      <c r="R13">
        <v>10516.62571875</v>
      </c>
      <c r="S13">
        <v>3334.93</v>
      </c>
      <c r="U13" t="s">
        <v>896</v>
      </c>
      <c r="V13">
        <v>25.217927290247331</v>
      </c>
    </row>
    <row r="14" spans="1:22" hidden="1" x14ac:dyDescent="0.25">
      <c r="A14" t="s">
        <v>897</v>
      </c>
      <c r="B14" t="s">
        <v>858</v>
      </c>
      <c r="C14" t="s">
        <v>3087</v>
      </c>
      <c r="D14" t="s">
        <v>3087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898</v>
      </c>
      <c r="P14" t="s">
        <v>899</v>
      </c>
      <c r="Q14" s="2">
        <v>46209</v>
      </c>
      <c r="R14">
        <v>10516.62571875</v>
      </c>
      <c r="S14">
        <v>3334.93</v>
      </c>
      <c r="U14" t="s">
        <v>900</v>
      </c>
      <c r="V14">
        <v>236.5939960480855</v>
      </c>
    </row>
    <row r="15" spans="1:22" x14ac:dyDescent="0.25">
      <c r="A15" t="s">
        <v>897</v>
      </c>
      <c r="B15" t="s">
        <v>901</v>
      </c>
      <c r="C15" t="s">
        <v>3095</v>
      </c>
      <c r="D15" t="s">
        <v>3090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902</v>
      </c>
      <c r="P15" t="s">
        <v>903</v>
      </c>
      <c r="Q15" s="2">
        <v>46209</v>
      </c>
      <c r="R15">
        <v>10516.62571875</v>
      </c>
      <c r="S15">
        <v>3334.93</v>
      </c>
      <c r="U15" t="s">
        <v>904</v>
      </c>
      <c r="V15">
        <v>808.17588375168293</v>
      </c>
    </row>
    <row r="16" spans="1:22" hidden="1" x14ac:dyDescent="0.25">
      <c r="A16" t="s">
        <v>905</v>
      </c>
      <c r="B16" t="s">
        <v>858</v>
      </c>
      <c r="C16" t="s">
        <v>3087</v>
      </c>
      <c r="D16" t="s">
        <v>3087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906</v>
      </c>
      <c r="P16" t="s">
        <v>907</v>
      </c>
      <c r="Q16" s="2">
        <v>46209</v>
      </c>
      <c r="R16">
        <v>10516.62571875</v>
      </c>
      <c r="S16">
        <v>3334.93</v>
      </c>
      <c r="U16" t="s">
        <v>908</v>
      </c>
      <c r="V16">
        <v>242.88365872746959</v>
      </c>
    </row>
    <row r="17" spans="1:22" x14ac:dyDescent="0.25">
      <c r="A17" t="s">
        <v>823</v>
      </c>
      <c r="B17" t="s">
        <v>872</v>
      </c>
      <c r="C17" t="s">
        <v>619</v>
      </c>
      <c r="D17" t="s">
        <v>3090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909</v>
      </c>
      <c r="P17" t="s">
        <v>910</v>
      </c>
      <c r="Q17" s="2">
        <v>46209</v>
      </c>
      <c r="R17">
        <v>10516.62571875</v>
      </c>
      <c r="S17">
        <v>3334.93</v>
      </c>
      <c r="U17" t="s">
        <v>911</v>
      </c>
      <c r="V17">
        <v>76.088430600267841</v>
      </c>
    </row>
    <row r="18" spans="1:22" hidden="1" x14ac:dyDescent="0.25">
      <c r="A18" t="s">
        <v>531</v>
      </c>
      <c r="B18" t="s">
        <v>858</v>
      </c>
      <c r="C18" t="s">
        <v>3087</v>
      </c>
      <c r="D18" t="s">
        <v>3087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912</v>
      </c>
      <c r="P18" t="s">
        <v>913</v>
      </c>
      <c r="Q18" s="2">
        <v>46209</v>
      </c>
      <c r="R18">
        <v>10516.62571875</v>
      </c>
      <c r="S18">
        <v>3334.93</v>
      </c>
      <c r="U18" t="s">
        <v>914</v>
      </c>
      <c r="V18">
        <v>209.89945815954161</v>
      </c>
    </row>
    <row r="19" spans="1:22" x14ac:dyDescent="0.25">
      <c r="A19" t="s">
        <v>531</v>
      </c>
      <c r="B19" t="s">
        <v>862</v>
      </c>
      <c r="C19" t="s">
        <v>3093</v>
      </c>
      <c r="D19" t="s">
        <v>3090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915</v>
      </c>
      <c r="P19" t="s">
        <v>916</v>
      </c>
      <c r="Q19" s="2">
        <v>46209</v>
      </c>
      <c r="R19">
        <v>10516.62571875</v>
      </c>
      <c r="S19">
        <v>3334.93</v>
      </c>
      <c r="U19" t="s">
        <v>917</v>
      </c>
      <c r="V19">
        <v>347.90655276122737</v>
      </c>
    </row>
    <row r="20" spans="1:22" x14ac:dyDescent="0.25">
      <c r="A20" t="s">
        <v>95</v>
      </c>
      <c r="B20" t="s">
        <v>872</v>
      </c>
      <c r="C20" t="s">
        <v>619</v>
      </c>
      <c r="D20" t="s">
        <v>3090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918</v>
      </c>
      <c r="P20" t="s">
        <v>919</v>
      </c>
      <c r="Q20" s="2">
        <v>46209</v>
      </c>
      <c r="R20">
        <v>10516.62571875</v>
      </c>
      <c r="S20">
        <v>3334.93</v>
      </c>
      <c r="U20" t="s">
        <v>920</v>
      </c>
      <c r="V20">
        <v>204.69891285710511</v>
      </c>
    </row>
    <row r="21" spans="1:22" x14ac:dyDescent="0.25">
      <c r="A21" t="s">
        <v>95</v>
      </c>
      <c r="B21" t="s">
        <v>876</v>
      </c>
      <c r="C21" t="s">
        <v>3092</v>
      </c>
      <c r="D21" t="s">
        <v>3090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921</v>
      </c>
      <c r="P21" t="s">
        <v>922</v>
      </c>
      <c r="Q21" s="2">
        <v>46209</v>
      </c>
      <c r="R21">
        <v>10516.62571875</v>
      </c>
      <c r="S21">
        <v>3334.93</v>
      </c>
      <c r="U21" t="s">
        <v>923</v>
      </c>
      <c r="V21">
        <v>340.33697858725668</v>
      </c>
    </row>
    <row r="22" spans="1:22" hidden="1" x14ac:dyDescent="0.25">
      <c r="A22" t="s">
        <v>240</v>
      </c>
      <c r="B22" t="s">
        <v>858</v>
      </c>
      <c r="C22" t="s">
        <v>3087</v>
      </c>
      <c r="D22" t="s">
        <v>3087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924</v>
      </c>
      <c r="P22" t="s">
        <v>925</v>
      </c>
      <c r="Q22" s="2">
        <v>46209</v>
      </c>
      <c r="R22">
        <v>10516.62571875</v>
      </c>
      <c r="S22">
        <v>3334.93</v>
      </c>
      <c r="U22" t="s">
        <v>926</v>
      </c>
      <c r="V22">
        <v>50.676909254277398</v>
      </c>
    </row>
    <row r="23" spans="1:22" x14ac:dyDescent="0.25">
      <c r="A23" t="s">
        <v>927</v>
      </c>
      <c r="B23" t="s">
        <v>872</v>
      </c>
      <c r="C23" t="s">
        <v>619</v>
      </c>
      <c r="D23" t="s">
        <v>3090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928</v>
      </c>
      <c r="P23" t="s">
        <v>929</v>
      </c>
      <c r="Q23" s="2">
        <v>46209</v>
      </c>
      <c r="R23">
        <v>10516.62571875</v>
      </c>
      <c r="S23">
        <v>3334.93</v>
      </c>
      <c r="U23" t="s">
        <v>930</v>
      </c>
      <c r="V23">
        <v>68.618594379859218</v>
      </c>
    </row>
    <row r="24" spans="1:22" hidden="1" x14ac:dyDescent="0.25">
      <c r="A24" t="s">
        <v>931</v>
      </c>
      <c r="B24" t="s">
        <v>858</v>
      </c>
      <c r="C24" t="s">
        <v>3087</v>
      </c>
      <c r="D24" t="s">
        <v>3087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932</v>
      </c>
      <c r="P24" t="s">
        <v>611</v>
      </c>
      <c r="Q24" s="2">
        <v>46209</v>
      </c>
      <c r="R24">
        <v>10516.62571875</v>
      </c>
      <c r="S24">
        <v>3334.93</v>
      </c>
      <c r="U24" t="s">
        <v>933</v>
      </c>
      <c r="V24">
        <v>296.85780511135169</v>
      </c>
    </row>
    <row r="25" spans="1:22" x14ac:dyDescent="0.25">
      <c r="A25" t="s">
        <v>931</v>
      </c>
      <c r="B25" t="s">
        <v>862</v>
      </c>
      <c r="C25" t="s">
        <v>3093</v>
      </c>
      <c r="D25" t="s">
        <v>3090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934</v>
      </c>
      <c r="P25" t="s">
        <v>935</v>
      </c>
      <c r="Q25" s="2">
        <v>46209</v>
      </c>
      <c r="R25">
        <v>10516.62571875</v>
      </c>
      <c r="S25">
        <v>3334.93</v>
      </c>
      <c r="U25" t="s">
        <v>936</v>
      </c>
      <c r="V25">
        <v>371.18020468195738</v>
      </c>
    </row>
    <row r="26" spans="1:22" x14ac:dyDescent="0.25">
      <c r="A26" t="s">
        <v>239</v>
      </c>
      <c r="B26" t="s">
        <v>854</v>
      </c>
      <c r="C26" t="s">
        <v>3088</v>
      </c>
      <c r="D26" t="s">
        <v>3090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937</v>
      </c>
      <c r="P26" t="s">
        <v>938</v>
      </c>
      <c r="Q26" s="2">
        <v>46209</v>
      </c>
      <c r="R26">
        <v>10516.62571875</v>
      </c>
      <c r="S26">
        <v>3334.93</v>
      </c>
      <c r="U26" t="s">
        <v>939</v>
      </c>
      <c r="V26">
        <v>469.11490340332989</v>
      </c>
    </row>
    <row r="27" spans="1:22" hidden="1" x14ac:dyDescent="0.25">
      <c r="A27" t="s">
        <v>239</v>
      </c>
      <c r="B27" t="s">
        <v>858</v>
      </c>
      <c r="C27" t="s">
        <v>3087</v>
      </c>
      <c r="D27" t="s">
        <v>3087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940</v>
      </c>
      <c r="P27" t="s">
        <v>941</v>
      </c>
      <c r="Q27" s="2">
        <v>46209</v>
      </c>
      <c r="R27">
        <v>10516.62571875</v>
      </c>
      <c r="S27">
        <v>3334.93</v>
      </c>
      <c r="U27" t="s">
        <v>942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FFB-1463-40EE-9A45-A95D13FE6687}">
  <dimension ref="A1:W80"/>
  <sheetViews>
    <sheetView workbookViewId="0">
      <selection activeCell="J5" sqref="J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6.1406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x14ac:dyDescent="0.3">
      <c r="A1" s="4" t="s">
        <v>3097</v>
      </c>
    </row>
    <row r="2" spans="1:23" x14ac:dyDescent="0.25">
      <c r="A2" s="5" t="s">
        <v>3098</v>
      </c>
    </row>
    <row r="3" spans="1:23" ht="30" x14ac:dyDescent="0.25">
      <c r="A3" s="6" t="s">
        <v>3099</v>
      </c>
      <c r="B3" s="6" t="s">
        <v>3100</v>
      </c>
      <c r="C3" s="6" t="s">
        <v>3101</v>
      </c>
      <c r="D3" s="6" t="s">
        <v>3102</v>
      </c>
      <c r="E3" s="14" t="s">
        <v>3120</v>
      </c>
      <c r="F3" s="6" t="s">
        <v>3117</v>
      </c>
      <c r="G3" s="14" t="s">
        <v>3121</v>
      </c>
      <c r="H3" s="6" t="s">
        <v>3118</v>
      </c>
      <c r="I3" s="6" t="s">
        <v>3103</v>
      </c>
      <c r="J3" s="6" t="s">
        <v>3104</v>
      </c>
      <c r="K3" s="6" t="s">
        <v>3105</v>
      </c>
      <c r="L3" s="6" t="s">
        <v>3106</v>
      </c>
      <c r="M3" s="6" t="s">
        <v>3107</v>
      </c>
      <c r="N3" s="6" t="s">
        <v>3108</v>
      </c>
      <c r="O3" s="14" t="s">
        <v>3122</v>
      </c>
      <c r="P3" s="14" t="s">
        <v>3123</v>
      </c>
      <c r="Q3" s="6" t="s">
        <v>3109</v>
      </c>
      <c r="R3" s="6" t="s">
        <v>3110</v>
      </c>
      <c r="S3" s="7" t="s">
        <v>1680</v>
      </c>
      <c r="T3" s="7" t="s">
        <v>647</v>
      </c>
      <c r="U3" s="7" t="s">
        <v>943</v>
      </c>
      <c r="V3" s="7" t="s">
        <v>3140</v>
      </c>
      <c r="W3" s="7" t="s">
        <v>3141</v>
      </c>
    </row>
    <row r="4" spans="1:23" x14ac:dyDescent="0.25">
      <c r="A4" s="8"/>
      <c r="B4" s="8"/>
      <c r="C4" s="8" t="s">
        <v>3001</v>
      </c>
      <c r="D4" s="8" t="s">
        <v>3001</v>
      </c>
      <c r="E4" s="8" t="s">
        <v>3119</v>
      </c>
      <c r="F4" s="8" t="s">
        <v>3111</v>
      </c>
      <c r="G4" s="8" t="s">
        <v>3119</v>
      </c>
      <c r="H4" s="8" t="s">
        <v>3111</v>
      </c>
      <c r="I4" s="8" t="s">
        <v>3112</v>
      </c>
      <c r="J4" s="8" t="s">
        <v>3113</v>
      </c>
      <c r="K4" s="8" t="s">
        <v>3114</v>
      </c>
      <c r="L4" s="8"/>
      <c r="M4" s="8" t="s">
        <v>3115</v>
      </c>
      <c r="N4" s="8" t="s">
        <v>3115</v>
      </c>
      <c r="O4" s="8" t="s">
        <v>3001</v>
      </c>
      <c r="P4" s="8" t="s">
        <v>3115</v>
      </c>
      <c r="Q4" s="8" t="s">
        <v>3116</v>
      </c>
      <c r="R4" s="8" t="s">
        <v>3116</v>
      </c>
      <c r="S4" s="8"/>
      <c r="V4" s="8" t="s">
        <v>3139</v>
      </c>
      <c r="W4" s="8" t="s">
        <v>3139</v>
      </c>
    </row>
    <row r="5" spans="1:23" x14ac:dyDescent="0.25">
      <c r="A5" s="11" t="s">
        <v>2485</v>
      </c>
      <c r="B5" s="11" t="s">
        <v>238</v>
      </c>
      <c r="C5" s="9">
        <v>30</v>
      </c>
      <c r="D5" s="9">
        <v>97</v>
      </c>
      <c r="E5" s="9">
        <v>5</v>
      </c>
      <c r="F5" s="9">
        <f>E5*60</f>
        <v>300</v>
      </c>
      <c r="G5" s="9">
        <v>4.99</v>
      </c>
      <c r="H5" s="9">
        <f>G5*60</f>
        <v>299.40000000000003</v>
      </c>
      <c r="I5" s="10">
        <v>0</v>
      </c>
      <c r="J5" s="16"/>
      <c r="K5" s="10">
        <v>0</v>
      </c>
      <c r="L5" s="9"/>
      <c r="M5" s="9">
        <v>1</v>
      </c>
      <c r="N5" s="9">
        <v>0</v>
      </c>
      <c r="O5" s="9">
        <v>5</v>
      </c>
      <c r="P5" s="9">
        <v>0</v>
      </c>
      <c r="Q5" s="10">
        <f>O5*P5*J5</f>
        <v>0</v>
      </c>
      <c r="R5" s="10">
        <v>0</v>
      </c>
      <c r="S5" s="11" t="s">
        <v>621</v>
      </c>
      <c r="T5" s="11" t="s">
        <v>864</v>
      </c>
      <c r="U5" s="11" t="str">
        <f>_xlfn.XLOOKUP(T5,Detalle_Unidades!F2:F548,Detalle_Unidades!A2:A548)</f>
        <v>TRM1</v>
      </c>
    </row>
    <row r="6" spans="1:23" x14ac:dyDescent="0.25">
      <c r="A6" s="11" t="s">
        <v>2488</v>
      </c>
      <c r="B6" s="11" t="s">
        <v>238</v>
      </c>
      <c r="C6" s="9">
        <v>40</v>
      </c>
      <c r="D6" s="9">
        <v>80</v>
      </c>
      <c r="E6" s="9">
        <v>5</v>
      </c>
      <c r="F6" s="9">
        <f t="shared" ref="F6:F69" si="0">E6*60</f>
        <v>300</v>
      </c>
      <c r="G6" s="9">
        <v>5.07</v>
      </c>
      <c r="H6" s="9">
        <f t="shared" ref="H6:H69" si="1">G6*60</f>
        <v>304.20000000000005</v>
      </c>
      <c r="I6" s="10">
        <v>0</v>
      </c>
      <c r="J6" s="16"/>
      <c r="K6" s="10">
        <v>0</v>
      </c>
      <c r="L6" s="9"/>
      <c r="M6" s="9">
        <v>6</v>
      </c>
      <c r="N6" s="9">
        <v>6</v>
      </c>
      <c r="O6" s="9">
        <v>5</v>
      </c>
      <c r="P6" s="9">
        <v>2</v>
      </c>
      <c r="Q6" s="10">
        <f t="shared" ref="Q6:Q69" si="2">O6*P6*J6</f>
        <v>0</v>
      </c>
      <c r="R6" s="10">
        <v>0</v>
      </c>
      <c r="S6" s="11" t="s">
        <v>854</v>
      </c>
      <c r="T6" s="11" t="s">
        <v>864</v>
      </c>
      <c r="U6" s="11" t="str">
        <f>_xlfn.XLOOKUP(T6,Detalle_Unidades!F3:F549,Detalle_Unidades!A3:A549)</f>
        <v>TRM1</v>
      </c>
    </row>
    <row r="7" spans="1:23" x14ac:dyDescent="0.25">
      <c r="A7" s="11" t="s">
        <v>2490</v>
      </c>
      <c r="B7" s="11" t="s">
        <v>238</v>
      </c>
      <c r="C7" s="9">
        <v>30</v>
      </c>
      <c r="D7" s="9">
        <v>77</v>
      </c>
      <c r="E7" s="9">
        <v>3.88</v>
      </c>
      <c r="F7" s="9">
        <f t="shared" si="0"/>
        <v>232.79999999999998</v>
      </c>
      <c r="G7" s="9">
        <v>3.11</v>
      </c>
      <c r="H7" s="9">
        <f t="shared" si="1"/>
        <v>186.6</v>
      </c>
      <c r="I7" s="10">
        <v>0</v>
      </c>
      <c r="J7" s="16"/>
      <c r="K7" s="10">
        <v>0</v>
      </c>
      <c r="L7" s="9"/>
      <c r="M7" s="9">
        <v>10</v>
      </c>
      <c r="N7" s="9">
        <v>8</v>
      </c>
      <c r="O7" s="9">
        <v>5</v>
      </c>
      <c r="P7" s="9">
        <v>4</v>
      </c>
      <c r="Q7" s="10">
        <f t="shared" si="2"/>
        <v>0</v>
      </c>
      <c r="R7" s="10">
        <v>0</v>
      </c>
      <c r="S7" s="11" t="s">
        <v>854</v>
      </c>
      <c r="T7" s="11" t="s">
        <v>864</v>
      </c>
      <c r="U7" s="11" t="str">
        <f>_xlfn.XLOOKUP(T7,Detalle_Unidades!F4:F550,Detalle_Unidades!A4:A550)</f>
        <v>TRM1</v>
      </c>
    </row>
    <row r="8" spans="1:23" x14ac:dyDescent="0.25">
      <c r="A8" s="11" t="s">
        <v>2522</v>
      </c>
      <c r="B8" s="11" t="s">
        <v>238</v>
      </c>
      <c r="C8" s="9">
        <v>89</v>
      </c>
      <c r="D8" s="9">
        <v>110</v>
      </c>
      <c r="E8" s="9">
        <v>42.41</v>
      </c>
      <c r="F8" s="9">
        <f t="shared" si="0"/>
        <v>2544.6</v>
      </c>
      <c r="G8" s="9">
        <v>41.41</v>
      </c>
      <c r="H8" s="9">
        <f t="shared" si="1"/>
        <v>2484.6</v>
      </c>
      <c r="I8" s="10">
        <v>0</v>
      </c>
      <c r="J8" s="16"/>
      <c r="K8" s="10">
        <v>0</v>
      </c>
      <c r="L8" s="9"/>
      <c r="M8" s="9">
        <v>8</v>
      </c>
      <c r="N8" s="9">
        <v>1</v>
      </c>
      <c r="O8" s="9">
        <v>12</v>
      </c>
      <c r="P8" s="9">
        <v>2</v>
      </c>
      <c r="Q8" s="10">
        <f t="shared" si="2"/>
        <v>0</v>
      </c>
      <c r="R8" s="10">
        <v>0</v>
      </c>
      <c r="S8" s="11" t="s">
        <v>854</v>
      </c>
      <c r="T8" s="11" t="s">
        <v>856</v>
      </c>
      <c r="U8" s="11" t="str">
        <f>_xlfn.XLOOKUP(T8,Detalle_Unidades!F5:F551,Detalle_Unidades!A5:A551)</f>
        <v>TSR1</v>
      </c>
    </row>
    <row r="9" spans="1:23" x14ac:dyDescent="0.25">
      <c r="A9" s="11" t="s">
        <v>2525</v>
      </c>
      <c r="B9" s="11" t="s">
        <v>238</v>
      </c>
      <c r="C9" s="9">
        <v>89</v>
      </c>
      <c r="D9" s="9">
        <v>110</v>
      </c>
      <c r="E9" s="9">
        <v>2.5</v>
      </c>
      <c r="F9" s="9">
        <f t="shared" si="0"/>
        <v>150</v>
      </c>
      <c r="G9" s="9">
        <v>49.25</v>
      </c>
      <c r="H9" s="9">
        <f t="shared" si="1"/>
        <v>2955</v>
      </c>
      <c r="I9" s="10">
        <v>0</v>
      </c>
      <c r="J9" s="16"/>
      <c r="K9" s="10">
        <v>0</v>
      </c>
      <c r="L9" s="9"/>
      <c r="M9" s="9">
        <v>8</v>
      </c>
      <c r="N9" s="9">
        <v>1</v>
      </c>
      <c r="O9" s="9">
        <v>12</v>
      </c>
      <c r="P9" s="9">
        <v>2</v>
      </c>
      <c r="Q9" s="10">
        <f t="shared" si="2"/>
        <v>0</v>
      </c>
      <c r="R9" s="10">
        <v>0</v>
      </c>
      <c r="S9" s="11" t="s">
        <v>854</v>
      </c>
      <c r="T9" s="11" t="s">
        <v>856</v>
      </c>
      <c r="U9" s="11" t="str">
        <f>_xlfn.XLOOKUP(T9,Detalle_Unidades!F6:F552,Detalle_Unidades!A6:A552)</f>
        <v>TSR1</v>
      </c>
    </row>
    <row r="10" spans="1:23" x14ac:dyDescent="0.25">
      <c r="A10" s="11" t="s">
        <v>2527</v>
      </c>
      <c r="B10" s="11" t="s">
        <v>238</v>
      </c>
      <c r="C10" s="9">
        <v>42</v>
      </c>
      <c r="D10" s="9">
        <v>132</v>
      </c>
      <c r="E10" s="9">
        <v>5</v>
      </c>
      <c r="F10" s="9">
        <f t="shared" si="0"/>
        <v>300</v>
      </c>
      <c r="G10" s="9">
        <v>12.7</v>
      </c>
      <c r="H10" s="9">
        <f t="shared" si="1"/>
        <v>762</v>
      </c>
      <c r="I10" s="10">
        <v>0</v>
      </c>
      <c r="J10" s="16"/>
      <c r="K10" s="10">
        <v>0</v>
      </c>
      <c r="L10" s="9"/>
      <c r="M10" s="9">
        <v>8</v>
      </c>
      <c r="N10" s="9">
        <v>1</v>
      </c>
      <c r="O10" s="9">
        <v>12</v>
      </c>
      <c r="P10" s="9">
        <v>2</v>
      </c>
      <c r="Q10" s="10">
        <f t="shared" si="2"/>
        <v>0</v>
      </c>
      <c r="R10" s="10">
        <v>0</v>
      </c>
      <c r="S10" s="11" t="s">
        <v>854</v>
      </c>
      <c r="T10" s="11" t="s">
        <v>856</v>
      </c>
      <c r="U10" s="11" t="str">
        <f>_xlfn.XLOOKUP(T10,Detalle_Unidades!F7:F553,Detalle_Unidades!A7:A553)</f>
        <v>TSR1</v>
      </c>
    </row>
    <row r="11" spans="1:23" x14ac:dyDescent="0.25">
      <c r="A11" s="11" t="s">
        <v>649</v>
      </c>
      <c r="B11" s="11" t="s">
        <v>94</v>
      </c>
      <c r="C11" s="9">
        <v>33</v>
      </c>
      <c r="D11" s="9">
        <v>60</v>
      </c>
      <c r="E11" s="9">
        <v>0.94</v>
      </c>
      <c r="F11" s="9">
        <f t="shared" si="0"/>
        <v>56.4</v>
      </c>
      <c r="G11" s="9">
        <v>0.94</v>
      </c>
      <c r="H11" s="9">
        <f t="shared" si="1"/>
        <v>56.4</v>
      </c>
      <c r="I11" s="10">
        <v>0</v>
      </c>
      <c r="J11" s="16">
        <v>285.53892581868604</v>
      </c>
      <c r="K11" s="10">
        <v>0</v>
      </c>
      <c r="L11" s="9"/>
      <c r="M11" s="9">
        <v>48</v>
      </c>
      <c r="N11" s="9">
        <v>24</v>
      </c>
      <c r="O11" s="9">
        <v>5</v>
      </c>
      <c r="P11" s="9">
        <v>8</v>
      </c>
      <c r="Q11" s="10">
        <f t="shared" si="2"/>
        <v>11421.557032747442</v>
      </c>
      <c r="R11" s="10">
        <v>0</v>
      </c>
      <c r="S11" s="11" t="s">
        <v>621</v>
      </c>
      <c r="T11" s="11" t="s">
        <v>649</v>
      </c>
      <c r="U11" s="11" t="str">
        <f>_xlfn.XLOOKUP(T11,Detalle_Unidades!F8:F554,Detalle_Unidades!A8:A554)</f>
        <v>TBQ3</v>
      </c>
    </row>
    <row r="12" spans="1:23" x14ac:dyDescent="0.25">
      <c r="A12" s="11" t="s">
        <v>650</v>
      </c>
      <c r="B12" s="11" t="s">
        <v>94</v>
      </c>
      <c r="C12" s="9">
        <v>33</v>
      </c>
      <c r="D12" s="9">
        <v>60</v>
      </c>
      <c r="E12" s="9">
        <v>1.05</v>
      </c>
      <c r="F12" s="9">
        <f t="shared" si="0"/>
        <v>63</v>
      </c>
      <c r="G12" s="9">
        <v>0.96</v>
      </c>
      <c r="H12" s="9">
        <f t="shared" si="1"/>
        <v>57.599999999999994</v>
      </c>
      <c r="I12" s="10">
        <v>0</v>
      </c>
      <c r="J12" s="16"/>
      <c r="K12" s="10">
        <v>0</v>
      </c>
      <c r="L12" s="9"/>
      <c r="M12" s="9">
        <v>48</v>
      </c>
      <c r="N12" s="9">
        <v>24</v>
      </c>
      <c r="O12" s="9">
        <v>5</v>
      </c>
      <c r="P12" s="9">
        <v>8</v>
      </c>
      <c r="Q12" s="10">
        <f t="shared" si="2"/>
        <v>0</v>
      </c>
      <c r="R12" s="10">
        <v>0</v>
      </c>
      <c r="S12" s="11" t="s">
        <v>621</v>
      </c>
      <c r="T12" s="11" t="s">
        <v>650</v>
      </c>
      <c r="U12" s="11" t="str">
        <f>_xlfn.XLOOKUP(T12,Detalle_Unidades!F9:F555,Detalle_Unidades!A9:A555)</f>
        <v>TBQ4</v>
      </c>
    </row>
    <row r="13" spans="1:23" x14ac:dyDescent="0.25">
      <c r="A13" s="11" t="s">
        <v>2396</v>
      </c>
      <c r="B13" s="11" t="s">
        <v>94</v>
      </c>
      <c r="C13" s="9">
        <v>45</v>
      </c>
      <c r="D13" s="9">
        <v>119</v>
      </c>
      <c r="E13" s="9">
        <v>2</v>
      </c>
      <c r="F13" s="9">
        <f t="shared" si="0"/>
        <v>120</v>
      </c>
      <c r="G13" s="9">
        <v>0.5</v>
      </c>
      <c r="H13" s="9">
        <f t="shared" si="1"/>
        <v>30</v>
      </c>
      <c r="I13" s="10">
        <v>0</v>
      </c>
      <c r="J13" s="16"/>
      <c r="K13" s="10">
        <v>0</v>
      </c>
      <c r="L13" s="9"/>
      <c r="M13" s="9">
        <v>8</v>
      </c>
      <c r="N13" s="9">
        <v>4</v>
      </c>
      <c r="O13" s="9">
        <v>5</v>
      </c>
      <c r="P13" s="9">
        <v>0.75</v>
      </c>
      <c r="Q13" s="10">
        <f t="shared" si="2"/>
        <v>0</v>
      </c>
      <c r="R13" s="10">
        <v>0</v>
      </c>
      <c r="S13" s="11" t="s">
        <v>621</v>
      </c>
      <c r="T13" s="11" t="s">
        <v>2395</v>
      </c>
      <c r="U13" s="11" t="str">
        <f>_xlfn.XLOOKUP(T13,Detalle_Unidades!F10:F556,Detalle_Unidades!A10:A556)</f>
        <v>TFL1</v>
      </c>
    </row>
    <row r="14" spans="1:23" x14ac:dyDescent="0.25">
      <c r="A14" s="11" t="s">
        <v>2398</v>
      </c>
      <c r="B14" s="11" t="s">
        <v>94</v>
      </c>
      <c r="C14" s="9">
        <v>20</v>
      </c>
      <c r="D14" s="9">
        <v>46</v>
      </c>
      <c r="E14" s="9">
        <v>1.5</v>
      </c>
      <c r="F14" s="9">
        <f t="shared" si="0"/>
        <v>90</v>
      </c>
      <c r="G14" s="9">
        <v>0.1</v>
      </c>
      <c r="H14" s="9">
        <f t="shared" si="1"/>
        <v>6</v>
      </c>
      <c r="I14" s="10">
        <v>0</v>
      </c>
      <c r="J14" s="16"/>
      <c r="K14" s="10">
        <v>0</v>
      </c>
      <c r="L14" s="9"/>
      <c r="M14" s="9">
        <v>8</v>
      </c>
      <c r="N14" s="9">
        <v>4</v>
      </c>
      <c r="O14" s="9">
        <v>10</v>
      </c>
      <c r="P14" s="9">
        <v>0.75</v>
      </c>
      <c r="Q14" s="10">
        <f t="shared" si="2"/>
        <v>0</v>
      </c>
      <c r="R14" s="10">
        <v>0</v>
      </c>
      <c r="S14" s="11" t="s">
        <v>621</v>
      </c>
      <c r="T14" s="11" t="s">
        <v>2395</v>
      </c>
      <c r="U14" s="11" t="str">
        <f>_xlfn.XLOOKUP(T14,Detalle_Unidades!F11:F557,Detalle_Unidades!A11:A557)</f>
        <v>TFL1</v>
      </c>
    </row>
    <row r="15" spans="1:23" x14ac:dyDescent="0.25">
      <c r="A15" s="11" t="s">
        <v>2402</v>
      </c>
      <c r="B15" s="11" t="s">
        <v>94</v>
      </c>
      <c r="C15" s="9">
        <v>80</v>
      </c>
      <c r="D15" s="9">
        <v>120</v>
      </c>
      <c r="E15" s="9">
        <v>2</v>
      </c>
      <c r="F15" s="9">
        <f t="shared" si="0"/>
        <v>120</v>
      </c>
      <c r="G15" s="9">
        <v>0.4</v>
      </c>
      <c r="H15" s="9">
        <f t="shared" si="1"/>
        <v>24</v>
      </c>
      <c r="I15" s="10">
        <v>0</v>
      </c>
      <c r="J15" s="16"/>
      <c r="K15" s="10">
        <v>0</v>
      </c>
      <c r="L15" s="9"/>
      <c r="M15" s="9">
        <v>16</v>
      </c>
      <c r="N15" s="9">
        <v>4</v>
      </c>
      <c r="O15" s="9">
        <v>5</v>
      </c>
      <c r="P15" s="9">
        <v>0.75</v>
      </c>
      <c r="Q15" s="10">
        <f t="shared" si="2"/>
        <v>0</v>
      </c>
      <c r="R15" s="10">
        <v>0</v>
      </c>
      <c r="S15" s="11" t="s">
        <v>621</v>
      </c>
      <c r="T15" s="11" t="s">
        <v>2401</v>
      </c>
      <c r="U15" s="11" t="str">
        <f>_xlfn.XLOOKUP(T15,Detalle_Unidades!F12:F558,Detalle_Unidades!A12:A558)</f>
        <v>TFL4</v>
      </c>
    </row>
    <row r="16" spans="1:23" x14ac:dyDescent="0.25">
      <c r="A16" s="11" t="s">
        <v>2404</v>
      </c>
      <c r="B16" s="11" t="s">
        <v>94</v>
      </c>
      <c r="C16" s="9">
        <v>60</v>
      </c>
      <c r="D16" s="9">
        <v>169</v>
      </c>
      <c r="E16" s="9">
        <v>2</v>
      </c>
      <c r="F16" s="9">
        <f t="shared" si="0"/>
        <v>120</v>
      </c>
      <c r="G16" s="9">
        <v>0.77</v>
      </c>
      <c r="H16" s="9">
        <f t="shared" si="1"/>
        <v>46.2</v>
      </c>
      <c r="I16" s="10">
        <v>0</v>
      </c>
      <c r="J16" s="16"/>
      <c r="K16" s="10">
        <v>0</v>
      </c>
      <c r="L16" s="9"/>
      <c r="M16" s="9">
        <v>16</v>
      </c>
      <c r="N16" s="9">
        <v>4</v>
      </c>
      <c r="O16" s="9">
        <v>5</v>
      </c>
      <c r="P16" s="9">
        <v>0.75</v>
      </c>
      <c r="Q16" s="10">
        <f t="shared" si="2"/>
        <v>0</v>
      </c>
      <c r="R16" s="10">
        <v>0</v>
      </c>
      <c r="S16" s="11" t="s">
        <v>621</v>
      </c>
      <c r="T16" s="11" t="s">
        <v>2401</v>
      </c>
      <c r="U16" s="11" t="str">
        <f>_xlfn.XLOOKUP(T16,Detalle_Unidades!F13:F559,Detalle_Unidades!A13:A559)</f>
        <v>TFL4</v>
      </c>
    </row>
    <row r="17" spans="1:21" x14ac:dyDescent="0.25">
      <c r="A17" s="11" t="s">
        <v>2407</v>
      </c>
      <c r="B17" s="11" t="s">
        <v>94</v>
      </c>
      <c r="C17" s="9">
        <v>40</v>
      </c>
      <c r="D17" s="9">
        <v>164</v>
      </c>
      <c r="E17" s="9">
        <v>0</v>
      </c>
      <c r="F17" s="9">
        <f t="shared" si="0"/>
        <v>0</v>
      </c>
      <c r="G17" s="9">
        <v>0</v>
      </c>
      <c r="H17" s="9">
        <f t="shared" si="1"/>
        <v>0</v>
      </c>
      <c r="I17" s="10">
        <v>0</v>
      </c>
      <c r="J17" s="16"/>
      <c r="K17" s="10">
        <v>0</v>
      </c>
      <c r="L17" s="9"/>
      <c r="M17" s="9">
        <v>16</v>
      </c>
      <c r="N17" s="9">
        <v>4</v>
      </c>
      <c r="O17" s="9">
        <v>5</v>
      </c>
      <c r="P17" s="9">
        <v>0.75</v>
      </c>
      <c r="Q17" s="10">
        <f t="shared" si="2"/>
        <v>0</v>
      </c>
      <c r="R17" s="10">
        <v>0</v>
      </c>
      <c r="S17" s="11" t="s">
        <v>621</v>
      </c>
      <c r="T17" s="11" t="s">
        <v>2401</v>
      </c>
      <c r="U17" s="11" t="str">
        <f>_xlfn.XLOOKUP(T17,Detalle_Unidades!F14:F560,Detalle_Unidades!A14:A560)</f>
        <v>TFL4</v>
      </c>
    </row>
    <row r="18" spans="1:21" x14ac:dyDescent="0.25">
      <c r="A18" s="11" t="s">
        <v>2457</v>
      </c>
      <c r="B18" s="11" t="s">
        <v>94</v>
      </c>
      <c r="C18" s="9">
        <v>50</v>
      </c>
      <c r="D18" s="9">
        <v>97</v>
      </c>
      <c r="E18" s="9">
        <v>4.17</v>
      </c>
      <c r="F18" s="9">
        <f t="shared" si="0"/>
        <v>250.2</v>
      </c>
      <c r="G18" s="9">
        <v>4.07</v>
      </c>
      <c r="H18" s="9">
        <f t="shared" si="1"/>
        <v>244.20000000000002</v>
      </c>
      <c r="I18" s="10">
        <v>0</v>
      </c>
      <c r="J18" s="16"/>
      <c r="K18" s="10">
        <v>0</v>
      </c>
      <c r="L18" s="9"/>
      <c r="M18" s="9">
        <v>8</v>
      </c>
      <c r="N18" s="9">
        <v>8</v>
      </c>
      <c r="O18" s="9">
        <v>10</v>
      </c>
      <c r="P18" s="9">
        <v>1</v>
      </c>
      <c r="Q18" s="10">
        <f t="shared" si="2"/>
        <v>0</v>
      </c>
      <c r="R18" s="10">
        <v>0</v>
      </c>
      <c r="S18" s="11" t="s">
        <v>621</v>
      </c>
      <c r="T18" s="11" t="s">
        <v>2456</v>
      </c>
      <c r="U18" s="11" t="str">
        <f>_xlfn.XLOOKUP(T18,Detalle_Unidades!F15:F561,Detalle_Unidades!A15:A561)</f>
        <v>TBST</v>
      </c>
    </row>
    <row r="19" spans="1:21" x14ac:dyDescent="0.25">
      <c r="A19" s="11" t="s">
        <v>2460</v>
      </c>
      <c r="B19" s="11" t="s">
        <v>94</v>
      </c>
      <c r="C19" s="9">
        <v>50</v>
      </c>
      <c r="D19" s="9">
        <v>97</v>
      </c>
      <c r="E19" s="9">
        <v>4.18</v>
      </c>
      <c r="F19" s="9">
        <f t="shared" si="0"/>
        <v>250.79999999999998</v>
      </c>
      <c r="G19" s="9">
        <v>4.07</v>
      </c>
      <c r="H19" s="9">
        <f t="shared" si="1"/>
        <v>244.20000000000002</v>
      </c>
      <c r="I19" s="10">
        <v>0</v>
      </c>
      <c r="J19" s="16"/>
      <c r="K19" s="10">
        <v>0</v>
      </c>
      <c r="L19" s="9"/>
      <c r="M19" s="9">
        <v>8</v>
      </c>
      <c r="N19" s="9">
        <v>8</v>
      </c>
      <c r="O19" s="9">
        <v>10</v>
      </c>
      <c r="P19" s="9">
        <v>1</v>
      </c>
      <c r="Q19" s="10">
        <f t="shared" si="2"/>
        <v>0</v>
      </c>
      <c r="R19" s="10">
        <v>0</v>
      </c>
      <c r="S19" s="11" t="s">
        <v>621</v>
      </c>
      <c r="T19" s="11" t="s">
        <v>2456</v>
      </c>
      <c r="U19" s="11" t="str">
        <f>_xlfn.XLOOKUP(T19,Detalle_Unidades!F16:F562,Detalle_Unidades!A16:A562)</f>
        <v>TBST</v>
      </c>
    </row>
    <row r="20" spans="1:21" x14ac:dyDescent="0.25">
      <c r="A20" s="11" t="s">
        <v>2462</v>
      </c>
      <c r="B20" s="11" t="s">
        <v>94</v>
      </c>
      <c r="C20" s="9">
        <v>50</v>
      </c>
      <c r="D20" s="9">
        <v>97</v>
      </c>
      <c r="E20" s="9">
        <v>4.16</v>
      </c>
      <c r="F20" s="9">
        <f t="shared" si="0"/>
        <v>249.60000000000002</v>
      </c>
      <c r="G20" s="9">
        <v>4.1900000000000004</v>
      </c>
      <c r="H20" s="9">
        <f t="shared" si="1"/>
        <v>251.40000000000003</v>
      </c>
      <c r="I20" s="10">
        <v>0</v>
      </c>
      <c r="J20" s="16"/>
      <c r="K20" s="10">
        <v>0</v>
      </c>
      <c r="L20" s="9"/>
      <c r="M20" s="9">
        <v>8</v>
      </c>
      <c r="N20" s="9">
        <v>8</v>
      </c>
      <c r="O20" s="9">
        <v>10</v>
      </c>
      <c r="P20" s="9">
        <v>1</v>
      </c>
      <c r="Q20" s="10">
        <f t="shared" si="2"/>
        <v>0</v>
      </c>
      <c r="R20" s="10">
        <v>0</v>
      </c>
      <c r="S20" s="11" t="s">
        <v>621</v>
      </c>
      <c r="T20" s="11" t="s">
        <v>2456</v>
      </c>
      <c r="U20" s="11" t="str">
        <f>_xlfn.XLOOKUP(T20,Detalle_Unidades!F17:F563,Detalle_Unidades!A17:A563)</f>
        <v>TBST</v>
      </c>
    </row>
    <row r="21" spans="1:21" x14ac:dyDescent="0.25">
      <c r="A21" s="11" t="s">
        <v>2464</v>
      </c>
      <c r="B21" s="11" t="s">
        <v>94</v>
      </c>
      <c r="C21" s="9">
        <v>82.5</v>
      </c>
      <c r="D21" s="9">
        <v>166</v>
      </c>
      <c r="E21" s="9">
        <v>1.90625</v>
      </c>
      <c r="F21" s="9">
        <f t="shared" si="0"/>
        <v>114.375</v>
      </c>
      <c r="G21" s="9">
        <v>1</v>
      </c>
      <c r="H21" s="9">
        <f t="shared" si="1"/>
        <v>60</v>
      </c>
      <c r="I21" s="10">
        <v>0</v>
      </c>
      <c r="J21" s="16"/>
      <c r="K21" s="10">
        <v>0</v>
      </c>
      <c r="L21" s="9"/>
      <c r="M21" s="9">
        <v>72</v>
      </c>
      <c r="N21" s="9">
        <v>72</v>
      </c>
      <c r="O21" s="9">
        <v>3</v>
      </c>
      <c r="P21" s="9">
        <v>6</v>
      </c>
      <c r="Q21" s="10">
        <f t="shared" si="2"/>
        <v>0</v>
      </c>
      <c r="R21" s="10">
        <v>0</v>
      </c>
      <c r="S21" s="11" t="s">
        <v>621</v>
      </c>
      <c r="T21" s="11" t="s">
        <v>2456</v>
      </c>
      <c r="U21" s="11" t="str">
        <f>_xlfn.XLOOKUP(T21,Detalle_Unidades!F18:F564,Detalle_Unidades!A18:A564)</f>
        <v>TBST</v>
      </c>
    </row>
    <row r="22" spans="1:21" x14ac:dyDescent="0.25">
      <c r="A22" s="11" t="s">
        <v>2466</v>
      </c>
      <c r="B22" s="11" t="s">
        <v>94</v>
      </c>
      <c r="C22" s="9">
        <v>50</v>
      </c>
      <c r="D22" s="9">
        <v>97</v>
      </c>
      <c r="E22" s="9">
        <v>4.17</v>
      </c>
      <c r="F22" s="9">
        <f t="shared" si="0"/>
        <v>250.2</v>
      </c>
      <c r="G22" s="9">
        <v>4.26</v>
      </c>
      <c r="H22" s="9">
        <f t="shared" si="1"/>
        <v>255.6</v>
      </c>
      <c r="I22" s="10">
        <v>0</v>
      </c>
      <c r="J22" s="16"/>
      <c r="K22" s="10">
        <v>0</v>
      </c>
      <c r="L22" s="9"/>
      <c r="M22" s="9">
        <v>8</v>
      </c>
      <c r="N22" s="9">
        <v>8</v>
      </c>
      <c r="O22" s="9">
        <v>10</v>
      </c>
      <c r="P22" s="9">
        <v>1</v>
      </c>
      <c r="Q22" s="10">
        <f t="shared" si="2"/>
        <v>0</v>
      </c>
      <c r="R22" s="10">
        <v>0</v>
      </c>
      <c r="S22" s="11" t="s">
        <v>621</v>
      </c>
      <c r="T22" s="11" t="s">
        <v>2456</v>
      </c>
      <c r="U22" s="11" t="str">
        <f>_xlfn.XLOOKUP(T22,Detalle_Unidades!F19:F565,Detalle_Unidades!A19:A565)</f>
        <v>TBST</v>
      </c>
    </row>
    <row r="23" spans="1:21" x14ac:dyDescent="0.25">
      <c r="A23" s="11" t="s">
        <v>2469</v>
      </c>
      <c r="B23" s="11" t="s">
        <v>94</v>
      </c>
      <c r="C23" s="9">
        <v>50</v>
      </c>
      <c r="D23" s="9">
        <v>97</v>
      </c>
      <c r="E23" s="13">
        <v>4.32</v>
      </c>
      <c r="F23" s="9">
        <f t="shared" si="0"/>
        <v>259.20000000000005</v>
      </c>
      <c r="G23" s="13">
        <v>4.53</v>
      </c>
      <c r="H23" s="9">
        <f t="shared" si="1"/>
        <v>271.8</v>
      </c>
      <c r="I23" s="10">
        <v>0</v>
      </c>
      <c r="J23" s="16"/>
      <c r="K23" s="10">
        <v>0</v>
      </c>
      <c r="M23" s="9">
        <v>8</v>
      </c>
      <c r="N23" s="9">
        <v>8</v>
      </c>
      <c r="O23" s="13">
        <v>10</v>
      </c>
      <c r="P23" s="13">
        <v>1</v>
      </c>
      <c r="Q23" s="10">
        <f t="shared" si="2"/>
        <v>0</v>
      </c>
      <c r="R23" s="10">
        <v>0</v>
      </c>
      <c r="S23" s="11" t="s">
        <v>621</v>
      </c>
      <c r="T23" s="11" t="s">
        <v>2456</v>
      </c>
      <c r="U23" s="11" t="str">
        <f>_xlfn.XLOOKUP(T23,Detalle_Unidades!F20:F566,Detalle_Unidades!A20:A566)</f>
        <v>TBST</v>
      </c>
    </row>
    <row r="24" spans="1:21" x14ac:dyDescent="0.25">
      <c r="A24" s="11" t="s">
        <v>2471</v>
      </c>
      <c r="B24" s="11" t="s">
        <v>94</v>
      </c>
      <c r="C24" s="9">
        <v>82.5</v>
      </c>
      <c r="D24" s="9">
        <v>166</v>
      </c>
      <c r="E24" s="13">
        <v>1.90625</v>
      </c>
      <c r="F24" s="9">
        <f t="shared" si="0"/>
        <v>114.375</v>
      </c>
      <c r="G24" s="13">
        <v>1.01</v>
      </c>
      <c r="H24" s="9">
        <f t="shared" si="1"/>
        <v>60.6</v>
      </c>
      <c r="I24" s="10">
        <v>0</v>
      </c>
      <c r="J24" s="16"/>
      <c r="K24" s="10">
        <v>0</v>
      </c>
      <c r="M24" s="9">
        <v>72</v>
      </c>
      <c r="N24" s="9">
        <v>72</v>
      </c>
      <c r="O24" s="13">
        <v>3</v>
      </c>
      <c r="P24" s="13">
        <v>6</v>
      </c>
      <c r="Q24" s="10">
        <f t="shared" si="2"/>
        <v>0</v>
      </c>
      <c r="R24" s="10">
        <v>0</v>
      </c>
      <c r="S24" s="11" t="s">
        <v>621</v>
      </c>
      <c r="T24" s="11" t="s">
        <v>2456</v>
      </c>
      <c r="U24" s="11" t="str">
        <f>_xlfn.XLOOKUP(T24,Detalle_Unidades!F21:F567,Detalle_Unidades!A21:A567)</f>
        <v>TBST</v>
      </c>
    </row>
    <row r="25" spans="1:21" x14ac:dyDescent="0.25">
      <c r="A25" s="11" t="s">
        <v>2579</v>
      </c>
      <c r="B25" s="11" t="s">
        <v>615</v>
      </c>
      <c r="C25" s="9">
        <v>17</v>
      </c>
      <c r="D25" s="9">
        <v>36</v>
      </c>
      <c r="E25" s="13">
        <v>0.68</v>
      </c>
      <c r="F25" s="9">
        <f t="shared" si="0"/>
        <v>40.800000000000004</v>
      </c>
      <c r="G25" s="13">
        <v>0.71</v>
      </c>
      <c r="H25" s="9">
        <f t="shared" si="1"/>
        <v>42.599999999999994</v>
      </c>
      <c r="I25" s="10">
        <v>0</v>
      </c>
      <c r="J25" s="16"/>
      <c r="K25" s="10">
        <v>0</v>
      </c>
      <c r="M25" s="9">
        <v>72</v>
      </c>
      <c r="N25" s="9">
        <v>9</v>
      </c>
      <c r="O25" s="13">
        <v>2</v>
      </c>
      <c r="P25" s="13">
        <v>13</v>
      </c>
      <c r="Q25" s="10">
        <f t="shared" si="2"/>
        <v>0</v>
      </c>
      <c r="R25" s="10">
        <v>0</v>
      </c>
      <c r="S25" s="11" t="s">
        <v>619</v>
      </c>
      <c r="T25" s="11" t="s">
        <v>2579</v>
      </c>
      <c r="U25" s="11" t="str">
        <f>_xlfn.XLOOKUP(T25,Detalle_Unidades!F22:F568,Detalle_Unidades!A22:A568)</f>
        <v>ZPA2</v>
      </c>
    </row>
    <row r="26" spans="1:21" x14ac:dyDescent="0.25">
      <c r="A26" s="11" t="s">
        <v>2583</v>
      </c>
      <c r="B26" s="11" t="s">
        <v>615</v>
      </c>
      <c r="C26" s="9">
        <v>25</v>
      </c>
      <c r="D26" s="9">
        <v>63</v>
      </c>
      <c r="E26" s="13">
        <v>0.98</v>
      </c>
      <c r="F26" s="9">
        <f t="shared" si="0"/>
        <v>58.8</v>
      </c>
      <c r="G26" s="13">
        <v>0.91</v>
      </c>
      <c r="H26" s="9">
        <f t="shared" si="1"/>
        <v>54.6</v>
      </c>
      <c r="I26" s="10">
        <v>0</v>
      </c>
      <c r="J26" s="16"/>
      <c r="K26" s="10">
        <v>0</v>
      </c>
      <c r="M26" s="9">
        <v>72</v>
      </c>
      <c r="N26" s="9">
        <v>9</v>
      </c>
      <c r="O26" s="13">
        <v>2</v>
      </c>
      <c r="P26" s="13">
        <v>13</v>
      </c>
      <c r="Q26" s="10">
        <f t="shared" si="2"/>
        <v>0</v>
      </c>
      <c r="R26" s="10">
        <v>0</v>
      </c>
      <c r="S26" s="11" t="s">
        <v>619</v>
      </c>
      <c r="T26" s="11" t="s">
        <v>2583</v>
      </c>
      <c r="U26" s="11" t="str">
        <f>_xlfn.XLOOKUP(T26,Detalle_Unidades!F23:F569,Detalle_Unidades!A23:A569)</f>
        <v>ZPA3</v>
      </c>
    </row>
    <row r="27" spans="1:21" x14ac:dyDescent="0.25">
      <c r="A27" s="11" t="s">
        <v>2586</v>
      </c>
      <c r="B27" s="11" t="s">
        <v>615</v>
      </c>
      <c r="C27" s="9">
        <v>25</v>
      </c>
      <c r="D27" s="9">
        <v>64</v>
      </c>
      <c r="E27" s="13">
        <v>0.93</v>
      </c>
      <c r="F27" s="9">
        <f t="shared" si="0"/>
        <v>55.800000000000004</v>
      </c>
      <c r="G27" s="13">
        <v>0.93</v>
      </c>
      <c r="H27" s="9">
        <f t="shared" si="1"/>
        <v>55.800000000000004</v>
      </c>
      <c r="I27" s="10">
        <v>0</v>
      </c>
      <c r="J27" s="16"/>
      <c r="K27" s="10">
        <v>0</v>
      </c>
      <c r="M27" s="9">
        <v>72</v>
      </c>
      <c r="N27" s="9">
        <v>9</v>
      </c>
      <c r="O27" s="13">
        <v>2</v>
      </c>
      <c r="P27" s="13">
        <v>13</v>
      </c>
      <c r="Q27" s="10">
        <f t="shared" si="2"/>
        <v>0</v>
      </c>
      <c r="R27" s="10">
        <v>0</v>
      </c>
      <c r="S27" s="11" t="s">
        <v>619</v>
      </c>
      <c r="T27" s="11" t="s">
        <v>2586</v>
      </c>
      <c r="U27" s="11" t="str">
        <f>_xlfn.XLOOKUP(T27,Detalle_Unidades!F24:F570,Detalle_Unidades!A24:A570)</f>
        <v>ZPA4</v>
      </c>
    </row>
    <row r="28" spans="1:21" x14ac:dyDescent="0.25">
      <c r="A28" s="11" t="s">
        <v>2589</v>
      </c>
      <c r="B28" s="11" t="s">
        <v>615</v>
      </c>
      <c r="C28" s="9">
        <v>25</v>
      </c>
      <c r="D28" s="9">
        <v>63</v>
      </c>
      <c r="E28" s="13">
        <v>0.95</v>
      </c>
      <c r="F28" s="9">
        <f t="shared" si="0"/>
        <v>57</v>
      </c>
      <c r="G28" s="13">
        <v>0.94</v>
      </c>
      <c r="H28" s="9">
        <f t="shared" si="1"/>
        <v>56.4</v>
      </c>
      <c r="I28" s="10">
        <v>0</v>
      </c>
      <c r="J28" s="16"/>
      <c r="K28" s="10">
        <v>0</v>
      </c>
      <c r="M28" s="9">
        <v>72</v>
      </c>
      <c r="N28" s="9">
        <v>9</v>
      </c>
      <c r="O28" s="13">
        <v>2</v>
      </c>
      <c r="P28" s="13">
        <v>13</v>
      </c>
      <c r="Q28" s="10">
        <f t="shared" si="2"/>
        <v>0</v>
      </c>
      <c r="R28" s="10">
        <v>0</v>
      </c>
      <c r="S28" s="11" t="s">
        <v>619</v>
      </c>
      <c r="T28" s="11" t="s">
        <v>2589</v>
      </c>
      <c r="U28" s="11" t="str">
        <f>_xlfn.XLOOKUP(T28,Detalle_Unidades!F25:F571,Detalle_Unidades!A25:A571)</f>
        <v>ZPA5</v>
      </c>
    </row>
    <row r="29" spans="1:21" x14ac:dyDescent="0.25">
      <c r="A29" s="11" t="s">
        <v>651</v>
      </c>
      <c r="B29" s="11" t="s">
        <v>822</v>
      </c>
      <c r="C29" s="9">
        <v>30</v>
      </c>
      <c r="D29" s="9">
        <v>52</v>
      </c>
      <c r="E29" s="13">
        <v>0.73</v>
      </c>
      <c r="F29" s="9">
        <f t="shared" si="0"/>
        <v>43.8</v>
      </c>
      <c r="G29" s="13">
        <v>0.73</v>
      </c>
      <c r="H29" s="9">
        <f t="shared" si="1"/>
        <v>43.8</v>
      </c>
      <c r="I29" s="10">
        <v>0</v>
      </c>
      <c r="J29" s="16"/>
      <c r="K29" s="10">
        <v>0</v>
      </c>
      <c r="M29" s="9">
        <v>48</v>
      </c>
      <c r="N29" s="9">
        <v>18</v>
      </c>
      <c r="O29" s="13">
        <v>5</v>
      </c>
      <c r="P29" s="13">
        <v>16</v>
      </c>
      <c r="Q29" s="10">
        <f t="shared" si="2"/>
        <v>0</v>
      </c>
      <c r="R29" s="10">
        <v>0</v>
      </c>
      <c r="S29" s="11" t="s">
        <v>652</v>
      </c>
      <c r="T29" s="11" t="s">
        <v>651</v>
      </c>
      <c r="U29" s="11" t="str">
        <f>_xlfn.XLOOKUP(T29,Detalle_Unidades!F26:F572,Detalle_Unidades!A26:A572)</f>
        <v>CTG1</v>
      </c>
    </row>
    <row r="30" spans="1:21" x14ac:dyDescent="0.25">
      <c r="A30" s="11" t="s">
        <v>2389</v>
      </c>
      <c r="B30" s="11" t="s">
        <v>822</v>
      </c>
      <c r="C30" s="9">
        <v>30</v>
      </c>
      <c r="D30" s="9">
        <v>60</v>
      </c>
      <c r="E30" s="13">
        <v>0.75</v>
      </c>
      <c r="F30" s="9">
        <f t="shared" si="0"/>
        <v>45</v>
      </c>
      <c r="G30" s="13">
        <v>0.75</v>
      </c>
      <c r="H30" s="9">
        <f t="shared" si="1"/>
        <v>45</v>
      </c>
      <c r="I30" s="10">
        <v>0</v>
      </c>
      <c r="J30" s="16"/>
      <c r="K30" s="10">
        <v>0</v>
      </c>
      <c r="M30" s="9">
        <v>72</v>
      </c>
      <c r="N30" s="9">
        <v>16</v>
      </c>
      <c r="O30" s="13">
        <v>5</v>
      </c>
      <c r="P30" s="13">
        <v>16</v>
      </c>
      <c r="Q30" s="10">
        <f t="shared" si="2"/>
        <v>0</v>
      </c>
      <c r="R30" s="10">
        <v>0</v>
      </c>
      <c r="S30" s="11" t="s">
        <v>621</v>
      </c>
      <c r="T30" s="11" t="s">
        <v>2389</v>
      </c>
      <c r="U30" s="11" t="str">
        <f>_xlfn.XLOOKUP(T30,Detalle_Unidades!F27:F573,Detalle_Unidades!A27:A573)</f>
        <v>CTG2</v>
      </c>
    </row>
    <row r="31" spans="1:21" x14ac:dyDescent="0.25">
      <c r="A31" s="11" t="s">
        <v>2392</v>
      </c>
      <c r="B31" s="11" t="s">
        <v>822</v>
      </c>
      <c r="C31" s="9">
        <v>30</v>
      </c>
      <c r="D31" s="9">
        <v>66</v>
      </c>
      <c r="E31" s="9">
        <v>0</v>
      </c>
      <c r="F31" s="9">
        <f t="shared" si="0"/>
        <v>0</v>
      </c>
      <c r="G31" s="9">
        <v>0</v>
      </c>
      <c r="H31" s="9">
        <f t="shared" si="1"/>
        <v>0</v>
      </c>
      <c r="I31" s="10">
        <v>0</v>
      </c>
      <c r="J31" s="16"/>
      <c r="K31" s="10">
        <v>0</v>
      </c>
      <c r="M31" s="9">
        <v>72</v>
      </c>
      <c r="N31" s="9">
        <v>16</v>
      </c>
      <c r="O31" s="13">
        <v>5</v>
      </c>
      <c r="P31" s="13">
        <v>16</v>
      </c>
      <c r="Q31" s="10">
        <f t="shared" si="2"/>
        <v>0</v>
      </c>
      <c r="R31" s="10">
        <v>0</v>
      </c>
      <c r="S31" s="11" t="s">
        <v>621</v>
      </c>
      <c r="T31" s="11" t="s">
        <v>2392</v>
      </c>
      <c r="U31" s="11" t="str">
        <f>_xlfn.XLOOKUP(T31,Detalle_Unidades!F28:F574,Detalle_Unidades!A28:A574)</f>
        <v>CTG3</v>
      </c>
    </row>
    <row r="32" spans="1:21" x14ac:dyDescent="0.25">
      <c r="A32" s="11" t="s">
        <v>2442</v>
      </c>
      <c r="B32" s="11" t="s">
        <v>822</v>
      </c>
      <c r="C32" s="9">
        <v>42</v>
      </c>
      <c r="D32" s="9">
        <v>45</v>
      </c>
      <c r="E32" s="13">
        <v>2.86</v>
      </c>
      <c r="F32" s="9">
        <f t="shared" si="0"/>
        <v>171.6</v>
      </c>
      <c r="G32" s="13">
        <v>2.69</v>
      </c>
      <c r="H32" s="9">
        <f t="shared" si="1"/>
        <v>161.4</v>
      </c>
      <c r="I32" s="10">
        <v>0</v>
      </c>
      <c r="J32" s="10"/>
      <c r="K32" s="10">
        <v>0</v>
      </c>
      <c r="M32" s="9">
        <v>4</v>
      </c>
      <c r="N32" s="9">
        <v>4</v>
      </c>
      <c r="O32" s="13">
        <v>5</v>
      </c>
      <c r="P32" s="13">
        <v>1</v>
      </c>
      <c r="Q32" s="10">
        <f t="shared" si="2"/>
        <v>0</v>
      </c>
      <c r="R32" s="10">
        <v>0</v>
      </c>
      <c r="S32" s="11" t="s">
        <v>621</v>
      </c>
      <c r="T32" s="11" t="s">
        <v>2442</v>
      </c>
      <c r="U32" s="11" t="str">
        <f>_xlfn.XLOOKUP(T32,Detalle_Unidades!F29:F575,Detalle_Unidades!A29:A575)</f>
        <v>PRG1</v>
      </c>
    </row>
    <row r="33" spans="1:21" x14ac:dyDescent="0.25">
      <c r="A33" s="11" t="s">
        <v>2446</v>
      </c>
      <c r="B33" s="11" t="s">
        <v>822</v>
      </c>
      <c r="C33" s="9">
        <v>42</v>
      </c>
      <c r="D33" s="9">
        <v>45</v>
      </c>
      <c r="E33" s="13">
        <v>2.89</v>
      </c>
      <c r="F33" s="9">
        <f t="shared" si="0"/>
        <v>173.4</v>
      </c>
      <c r="G33" s="13">
        <v>3.26</v>
      </c>
      <c r="H33" s="9">
        <f t="shared" si="1"/>
        <v>195.6</v>
      </c>
      <c r="I33" s="10">
        <v>0</v>
      </c>
      <c r="J33" s="10"/>
      <c r="K33" s="10">
        <v>0</v>
      </c>
      <c r="M33" s="9">
        <v>4</v>
      </c>
      <c r="N33" s="9">
        <v>4</v>
      </c>
      <c r="O33" s="13">
        <v>5</v>
      </c>
      <c r="P33" s="13">
        <v>1</v>
      </c>
      <c r="Q33" s="10">
        <f t="shared" si="2"/>
        <v>0</v>
      </c>
      <c r="R33" s="10">
        <v>0</v>
      </c>
      <c r="S33" s="11" t="s">
        <v>621</v>
      </c>
      <c r="T33" s="11" t="s">
        <v>2446</v>
      </c>
      <c r="U33" s="11" t="str">
        <f>_xlfn.XLOOKUP(T33,Detalle_Unidades!F30:F576,Detalle_Unidades!A30:A576)</f>
        <v>PRG2</v>
      </c>
    </row>
    <row r="34" spans="1:21" x14ac:dyDescent="0.25">
      <c r="A34" s="11" t="s">
        <v>2475</v>
      </c>
      <c r="B34" s="11" t="s">
        <v>822</v>
      </c>
      <c r="C34" s="9">
        <v>125</v>
      </c>
      <c r="D34" s="9">
        <v>179</v>
      </c>
      <c r="E34" s="13">
        <v>5</v>
      </c>
      <c r="F34" s="9">
        <f t="shared" si="0"/>
        <v>300</v>
      </c>
      <c r="G34" s="13">
        <v>5.0999999999999996</v>
      </c>
      <c r="H34" s="9">
        <f t="shared" si="1"/>
        <v>306</v>
      </c>
      <c r="I34" s="10">
        <v>0</v>
      </c>
      <c r="J34" s="10"/>
      <c r="K34" s="10">
        <v>0</v>
      </c>
      <c r="M34" s="9">
        <v>36</v>
      </c>
      <c r="N34" s="9">
        <v>15</v>
      </c>
      <c r="O34" s="13">
        <v>5</v>
      </c>
      <c r="P34" s="13">
        <v>3</v>
      </c>
      <c r="Q34" s="10">
        <f t="shared" si="2"/>
        <v>0</v>
      </c>
      <c r="R34" s="10">
        <v>0</v>
      </c>
      <c r="S34" s="11" t="s">
        <v>621</v>
      </c>
      <c r="T34" s="11" t="s">
        <v>2474</v>
      </c>
      <c r="U34" s="11" t="str">
        <f>_xlfn.XLOOKUP(T34,Detalle_Unidades!F31:F577,Detalle_Unidades!A31:A577)</f>
        <v>TCDT</v>
      </c>
    </row>
    <row r="35" spans="1:21" x14ac:dyDescent="0.25">
      <c r="A35" s="11" t="s">
        <v>2478</v>
      </c>
      <c r="B35" s="11" t="s">
        <v>822</v>
      </c>
      <c r="C35" s="9">
        <v>125</v>
      </c>
      <c r="D35" s="9">
        <v>179</v>
      </c>
      <c r="E35" s="13">
        <v>5</v>
      </c>
      <c r="F35" s="9">
        <f t="shared" si="0"/>
        <v>300</v>
      </c>
      <c r="G35" s="13">
        <v>5.0999999999999996</v>
      </c>
      <c r="H35" s="9">
        <f t="shared" si="1"/>
        <v>306</v>
      </c>
      <c r="I35" s="10">
        <v>0</v>
      </c>
      <c r="J35" s="10"/>
      <c r="K35" s="10">
        <v>0</v>
      </c>
      <c r="M35" s="9">
        <v>36</v>
      </c>
      <c r="N35" s="9">
        <v>15</v>
      </c>
      <c r="O35" s="13">
        <v>5</v>
      </c>
      <c r="P35" s="13">
        <v>3</v>
      </c>
      <c r="Q35" s="10">
        <f t="shared" si="2"/>
        <v>0</v>
      </c>
      <c r="R35" s="10">
        <v>0</v>
      </c>
      <c r="S35" s="11" t="s">
        <v>621</v>
      </c>
      <c r="T35" s="11" t="s">
        <v>2474</v>
      </c>
      <c r="U35" s="11" t="str">
        <f>_xlfn.XLOOKUP(T35,Detalle_Unidades!F32:F578,Detalle_Unidades!A32:A578)</f>
        <v>TCDT</v>
      </c>
    </row>
    <row r="36" spans="1:21" x14ac:dyDescent="0.25">
      <c r="A36" s="11" t="s">
        <v>2480</v>
      </c>
      <c r="B36" s="11" t="s">
        <v>822</v>
      </c>
      <c r="C36" s="9">
        <v>51</v>
      </c>
      <c r="D36" s="9">
        <v>197</v>
      </c>
      <c r="E36" s="13">
        <v>2.5</v>
      </c>
      <c r="F36" s="9">
        <f t="shared" si="0"/>
        <v>150</v>
      </c>
      <c r="G36" s="13">
        <v>7.7</v>
      </c>
      <c r="H36" s="9">
        <f t="shared" si="1"/>
        <v>462</v>
      </c>
      <c r="I36" s="10">
        <v>0</v>
      </c>
      <c r="J36" s="10"/>
      <c r="K36" s="10">
        <v>0</v>
      </c>
      <c r="M36" s="9">
        <v>36</v>
      </c>
      <c r="N36" s="9">
        <v>15</v>
      </c>
      <c r="O36" s="13">
        <v>11.3</v>
      </c>
      <c r="P36" s="13">
        <v>3</v>
      </c>
      <c r="Q36" s="10">
        <f t="shared" si="2"/>
        <v>0</v>
      </c>
      <c r="R36" s="10">
        <v>0</v>
      </c>
      <c r="S36" s="11" t="s">
        <v>621</v>
      </c>
      <c r="T36" s="11" t="s">
        <v>2474</v>
      </c>
      <c r="U36" s="11" t="str">
        <f>_xlfn.XLOOKUP(T36,Detalle_Unidades!F33:F579,Detalle_Unidades!A33:A579)</f>
        <v>TCDT</v>
      </c>
    </row>
    <row r="37" spans="1:21" x14ac:dyDescent="0.25">
      <c r="A37" s="11" t="s">
        <v>885</v>
      </c>
      <c r="B37" s="11" t="s">
        <v>822</v>
      </c>
      <c r="C37" s="9">
        <v>38</v>
      </c>
      <c r="D37" s="9">
        <v>50</v>
      </c>
      <c r="E37" s="13">
        <v>3.07</v>
      </c>
      <c r="F37" s="9">
        <f t="shared" si="0"/>
        <v>184.2</v>
      </c>
      <c r="G37" s="13">
        <v>3.08</v>
      </c>
      <c r="H37" s="9">
        <f t="shared" si="1"/>
        <v>184.8</v>
      </c>
      <c r="I37" s="10">
        <v>0</v>
      </c>
      <c r="J37" s="10"/>
      <c r="K37" s="10">
        <v>0</v>
      </c>
      <c r="M37" s="9">
        <v>4</v>
      </c>
      <c r="N37" s="9">
        <v>1</v>
      </c>
      <c r="O37" s="13">
        <v>5</v>
      </c>
      <c r="P37" s="13">
        <v>2</v>
      </c>
      <c r="Q37" s="10">
        <f t="shared" si="2"/>
        <v>0</v>
      </c>
      <c r="R37" s="10">
        <v>0</v>
      </c>
      <c r="S37" s="11" t="s">
        <v>883</v>
      </c>
      <c r="T37" s="11" t="s">
        <v>2482</v>
      </c>
      <c r="U37" s="11" t="str">
        <f>_xlfn.XLOOKUP(T37,Detalle_Unidades!F34:F580,Detalle_Unidades!A34:A580)</f>
        <v>TCBE</v>
      </c>
    </row>
    <row r="38" spans="1:21" x14ac:dyDescent="0.25">
      <c r="A38" s="11" t="s">
        <v>2428</v>
      </c>
      <c r="B38" s="11" t="s">
        <v>614</v>
      </c>
      <c r="C38" s="9">
        <v>18</v>
      </c>
      <c r="D38" s="9">
        <v>36</v>
      </c>
      <c r="E38" s="13">
        <v>0.25</v>
      </c>
      <c r="F38" s="9">
        <f t="shared" si="0"/>
        <v>15</v>
      </c>
      <c r="G38" s="13">
        <v>0.48</v>
      </c>
      <c r="H38" s="9">
        <f t="shared" si="1"/>
        <v>28.799999999999997</v>
      </c>
      <c r="I38" s="10">
        <v>0</v>
      </c>
      <c r="J38" s="10"/>
      <c r="K38" s="10">
        <v>0</v>
      </c>
      <c r="M38" s="9">
        <v>24</v>
      </c>
      <c r="N38" s="9">
        <v>18</v>
      </c>
      <c r="O38" s="13">
        <v>3</v>
      </c>
      <c r="P38" s="13">
        <v>10</v>
      </c>
      <c r="Q38" s="10">
        <f t="shared" si="2"/>
        <v>0</v>
      </c>
      <c r="R38" s="10">
        <v>0</v>
      </c>
      <c r="S38" s="11" t="s">
        <v>619</v>
      </c>
      <c r="T38" s="11" t="s">
        <v>2428</v>
      </c>
      <c r="U38" s="11" t="str">
        <f>_xlfn.XLOOKUP(T38,Detalle_Unidades!F35:F581,Detalle_Unidades!A35:A581)</f>
        <v>PPA1</v>
      </c>
    </row>
    <row r="39" spans="1:21" x14ac:dyDescent="0.25">
      <c r="A39" s="11" t="s">
        <v>2432</v>
      </c>
      <c r="B39" s="11" t="s">
        <v>614</v>
      </c>
      <c r="C39" s="9">
        <v>35</v>
      </c>
      <c r="D39" s="9">
        <v>72</v>
      </c>
      <c r="E39" s="13">
        <v>0.49</v>
      </c>
      <c r="F39" s="9">
        <f t="shared" si="0"/>
        <v>29.4</v>
      </c>
      <c r="G39" s="13">
        <v>0.97</v>
      </c>
      <c r="H39" s="9">
        <f t="shared" si="1"/>
        <v>58.199999999999996</v>
      </c>
      <c r="I39" s="10">
        <v>0</v>
      </c>
      <c r="J39" s="10"/>
      <c r="K39" s="10">
        <v>0</v>
      </c>
      <c r="M39" s="9">
        <v>24</v>
      </c>
      <c r="N39" s="9">
        <v>18</v>
      </c>
      <c r="O39" s="13">
        <v>4</v>
      </c>
      <c r="P39" s="13">
        <v>10</v>
      </c>
      <c r="Q39" s="10">
        <f t="shared" si="2"/>
        <v>0</v>
      </c>
      <c r="R39" s="10">
        <v>0</v>
      </c>
      <c r="S39" s="11" t="s">
        <v>619</v>
      </c>
      <c r="T39" s="11" t="s">
        <v>2432</v>
      </c>
      <c r="U39" s="11" t="str">
        <f>_xlfn.XLOOKUP(T39,Detalle_Unidades!F36:F582,Detalle_Unidades!A36:A582)</f>
        <v>PPA2</v>
      </c>
    </row>
    <row r="40" spans="1:21" x14ac:dyDescent="0.25">
      <c r="A40" s="11" t="s">
        <v>2435</v>
      </c>
      <c r="B40" s="11" t="s">
        <v>614</v>
      </c>
      <c r="C40" s="9">
        <v>35</v>
      </c>
      <c r="D40" s="9">
        <v>70</v>
      </c>
      <c r="E40" s="13">
        <v>0.49</v>
      </c>
      <c r="F40" s="9">
        <f t="shared" si="0"/>
        <v>29.4</v>
      </c>
      <c r="G40" s="13">
        <v>0.97</v>
      </c>
      <c r="H40" s="9">
        <f t="shared" si="1"/>
        <v>58.199999999999996</v>
      </c>
      <c r="I40" s="10">
        <v>0</v>
      </c>
      <c r="J40" s="10"/>
      <c r="K40" s="10">
        <v>0</v>
      </c>
      <c r="M40" s="9">
        <v>24</v>
      </c>
      <c r="N40" s="9">
        <v>18</v>
      </c>
      <c r="O40" s="13">
        <v>4</v>
      </c>
      <c r="P40" s="13">
        <v>10</v>
      </c>
      <c r="Q40" s="10">
        <f t="shared" si="2"/>
        <v>0</v>
      </c>
      <c r="R40" s="10">
        <v>0</v>
      </c>
      <c r="S40" s="11" t="s">
        <v>619</v>
      </c>
      <c r="T40" s="11" t="s">
        <v>2435</v>
      </c>
      <c r="U40" s="11" t="str">
        <f>_xlfn.XLOOKUP(T40,Detalle_Unidades!F37:F583,Detalle_Unidades!A37:A583)</f>
        <v>PPA3</v>
      </c>
    </row>
    <row r="41" spans="1:21" x14ac:dyDescent="0.25">
      <c r="A41" s="11" t="s">
        <v>2438</v>
      </c>
      <c r="B41" s="11" t="s">
        <v>614</v>
      </c>
      <c r="C41" s="9">
        <v>60</v>
      </c>
      <c r="D41" s="9">
        <v>165</v>
      </c>
      <c r="E41" s="13">
        <v>0.5</v>
      </c>
      <c r="F41" s="9">
        <f t="shared" si="0"/>
        <v>30</v>
      </c>
      <c r="G41" s="13">
        <v>0.7</v>
      </c>
      <c r="H41" s="9">
        <f t="shared" si="1"/>
        <v>42</v>
      </c>
      <c r="I41" s="10">
        <v>0</v>
      </c>
      <c r="J41" s="10"/>
      <c r="K41" s="10">
        <v>0</v>
      </c>
      <c r="M41" s="9">
        <v>24</v>
      </c>
      <c r="N41" s="9">
        <v>1</v>
      </c>
      <c r="O41" s="13">
        <v>8</v>
      </c>
      <c r="P41" s="13">
        <v>9</v>
      </c>
      <c r="Q41" s="10">
        <f t="shared" si="2"/>
        <v>0</v>
      </c>
      <c r="R41" s="10">
        <v>0</v>
      </c>
      <c r="S41" s="11" t="s">
        <v>619</v>
      </c>
      <c r="T41" s="11" t="s">
        <v>2438</v>
      </c>
      <c r="U41" s="11" t="str">
        <f>_xlfn.XLOOKUP(T41,Detalle_Unidades!F38:F584,Detalle_Unidades!A38:A584)</f>
        <v>PPA4</v>
      </c>
    </row>
    <row r="42" spans="1:21" x14ac:dyDescent="0.25">
      <c r="A42" s="11" t="s">
        <v>2537</v>
      </c>
      <c r="B42" s="11" t="s">
        <v>614</v>
      </c>
      <c r="C42" s="9">
        <v>6</v>
      </c>
      <c r="D42" s="9">
        <v>8</v>
      </c>
      <c r="E42" s="13">
        <v>5</v>
      </c>
      <c r="F42" s="9">
        <f t="shared" si="0"/>
        <v>300</v>
      </c>
      <c r="G42" s="13">
        <v>5</v>
      </c>
      <c r="H42" s="9">
        <f t="shared" si="1"/>
        <v>300</v>
      </c>
      <c r="I42" s="10">
        <v>0</v>
      </c>
      <c r="J42" s="10"/>
      <c r="K42" s="10">
        <v>0</v>
      </c>
      <c r="M42" s="9">
        <v>12</v>
      </c>
      <c r="N42" s="9">
        <v>2</v>
      </c>
      <c r="O42" s="13">
        <v>3</v>
      </c>
      <c r="P42" s="13">
        <v>0</v>
      </c>
      <c r="Q42" s="10">
        <f t="shared" si="2"/>
        <v>0</v>
      </c>
      <c r="R42" s="10">
        <v>0</v>
      </c>
      <c r="S42" s="11" t="s">
        <v>621</v>
      </c>
      <c r="T42" s="11" t="s">
        <v>2537</v>
      </c>
      <c r="U42" s="11" t="str">
        <f>_xlfn.XLOOKUP(T42,Detalle_Unidades!F39:F585,Detalle_Unidades!A39:A585)</f>
        <v>TYP1</v>
      </c>
    </row>
    <row r="43" spans="1:21" x14ac:dyDescent="0.25">
      <c r="A43" s="11" t="s">
        <v>2541</v>
      </c>
      <c r="B43" s="11" t="s">
        <v>614</v>
      </c>
      <c r="C43" s="9">
        <v>22</v>
      </c>
      <c r="D43" s="9">
        <v>28</v>
      </c>
      <c r="E43" s="13">
        <v>7.5</v>
      </c>
      <c r="F43" s="9">
        <f t="shared" si="0"/>
        <v>450</v>
      </c>
      <c r="G43" s="13">
        <v>7.5</v>
      </c>
      <c r="H43" s="9">
        <f t="shared" si="1"/>
        <v>450</v>
      </c>
      <c r="I43" s="10">
        <v>0</v>
      </c>
      <c r="J43" s="10"/>
      <c r="K43" s="10">
        <v>0</v>
      </c>
      <c r="M43" s="9">
        <v>12</v>
      </c>
      <c r="N43" s="9">
        <v>2</v>
      </c>
      <c r="O43" s="13">
        <v>2.8</v>
      </c>
      <c r="P43" s="13">
        <v>0</v>
      </c>
      <c r="Q43" s="10">
        <f t="shared" si="2"/>
        <v>0</v>
      </c>
      <c r="R43" s="10">
        <v>0</v>
      </c>
      <c r="S43" s="11" t="s">
        <v>621</v>
      </c>
      <c r="T43" s="11" t="s">
        <v>2541</v>
      </c>
      <c r="U43" s="11" t="str">
        <f>_xlfn.XLOOKUP(T43,Detalle_Unidades!F40:F586,Detalle_Unidades!A40:A586)</f>
        <v>TYP2</v>
      </c>
    </row>
    <row r="44" spans="1:21" x14ac:dyDescent="0.25">
      <c r="A44" s="11" t="s">
        <v>2544</v>
      </c>
      <c r="B44" s="11" t="s">
        <v>614</v>
      </c>
      <c r="C44" s="9">
        <v>30</v>
      </c>
      <c r="D44" s="9">
        <v>50</v>
      </c>
      <c r="E44" s="13">
        <v>11.82</v>
      </c>
      <c r="F44" s="9">
        <f t="shared" si="0"/>
        <v>709.2</v>
      </c>
      <c r="G44" s="13">
        <v>11.85</v>
      </c>
      <c r="H44" s="9">
        <f t="shared" si="1"/>
        <v>711</v>
      </c>
      <c r="I44" s="10">
        <v>0</v>
      </c>
      <c r="J44" s="10"/>
      <c r="K44" s="10">
        <v>0</v>
      </c>
      <c r="M44" s="9">
        <v>12</v>
      </c>
      <c r="N44" s="9">
        <v>2</v>
      </c>
      <c r="O44" s="13">
        <v>2</v>
      </c>
      <c r="P44" s="13">
        <v>0</v>
      </c>
      <c r="Q44" s="10">
        <f t="shared" si="2"/>
        <v>0</v>
      </c>
      <c r="R44" s="10">
        <v>0</v>
      </c>
      <c r="S44" s="11" t="s">
        <v>621</v>
      </c>
      <c r="T44" s="11" t="s">
        <v>2544</v>
      </c>
      <c r="U44" s="11" t="str">
        <f>_xlfn.XLOOKUP(T44,Detalle_Unidades!F41:F587,Detalle_Unidades!A41:A587)</f>
        <v>TYP3</v>
      </c>
    </row>
    <row r="45" spans="1:21" x14ac:dyDescent="0.25">
      <c r="A45" s="11" t="s">
        <v>2547</v>
      </c>
      <c r="B45" s="11" t="s">
        <v>614</v>
      </c>
      <c r="C45" s="9">
        <v>30</v>
      </c>
      <c r="D45" s="9">
        <v>50</v>
      </c>
      <c r="E45" s="13">
        <v>10.130000000000001</v>
      </c>
      <c r="F45" s="9">
        <f t="shared" si="0"/>
        <v>607.80000000000007</v>
      </c>
      <c r="G45" s="13">
        <v>10.42</v>
      </c>
      <c r="H45" s="9">
        <f t="shared" si="1"/>
        <v>625.20000000000005</v>
      </c>
      <c r="I45" s="10">
        <v>0</v>
      </c>
      <c r="J45" s="10"/>
      <c r="K45" s="10">
        <v>0</v>
      </c>
      <c r="M45" s="9">
        <v>12</v>
      </c>
      <c r="N45" s="9">
        <v>2</v>
      </c>
      <c r="O45" s="13">
        <v>2</v>
      </c>
      <c r="P45" s="13">
        <v>0</v>
      </c>
      <c r="Q45" s="10">
        <f t="shared" si="2"/>
        <v>0</v>
      </c>
      <c r="R45" s="10">
        <v>0</v>
      </c>
      <c r="S45" s="11" t="s">
        <v>621</v>
      </c>
      <c r="T45" s="11" t="s">
        <v>2547</v>
      </c>
      <c r="U45" s="11" t="str">
        <f>_xlfn.XLOOKUP(T45,Detalle_Unidades!F42:F588,Detalle_Unidades!A42:A588)</f>
        <v>TYP4</v>
      </c>
    </row>
    <row r="46" spans="1:21" x14ac:dyDescent="0.25">
      <c r="A46" s="11" t="s">
        <v>2550</v>
      </c>
      <c r="B46" s="11" t="s">
        <v>614</v>
      </c>
      <c r="C46" s="9">
        <v>30</v>
      </c>
      <c r="D46" s="9">
        <v>50</v>
      </c>
      <c r="E46" s="13">
        <v>8.34</v>
      </c>
      <c r="F46" s="9">
        <f t="shared" si="0"/>
        <v>500.4</v>
      </c>
      <c r="G46" s="13">
        <v>8.34</v>
      </c>
      <c r="H46" s="9">
        <f t="shared" si="1"/>
        <v>500.4</v>
      </c>
      <c r="I46" s="10">
        <v>0</v>
      </c>
      <c r="J46" s="10"/>
      <c r="K46" s="10">
        <v>0</v>
      </c>
      <c r="M46" s="9">
        <v>12</v>
      </c>
      <c r="N46" s="9">
        <v>2</v>
      </c>
      <c r="O46" s="13">
        <v>2</v>
      </c>
      <c r="P46" s="13">
        <v>0</v>
      </c>
      <c r="Q46" s="10">
        <f t="shared" si="2"/>
        <v>0</v>
      </c>
      <c r="R46" s="10">
        <v>0</v>
      </c>
      <c r="S46" s="11" t="s">
        <v>621</v>
      </c>
      <c r="T46" s="11" t="s">
        <v>2550</v>
      </c>
      <c r="U46" s="11" t="str">
        <f>_xlfn.XLOOKUP(T46,Detalle_Unidades!F43:F589,Detalle_Unidades!A43:A589)</f>
        <v>TYP5</v>
      </c>
    </row>
    <row r="47" spans="1:21" x14ac:dyDescent="0.25">
      <c r="A47" s="11" t="s">
        <v>889</v>
      </c>
      <c r="B47" s="11" t="s">
        <v>614</v>
      </c>
      <c r="C47" s="9">
        <v>17</v>
      </c>
      <c r="D47" s="9">
        <v>25</v>
      </c>
      <c r="E47" s="13">
        <v>0.22</v>
      </c>
      <c r="F47" s="9">
        <f t="shared" si="0"/>
        <v>13.2</v>
      </c>
      <c r="G47" s="13">
        <v>0.3</v>
      </c>
      <c r="H47" s="9">
        <f t="shared" si="1"/>
        <v>18</v>
      </c>
      <c r="I47" s="10">
        <v>0</v>
      </c>
      <c r="J47" s="10"/>
      <c r="K47" s="10">
        <v>0</v>
      </c>
      <c r="M47" s="9">
        <v>24</v>
      </c>
      <c r="N47" s="9">
        <v>12</v>
      </c>
      <c r="O47" s="13">
        <v>4</v>
      </c>
      <c r="P47" s="13">
        <v>9</v>
      </c>
      <c r="Q47" s="10">
        <f t="shared" si="2"/>
        <v>0</v>
      </c>
      <c r="R47" s="10">
        <v>0</v>
      </c>
      <c r="S47" s="11" t="s">
        <v>620</v>
      </c>
      <c r="T47" s="11" t="s">
        <v>2575</v>
      </c>
      <c r="U47" s="11" t="str">
        <f>_xlfn.XLOOKUP(T47,Detalle_Unidades!F44:F590,Detalle_Unidades!A44:A590)</f>
        <v>4YCN</v>
      </c>
    </row>
    <row r="48" spans="1:21" x14ac:dyDescent="0.25">
      <c r="A48" s="11" t="s">
        <v>2410</v>
      </c>
      <c r="B48" s="11" t="s">
        <v>823</v>
      </c>
      <c r="C48" s="9">
        <v>90</v>
      </c>
      <c r="D48" s="9">
        <v>164</v>
      </c>
      <c r="E48" s="13">
        <v>1</v>
      </c>
      <c r="F48" s="9">
        <f t="shared" si="0"/>
        <v>60</v>
      </c>
      <c r="G48" s="13">
        <v>0.56999999999999995</v>
      </c>
      <c r="H48" s="9">
        <f t="shared" si="1"/>
        <v>34.199999999999996</v>
      </c>
      <c r="I48" s="10">
        <v>0</v>
      </c>
      <c r="J48" s="10"/>
      <c r="K48" s="10">
        <v>0</v>
      </c>
      <c r="M48" s="9">
        <v>72</v>
      </c>
      <c r="N48" s="9">
        <v>72</v>
      </c>
      <c r="O48" s="13">
        <v>5.5</v>
      </c>
      <c r="P48" s="13">
        <v>10</v>
      </c>
      <c r="Q48" s="10">
        <f t="shared" si="2"/>
        <v>0</v>
      </c>
      <c r="R48" s="10">
        <v>0</v>
      </c>
      <c r="S48" s="11" t="s">
        <v>619</v>
      </c>
      <c r="T48" s="11" t="s">
        <v>2410</v>
      </c>
      <c r="U48" s="11" t="str">
        <f>_xlfn.XLOOKUP(T48,Detalle_Unidades!F45:F591,Detalle_Unidades!A45:A591)</f>
        <v>GEC3</v>
      </c>
    </row>
    <row r="49" spans="1:21" x14ac:dyDescent="0.25">
      <c r="A49" s="11" t="s">
        <v>2414</v>
      </c>
      <c r="B49" s="11" t="s">
        <v>823</v>
      </c>
      <c r="C49" s="9">
        <v>130</v>
      </c>
      <c r="D49" s="9">
        <v>270</v>
      </c>
      <c r="E49" s="13">
        <v>1</v>
      </c>
      <c r="F49" s="9">
        <f t="shared" si="0"/>
        <v>60</v>
      </c>
      <c r="G49" s="13">
        <v>0.81</v>
      </c>
      <c r="H49" s="9">
        <f t="shared" si="1"/>
        <v>48.6</v>
      </c>
      <c r="I49" s="10">
        <v>0</v>
      </c>
      <c r="J49" s="10"/>
      <c r="K49" s="10">
        <v>0</v>
      </c>
      <c r="M49" s="9">
        <v>72</v>
      </c>
      <c r="N49" s="9">
        <v>72</v>
      </c>
      <c r="O49" s="13">
        <v>9</v>
      </c>
      <c r="P49" s="13">
        <v>10</v>
      </c>
      <c r="Q49" s="10">
        <f t="shared" si="2"/>
        <v>0</v>
      </c>
      <c r="R49" s="10">
        <v>0</v>
      </c>
      <c r="S49" s="11" t="s">
        <v>619</v>
      </c>
      <c r="T49" s="11" t="s">
        <v>2414</v>
      </c>
      <c r="U49" s="11" t="str">
        <f>_xlfn.XLOOKUP(T49,Detalle_Unidades!F46:F592,Detalle_Unidades!A46:A592)</f>
        <v>GE32</v>
      </c>
    </row>
    <row r="50" spans="1:21" x14ac:dyDescent="0.25">
      <c r="A50" s="11" t="s">
        <v>2552</v>
      </c>
      <c r="B50" s="11" t="s">
        <v>531</v>
      </c>
      <c r="C50" s="9">
        <v>8</v>
      </c>
      <c r="D50" s="9">
        <v>19</v>
      </c>
      <c r="E50" s="13">
        <v>2.13</v>
      </c>
      <c r="F50" s="9">
        <f t="shared" si="0"/>
        <v>127.8</v>
      </c>
      <c r="G50" s="13">
        <v>2.65</v>
      </c>
      <c r="H50" s="9">
        <f t="shared" si="1"/>
        <v>159</v>
      </c>
      <c r="I50" s="10">
        <v>0</v>
      </c>
      <c r="J50" s="10"/>
      <c r="K50" s="10">
        <v>0</v>
      </c>
      <c r="M50" s="9">
        <v>3</v>
      </c>
      <c r="N50" s="9">
        <v>1</v>
      </c>
      <c r="O50" s="13">
        <v>1.8</v>
      </c>
      <c r="P50" s="13">
        <v>6</v>
      </c>
      <c r="Q50" s="10">
        <f t="shared" si="2"/>
        <v>0</v>
      </c>
      <c r="R50" s="10">
        <v>0</v>
      </c>
      <c r="S50" s="11" t="s">
        <v>621</v>
      </c>
      <c r="T50" s="11" t="s">
        <v>916</v>
      </c>
      <c r="U50" s="11" t="str">
        <f>_xlfn.XLOOKUP(T50,Detalle_Unidades!F47:F593,Detalle_Unidades!A47:A593)</f>
        <v>3ENA</v>
      </c>
    </row>
    <row r="51" spans="1:21" x14ac:dyDescent="0.25">
      <c r="A51" s="11" t="s">
        <v>2555</v>
      </c>
      <c r="B51" s="11" t="s">
        <v>531</v>
      </c>
      <c r="C51" s="9">
        <v>8</v>
      </c>
      <c r="D51" s="9">
        <v>19</v>
      </c>
      <c r="E51" s="13">
        <v>2.2200000000000002</v>
      </c>
      <c r="F51" s="9">
        <f t="shared" si="0"/>
        <v>133.20000000000002</v>
      </c>
      <c r="G51" s="13">
        <v>2.68</v>
      </c>
      <c r="H51" s="9">
        <f t="shared" si="1"/>
        <v>160.80000000000001</v>
      </c>
      <c r="I51" s="10">
        <v>0</v>
      </c>
      <c r="J51" s="10"/>
      <c r="K51" s="10">
        <v>0</v>
      </c>
      <c r="M51" s="9">
        <v>3</v>
      </c>
      <c r="N51" s="9">
        <v>1</v>
      </c>
      <c r="O51" s="13">
        <v>1.8</v>
      </c>
      <c r="P51" s="13">
        <v>6</v>
      </c>
      <c r="Q51" s="10">
        <f t="shared" si="2"/>
        <v>0</v>
      </c>
      <c r="R51" s="10">
        <v>0</v>
      </c>
      <c r="S51" s="11" t="s">
        <v>621</v>
      </c>
      <c r="T51" s="11" t="s">
        <v>916</v>
      </c>
      <c r="U51" s="11" t="str">
        <f>_xlfn.XLOOKUP(T51,Detalle_Unidades!F48:F594,Detalle_Unidades!A48:A594)</f>
        <v>3ENA</v>
      </c>
    </row>
    <row r="52" spans="1:21" x14ac:dyDescent="0.25">
      <c r="A52" s="11" t="s">
        <v>2557</v>
      </c>
      <c r="B52" s="11" t="s">
        <v>531</v>
      </c>
      <c r="C52" s="9">
        <v>8</v>
      </c>
      <c r="D52" s="9">
        <v>19</v>
      </c>
      <c r="E52" s="13">
        <v>2.2200000000000002</v>
      </c>
      <c r="F52" s="9">
        <f t="shared" si="0"/>
        <v>133.20000000000002</v>
      </c>
      <c r="G52" s="13">
        <v>2.68</v>
      </c>
      <c r="H52" s="9">
        <f t="shared" si="1"/>
        <v>160.80000000000001</v>
      </c>
      <c r="I52" s="10">
        <v>0</v>
      </c>
      <c r="J52" s="10"/>
      <c r="K52" s="10">
        <v>0</v>
      </c>
      <c r="M52" s="9">
        <v>3</v>
      </c>
      <c r="N52" s="9">
        <v>1</v>
      </c>
      <c r="O52" s="13">
        <v>1.8</v>
      </c>
      <c r="P52" s="13">
        <v>6</v>
      </c>
      <c r="Q52" s="10">
        <f t="shared" si="2"/>
        <v>0</v>
      </c>
      <c r="R52" s="10">
        <v>0</v>
      </c>
      <c r="S52" s="11" t="s">
        <v>621</v>
      </c>
      <c r="T52" s="11" t="s">
        <v>916</v>
      </c>
      <c r="U52" s="11" t="str">
        <f>_xlfn.XLOOKUP(T52,Detalle_Unidades!F49:F595,Detalle_Unidades!A49:A595)</f>
        <v>3ENA</v>
      </c>
    </row>
    <row r="53" spans="1:21" x14ac:dyDescent="0.25">
      <c r="A53" s="11" t="s">
        <v>2559</v>
      </c>
      <c r="B53" s="11" t="s">
        <v>531</v>
      </c>
      <c r="C53" s="9">
        <v>8</v>
      </c>
      <c r="D53" s="9">
        <v>19</v>
      </c>
      <c r="E53" s="13">
        <v>2.13</v>
      </c>
      <c r="F53" s="9">
        <f t="shared" si="0"/>
        <v>127.8</v>
      </c>
      <c r="G53" s="13">
        <v>2.68</v>
      </c>
      <c r="H53" s="9">
        <f t="shared" si="1"/>
        <v>160.80000000000001</v>
      </c>
      <c r="I53" s="10">
        <v>0</v>
      </c>
      <c r="J53" s="10"/>
      <c r="K53" s="10">
        <v>0</v>
      </c>
      <c r="M53" s="9">
        <v>3</v>
      </c>
      <c r="N53" s="9">
        <v>1</v>
      </c>
      <c r="O53" s="13">
        <v>1.8</v>
      </c>
      <c r="P53" s="13">
        <v>6</v>
      </c>
      <c r="Q53" s="10">
        <f t="shared" si="2"/>
        <v>0</v>
      </c>
      <c r="R53" s="10">
        <v>0</v>
      </c>
      <c r="S53" s="11" t="s">
        <v>621</v>
      </c>
      <c r="T53" s="11" t="s">
        <v>916</v>
      </c>
      <c r="U53" s="11" t="str">
        <f>_xlfn.XLOOKUP(T53,Detalle_Unidades!F50:F596,Detalle_Unidades!A50:A596)</f>
        <v>3ENA</v>
      </c>
    </row>
    <row r="54" spans="1:21" x14ac:dyDescent="0.25">
      <c r="A54" s="11" t="s">
        <v>2561</v>
      </c>
      <c r="B54" s="11" t="s">
        <v>531</v>
      </c>
      <c r="C54" s="9">
        <v>8</v>
      </c>
      <c r="D54" s="9">
        <v>19</v>
      </c>
      <c r="E54" s="13">
        <v>2.08</v>
      </c>
      <c r="F54" s="9">
        <f t="shared" si="0"/>
        <v>124.80000000000001</v>
      </c>
      <c r="G54" s="13">
        <v>2.65</v>
      </c>
      <c r="H54" s="9">
        <f t="shared" si="1"/>
        <v>159</v>
      </c>
      <c r="I54" s="10">
        <v>0</v>
      </c>
      <c r="J54" s="10"/>
      <c r="K54" s="10">
        <v>0</v>
      </c>
      <c r="M54" s="9">
        <v>3</v>
      </c>
      <c r="N54" s="9">
        <v>1</v>
      </c>
      <c r="O54" s="13">
        <v>1.8</v>
      </c>
      <c r="P54" s="13">
        <v>6</v>
      </c>
      <c r="Q54" s="10">
        <f t="shared" si="2"/>
        <v>0</v>
      </c>
      <c r="R54" s="10">
        <v>0</v>
      </c>
      <c r="S54" s="11" t="s">
        <v>621</v>
      </c>
      <c r="T54" s="11" t="s">
        <v>916</v>
      </c>
      <c r="U54" s="11" t="str">
        <f>_xlfn.XLOOKUP(T54,Detalle_Unidades!F51:F597,Detalle_Unidades!A51:A597)</f>
        <v>3ENA</v>
      </c>
    </row>
    <row r="55" spans="1:21" x14ac:dyDescent="0.25">
      <c r="A55" s="11" t="s">
        <v>2563</v>
      </c>
      <c r="B55" s="11" t="s">
        <v>531</v>
      </c>
      <c r="C55" s="9">
        <v>8</v>
      </c>
      <c r="D55" s="9">
        <v>19</v>
      </c>
      <c r="E55" s="13">
        <v>2.16</v>
      </c>
      <c r="F55" s="9">
        <f t="shared" si="0"/>
        <v>129.60000000000002</v>
      </c>
      <c r="G55" s="13">
        <v>2.71</v>
      </c>
      <c r="H55" s="9">
        <f t="shared" si="1"/>
        <v>162.6</v>
      </c>
      <c r="I55" s="10">
        <v>0</v>
      </c>
      <c r="J55" s="10"/>
      <c r="K55" s="10">
        <v>0</v>
      </c>
      <c r="M55" s="9">
        <v>3</v>
      </c>
      <c r="N55" s="9">
        <v>1</v>
      </c>
      <c r="O55" s="13">
        <v>1.8</v>
      </c>
      <c r="P55" s="13">
        <v>6</v>
      </c>
      <c r="Q55" s="10">
        <f t="shared" si="2"/>
        <v>0</v>
      </c>
      <c r="R55" s="10">
        <v>0</v>
      </c>
      <c r="S55" s="11" t="s">
        <v>621</v>
      </c>
      <c r="T55" s="11" t="s">
        <v>916</v>
      </c>
      <c r="U55" s="11" t="str">
        <f>_xlfn.XLOOKUP(T55,Detalle_Unidades!F52:F598,Detalle_Unidades!A52:A598)</f>
        <v>3ENA</v>
      </c>
    </row>
    <row r="56" spans="1:21" x14ac:dyDescent="0.25">
      <c r="A56" s="11" t="s">
        <v>2565</v>
      </c>
      <c r="B56" s="11" t="s">
        <v>531</v>
      </c>
      <c r="C56" s="9">
        <v>8</v>
      </c>
      <c r="D56" s="9">
        <v>19</v>
      </c>
      <c r="E56" s="13">
        <v>2.04</v>
      </c>
      <c r="F56" s="9">
        <f t="shared" si="0"/>
        <v>122.4</v>
      </c>
      <c r="G56" s="13">
        <v>2.68</v>
      </c>
      <c r="H56" s="9">
        <f t="shared" si="1"/>
        <v>160.80000000000001</v>
      </c>
      <c r="I56" s="10">
        <v>0</v>
      </c>
      <c r="J56" s="10"/>
      <c r="K56" s="10">
        <v>0</v>
      </c>
      <c r="M56" s="9">
        <v>3</v>
      </c>
      <c r="N56" s="9">
        <v>1</v>
      </c>
      <c r="O56" s="13">
        <v>1.8</v>
      </c>
      <c r="P56" s="13">
        <v>6</v>
      </c>
      <c r="Q56" s="10">
        <f t="shared" si="2"/>
        <v>0</v>
      </c>
      <c r="R56" s="10">
        <v>0</v>
      </c>
      <c r="S56" s="11" t="s">
        <v>621</v>
      </c>
      <c r="T56" s="11" t="s">
        <v>916</v>
      </c>
      <c r="U56" s="11" t="str">
        <f>_xlfn.XLOOKUP(T56,Detalle_Unidades!F53:F599,Detalle_Unidades!A53:A599)</f>
        <v>3ENA</v>
      </c>
    </row>
    <row r="57" spans="1:21" x14ac:dyDescent="0.25">
      <c r="A57" s="11" t="s">
        <v>2567</v>
      </c>
      <c r="B57" s="11" t="s">
        <v>531</v>
      </c>
      <c r="C57" s="9">
        <v>8</v>
      </c>
      <c r="D57" s="9">
        <v>19</v>
      </c>
      <c r="E57" s="13">
        <v>2.11</v>
      </c>
      <c r="F57" s="9">
        <f t="shared" si="0"/>
        <v>126.6</v>
      </c>
      <c r="G57" s="13">
        <v>2.77</v>
      </c>
      <c r="H57" s="9">
        <f t="shared" si="1"/>
        <v>166.2</v>
      </c>
      <c r="I57" s="10">
        <v>0</v>
      </c>
      <c r="J57" s="10"/>
      <c r="K57" s="10">
        <v>0</v>
      </c>
      <c r="M57" s="9">
        <v>3</v>
      </c>
      <c r="N57" s="9">
        <v>1</v>
      </c>
      <c r="O57" s="13">
        <v>1.8</v>
      </c>
      <c r="P57" s="13">
        <v>6</v>
      </c>
      <c r="Q57" s="10">
        <f t="shared" si="2"/>
        <v>0</v>
      </c>
      <c r="R57" s="10">
        <v>0</v>
      </c>
      <c r="S57" s="11" t="s">
        <v>621</v>
      </c>
      <c r="T57" s="11" t="s">
        <v>916</v>
      </c>
      <c r="U57" s="11" t="str">
        <f>_xlfn.XLOOKUP(T57,Detalle_Unidades!F54:F600,Detalle_Unidades!A54:A600)</f>
        <v>3ENA</v>
      </c>
    </row>
    <row r="58" spans="1:21" x14ac:dyDescent="0.25">
      <c r="A58" s="11" t="s">
        <v>2569</v>
      </c>
      <c r="B58" s="11" t="s">
        <v>531</v>
      </c>
      <c r="C58" s="9">
        <v>8</v>
      </c>
      <c r="D58" s="9">
        <v>19</v>
      </c>
      <c r="E58" s="13">
        <v>2.1</v>
      </c>
      <c r="F58" s="9">
        <f t="shared" si="0"/>
        <v>126</v>
      </c>
      <c r="G58" s="13">
        <v>2.58</v>
      </c>
      <c r="H58" s="9">
        <f t="shared" si="1"/>
        <v>154.80000000000001</v>
      </c>
      <c r="I58" s="10">
        <v>0</v>
      </c>
      <c r="J58" s="10"/>
      <c r="K58" s="10">
        <v>0</v>
      </c>
      <c r="M58" s="9">
        <v>3</v>
      </c>
      <c r="N58" s="9">
        <v>1</v>
      </c>
      <c r="O58" s="13">
        <v>1.8</v>
      </c>
      <c r="P58" s="13">
        <v>6</v>
      </c>
      <c r="Q58" s="10">
        <f t="shared" si="2"/>
        <v>0</v>
      </c>
      <c r="R58" s="10">
        <v>0</v>
      </c>
      <c r="S58" s="11" t="s">
        <v>621</v>
      </c>
      <c r="T58" s="11" t="s">
        <v>916</v>
      </c>
      <c r="U58" s="11" t="str">
        <f>_xlfn.XLOOKUP(T58,Detalle_Unidades!F55:F601,Detalle_Unidades!A55:A601)</f>
        <v>3ENA</v>
      </c>
    </row>
    <row r="59" spans="1:21" x14ac:dyDescent="0.25">
      <c r="A59" s="11" t="s">
        <v>2571</v>
      </c>
      <c r="B59" s="11" t="s">
        <v>531</v>
      </c>
      <c r="C59" s="9">
        <v>8</v>
      </c>
      <c r="D59" s="9">
        <v>19</v>
      </c>
      <c r="E59" s="13">
        <v>2.09</v>
      </c>
      <c r="F59" s="9">
        <f t="shared" si="0"/>
        <v>125.39999999999999</v>
      </c>
      <c r="G59" s="13">
        <v>2.68</v>
      </c>
      <c r="H59" s="9">
        <f t="shared" si="1"/>
        <v>160.80000000000001</v>
      </c>
      <c r="I59" s="10">
        <v>0</v>
      </c>
      <c r="J59" s="10"/>
      <c r="K59" s="10">
        <v>0</v>
      </c>
      <c r="M59" s="9">
        <v>3</v>
      </c>
      <c r="N59" s="9">
        <v>1</v>
      </c>
      <c r="O59" s="13">
        <v>1.8</v>
      </c>
      <c r="P59" s="13">
        <v>6</v>
      </c>
      <c r="Q59" s="10">
        <f t="shared" si="2"/>
        <v>0</v>
      </c>
      <c r="R59" s="10">
        <v>0</v>
      </c>
      <c r="S59" s="11" t="s">
        <v>621</v>
      </c>
      <c r="T59" s="11" t="s">
        <v>916</v>
      </c>
      <c r="U59" s="11" t="str">
        <f>_xlfn.XLOOKUP(T59,Detalle_Unidades!F56:F602,Detalle_Unidades!A56:A602)</f>
        <v>3ENA</v>
      </c>
    </row>
    <row r="60" spans="1:21" x14ac:dyDescent="0.25">
      <c r="A60" s="11" t="s">
        <v>2573</v>
      </c>
      <c r="B60" s="11" t="s">
        <v>531</v>
      </c>
      <c r="C60" s="9">
        <v>8</v>
      </c>
      <c r="D60" s="9">
        <v>19</v>
      </c>
      <c r="E60" s="13">
        <v>2.12</v>
      </c>
      <c r="F60" s="9">
        <f t="shared" si="0"/>
        <v>127.2</v>
      </c>
      <c r="G60" s="13">
        <v>2.69</v>
      </c>
      <c r="H60" s="9">
        <f t="shared" si="1"/>
        <v>161.4</v>
      </c>
      <c r="I60" s="10">
        <v>0</v>
      </c>
      <c r="J60" s="10"/>
      <c r="K60" s="10">
        <v>0</v>
      </c>
      <c r="M60" s="9">
        <v>3</v>
      </c>
      <c r="N60" s="9">
        <v>1</v>
      </c>
      <c r="O60" s="13">
        <v>1.8</v>
      </c>
      <c r="P60" s="13">
        <v>6</v>
      </c>
      <c r="Q60" s="10">
        <f t="shared" si="2"/>
        <v>0</v>
      </c>
      <c r="R60" s="10">
        <v>0</v>
      </c>
      <c r="S60" s="11" t="s">
        <v>621</v>
      </c>
      <c r="T60" s="11" t="s">
        <v>916</v>
      </c>
      <c r="U60" s="11" t="str">
        <f>_xlfn.XLOOKUP(T60,Detalle_Unidades!F57:F603,Detalle_Unidades!A57:A603)</f>
        <v>3ENA</v>
      </c>
    </row>
    <row r="61" spans="1:21" x14ac:dyDescent="0.25">
      <c r="A61" s="11" t="s">
        <v>903</v>
      </c>
      <c r="B61" s="11" t="s">
        <v>897</v>
      </c>
      <c r="C61" s="9">
        <v>10</v>
      </c>
      <c r="D61" s="9">
        <v>47</v>
      </c>
      <c r="E61" s="13">
        <v>5.94</v>
      </c>
      <c r="F61" s="9">
        <f t="shared" si="0"/>
        <v>356.40000000000003</v>
      </c>
      <c r="G61" s="13">
        <v>5.8</v>
      </c>
      <c r="H61" s="9">
        <f t="shared" si="1"/>
        <v>348</v>
      </c>
      <c r="I61" s="10">
        <v>0</v>
      </c>
      <c r="J61" s="10"/>
      <c r="K61" s="10">
        <v>0</v>
      </c>
      <c r="M61" s="9">
        <v>1</v>
      </c>
      <c r="N61" s="9">
        <v>1</v>
      </c>
      <c r="O61" s="13">
        <v>1.5</v>
      </c>
      <c r="P61" s="13">
        <v>0.25</v>
      </c>
      <c r="Q61" s="10">
        <f t="shared" si="2"/>
        <v>0</v>
      </c>
      <c r="R61" s="10">
        <v>0</v>
      </c>
      <c r="S61" s="11" t="s">
        <v>854</v>
      </c>
      <c r="T61" s="11" t="s">
        <v>903</v>
      </c>
      <c r="U61" s="11" t="str">
        <f>_xlfn.XLOOKUP(T61,Detalle_Unidades!F58:F604,Detalle_Unidades!A58:A604)</f>
        <v>TDR1</v>
      </c>
    </row>
    <row r="62" spans="1:21" x14ac:dyDescent="0.25">
      <c r="A62" s="11" t="s">
        <v>2418</v>
      </c>
      <c r="B62" s="11" t="s">
        <v>95</v>
      </c>
      <c r="C62" s="9">
        <v>72</v>
      </c>
      <c r="D62" s="9">
        <v>145</v>
      </c>
      <c r="E62" s="13">
        <v>2.23</v>
      </c>
      <c r="F62" s="9">
        <f t="shared" si="0"/>
        <v>133.80000000000001</v>
      </c>
      <c r="G62" s="13">
        <v>2.82</v>
      </c>
      <c r="H62" s="9">
        <f t="shared" si="1"/>
        <v>169.2</v>
      </c>
      <c r="I62" s="10">
        <v>0</v>
      </c>
      <c r="J62" s="10"/>
      <c r="K62" s="10">
        <v>0</v>
      </c>
      <c r="M62" s="9">
        <v>24</v>
      </c>
      <c r="N62" s="9">
        <v>24</v>
      </c>
      <c r="O62" s="13">
        <v>10</v>
      </c>
      <c r="P62" s="13">
        <v>12</v>
      </c>
      <c r="Q62" s="10">
        <f t="shared" si="2"/>
        <v>0</v>
      </c>
      <c r="R62" s="10">
        <v>0</v>
      </c>
      <c r="S62" s="11" t="s">
        <v>2420</v>
      </c>
      <c r="T62" s="11" t="s">
        <v>2418</v>
      </c>
      <c r="U62" s="11" t="str">
        <f>_xlfn.XLOOKUP(T62,Detalle_Unidades!F59:F605,Detalle_Unidades!A59:A605)</f>
        <v>TGJ1</v>
      </c>
    </row>
    <row r="63" spans="1:21" x14ac:dyDescent="0.25">
      <c r="A63" s="11" t="s">
        <v>2423</v>
      </c>
      <c r="B63" s="11" t="s">
        <v>95</v>
      </c>
      <c r="C63" s="9">
        <v>72</v>
      </c>
      <c r="D63" s="9">
        <v>130</v>
      </c>
      <c r="E63" s="13">
        <v>1.05</v>
      </c>
      <c r="F63" s="9">
        <f t="shared" si="0"/>
        <v>63</v>
      </c>
      <c r="G63" s="13">
        <v>1.44</v>
      </c>
      <c r="H63" s="9">
        <f t="shared" si="1"/>
        <v>86.399999999999991</v>
      </c>
      <c r="I63" s="10">
        <v>0</v>
      </c>
      <c r="J63" s="10"/>
      <c r="K63" s="10">
        <v>0</v>
      </c>
      <c r="M63" s="9">
        <v>24</v>
      </c>
      <c r="N63" s="9">
        <v>24</v>
      </c>
      <c r="O63" s="13">
        <v>10</v>
      </c>
      <c r="P63" s="13">
        <v>12</v>
      </c>
      <c r="Q63" s="10">
        <f t="shared" si="2"/>
        <v>0</v>
      </c>
      <c r="R63" s="10">
        <v>0</v>
      </c>
      <c r="S63" s="11" t="s">
        <v>2420</v>
      </c>
      <c r="T63" s="11" t="s">
        <v>2423</v>
      </c>
      <c r="U63" s="11" t="str">
        <f>_xlfn.XLOOKUP(T63,Detalle_Unidades!F60:F606,Detalle_Unidades!A60:A606)</f>
        <v>TGJ2</v>
      </c>
    </row>
    <row r="64" spans="1:21" x14ac:dyDescent="0.25">
      <c r="A64" s="11" t="s">
        <v>2501</v>
      </c>
      <c r="B64" s="11" t="s">
        <v>95</v>
      </c>
      <c r="C64" s="9">
        <v>5.2</v>
      </c>
      <c r="D64" s="9">
        <v>9</v>
      </c>
      <c r="E64" s="13">
        <v>0.06</v>
      </c>
      <c r="F64" s="9">
        <f t="shared" si="0"/>
        <v>3.5999999999999996</v>
      </c>
      <c r="G64" s="13">
        <v>0.06</v>
      </c>
      <c r="H64" s="9">
        <f t="shared" si="1"/>
        <v>3.5999999999999996</v>
      </c>
      <c r="I64" s="10">
        <v>0</v>
      </c>
      <c r="J64" s="10"/>
      <c r="K64" s="10">
        <v>0</v>
      </c>
      <c r="M64" s="9">
        <v>4</v>
      </c>
      <c r="N64" s="9">
        <v>1</v>
      </c>
      <c r="O64" s="13">
        <v>2</v>
      </c>
      <c r="P64" s="13">
        <v>3</v>
      </c>
      <c r="Q64" s="10">
        <f t="shared" si="2"/>
        <v>0</v>
      </c>
      <c r="R64" s="10">
        <v>0</v>
      </c>
      <c r="S64" s="11" t="s">
        <v>854</v>
      </c>
      <c r="T64" s="11" t="s">
        <v>922</v>
      </c>
      <c r="U64" s="11" t="str">
        <f>_xlfn.XLOOKUP(T64,Detalle_Unidades!F61:F607,Detalle_Unidades!A61:A607)</f>
        <v>TRN1</v>
      </c>
    </row>
    <row r="65" spans="1:21" x14ac:dyDescent="0.25">
      <c r="A65" s="11" t="s">
        <v>2504</v>
      </c>
      <c r="B65" s="11" t="s">
        <v>95</v>
      </c>
      <c r="C65" s="9">
        <v>5.2</v>
      </c>
      <c r="D65" s="9">
        <v>9</v>
      </c>
      <c r="E65" s="13">
        <v>0.06</v>
      </c>
      <c r="F65" s="9">
        <f t="shared" si="0"/>
        <v>3.5999999999999996</v>
      </c>
      <c r="G65" s="13">
        <v>0.06</v>
      </c>
      <c r="H65" s="9">
        <f t="shared" si="1"/>
        <v>3.5999999999999996</v>
      </c>
      <c r="I65" s="10">
        <v>0</v>
      </c>
      <c r="J65" s="10"/>
      <c r="K65" s="10">
        <v>0</v>
      </c>
      <c r="M65" s="9">
        <v>4</v>
      </c>
      <c r="N65" s="9">
        <v>1</v>
      </c>
      <c r="O65" s="13">
        <v>2</v>
      </c>
      <c r="P65" s="13">
        <v>3</v>
      </c>
      <c r="Q65" s="10">
        <f t="shared" si="2"/>
        <v>0</v>
      </c>
      <c r="R65" s="10">
        <v>0</v>
      </c>
      <c r="S65" s="11" t="s">
        <v>854</v>
      </c>
      <c r="T65" s="11" t="s">
        <v>922</v>
      </c>
      <c r="U65" s="11" t="str">
        <f>_xlfn.XLOOKUP(T65,Detalle_Unidades!F62:F608,Detalle_Unidades!A62:A608)</f>
        <v>TRN1</v>
      </c>
    </row>
    <row r="66" spans="1:21" x14ac:dyDescent="0.25">
      <c r="A66" s="11" t="s">
        <v>2506</v>
      </c>
      <c r="B66" s="11" t="s">
        <v>95</v>
      </c>
      <c r="C66" s="9">
        <v>5.2</v>
      </c>
      <c r="D66" s="9">
        <v>9</v>
      </c>
      <c r="E66" s="13">
        <v>0.06</v>
      </c>
      <c r="F66" s="9">
        <f t="shared" si="0"/>
        <v>3.5999999999999996</v>
      </c>
      <c r="G66" s="13">
        <v>0.06</v>
      </c>
      <c r="H66" s="9">
        <f t="shared" si="1"/>
        <v>3.5999999999999996</v>
      </c>
      <c r="I66" s="10">
        <v>0</v>
      </c>
      <c r="J66" s="10"/>
      <c r="K66" s="10">
        <v>0</v>
      </c>
      <c r="M66" s="9">
        <v>4</v>
      </c>
      <c r="N66" s="9">
        <v>1</v>
      </c>
      <c r="O66" s="13">
        <v>2</v>
      </c>
      <c r="P66" s="13">
        <v>3</v>
      </c>
      <c r="Q66" s="10">
        <f t="shared" si="2"/>
        <v>0</v>
      </c>
      <c r="R66" s="10">
        <v>0</v>
      </c>
      <c r="S66" s="11" t="s">
        <v>854</v>
      </c>
      <c r="T66" s="11" t="s">
        <v>922</v>
      </c>
      <c r="U66" s="11" t="str">
        <f>_xlfn.XLOOKUP(T66,Detalle_Unidades!F63:F609,Detalle_Unidades!A63:A609)</f>
        <v>TRN1</v>
      </c>
    </row>
    <row r="67" spans="1:21" x14ac:dyDescent="0.25">
      <c r="A67" s="11" t="s">
        <v>2508</v>
      </c>
      <c r="B67" s="11" t="s">
        <v>95</v>
      </c>
      <c r="C67" s="9">
        <v>5.2</v>
      </c>
      <c r="D67" s="9">
        <v>9</v>
      </c>
      <c r="E67" s="13">
        <v>0.06</v>
      </c>
      <c r="F67" s="9">
        <f t="shared" si="0"/>
        <v>3.5999999999999996</v>
      </c>
      <c r="G67" s="13">
        <v>0.06</v>
      </c>
      <c r="H67" s="9">
        <f t="shared" si="1"/>
        <v>3.5999999999999996</v>
      </c>
      <c r="I67" s="10">
        <v>0</v>
      </c>
      <c r="J67" s="10"/>
      <c r="K67" s="10">
        <v>0</v>
      </c>
      <c r="M67" s="9">
        <v>4</v>
      </c>
      <c r="N67" s="9">
        <v>1</v>
      </c>
      <c r="O67" s="13">
        <v>2</v>
      </c>
      <c r="P67" s="13">
        <v>3</v>
      </c>
      <c r="Q67" s="10">
        <f t="shared" si="2"/>
        <v>0</v>
      </c>
      <c r="R67" s="10">
        <v>0</v>
      </c>
      <c r="S67" s="11" t="s">
        <v>854</v>
      </c>
      <c r="T67" s="11" t="s">
        <v>922</v>
      </c>
      <c r="U67" s="11" t="str">
        <f>_xlfn.XLOOKUP(T67,Detalle_Unidades!F64:F610,Detalle_Unidades!A64:A610)</f>
        <v>TRN1</v>
      </c>
    </row>
    <row r="68" spans="1:21" x14ac:dyDescent="0.25">
      <c r="A68" s="11" t="s">
        <v>2510</v>
      </c>
      <c r="B68" s="11" t="s">
        <v>95</v>
      </c>
      <c r="C68" s="9">
        <v>5.2</v>
      </c>
      <c r="D68" s="9">
        <v>9</v>
      </c>
      <c r="E68" s="9">
        <v>0</v>
      </c>
      <c r="F68" s="9">
        <f t="shared" si="0"/>
        <v>0</v>
      </c>
      <c r="G68" s="9">
        <v>0</v>
      </c>
      <c r="H68" s="9">
        <f t="shared" si="1"/>
        <v>0</v>
      </c>
      <c r="I68" s="10">
        <v>0</v>
      </c>
      <c r="J68" s="10"/>
      <c r="K68" s="10">
        <v>0</v>
      </c>
      <c r="M68" s="9">
        <v>4</v>
      </c>
      <c r="N68" s="9">
        <v>1</v>
      </c>
      <c r="O68" s="13">
        <v>2</v>
      </c>
      <c r="P68" s="13">
        <v>3</v>
      </c>
      <c r="Q68" s="10">
        <f t="shared" si="2"/>
        <v>0</v>
      </c>
      <c r="R68" s="10">
        <v>0</v>
      </c>
      <c r="S68" s="11" t="s">
        <v>854</v>
      </c>
      <c r="T68" s="11" t="s">
        <v>922</v>
      </c>
      <c r="U68" s="11" t="str">
        <f>_xlfn.XLOOKUP(T68,Detalle_Unidades!F65:F611,Detalle_Unidades!A65:A611)</f>
        <v>TRN1</v>
      </c>
    </row>
    <row r="69" spans="1:21" x14ac:dyDescent="0.25">
      <c r="A69" s="11" t="s">
        <v>2512</v>
      </c>
      <c r="B69" s="11" t="s">
        <v>95</v>
      </c>
      <c r="C69" s="9">
        <v>5.2</v>
      </c>
      <c r="D69" s="9">
        <v>9</v>
      </c>
      <c r="E69" s="13">
        <v>0.06</v>
      </c>
      <c r="F69" s="9">
        <f t="shared" si="0"/>
        <v>3.5999999999999996</v>
      </c>
      <c r="G69" s="13">
        <v>0.06</v>
      </c>
      <c r="H69" s="9">
        <f t="shared" si="1"/>
        <v>3.5999999999999996</v>
      </c>
      <c r="I69" s="10">
        <v>0</v>
      </c>
      <c r="J69" s="10"/>
      <c r="K69" s="10">
        <v>0</v>
      </c>
      <c r="M69" s="9">
        <v>4</v>
      </c>
      <c r="N69" s="9">
        <v>1</v>
      </c>
      <c r="O69" s="13">
        <v>2</v>
      </c>
      <c r="P69" s="13">
        <v>3</v>
      </c>
      <c r="Q69" s="10">
        <f t="shared" si="2"/>
        <v>0</v>
      </c>
      <c r="R69" s="10">
        <v>0</v>
      </c>
      <c r="S69" s="11" t="s">
        <v>854</v>
      </c>
      <c r="T69" s="11" t="s">
        <v>922</v>
      </c>
      <c r="U69" s="11" t="str">
        <f>_xlfn.XLOOKUP(T69,Detalle_Unidades!F66:F612,Detalle_Unidades!A66:A612)</f>
        <v>TRN1</v>
      </c>
    </row>
    <row r="70" spans="1:21" x14ac:dyDescent="0.25">
      <c r="A70" s="11" t="s">
        <v>2514</v>
      </c>
      <c r="B70" s="11" t="s">
        <v>95</v>
      </c>
      <c r="C70" s="9">
        <v>5.2</v>
      </c>
      <c r="D70" s="9">
        <v>9</v>
      </c>
      <c r="E70" s="13">
        <v>0.06</v>
      </c>
      <c r="F70" s="9">
        <f t="shared" ref="F70:F80" si="3">E70*60</f>
        <v>3.5999999999999996</v>
      </c>
      <c r="G70" s="13">
        <v>0.06</v>
      </c>
      <c r="H70" s="9">
        <f t="shared" ref="H70:H80" si="4">G70*60</f>
        <v>3.5999999999999996</v>
      </c>
      <c r="I70" s="10">
        <v>0</v>
      </c>
      <c r="J70" s="10"/>
      <c r="K70" s="10">
        <v>0</v>
      </c>
      <c r="M70" s="9">
        <v>4</v>
      </c>
      <c r="N70" s="9">
        <v>1</v>
      </c>
      <c r="O70" s="13">
        <v>2</v>
      </c>
      <c r="P70" s="13">
        <v>3</v>
      </c>
      <c r="Q70" s="10">
        <f t="shared" ref="Q70:Q80" si="5">O70*P70*J70</f>
        <v>0</v>
      </c>
      <c r="R70" s="10">
        <v>0</v>
      </c>
      <c r="S70" s="11" t="s">
        <v>854</v>
      </c>
      <c r="T70" s="11" t="s">
        <v>922</v>
      </c>
      <c r="U70" s="11" t="str">
        <f>_xlfn.XLOOKUP(T70,Detalle_Unidades!F67:F613,Detalle_Unidades!A67:A613)</f>
        <v>TRN1</v>
      </c>
    </row>
    <row r="71" spans="1:21" x14ac:dyDescent="0.25">
      <c r="A71" s="11" t="s">
        <v>2516</v>
      </c>
      <c r="B71" s="11" t="s">
        <v>95</v>
      </c>
      <c r="C71" s="9">
        <v>5.2</v>
      </c>
      <c r="D71" s="9">
        <v>9</v>
      </c>
      <c r="E71" s="9">
        <v>0</v>
      </c>
      <c r="F71" s="9">
        <f t="shared" si="3"/>
        <v>0</v>
      </c>
      <c r="G71" s="9">
        <v>0</v>
      </c>
      <c r="H71" s="9">
        <f t="shared" si="4"/>
        <v>0</v>
      </c>
      <c r="I71" s="10">
        <v>0</v>
      </c>
      <c r="J71" s="10"/>
      <c r="K71" s="10">
        <v>0</v>
      </c>
      <c r="M71" s="9">
        <v>4</v>
      </c>
      <c r="N71" s="9">
        <v>1</v>
      </c>
      <c r="O71" s="13">
        <v>2</v>
      </c>
      <c r="P71" s="13">
        <v>3</v>
      </c>
      <c r="Q71" s="10">
        <f t="shared" si="5"/>
        <v>0</v>
      </c>
      <c r="R71" s="10">
        <v>0</v>
      </c>
      <c r="S71" s="11" t="s">
        <v>854</v>
      </c>
      <c r="T71" s="11" t="s">
        <v>922</v>
      </c>
      <c r="U71" s="11" t="str">
        <f>_xlfn.XLOOKUP(T71,Detalle_Unidades!F68:F614,Detalle_Unidades!A68:A614)</f>
        <v>TRN1</v>
      </c>
    </row>
    <row r="72" spans="1:21" x14ac:dyDescent="0.25">
      <c r="A72" s="11" t="s">
        <v>2518</v>
      </c>
      <c r="B72" s="11" t="s">
        <v>95</v>
      </c>
      <c r="C72" s="9">
        <v>5.2</v>
      </c>
      <c r="D72" s="9">
        <v>9</v>
      </c>
      <c r="E72" s="9">
        <v>0</v>
      </c>
      <c r="F72" s="9">
        <f t="shared" si="3"/>
        <v>0</v>
      </c>
      <c r="G72" s="9">
        <v>0</v>
      </c>
      <c r="H72" s="9">
        <f t="shared" si="4"/>
        <v>0</v>
      </c>
      <c r="I72" s="10">
        <v>0</v>
      </c>
      <c r="J72" s="10"/>
      <c r="K72" s="10">
        <v>0</v>
      </c>
      <c r="M72" s="9">
        <v>4</v>
      </c>
      <c r="N72" s="9">
        <v>1</v>
      </c>
      <c r="O72" s="13">
        <v>2</v>
      </c>
      <c r="P72" s="13">
        <v>3</v>
      </c>
      <c r="Q72" s="10">
        <f t="shared" si="5"/>
        <v>0</v>
      </c>
      <c r="R72" s="10">
        <v>0</v>
      </c>
      <c r="S72" s="11" t="s">
        <v>854</v>
      </c>
      <c r="T72" s="11" t="s">
        <v>922</v>
      </c>
      <c r="U72" s="11" t="str">
        <f>_xlfn.XLOOKUP(T72,Detalle_Unidades!F69:F615,Detalle_Unidades!A69:A615)</f>
        <v>TRN1</v>
      </c>
    </row>
    <row r="73" spans="1:21" x14ac:dyDescent="0.25">
      <c r="A73" s="11" t="s">
        <v>2520</v>
      </c>
      <c r="B73" s="11" t="s">
        <v>95</v>
      </c>
      <c r="C73" s="9">
        <v>5.2</v>
      </c>
      <c r="D73" s="9">
        <v>9</v>
      </c>
      <c r="E73" s="9">
        <v>0</v>
      </c>
      <c r="F73" s="9">
        <f t="shared" si="3"/>
        <v>0</v>
      </c>
      <c r="G73" s="9">
        <v>0</v>
      </c>
      <c r="H73" s="9">
        <f t="shared" si="4"/>
        <v>0</v>
      </c>
      <c r="I73" s="10">
        <v>0</v>
      </c>
      <c r="J73" s="10"/>
      <c r="K73" s="10">
        <v>0</v>
      </c>
      <c r="M73" s="9">
        <v>4</v>
      </c>
      <c r="N73" s="9">
        <v>1</v>
      </c>
      <c r="O73" s="13">
        <v>2</v>
      </c>
      <c r="P73" s="13">
        <v>3</v>
      </c>
      <c r="Q73" s="10">
        <f t="shared" si="5"/>
        <v>0</v>
      </c>
      <c r="R73" s="10">
        <v>0</v>
      </c>
      <c r="S73" s="11" t="s">
        <v>854</v>
      </c>
      <c r="T73" s="11" t="s">
        <v>922</v>
      </c>
      <c r="U73" s="11" t="str">
        <f>_xlfn.XLOOKUP(T73,Detalle_Unidades!F70:F616,Detalle_Unidades!A70:A616)</f>
        <v>TRN1</v>
      </c>
    </row>
    <row r="74" spans="1:21" x14ac:dyDescent="0.25">
      <c r="A74" s="11" t="s">
        <v>2449</v>
      </c>
      <c r="B74" s="11" t="s">
        <v>927</v>
      </c>
      <c r="C74" s="9">
        <v>68</v>
      </c>
      <c r="D74" s="9">
        <v>165</v>
      </c>
      <c r="E74" s="13">
        <v>4</v>
      </c>
      <c r="F74" s="9">
        <f t="shared" si="3"/>
        <v>240</v>
      </c>
      <c r="G74" s="13">
        <v>4</v>
      </c>
      <c r="H74" s="9">
        <f t="shared" si="4"/>
        <v>240</v>
      </c>
      <c r="I74" s="10">
        <v>0</v>
      </c>
      <c r="J74" s="10"/>
      <c r="K74" s="10">
        <v>0</v>
      </c>
      <c r="M74" s="9">
        <v>72</v>
      </c>
      <c r="N74" s="9">
        <v>3</v>
      </c>
      <c r="O74" s="13">
        <v>8</v>
      </c>
      <c r="P74" s="13">
        <v>12</v>
      </c>
      <c r="Q74" s="10">
        <f t="shared" si="5"/>
        <v>0</v>
      </c>
      <c r="R74" s="10">
        <v>0</v>
      </c>
      <c r="S74" s="11" t="s">
        <v>619</v>
      </c>
      <c r="T74" s="11" t="s">
        <v>2449</v>
      </c>
      <c r="U74" s="11" t="str">
        <f>_xlfn.XLOOKUP(T74,Detalle_Unidades!F71:F617,Detalle_Unidades!A71:A617)</f>
        <v>TSJ1</v>
      </c>
    </row>
    <row r="75" spans="1:21" x14ac:dyDescent="0.25">
      <c r="A75" s="11" t="s">
        <v>2453</v>
      </c>
      <c r="B75" s="11" t="s">
        <v>927</v>
      </c>
      <c r="C75" s="9">
        <v>66</v>
      </c>
      <c r="D75" s="9">
        <v>170</v>
      </c>
      <c r="E75" s="13">
        <v>1.57</v>
      </c>
      <c r="F75" s="9">
        <f t="shared" si="3"/>
        <v>94.2</v>
      </c>
      <c r="G75" s="13">
        <v>1.57</v>
      </c>
      <c r="H75" s="9">
        <f t="shared" si="4"/>
        <v>94.2</v>
      </c>
      <c r="I75" s="10">
        <v>0</v>
      </c>
      <c r="J75" s="10"/>
      <c r="K75" s="10">
        <v>0</v>
      </c>
      <c r="M75" s="9">
        <v>72</v>
      </c>
      <c r="N75" s="9">
        <v>8</v>
      </c>
      <c r="O75" s="13">
        <v>9</v>
      </c>
      <c r="P75" s="13">
        <v>10</v>
      </c>
      <c r="Q75" s="10">
        <f t="shared" si="5"/>
        <v>0</v>
      </c>
      <c r="R75" s="10">
        <v>0</v>
      </c>
      <c r="S75" s="11" t="s">
        <v>619</v>
      </c>
      <c r="T75" s="11" t="s">
        <v>2453</v>
      </c>
      <c r="U75" s="11" t="str">
        <f>_xlfn.XLOOKUP(T75,Detalle_Unidades!F72:F618,Detalle_Unidades!A72:A618)</f>
        <v>TSJ2</v>
      </c>
    </row>
    <row r="76" spans="1:21" x14ac:dyDescent="0.25">
      <c r="A76" s="11" t="s">
        <v>935</v>
      </c>
      <c r="B76" s="11" t="s">
        <v>931</v>
      </c>
      <c r="C76" s="9">
        <v>90</v>
      </c>
      <c r="D76" s="9">
        <v>164</v>
      </c>
      <c r="E76" s="13">
        <v>6.02</v>
      </c>
      <c r="F76" s="9">
        <f t="shared" si="3"/>
        <v>361.2</v>
      </c>
      <c r="G76" s="13">
        <v>6.01</v>
      </c>
      <c r="H76" s="9">
        <f t="shared" si="4"/>
        <v>360.59999999999997</v>
      </c>
      <c r="I76" s="10">
        <v>0</v>
      </c>
      <c r="J76" s="10"/>
      <c r="K76" s="10">
        <v>0</v>
      </c>
      <c r="M76" s="9">
        <v>6</v>
      </c>
      <c r="N76" s="9">
        <v>2</v>
      </c>
      <c r="O76" s="13">
        <v>4.5</v>
      </c>
      <c r="P76" s="13">
        <v>0.4</v>
      </c>
      <c r="Q76" s="10">
        <f t="shared" si="5"/>
        <v>0</v>
      </c>
      <c r="R76" s="10">
        <v>0</v>
      </c>
      <c r="S76" s="11" t="s">
        <v>621</v>
      </c>
      <c r="T76" s="11" t="s">
        <v>935</v>
      </c>
      <c r="U76" s="11" t="str">
        <f>_xlfn.XLOOKUP(T76,Detalle_Unidades!F73:F619,Detalle_Unidades!A73:A619)</f>
        <v>MRL1</v>
      </c>
    </row>
    <row r="77" spans="1:21" x14ac:dyDescent="0.25">
      <c r="A77" s="11" t="s">
        <v>2496</v>
      </c>
      <c r="B77" s="11" t="s">
        <v>239</v>
      </c>
      <c r="C77" s="9">
        <v>80</v>
      </c>
      <c r="D77" s="9">
        <v>153</v>
      </c>
      <c r="E77" s="9">
        <v>0</v>
      </c>
      <c r="F77" s="9">
        <f t="shared" si="3"/>
        <v>0</v>
      </c>
      <c r="G77" s="9">
        <v>0</v>
      </c>
      <c r="H77" s="9">
        <f t="shared" si="4"/>
        <v>0</v>
      </c>
      <c r="I77" s="10">
        <v>0</v>
      </c>
      <c r="J77" s="10"/>
      <c r="K77" s="10">
        <v>0</v>
      </c>
      <c r="M77" s="9">
        <v>2</v>
      </c>
      <c r="N77" s="9">
        <v>4</v>
      </c>
      <c r="O77" s="13">
        <v>4</v>
      </c>
      <c r="P77" s="13">
        <v>5</v>
      </c>
      <c r="Q77" s="10">
        <f t="shared" si="5"/>
        <v>0</v>
      </c>
      <c r="R77" s="10">
        <v>0</v>
      </c>
      <c r="S77" s="11" t="s">
        <v>621</v>
      </c>
      <c r="T77" s="11" t="s">
        <v>2495</v>
      </c>
      <c r="U77" s="11" t="str">
        <f>_xlfn.XLOOKUP(T77,Detalle_Unidades!F74:F620,Detalle_Unidades!A74:A620)</f>
        <v>TEC1</v>
      </c>
    </row>
    <row r="78" spans="1:21" x14ac:dyDescent="0.25">
      <c r="A78" s="11" t="s">
        <v>2499</v>
      </c>
      <c r="B78" s="11" t="s">
        <v>239</v>
      </c>
      <c r="C78" s="9">
        <v>20</v>
      </c>
      <c r="D78" s="9">
        <v>76</v>
      </c>
      <c r="E78" s="9">
        <v>0</v>
      </c>
      <c r="F78" s="9">
        <f t="shared" si="3"/>
        <v>0</v>
      </c>
      <c r="G78" s="9">
        <v>0</v>
      </c>
      <c r="H78" s="9">
        <f>G78*60</f>
        <v>0</v>
      </c>
      <c r="I78" s="10">
        <v>0</v>
      </c>
      <c r="J78" s="10"/>
      <c r="K78" s="10">
        <v>0</v>
      </c>
      <c r="M78" s="9">
        <v>2</v>
      </c>
      <c r="N78" s="9">
        <v>4</v>
      </c>
      <c r="O78" s="13">
        <v>4</v>
      </c>
      <c r="P78" s="13">
        <v>5</v>
      </c>
      <c r="Q78" s="10">
        <f t="shared" si="5"/>
        <v>0</v>
      </c>
      <c r="R78" s="10">
        <v>0</v>
      </c>
      <c r="S78" s="11" t="s">
        <v>621</v>
      </c>
      <c r="T78" s="11" t="s">
        <v>2495</v>
      </c>
      <c r="U78" s="11" t="str">
        <f>_xlfn.XLOOKUP(T78,Detalle_Unidades!F75:F621,Detalle_Unidades!A75:A621)</f>
        <v>TEC1</v>
      </c>
    </row>
    <row r="79" spans="1:21" x14ac:dyDescent="0.25">
      <c r="A79" s="11" t="s">
        <v>2531</v>
      </c>
      <c r="B79" s="11" t="s">
        <v>239</v>
      </c>
      <c r="C79" s="9">
        <v>65</v>
      </c>
      <c r="D79" s="9">
        <v>160</v>
      </c>
      <c r="E79" s="13">
        <v>1</v>
      </c>
      <c r="F79" s="9">
        <f t="shared" si="3"/>
        <v>60</v>
      </c>
      <c r="G79" s="13">
        <v>4</v>
      </c>
      <c r="H79" s="9">
        <f t="shared" si="4"/>
        <v>240</v>
      </c>
      <c r="I79" s="10">
        <v>0</v>
      </c>
      <c r="J79" s="10"/>
      <c r="K79" s="10">
        <v>0</v>
      </c>
      <c r="M79" s="9">
        <v>10</v>
      </c>
      <c r="N79" s="9">
        <v>4</v>
      </c>
      <c r="O79" s="13">
        <v>4</v>
      </c>
      <c r="P79" s="13">
        <v>0.75</v>
      </c>
      <c r="Q79" s="10">
        <f t="shared" si="5"/>
        <v>0</v>
      </c>
      <c r="R79" s="10">
        <v>0</v>
      </c>
      <c r="S79" s="11" t="s">
        <v>621</v>
      </c>
      <c r="T79" s="11" t="s">
        <v>2530</v>
      </c>
      <c r="U79" s="11" t="str">
        <f>_xlfn.XLOOKUP(T79,Detalle_Unidades!F76:F622,Detalle_Unidades!A76:A622)</f>
        <v>TVL1</v>
      </c>
    </row>
    <row r="80" spans="1:21" x14ac:dyDescent="0.25">
      <c r="A80" s="11" t="s">
        <v>2534</v>
      </c>
      <c r="B80" s="11" t="s">
        <v>239</v>
      </c>
      <c r="C80" s="9">
        <v>35</v>
      </c>
      <c r="D80" s="9">
        <v>74</v>
      </c>
      <c r="E80" s="13">
        <v>1</v>
      </c>
      <c r="F80" s="9">
        <f t="shared" si="3"/>
        <v>60</v>
      </c>
      <c r="G80" s="13">
        <v>4</v>
      </c>
      <c r="H80" s="9">
        <f t="shared" si="4"/>
        <v>240</v>
      </c>
      <c r="I80" s="10">
        <v>0</v>
      </c>
      <c r="J80" s="10"/>
      <c r="K80" s="10">
        <v>0</v>
      </c>
      <c r="M80" s="9">
        <v>10</v>
      </c>
      <c r="N80" s="9">
        <v>4</v>
      </c>
      <c r="O80" s="13">
        <v>10</v>
      </c>
      <c r="P80" s="13">
        <v>0.75</v>
      </c>
      <c r="Q80" s="10">
        <f t="shared" si="5"/>
        <v>0</v>
      </c>
      <c r="R80" s="10">
        <v>0</v>
      </c>
      <c r="S80" s="11" t="s">
        <v>854</v>
      </c>
      <c r="T80" s="11" t="s">
        <v>2530</v>
      </c>
      <c r="U80" s="11" t="str">
        <f>_xlfn.XLOOKUP(T80,Detalle_Unidades!F77:F623,Detalle_Unidades!A77:A623)</f>
        <v>TVL1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04AC-621E-4DD4-9954-0A83E5CFED66}">
  <dimension ref="A1:Q124"/>
  <sheetViews>
    <sheetView topLeftCell="A41" workbookViewId="0">
      <selection activeCell="N77" sqref="N77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x14ac:dyDescent="0.3">
      <c r="A1" s="4" t="s">
        <v>3137</v>
      </c>
    </row>
    <row r="2" spans="1:17" x14ac:dyDescent="0.25">
      <c r="A2" s="5" t="s">
        <v>3138</v>
      </c>
      <c r="J2">
        <f>'[1]02_POR_ENTIDAD'!$B$2/'[2]02_POR_ENTIDAD'!$B$2</f>
        <v>0.59731319713971154</v>
      </c>
    </row>
    <row r="3" spans="1:17" x14ac:dyDescent="0.25">
      <c r="A3" s="5"/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7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11" t="s">
        <v>238</v>
      </c>
      <c r="C6" s="9">
        <v>0</v>
      </c>
      <c r="D6" s="9">
        <v>39</v>
      </c>
      <c r="E6" s="9">
        <f>C6/G6</f>
        <v>0</v>
      </c>
      <c r="F6" s="12">
        <f>D6/G6</f>
        <v>32.370517928286851</v>
      </c>
      <c r="G6" s="9" t="str">
        <f>_xlfn.XLOOKUP(N6,[3]Phidráulica!$A$10:$A$166,[3]Phidráulica!$J$10:$J$166)</f>
        <v>1,2048</v>
      </c>
      <c r="H6" s="9">
        <v>0</v>
      </c>
      <c r="I6" s="12">
        <f>IFERROR(_xlfn.XLOOKUP(N6,[4]Información_Técnica!$A$7:$A$35,[4]Información_Técnica!$F$7:$F$35),0)</f>
        <v>0</v>
      </c>
      <c r="J6" s="12">
        <f>H6+1/1*(I6-H6)</f>
        <v>0</v>
      </c>
      <c r="K6" s="9">
        <v>0</v>
      </c>
      <c r="L6" s="9"/>
      <c r="M6" s="9">
        <v>15.6</v>
      </c>
      <c r="N6" s="11" t="s">
        <v>2630</v>
      </c>
      <c r="O6" s="11" t="str">
        <f>_xlfn.XLOOKUP(N6,Detalle_Unidades!F2:F548,Detalle_Unidades!A2:A548)</f>
        <v>CLL1</v>
      </c>
    </row>
    <row r="7" spans="1:17" x14ac:dyDescent="0.25">
      <c r="A7" s="11" t="s">
        <v>2634</v>
      </c>
      <c r="B7" s="11" t="s">
        <v>238</v>
      </c>
      <c r="C7" s="9">
        <v>0</v>
      </c>
      <c r="D7" s="9">
        <v>39</v>
      </c>
      <c r="E7" s="9">
        <f t="shared" ref="E7:E70" si="0">C7/G7</f>
        <v>0</v>
      </c>
      <c r="F7" s="12">
        <f t="shared" ref="F7:F70" si="1">D7/G7</f>
        <v>32.370517928286851</v>
      </c>
      <c r="G7" s="9" t="str">
        <f>_xlfn.XLOOKUP(N7,[3]Phidráulica!$A$10:$A$166,[3]Phidráulica!$J$10:$J$166)</f>
        <v>1,2048</v>
      </c>
      <c r="H7" s="9">
        <v>0</v>
      </c>
      <c r="I7" s="12">
        <f>IFERROR(_xlfn.XLOOKUP(N7,[4]Información_Técnica!$A$7:$A$35,[4]Información_Técnica!$F$7:$F$35),0)</f>
        <v>0</v>
      </c>
      <c r="J7" s="12">
        <f t="shared" ref="J7:J70" si="2">H7+1/1*(I7-H7)</f>
        <v>0</v>
      </c>
      <c r="K7" s="9">
        <v>0</v>
      </c>
      <c r="L7" s="9"/>
      <c r="M7" s="9">
        <v>15.6</v>
      </c>
      <c r="N7" s="11" t="s">
        <v>2630</v>
      </c>
      <c r="O7" s="11" t="str">
        <f>_xlfn.XLOOKUP(N7,Detalle_Unidades!F3:F549,Detalle_Unidades!A3:A549)</f>
        <v>CLL1</v>
      </c>
    </row>
    <row r="8" spans="1:17" x14ac:dyDescent="0.25">
      <c r="A8" s="11" t="s">
        <v>2678</v>
      </c>
      <c r="B8" s="11" t="s">
        <v>238</v>
      </c>
      <c r="C8" s="9">
        <v>0</v>
      </c>
      <c r="D8" s="9">
        <v>19</v>
      </c>
      <c r="E8" s="9">
        <f t="shared" si="0"/>
        <v>0</v>
      </c>
      <c r="F8" s="12">
        <f t="shared" si="1"/>
        <v>11.852776044915784</v>
      </c>
      <c r="G8" s="9" t="str">
        <f>_xlfn.XLOOKUP(N8,[3]Phidráulica!$A$10:$A$166,[3]Phidráulica!$J$10:$J$166)</f>
        <v>1,603</v>
      </c>
      <c r="H8" s="9">
        <v>0</v>
      </c>
      <c r="I8" s="12">
        <f>IFERROR(_xlfn.XLOOKUP(N8,[4]Información_Técnica!$A$7:$A$35,[4]Información_Técnica!$F$7:$F$35),0)</f>
        <v>0</v>
      </c>
      <c r="J8" s="12">
        <f t="shared" si="2"/>
        <v>0</v>
      </c>
      <c r="K8" s="9">
        <v>0</v>
      </c>
      <c r="L8" s="9"/>
      <c r="M8" s="9">
        <v>8</v>
      </c>
      <c r="N8" s="11" t="s">
        <v>2677</v>
      </c>
      <c r="O8" s="11" t="str">
        <f>_xlfn.XLOOKUP(N8,Detalle_Unidades!F4:F550,Detalle_Unidades!A4:A550)</f>
        <v>HMIN</v>
      </c>
    </row>
    <row r="9" spans="1:17" x14ac:dyDescent="0.25">
      <c r="A9" s="11" t="s">
        <v>2681</v>
      </c>
      <c r="B9" s="11" t="s">
        <v>238</v>
      </c>
      <c r="C9" s="9">
        <v>0</v>
      </c>
      <c r="D9" s="9">
        <v>18</v>
      </c>
      <c r="E9" s="9">
        <f t="shared" si="0"/>
        <v>0</v>
      </c>
      <c r="F9" s="12">
        <f t="shared" si="1"/>
        <v>11.228945726762321</v>
      </c>
      <c r="G9" s="9" t="str">
        <f>_xlfn.XLOOKUP(N9,[3]Phidráulica!$A$10:$A$166,[3]Phidráulica!$J$10:$J$166)</f>
        <v>1,603</v>
      </c>
      <c r="H9" s="9">
        <v>0</v>
      </c>
      <c r="I9" s="12">
        <f>IFERROR(_xlfn.XLOOKUP(N9,[4]Información_Técnica!$A$7:$A$35,[4]Información_Técnica!$F$7:$F$35),0)</f>
        <v>0</v>
      </c>
      <c r="J9" s="12">
        <f t="shared" si="2"/>
        <v>0</v>
      </c>
      <c r="K9" s="9">
        <v>0</v>
      </c>
      <c r="L9" s="9"/>
      <c r="M9" s="9">
        <v>8</v>
      </c>
      <c r="N9" s="11" t="s">
        <v>2677</v>
      </c>
      <c r="O9" s="11" t="str">
        <f>_xlfn.XLOOKUP(N9,Detalle_Unidades!F5:F551,Detalle_Unidades!A5:A551)</f>
        <v>HMIN</v>
      </c>
    </row>
    <row r="10" spans="1:17" x14ac:dyDescent="0.25">
      <c r="A10" s="11" t="s">
        <v>2683</v>
      </c>
      <c r="B10" s="11" t="s">
        <v>238</v>
      </c>
      <c r="C10" s="9">
        <v>0</v>
      </c>
      <c r="D10" s="9">
        <v>18</v>
      </c>
      <c r="E10" s="9">
        <f t="shared" si="0"/>
        <v>0</v>
      </c>
      <c r="F10" s="12">
        <f t="shared" si="1"/>
        <v>11.228945726762321</v>
      </c>
      <c r="G10" s="9" t="str">
        <f>_xlfn.XLOOKUP(N10,[3]Phidráulica!$A$10:$A$166,[3]Phidráulica!$J$10:$J$166)</f>
        <v>1,603</v>
      </c>
      <c r="H10" s="9">
        <v>0</v>
      </c>
      <c r="I10" s="12">
        <f>IFERROR(_xlfn.XLOOKUP(N10,[4]Información_Técnica!$A$7:$A$35,[4]Información_Técnica!$F$7:$F$35),0)</f>
        <v>0</v>
      </c>
      <c r="J10" s="12">
        <f t="shared" si="2"/>
        <v>0</v>
      </c>
      <c r="K10" s="9">
        <v>0</v>
      </c>
      <c r="L10" s="9"/>
      <c r="M10" s="9">
        <v>8</v>
      </c>
      <c r="N10" s="11" t="s">
        <v>2677</v>
      </c>
      <c r="O10" s="11" t="str">
        <f>_xlfn.XLOOKUP(N10,Detalle_Unidades!F6:F552,Detalle_Unidades!A6:A552)</f>
        <v>HMIN</v>
      </c>
    </row>
    <row r="11" spans="1:17" x14ac:dyDescent="0.25">
      <c r="A11" s="11" t="s">
        <v>2693</v>
      </c>
      <c r="B11" s="11" t="s">
        <v>238</v>
      </c>
      <c r="C11" s="9">
        <v>0</v>
      </c>
      <c r="D11" s="9">
        <v>45</v>
      </c>
      <c r="E11" s="9">
        <f t="shared" si="0"/>
        <v>0</v>
      </c>
      <c r="F11" s="12">
        <f t="shared" si="1"/>
        <v>9.7497562560935975</v>
      </c>
      <c r="G11" s="9" t="str">
        <f>_xlfn.XLOOKUP(N11,[3]Phidráulica!$A$10:$A$166,[3]Phidráulica!$J$10:$J$166)</f>
        <v>4,6155</v>
      </c>
      <c r="H11" s="9">
        <v>0</v>
      </c>
      <c r="I11" s="12">
        <f>IFERROR(_xlfn.XLOOKUP(N11,[4]Información_Técnica!$A$7:$A$35,[4]Información_Técnica!$F$7:$F$35),0)</f>
        <v>0</v>
      </c>
      <c r="J11" s="12">
        <f t="shared" si="2"/>
        <v>0</v>
      </c>
      <c r="K11" s="9">
        <v>0</v>
      </c>
      <c r="L11" s="9"/>
      <c r="M11" s="9">
        <v>0</v>
      </c>
      <c r="N11" s="11" t="s">
        <v>2692</v>
      </c>
      <c r="O11" s="15">
        <f>_xlfn.XLOOKUP(N11,Detalle_Unidades!F7:F553,Detalle_Unidades!A7:A553)</f>
        <v>0</v>
      </c>
    </row>
    <row r="12" spans="1:17" x14ac:dyDescent="0.25">
      <c r="A12" s="11" t="s">
        <v>2696</v>
      </c>
      <c r="B12" s="11" t="s">
        <v>238</v>
      </c>
      <c r="C12" s="9">
        <v>0</v>
      </c>
      <c r="D12" s="9">
        <v>45</v>
      </c>
      <c r="E12" s="9">
        <f t="shared" si="0"/>
        <v>0</v>
      </c>
      <c r="F12" s="12">
        <f t="shared" si="1"/>
        <v>9.7497562560935975</v>
      </c>
      <c r="G12" s="9" t="str">
        <f>_xlfn.XLOOKUP(N12,[3]Phidráulica!$A$10:$A$166,[3]Phidráulica!$J$10:$J$166)</f>
        <v>4,6155</v>
      </c>
      <c r="H12" s="9">
        <v>0</v>
      </c>
      <c r="I12" s="12">
        <f>IFERROR(_xlfn.XLOOKUP(N12,[4]Información_Técnica!$A$7:$A$35,[4]Información_Técnica!$F$7:$F$35),0)</f>
        <v>0</v>
      </c>
      <c r="J12" s="12">
        <f t="shared" si="2"/>
        <v>0</v>
      </c>
      <c r="K12" s="9">
        <v>0</v>
      </c>
      <c r="L12" s="9"/>
      <c r="M12" s="9">
        <v>0</v>
      </c>
      <c r="N12" s="11" t="s">
        <v>2692</v>
      </c>
      <c r="O12" s="15">
        <f>_xlfn.XLOOKUP(N12,Detalle_Unidades!F8:F554,Detalle_Unidades!A8:A554)</f>
        <v>0</v>
      </c>
    </row>
    <row r="13" spans="1:17" x14ac:dyDescent="0.25">
      <c r="A13" s="11" t="s">
        <v>2698</v>
      </c>
      <c r="B13" s="11" t="s">
        <v>238</v>
      </c>
      <c r="C13" s="9">
        <v>0</v>
      </c>
      <c r="D13" s="9">
        <v>45</v>
      </c>
      <c r="E13" s="9">
        <f t="shared" si="0"/>
        <v>0</v>
      </c>
      <c r="F13" s="12">
        <f t="shared" si="1"/>
        <v>9.7497562560935975</v>
      </c>
      <c r="G13" s="9" t="str">
        <f>_xlfn.XLOOKUP(N13,[3]Phidráulica!$A$10:$A$166,[3]Phidráulica!$J$10:$J$166)</f>
        <v>4,6155</v>
      </c>
      <c r="H13" s="9">
        <v>0</v>
      </c>
      <c r="I13" s="12">
        <f>IFERROR(_xlfn.XLOOKUP(N13,[4]Información_Técnica!$A$7:$A$35,[4]Información_Técnica!$F$7:$F$35),0)</f>
        <v>0</v>
      </c>
      <c r="J13" s="12">
        <f t="shared" si="2"/>
        <v>0</v>
      </c>
      <c r="K13" s="9">
        <v>0</v>
      </c>
      <c r="L13" s="9"/>
      <c r="M13" s="9">
        <v>0</v>
      </c>
      <c r="N13" s="11" t="s">
        <v>2692</v>
      </c>
      <c r="O13" s="15">
        <f>_xlfn.XLOOKUP(N13,Detalle_Unidades!F9:F555,Detalle_Unidades!A9:A555)</f>
        <v>0</v>
      </c>
    </row>
    <row r="14" spans="1:17" x14ac:dyDescent="0.25">
      <c r="A14" s="11" t="s">
        <v>2700</v>
      </c>
      <c r="B14" s="11" t="s">
        <v>238</v>
      </c>
      <c r="C14" s="9">
        <v>0</v>
      </c>
      <c r="D14" s="9">
        <v>45</v>
      </c>
      <c r="E14" s="9">
        <f t="shared" si="0"/>
        <v>0</v>
      </c>
      <c r="F14" s="12">
        <f t="shared" si="1"/>
        <v>9.7497562560935975</v>
      </c>
      <c r="G14" s="9" t="str">
        <f>_xlfn.XLOOKUP(N14,[3]Phidráulica!$A$10:$A$166,[3]Phidráulica!$J$10:$J$166)</f>
        <v>4,6155</v>
      </c>
      <c r="H14" s="9">
        <v>0</v>
      </c>
      <c r="I14" s="12">
        <f>IFERROR(_xlfn.XLOOKUP(N14,[4]Información_Técnica!$A$7:$A$35,[4]Información_Técnica!$F$7:$F$35),0)</f>
        <v>0</v>
      </c>
      <c r="J14" s="12">
        <f t="shared" si="2"/>
        <v>0</v>
      </c>
      <c r="K14" s="9">
        <v>0</v>
      </c>
      <c r="L14" s="9"/>
      <c r="M14" s="9">
        <v>0</v>
      </c>
      <c r="N14" s="11" t="s">
        <v>2692</v>
      </c>
      <c r="O14" s="15">
        <f>_xlfn.XLOOKUP(N14,Detalle_Unidades!F10:F556,Detalle_Unidades!A10:A556)</f>
        <v>0</v>
      </c>
    </row>
    <row r="15" spans="1:17" x14ac:dyDescent="0.25">
      <c r="A15" s="11" t="s">
        <v>2702</v>
      </c>
      <c r="B15" s="11" t="s">
        <v>238</v>
      </c>
      <c r="C15" s="9">
        <v>0</v>
      </c>
      <c r="D15" s="9">
        <v>45</v>
      </c>
      <c r="E15" s="9">
        <f t="shared" si="0"/>
        <v>0</v>
      </c>
      <c r="F15" s="12">
        <f t="shared" si="1"/>
        <v>9.7497562560935975</v>
      </c>
      <c r="G15" s="9" t="str">
        <f>_xlfn.XLOOKUP(N15,[3]Phidráulica!$A$10:$A$166,[3]Phidráulica!$J$10:$J$166)</f>
        <v>4,6155</v>
      </c>
      <c r="H15" s="9">
        <v>0</v>
      </c>
      <c r="I15" s="12">
        <f>IFERROR(_xlfn.XLOOKUP(N15,[4]Información_Técnica!$A$7:$A$35,[4]Información_Técnica!$F$7:$F$35),0)</f>
        <v>0</v>
      </c>
      <c r="J15" s="12">
        <f t="shared" si="2"/>
        <v>0</v>
      </c>
      <c r="K15" s="9">
        <v>0</v>
      </c>
      <c r="L15" s="9"/>
      <c r="M15" s="9">
        <v>0</v>
      </c>
      <c r="N15" s="11" t="s">
        <v>2692</v>
      </c>
      <c r="O15" s="15">
        <f>_xlfn.XLOOKUP(N15,Detalle_Unidades!F11:F557,Detalle_Unidades!A11:A557)</f>
        <v>0</v>
      </c>
    </row>
    <row r="16" spans="1:17" x14ac:dyDescent="0.25">
      <c r="A16" s="11" t="s">
        <v>2704</v>
      </c>
      <c r="B16" s="11" t="s">
        <v>238</v>
      </c>
      <c r="C16" s="9">
        <v>0</v>
      </c>
      <c r="D16" s="9">
        <v>45</v>
      </c>
      <c r="E16" s="9">
        <f t="shared" si="0"/>
        <v>0</v>
      </c>
      <c r="F16" s="12">
        <f t="shared" si="1"/>
        <v>9.7497562560935975</v>
      </c>
      <c r="G16" s="9" t="str">
        <f>_xlfn.XLOOKUP(N16,[3]Phidráulica!$A$10:$A$166,[3]Phidráulica!$J$10:$J$166)</f>
        <v>4,6155</v>
      </c>
      <c r="H16" s="9">
        <v>0</v>
      </c>
      <c r="I16" s="12">
        <f>IFERROR(_xlfn.XLOOKUP(N16,[4]Información_Técnica!$A$7:$A$35,[4]Información_Técnica!$F$7:$F$35),0)</f>
        <v>0</v>
      </c>
      <c r="J16" s="12">
        <f t="shared" si="2"/>
        <v>0</v>
      </c>
      <c r="K16" s="9">
        <v>0</v>
      </c>
      <c r="L16" s="9"/>
      <c r="M16" s="9">
        <v>0</v>
      </c>
      <c r="N16" s="11" t="s">
        <v>2692</v>
      </c>
      <c r="O16" s="15">
        <f>_xlfn.XLOOKUP(N16,Detalle_Unidades!F12:F558,Detalle_Unidades!A12:A558)</f>
        <v>0</v>
      </c>
    </row>
    <row r="17" spans="1:15" x14ac:dyDescent="0.25">
      <c r="A17" s="11" t="s">
        <v>2707</v>
      </c>
      <c r="B17" s="11" t="s">
        <v>238</v>
      </c>
      <c r="C17" s="9">
        <v>0</v>
      </c>
      <c r="D17" s="9">
        <v>75</v>
      </c>
      <c r="E17" s="9">
        <f t="shared" si="0"/>
        <v>0</v>
      </c>
      <c r="F17" s="12">
        <f t="shared" si="1"/>
        <v>20.546256472070787</v>
      </c>
      <c r="G17" s="9" t="str">
        <f>_xlfn.XLOOKUP(N17,[3]Phidráulica!$A$10:$A$166,[3]Phidráulica!$J$10:$J$166)</f>
        <v>3,6503</v>
      </c>
      <c r="H17" s="9">
        <v>0</v>
      </c>
      <c r="I17" s="12">
        <f>IFERROR(_xlfn.XLOOKUP(N17,[4]Información_Técnica!$A$7:$A$35,[4]Información_Técnica!$F$7:$F$35),0)</f>
        <v>0</v>
      </c>
      <c r="J17" s="12">
        <f t="shared" si="2"/>
        <v>0</v>
      </c>
      <c r="K17" s="9">
        <v>0</v>
      </c>
      <c r="L17" s="9"/>
      <c r="M17" s="9">
        <v>35</v>
      </c>
      <c r="N17" s="11" t="s">
        <v>2706</v>
      </c>
      <c r="O17" s="15">
        <f>_xlfn.XLOOKUP(N17,Detalle_Unidades!F13:F559,Detalle_Unidades!A13:A559)</f>
        <v>0</v>
      </c>
    </row>
    <row r="18" spans="1:15" x14ac:dyDescent="0.25">
      <c r="A18" s="11" t="s">
        <v>2710</v>
      </c>
      <c r="B18" s="11" t="s">
        <v>238</v>
      </c>
      <c r="C18" s="9">
        <v>0</v>
      </c>
      <c r="D18" s="9">
        <v>75</v>
      </c>
      <c r="E18" s="9">
        <f t="shared" si="0"/>
        <v>0</v>
      </c>
      <c r="F18" s="12">
        <f t="shared" si="1"/>
        <v>20.546256472070787</v>
      </c>
      <c r="G18" s="9" t="str">
        <f>_xlfn.XLOOKUP(N18,[3]Phidráulica!$A$10:$A$166,[3]Phidráulica!$J$10:$J$166)</f>
        <v>3,6503</v>
      </c>
      <c r="H18" s="9">
        <v>0</v>
      </c>
      <c r="I18" s="12">
        <f>IFERROR(_xlfn.XLOOKUP(N18,[4]Información_Técnica!$A$7:$A$35,[4]Información_Técnica!$F$7:$F$35),0)</f>
        <v>0</v>
      </c>
      <c r="J18" s="12">
        <f t="shared" si="2"/>
        <v>0</v>
      </c>
      <c r="K18" s="9">
        <v>0</v>
      </c>
      <c r="L18" s="9"/>
      <c r="M18" s="9">
        <v>35</v>
      </c>
      <c r="N18" s="11" t="s">
        <v>2706</v>
      </c>
      <c r="O18" s="15">
        <f>_xlfn.XLOOKUP(N18,Detalle_Unidades!F14:F560,Detalle_Unidades!A14:A560)</f>
        <v>0</v>
      </c>
    </row>
    <row r="19" spans="1:15" x14ac:dyDescent="0.25">
      <c r="A19" s="11" t="s">
        <v>2712</v>
      </c>
      <c r="B19" s="11" t="s">
        <v>238</v>
      </c>
      <c r="C19" s="9">
        <v>0</v>
      </c>
      <c r="D19" s="9">
        <v>75</v>
      </c>
      <c r="E19" s="9">
        <f t="shared" si="0"/>
        <v>0</v>
      </c>
      <c r="F19" s="12">
        <f t="shared" si="1"/>
        <v>20.546256472070787</v>
      </c>
      <c r="G19" s="9" t="str">
        <f>_xlfn.XLOOKUP(N19,[3]Phidráulica!$A$10:$A$166,[3]Phidráulica!$J$10:$J$166)</f>
        <v>3,6503</v>
      </c>
      <c r="H19" s="9">
        <v>0</v>
      </c>
      <c r="I19" s="12">
        <f>IFERROR(_xlfn.XLOOKUP(N19,[4]Información_Técnica!$A$7:$A$35,[4]Información_Técnica!$F$7:$F$35),0)</f>
        <v>0</v>
      </c>
      <c r="J19" s="12">
        <f t="shared" si="2"/>
        <v>0</v>
      </c>
      <c r="K19" s="9">
        <v>0</v>
      </c>
      <c r="L19" s="9"/>
      <c r="M19" s="9">
        <v>35</v>
      </c>
      <c r="N19" s="11" t="s">
        <v>2706</v>
      </c>
      <c r="O19" s="15">
        <f>_xlfn.XLOOKUP(N19,Detalle_Unidades!F15:F561,Detalle_Unidades!A15:A561)</f>
        <v>0</v>
      </c>
    </row>
    <row r="20" spans="1:15" x14ac:dyDescent="0.25">
      <c r="A20" s="11" t="s">
        <v>2716</v>
      </c>
      <c r="B20" s="11" t="s">
        <v>238</v>
      </c>
      <c r="C20" s="9">
        <v>0</v>
      </c>
      <c r="D20" s="9">
        <v>70</v>
      </c>
      <c r="E20" s="9">
        <f t="shared" si="0"/>
        <v>0</v>
      </c>
      <c r="F20" s="12">
        <f t="shared" si="1"/>
        <v>9.6975742210769855</v>
      </c>
      <c r="G20" s="9" t="str">
        <f>_xlfn.XLOOKUP(N20,[3]Phidráulica!$A$10:$A$166,[3]Phidráulica!$J$10:$J$166)</f>
        <v>7,2183</v>
      </c>
      <c r="H20" s="9">
        <v>0</v>
      </c>
      <c r="I20" s="12">
        <f>IFERROR(_xlfn.XLOOKUP(N20,[4]Información_Técnica!$A$7:$A$35,[4]Información_Técnica!$F$7:$F$35),0)</f>
        <v>0</v>
      </c>
      <c r="J20" s="12">
        <f t="shared" si="2"/>
        <v>0</v>
      </c>
      <c r="K20" s="9">
        <v>0</v>
      </c>
      <c r="L20" s="9"/>
      <c r="M20" s="9">
        <v>0</v>
      </c>
      <c r="N20" s="11" t="s">
        <v>2715</v>
      </c>
      <c r="O20" s="11" t="str">
        <f>_xlfn.XLOOKUP(N20,Detalle_Unidades!F16:F562,Detalle_Unidades!A16:A562)</f>
        <v>GTPE</v>
      </c>
    </row>
    <row r="21" spans="1:15" x14ac:dyDescent="0.25">
      <c r="A21" s="11" t="s">
        <v>2719</v>
      </c>
      <c r="B21" s="11" t="s">
        <v>238</v>
      </c>
      <c r="C21" s="9">
        <v>0</v>
      </c>
      <c r="D21" s="9">
        <v>70</v>
      </c>
      <c r="E21" s="9">
        <f t="shared" si="0"/>
        <v>0</v>
      </c>
      <c r="F21" s="12">
        <f t="shared" si="1"/>
        <v>9.6975742210769855</v>
      </c>
      <c r="G21" s="9" t="str">
        <f>_xlfn.XLOOKUP(N21,[3]Phidráulica!$A$10:$A$166,[3]Phidráulica!$J$10:$J$166)</f>
        <v>7,2183</v>
      </c>
      <c r="H21" s="9">
        <v>0</v>
      </c>
      <c r="I21" s="12">
        <f>IFERROR(_xlfn.XLOOKUP(N21,[4]Información_Técnica!$A$7:$A$35,[4]Información_Técnica!$F$7:$F$35),0)</f>
        <v>0</v>
      </c>
      <c r="J21" s="12">
        <f t="shared" si="2"/>
        <v>0</v>
      </c>
      <c r="K21" s="9">
        <v>0</v>
      </c>
      <c r="L21" s="9"/>
      <c r="M21" s="9">
        <v>0</v>
      </c>
      <c r="N21" s="11" t="s">
        <v>2715</v>
      </c>
      <c r="O21" s="11" t="str">
        <f>_xlfn.XLOOKUP(N21,Detalle_Unidades!F17:F563,Detalle_Unidades!A17:A563)</f>
        <v>GTPE</v>
      </c>
    </row>
    <row r="22" spans="1:15" x14ac:dyDescent="0.25">
      <c r="A22" s="11" t="s">
        <v>2721</v>
      </c>
      <c r="B22" s="11" t="s">
        <v>238</v>
      </c>
      <c r="C22" s="9">
        <v>0</v>
      </c>
      <c r="D22" s="9">
        <v>70</v>
      </c>
      <c r="E22" s="9">
        <f t="shared" si="0"/>
        <v>0</v>
      </c>
      <c r="F22" s="12">
        <f t="shared" si="1"/>
        <v>9.6975742210769855</v>
      </c>
      <c r="G22" s="9" t="str">
        <f>_xlfn.XLOOKUP(N22,[3]Phidráulica!$A$10:$A$166,[3]Phidráulica!$J$10:$J$166)</f>
        <v>7,2183</v>
      </c>
      <c r="H22" s="9">
        <v>0</v>
      </c>
      <c r="I22" s="12">
        <f>IFERROR(_xlfn.XLOOKUP(N22,[4]Información_Técnica!$A$7:$A$35,[4]Información_Técnica!$F$7:$F$35),0)</f>
        <v>0</v>
      </c>
      <c r="J22" s="12">
        <f t="shared" si="2"/>
        <v>0</v>
      </c>
      <c r="K22" s="9">
        <v>0</v>
      </c>
      <c r="L22" s="9"/>
      <c r="M22" s="9">
        <v>0</v>
      </c>
      <c r="N22" s="11" t="s">
        <v>2715</v>
      </c>
      <c r="O22" s="11" t="str">
        <f>_xlfn.XLOOKUP(N22,Detalle_Unidades!F18:F564,Detalle_Unidades!A18:A564)</f>
        <v>GTPE</v>
      </c>
    </row>
    <row r="23" spans="1:15" x14ac:dyDescent="0.25">
      <c r="A23" s="11" t="s">
        <v>2723</v>
      </c>
      <c r="B23" s="11" t="s">
        <v>238</v>
      </c>
      <c r="C23" s="9">
        <v>0</v>
      </c>
      <c r="D23" s="9">
        <v>70</v>
      </c>
      <c r="E23" s="9">
        <f t="shared" si="0"/>
        <v>0</v>
      </c>
      <c r="F23" s="12">
        <f t="shared" si="1"/>
        <v>9.6975742210769855</v>
      </c>
      <c r="G23" s="9" t="str">
        <f>_xlfn.XLOOKUP(N23,[3]Phidráulica!$A$10:$A$166,[3]Phidráulica!$J$10:$J$166)</f>
        <v>7,2183</v>
      </c>
      <c r="H23" s="9">
        <v>0</v>
      </c>
      <c r="I23" s="12">
        <f>IFERROR(_xlfn.XLOOKUP(N23,[4]Información_Técnica!$A$7:$A$35,[4]Información_Técnica!$F$7:$F$35),0)</f>
        <v>0</v>
      </c>
      <c r="J23" s="12">
        <f t="shared" si="2"/>
        <v>0</v>
      </c>
      <c r="K23" s="9">
        <v>0</v>
      </c>
      <c r="L23" s="9"/>
      <c r="M23" s="9">
        <v>0</v>
      </c>
      <c r="N23" s="11" t="s">
        <v>2715</v>
      </c>
      <c r="O23" s="11" t="str">
        <f>_xlfn.XLOOKUP(N23,Detalle_Unidades!F19:F565,Detalle_Unidades!A19:A565)</f>
        <v>GTPE</v>
      </c>
    </row>
    <row r="24" spans="1:15" x14ac:dyDescent="0.25">
      <c r="A24" s="11" t="s">
        <v>2725</v>
      </c>
      <c r="B24" s="11" t="s">
        <v>238</v>
      </c>
      <c r="C24" s="9">
        <v>0</v>
      </c>
      <c r="D24" s="9">
        <v>70</v>
      </c>
      <c r="E24" s="9">
        <f t="shared" si="0"/>
        <v>0</v>
      </c>
      <c r="F24" s="12">
        <f t="shared" si="1"/>
        <v>9.6975742210769855</v>
      </c>
      <c r="G24" s="9" t="str">
        <f>_xlfn.XLOOKUP(N24,[3]Phidráulica!$A$10:$A$166,[3]Phidráulica!$J$10:$J$166)</f>
        <v>7,2183</v>
      </c>
      <c r="H24" s="9">
        <v>0</v>
      </c>
      <c r="I24" s="12">
        <f>IFERROR(_xlfn.XLOOKUP(N24,[4]Información_Técnica!$A$7:$A$35,[4]Información_Técnica!$F$7:$F$35),0)</f>
        <v>0</v>
      </c>
      <c r="J24" s="12">
        <f t="shared" si="2"/>
        <v>0</v>
      </c>
      <c r="K24" s="9">
        <v>0</v>
      </c>
      <c r="M24" s="9">
        <v>0</v>
      </c>
      <c r="N24" s="11" t="s">
        <v>2715</v>
      </c>
      <c r="O24" s="11" t="str">
        <f>_xlfn.XLOOKUP(N24,Detalle_Unidades!F20:F566,Detalle_Unidades!A20:A566)</f>
        <v>GTPE</v>
      </c>
    </row>
    <row r="25" spans="1:15" x14ac:dyDescent="0.25">
      <c r="A25" s="11" t="s">
        <v>2727</v>
      </c>
      <c r="B25" s="11" t="s">
        <v>238</v>
      </c>
      <c r="C25" s="9">
        <v>0</v>
      </c>
      <c r="D25" s="9">
        <v>70</v>
      </c>
      <c r="E25" s="9">
        <f t="shared" si="0"/>
        <v>0</v>
      </c>
      <c r="F25" s="12">
        <f t="shared" si="1"/>
        <v>9.6975742210769855</v>
      </c>
      <c r="G25" s="9" t="str">
        <f>_xlfn.XLOOKUP(N25,[3]Phidráulica!$A$10:$A$166,[3]Phidráulica!$J$10:$J$166)</f>
        <v>7,2183</v>
      </c>
      <c r="H25" s="9">
        <v>0</v>
      </c>
      <c r="I25" s="12">
        <f>IFERROR(_xlfn.XLOOKUP(N25,[4]Información_Técnica!$A$7:$A$35,[4]Información_Técnica!$F$7:$F$35),0)</f>
        <v>0</v>
      </c>
      <c r="J25" s="12">
        <f t="shared" si="2"/>
        <v>0</v>
      </c>
      <c r="K25" s="9">
        <v>0</v>
      </c>
      <c r="M25" s="9">
        <v>0</v>
      </c>
      <c r="N25" s="11" t="s">
        <v>2715</v>
      </c>
      <c r="O25" s="11" t="str">
        <f>_xlfn.XLOOKUP(N25,Detalle_Unidades!F21:F567,Detalle_Unidades!A21:A567)</f>
        <v>GTPE</v>
      </c>
    </row>
    <row r="26" spans="1:15" x14ac:dyDescent="0.25">
      <c r="A26" s="11" t="s">
        <v>2729</v>
      </c>
      <c r="B26" s="11" t="s">
        <v>238</v>
      </c>
      <c r="C26" s="9">
        <v>0</v>
      </c>
      <c r="D26" s="9">
        <v>70</v>
      </c>
      <c r="E26" s="9">
        <f t="shared" si="0"/>
        <v>0</v>
      </c>
      <c r="F26" s="12">
        <f t="shared" si="1"/>
        <v>9.6975742210769855</v>
      </c>
      <c r="G26" s="9" t="str">
        <f>_xlfn.XLOOKUP(N26,[3]Phidráulica!$A$10:$A$166,[3]Phidráulica!$J$10:$J$166)</f>
        <v>7,2183</v>
      </c>
      <c r="H26" s="9">
        <v>0</v>
      </c>
      <c r="I26" s="12">
        <f>IFERROR(_xlfn.XLOOKUP(N26,[4]Información_Técnica!$A$7:$A$35,[4]Información_Técnica!$F$7:$F$35),0)</f>
        <v>0</v>
      </c>
      <c r="J26" s="12">
        <f t="shared" si="2"/>
        <v>0</v>
      </c>
      <c r="K26" s="9">
        <v>0</v>
      </c>
      <c r="M26" s="9">
        <v>0</v>
      </c>
      <c r="N26" s="11" t="s">
        <v>2715</v>
      </c>
      <c r="O26" s="11" t="str">
        <f>_xlfn.XLOOKUP(N26,Detalle_Unidades!F22:F568,Detalle_Unidades!A22:A568)</f>
        <v>GTPE</v>
      </c>
    </row>
    <row r="27" spans="1:15" x14ac:dyDescent="0.25">
      <c r="A27" s="11" t="s">
        <v>2731</v>
      </c>
      <c r="B27" s="11" t="s">
        <v>238</v>
      </c>
      <c r="C27" s="9">
        <v>0</v>
      </c>
      <c r="D27" s="9">
        <v>70</v>
      </c>
      <c r="E27" s="9">
        <f t="shared" si="0"/>
        <v>0</v>
      </c>
      <c r="F27" s="12">
        <f t="shared" si="1"/>
        <v>9.6975742210769855</v>
      </c>
      <c r="G27" s="9" t="str">
        <f>_xlfn.XLOOKUP(N27,[3]Phidráulica!$A$10:$A$166,[3]Phidráulica!$J$10:$J$166)</f>
        <v>7,2183</v>
      </c>
      <c r="H27" s="9">
        <v>0</v>
      </c>
      <c r="I27" s="12">
        <f>IFERROR(_xlfn.XLOOKUP(N27,[4]Información_Técnica!$A$7:$A$35,[4]Información_Técnica!$F$7:$F$35),0)</f>
        <v>0</v>
      </c>
      <c r="J27" s="12">
        <f t="shared" si="2"/>
        <v>0</v>
      </c>
      <c r="K27" s="9">
        <v>0</v>
      </c>
      <c r="M27" s="9">
        <v>0</v>
      </c>
      <c r="N27" s="11" t="s">
        <v>2715</v>
      </c>
      <c r="O27" s="11" t="str">
        <f>_xlfn.XLOOKUP(N27,Detalle_Unidades!F23:F569,Detalle_Unidades!A23:A569)</f>
        <v>GTPE</v>
      </c>
    </row>
    <row r="28" spans="1:15" x14ac:dyDescent="0.25">
      <c r="A28" s="11" t="s">
        <v>2748</v>
      </c>
      <c r="B28" s="11" t="s">
        <v>238</v>
      </c>
      <c r="C28" s="9">
        <v>0</v>
      </c>
      <c r="D28" s="9">
        <v>300</v>
      </c>
      <c r="E28" s="9">
        <f t="shared" si="0"/>
        <v>0</v>
      </c>
      <c r="F28" s="12">
        <f t="shared" si="1"/>
        <v>173.79214459506431</v>
      </c>
      <c r="G28" s="9" t="str">
        <f>_xlfn.XLOOKUP(N28,[3]Phidráulica!$A$10:$A$166,[3]Phidráulica!$J$10:$J$166)</f>
        <v>1,7262</v>
      </c>
      <c r="H28" s="9">
        <v>0</v>
      </c>
      <c r="I28" s="12" t="str">
        <f>IFERROR(_xlfn.XLOOKUP(N28,[4]Información_Técnica!$A$7:$A$35,[4]Información_Técnica!$F$7:$F$35),0)</f>
        <v>1.299</v>
      </c>
      <c r="J28" s="12">
        <f t="shared" si="2"/>
        <v>1299</v>
      </c>
      <c r="K28" s="9">
        <v>0</v>
      </c>
      <c r="M28" s="9">
        <v>154</v>
      </c>
      <c r="N28" s="11" t="s">
        <v>2747</v>
      </c>
      <c r="O28" s="11" t="str">
        <f>_xlfn.XLOOKUP(N28,Detalle_Unidades!F24:F570,Detalle_Unidades!A24:A570)</f>
        <v>PES1</v>
      </c>
    </row>
    <row r="29" spans="1:15" x14ac:dyDescent="0.25">
      <c r="A29" s="11" t="s">
        <v>2751</v>
      </c>
      <c r="B29" s="11" t="s">
        <v>238</v>
      </c>
      <c r="C29" s="9">
        <v>0</v>
      </c>
      <c r="D29" s="9">
        <v>300</v>
      </c>
      <c r="E29" s="9">
        <f t="shared" si="0"/>
        <v>0</v>
      </c>
      <c r="F29" s="12">
        <f t="shared" si="1"/>
        <v>173.79214459506431</v>
      </c>
      <c r="G29" s="9" t="str">
        <f>_xlfn.XLOOKUP(N29,[3]Phidráulica!$A$10:$A$166,[3]Phidráulica!$J$10:$J$166)</f>
        <v>1,7262</v>
      </c>
      <c r="H29" s="9">
        <v>0</v>
      </c>
      <c r="I29" s="12" t="str">
        <f>IFERROR(_xlfn.XLOOKUP(N29,[4]Información_Técnica!$A$7:$A$35,[4]Información_Técnica!$F$7:$F$35),0)</f>
        <v>1.299</v>
      </c>
      <c r="J29" s="12">
        <f t="shared" si="2"/>
        <v>1299</v>
      </c>
      <c r="K29" s="9">
        <v>0</v>
      </c>
      <c r="M29" s="9">
        <v>154</v>
      </c>
      <c r="N29" s="11" t="s">
        <v>2747</v>
      </c>
      <c r="O29" s="11" t="str">
        <f>_xlfn.XLOOKUP(N29,Detalle_Unidades!F25:F571,Detalle_Unidades!A25:A571)</f>
        <v>PES1</v>
      </c>
    </row>
    <row r="30" spans="1:15" x14ac:dyDescent="0.25">
      <c r="A30" s="11" t="s">
        <v>2753</v>
      </c>
      <c r="B30" s="11" t="s">
        <v>238</v>
      </c>
      <c r="C30" s="9">
        <v>0</v>
      </c>
      <c r="D30" s="9">
        <v>300</v>
      </c>
      <c r="E30" s="9">
        <f t="shared" si="0"/>
        <v>0</v>
      </c>
      <c r="F30" s="12">
        <f t="shared" si="1"/>
        <v>173.79214459506431</v>
      </c>
      <c r="G30" s="9" t="str">
        <f>_xlfn.XLOOKUP(N30,[3]Phidráulica!$A$10:$A$166,[3]Phidráulica!$J$10:$J$166)</f>
        <v>1,7262</v>
      </c>
      <c r="H30" s="9">
        <v>0</v>
      </c>
      <c r="I30" s="12" t="str">
        <f>IFERROR(_xlfn.XLOOKUP(N30,[4]Información_Técnica!$A$7:$A$35,[4]Información_Técnica!$F$7:$F$35),0)</f>
        <v>1.299</v>
      </c>
      <c r="J30" s="12">
        <f t="shared" si="2"/>
        <v>1299</v>
      </c>
      <c r="K30" s="9">
        <v>0</v>
      </c>
      <c r="M30" s="9">
        <v>154</v>
      </c>
      <c r="N30" s="11" t="s">
        <v>2747</v>
      </c>
      <c r="O30" s="11" t="str">
        <f>_xlfn.XLOOKUP(N30,Detalle_Unidades!F26:F572,Detalle_Unidades!A26:A572)</f>
        <v>PES1</v>
      </c>
    </row>
    <row r="31" spans="1:15" x14ac:dyDescent="0.25">
      <c r="A31" s="11" t="s">
        <v>2755</v>
      </c>
      <c r="B31" s="11" t="s">
        <v>238</v>
      </c>
      <c r="C31" s="9">
        <v>0</v>
      </c>
      <c r="D31" s="9">
        <v>300</v>
      </c>
      <c r="E31" s="9">
        <f t="shared" si="0"/>
        <v>0</v>
      </c>
      <c r="F31" s="12">
        <f t="shared" si="1"/>
        <v>173.79214459506431</v>
      </c>
      <c r="G31" s="9" t="str">
        <f>_xlfn.XLOOKUP(N31,[3]Phidráulica!$A$10:$A$166,[3]Phidráulica!$J$10:$J$166)</f>
        <v>1,7262</v>
      </c>
      <c r="H31" s="9">
        <v>0</v>
      </c>
      <c r="I31" s="12" t="str">
        <f>IFERROR(_xlfn.XLOOKUP(N31,[4]Información_Técnica!$A$7:$A$35,[4]Información_Técnica!$F$7:$F$35),0)</f>
        <v>1.299</v>
      </c>
      <c r="J31" s="12">
        <f t="shared" si="2"/>
        <v>1299</v>
      </c>
      <c r="K31" s="9">
        <v>0</v>
      </c>
      <c r="M31" s="9">
        <v>154</v>
      </c>
      <c r="N31" s="11" t="s">
        <v>2747</v>
      </c>
      <c r="O31" s="11" t="str">
        <f>_xlfn.XLOOKUP(N31,Detalle_Unidades!F27:F573,Detalle_Unidades!A27:A573)</f>
        <v>PES1</v>
      </c>
    </row>
    <row r="32" spans="1:15" x14ac:dyDescent="0.25">
      <c r="A32" s="11" t="s">
        <v>2759</v>
      </c>
      <c r="B32" s="11" t="s">
        <v>238</v>
      </c>
      <c r="C32" s="9">
        <v>0</v>
      </c>
      <c r="D32" s="9">
        <v>85</v>
      </c>
      <c r="E32" s="9">
        <f t="shared" si="0"/>
        <v>0</v>
      </c>
      <c r="F32" s="12">
        <f t="shared" si="1"/>
        <v>36.030689669789325</v>
      </c>
      <c r="G32" s="9" t="str">
        <f>_xlfn.XLOOKUP(N32,[3]Phidráulica!$A$10:$A$166,[3]Phidráulica!$J$10:$J$166)</f>
        <v>2,3591</v>
      </c>
      <c r="H32" s="9">
        <v>0</v>
      </c>
      <c r="I32" s="12">
        <f>IFERROR(_xlfn.XLOOKUP(N32,[4]Información_Técnica!$A$7:$A$35,[4]Información_Técnica!$F$7:$F$35),0)</f>
        <v>0</v>
      </c>
      <c r="J32" s="12">
        <f t="shared" si="2"/>
        <v>0</v>
      </c>
      <c r="K32" s="9">
        <v>0</v>
      </c>
      <c r="M32" s="9">
        <v>15</v>
      </c>
      <c r="N32" s="11" t="s">
        <v>2758</v>
      </c>
      <c r="O32" s="11" t="str">
        <f>_xlfn.XLOOKUP(N32,Detalle_Unidades!F28:F574,Detalle_Unidades!A28:A574)</f>
        <v>JAGS</v>
      </c>
    </row>
    <row r="33" spans="1:15" x14ac:dyDescent="0.25">
      <c r="A33" s="11" t="s">
        <v>2762</v>
      </c>
      <c r="B33" s="11" t="s">
        <v>238</v>
      </c>
      <c r="C33" s="9">
        <v>0</v>
      </c>
      <c r="D33" s="9">
        <v>85</v>
      </c>
      <c r="E33" s="9">
        <f t="shared" si="0"/>
        <v>0</v>
      </c>
      <c r="F33" s="12">
        <f t="shared" si="1"/>
        <v>36.030689669789325</v>
      </c>
      <c r="G33" s="9" t="str">
        <f>_xlfn.XLOOKUP(N33,[3]Phidráulica!$A$10:$A$166,[3]Phidráulica!$J$10:$J$166)</f>
        <v>2,3591</v>
      </c>
      <c r="H33" s="9">
        <v>0</v>
      </c>
      <c r="I33" s="12">
        <f>IFERROR(_xlfn.XLOOKUP(N33,[4]Información_Técnica!$A$7:$A$35,[4]Información_Técnica!$F$7:$F$35),0)</f>
        <v>0</v>
      </c>
      <c r="J33" s="12">
        <f t="shared" si="2"/>
        <v>0</v>
      </c>
      <c r="K33" s="9">
        <v>0</v>
      </c>
      <c r="M33" s="9">
        <v>15</v>
      </c>
      <c r="N33" s="11" t="s">
        <v>2758</v>
      </c>
      <c r="O33" s="11" t="str">
        <f>_xlfn.XLOOKUP(N33,Detalle_Unidades!F29:F575,Detalle_Unidades!A29:A575)</f>
        <v>JAGS</v>
      </c>
    </row>
    <row r="34" spans="1:15" x14ac:dyDescent="0.25">
      <c r="A34" s="11" t="s">
        <v>2773</v>
      </c>
      <c r="B34" s="11" t="s">
        <v>238</v>
      </c>
      <c r="C34" s="9">
        <v>0</v>
      </c>
      <c r="D34" s="9">
        <v>102</v>
      </c>
      <c r="E34" s="9">
        <f t="shared" si="0"/>
        <v>0</v>
      </c>
      <c r="F34" s="12">
        <f t="shared" si="1"/>
        <v>13.051656408747169</v>
      </c>
      <c r="G34" s="9" t="str">
        <f>_xlfn.XLOOKUP(N34,[3]Phidráulica!$A$10:$A$166,[3]Phidráulica!$J$10:$J$166)</f>
        <v>7,8151</v>
      </c>
      <c r="H34" s="9">
        <v>0</v>
      </c>
      <c r="I34" s="12">
        <f>IFERROR(_xlfn.XLOOKUP(N34,[4]Información_Técnica!$A$7:$A$35,[4]Información_Técnica!$F$7:$F$35),0)</f>
        <v>0</v>
      </c>
      <c r="J34" s="12">
        <f t="shared" si="2"/>
        <v>0</v>
      </c>
      <c r="K34" s="9">
        <v>0</v>
      </c>
      <c r="M34" s="9">
        <v>0</v>
      </c>
      <c r="N34" s="11" t="s">
        <v>2772</v>
      </c>
      <c r="O34" s="11" t="str">
        <f>_xlfn.XLOOKUP(N34,Detalle_Unidades!F30:F576,Detalle_Unidades!A30:A576)</f>
        <v>LTSJ</v>
      </c>
    </row>
    <row r="35" spans="1:15" x14ac:dyDescent="0.25">
      <c r="A35" s="11" t="s">
        <v>2776</v>
      </c>
      <c r="B35" s="11" t="s">
        <v>238</v>
      </c>
      <c r="C35" s="9">
        <v>0</v>
      </c>
      <c r="D35" s="9">
        <v>102</v>
      </c>
      <c r="E35" s="9">
        <f t="shared" si="0"/>
        <v>0</v>
      </c>
      <c r="F35" s="12">
        <f t="shared" si="1"/>
        <v>13.051656408747169</v>
      </c>
      <c r="G35" s="9" t="str">
        <f>_xlfn.XLOOKUP(N35,[3]Phidráulica!$A$10:$A$166,[3]Phidráulica!$J$10:$J$166)</f>
        <v>7,8151</v>
      </c>
      <c r="H35" s="9">
        <v>0</v>
      </c>
      <c r="I35" s="12">
        <f>IFERROR(_xlfn.XLOOKUP(N35,[4]Información_Técnica!$A$7:$A$35,[4]Información_Técnica!$F$7:$F$35),0)</f>
        <v>0</v>
      </c>
      <c r="J35" s="12">
        <f t="shared" si="2"/>
        <v>0</v>
      </c>
      <c r="K35" s="9">
        <v>0</v>
      </c>
      <c r="M35" s="9">
        <v>0</v>
      </c>
      <c r="N35" s="11" t="s">
        <v>2772</v>
      </c>
      <c r="O35" s="11" t="str">
        <f>_xlfn.XLOOKUP(N35,Detalle_Unidades!F31:F577,Detalle_Unidades!A31:A577)</f>
        <v>LTSJ</v>
      </c>
    </row>
    <row r="36" spans="1:15" x14ac:dyDescent="0.25">
      <c r="A36" s="11" t="s">
        <v>2778</v>
      </c>
      <c r="B36" s="11" t="s">
        <v>238</v>
      </c>
      <c r="C36" s="9">
        <v>0</v>
      </c>
      <c r="D36" s="9">
        <v>102</v>
      </c>
      <c r="E36" s="9">
        <f t="shared" si="0"/>
        <v>0</v>
      </c>
      <c r="F36" s="12">
        <f t="shared" si="1"/>
        <v>13.051656408747169</v>
      </c>
      <c r="G36" s="9" t="str">
        <f>_xlfn.XLOOKUP(N36,[3]Phidráulica!$A$10:$A$166,[3]Phidráulica!$J$10:$J$166)</f>
        <v>7,8151</v>
      </c>
      <c r="H36" s="9">
        <v>0</v>
      </c>
      <c r="I36" s="12">
        <f>IFERROR(_xlfn.XLOOKUP(N36,[4]Información_Técnica!$A$7:$A$35,[4]Información_Técnica!$F$7:$F$35),0)</f>
        <v>0</v>
      </c>
      <c r="J36" s="12">
        <f t="shared" si="2"/>
        <v>0</v>
      </c>
      <c r="K36" s="9">
        <v>0</v>
      </c>
      <c r="M36" s="9">
        <v>0</v>
      </c>
      <c r="N36" s="11" t="s">
        <v>2772</v>
      </c>
      <c r="O36" s="11" t="str">
        <f>_xlfn.XLOOKUP(N36,Detalle_Unidades!F32:F578,Detalle_Unidades!A32:A578)</f>
        <v>LTSJ</v>
      </c>
    </row>
    <row r="37" spans="1:15" x14ac:dyDescent="0.25">
      <c r="A37" s="11" t="s">
        <v>2798</v>
      </c>
      <c r="B37" s="11" t="s">
        <v>238</v>
      </c>
      <c r="C37" s="9">
        <v>0</v>
      </c>
      <c r="D37" s="9">
        <v>69</v>
      </c>
      <c r="E37" s="9">
        <f t="shared" si="0"/>
        <v>0</v>
      </c>
      <c r="F37" s="12">
        <f t="shared" si="1"/>
        <v>39.870565121923036</v>
      </c>
      <c r="G37" s="9" t="str">
        <f>_xlfn.XLOOKUP(N37,[3]Phidráulica!$A$10:$A$166,[3]Phidráulica!$J$10:$J$166)</f>
        <v>1,7306</v>
      </c>
      <c r="H37" s="9">
        <v>0</v>
      </c>
      <c r="I37" s="12" t="str">
        <f>IFERROR(_xlfn.XLOOKUP(N37,[4]Información_Técnica!$A$7:$A$35,[4]Información_Técnica!$F$7:$F$35),0)</f>
        <v>19,57</v>
      </c>
      <c r="J37" s="12">
        <f t="shared" si="2"/>
        <v>19.57</v>
      </c>
      <c r="K37" s="9">
        <v>0</v>
      </c>
      <c r="M37" s="9">
        <v>49</v>
      </c>
      <c r="N37" s="11" t="s">
        <v>2797</v>
      </c>
      <c r="O37" s="11" t="str">
        <f>_xlfn.XLOOKUP(N37,Detalle_Unidades!F33:F579,Detalle_Unidades!A33:A579)</f>
        <v>PLYS</v>
      </c>
    </row>
    <row r="38" spans="1:15" x14ac:dyDescent="0.25">
      <c r="A38" s="11" t="s">
        <v>2801</v>
      </c>
      <c r="B38" s="11" t="s">
        <v>238</v>
      </c>
      <c r="C38" s="9">
        <v>0</v>
      </c>
      <c r="D38" s="9">
        <v>69</v>
      </c>
      <c r="E38" s="9">
        <f t="shared" si="0"/>
        <v>0</v>
      </c>
      <c r="F38" s="12">
        <f t="shared" si="1"/>
        <v>39.870565121923036</v>
      </c>
      <c r="G38" s="9" t="str">
        <f>_xlfn.XLOOKUP(N38,[3]Phidráulica!$A$10:$A$166,[3]Phidráulica!$J$10:$J$166)</f>
        <v>1,7306</v>
      </c>
      <c r="H38" s="9">
        <v>0</v>
      </c>
      <c r="I38" s="12" t="str">
        <f>IFERROR(_xlfn.XLOOKUP(N38,[4]Información_Técnica!$A$7:$A$35,[4]Información_Técnica!$F$7:$F$35),0)</f>
        <v>19,57</v>
      </c>
      <c r="J38" s="12">
        <f t="shared" si="2"/>
        <v>19.57</v>
      </c>
      <c r="K38" s="9">
        <v>0</v>
      </c>
      <c r="M38" s="9">
        <v>49</v>
      </c>
      <c r="N38" s="11" t="s">
        <v>2797</v>
      </c>
      <c r="O38" s="11" t="str">
        <f>_xlfn.XLOOKUP(N38,Detalle_Unidades!F34:F580,Detalle_Unidades!A34:A580)</f>
        <v>PLYS</v>
      </c>
    </row>
    <row r="39" spans="1:15" x14ac:dyDescent="0.25">
      <c r="A39" s="11" t="s">
        <v>2803</v>
      </c>
      <c r="B39" s="11" t="s">
        <v>238</v>
      </c>
      <c r="C39" s="9">
        <v>0</v>
      </c>
      <c r="D39" s="9">
        <v>69</v>
      </c>
      <c r="E39" s="9">
        <f t="shared" si="0"/>
        <v>0</v>
      </c>
      <c r="F39" s="12">
        <f t="shared" si="1"/>
        <v>39.870565121923036</v>
      </c>
      <c r="G39" s="9" t="str">
        <f>_xlfn.XLOOKUP(N39,[3]Phidráulica!$A$10:$A$166,[3]Phidráulica!$J$10:$J$166)</f>
        <v>1,7306</v>
      </c>
      <c r="H39" s="9">
        <v>0</v>
      </c>
      <c r="I39" s="12" t="str">
        <f>IFERROR(_xlfn.XLOOKUP(N39,[4]Información_Técnica!$A$7:$A$35,[4]Información_Técnica!$F$7:$F$35),0)</f>
        <v>19,57</v>
      </c>
      <c r="J39" s="12">
        <f t="shared" si="2"/>
        <v>19.57</v>
      </c>
      <c r="K39" s="9">
        <v>0</v>
      </c>
      <c r="M39" s="9">
        <v>49</v>
      </c>
      <c r="N39" s="11" t="s">
        <v>2797</v>
      </c>
      <c r="O39" s="11" t="str">
        <f>_xlfn.XLOOKUP(N39,Detalle_Unidades!F35:F581,Detalle_Unidades!A35:A581)</f>
        <v>PLYS</v>
      </c>
    </row>
    <row r="40" spans="1:15" x14ac:dyDescent="0.25">
      <c r="A40" s="11" t="s">
        <v>2807</v>
      </c>
      <c r="B40" s="11" t="s">
        <v>238</v>
      </c>
      <c r="C40" s="9">
        <v>0</v>
      </c>
      <c r="D40" s="9">
        <v>135</v>
      </c>
      <c r="E40" s="9">
        <f t="shared" si="0"/>
        <v>0</v>
      </c>
      <c r="F40" s="12">
        <f t="shared" si="1"/>
        <v>62.989921612541984</v>
      </c>
      <c r="G40" s="9" t="str">
        <f>_xlfn.XLOOKUP(N40,[3]Phidráulica!$A$10:$A$166,[3]Phidráulica!$J$10:$J$166)</f>
        <v>2,1432</v>
      </c>
      <c r="H40" s="9">
        <v>0</v>
      </c>
      <c r="I40" s="12" t="str">
        <f>IFERROR(_xlfn.XLOOKUP(N40,[4]Información_Técnica!$A$7:$A$35,[4]Información_Técnica!$F$7:$F$35),0)</f>
        <v>38,79</v>
      </c>
      <c r="J40" s="12">
        <f t="shared" si="2"/>
        <v>38.79</v>
      </c>
      <c r="K40" s="9">
        <v>0</v>
      </c>
      <c r="M40" s="9">
        <v>75</v>
      </c>
      <c r="N40" s="11" t="s">
        <v>2806</v>
      </c>
      <c r="O40" s="11" t="str">
        <f>_xlfn.XLOOKUP(N40,Detalle_Unidades!F36:F582,Detalle_Unidades!A36:A582)</f>
        <v>PRC2</v>
      </c>
    </row>
    <row r="41" spans="1:15" x14ac:dyDescent="0.25">
      <c r="A41" s="11" t="s">
        <v>2810</v>
      </c>
      <c r="B41" s="11" t="s">
        <v>238</v>
      </c>
      <c r="C41" s="9">
        <v>0</v>
      </c>
      <c r="D41" s="9">
        <v>135</v>
      </c>
      <c r="E41" s="9">
        <f t="shared" si="0"/>
        <v>0</v>
      </c>
      <c r="F41" s="12">
        <f t="shared" si="1"/>
        <v>62.989921612541984</v>
      </c>
      <c r="G41" s="9" t="str">
        <f>_xlfn.XLOOKUP(N41,[3]Phidráulica!$A$10:$A$166,[3]Phidráulica!$J$10:$J$166)</f>
        <v>2,1432</v>
      </c>
      <c r="H41" s="9">
        <v>0</v>
      </c>
      <c r="I41" s="12" t="str">
        <f>IFERROR(_xlfn.XLOOKUP(N41,[4]Información_Técnica!$A$7:$A$35,[4]Información_Técnica!$F$7:$F$35),0)</f>
        <v>38,79</v>
      </c>
      <c r="J41" s="12">
        <f t="shared" si="2"/>
        <v>38.79</v>
      </c>
      <c r="K41" s="9">
        <v>0</v>
      </c>
      <c r="M41" s="9">
        <v>75</v>
      </c>
      <c r="N41" s="11" t="s">
        <v>2806</v>
      </c>
      <c r="O41" s="11" t="str">
        <f>_xlfn.XLOOKUP(N41,Detalle_Unidades!F37:F583,Detalle_Unidades!A37:A583)</f>
        <v>PRC2</v>
      </c>
    </row>
    <row r="42" spans="1:15" x14ac:dyDescent="0.25">
      <c r="A42" s="11" t="s">
        <v>2812</v>
      </c>
      <c r="B42" s="11" t="s">
        <v>238</v>
      </c>
      <c r="C42" s="9">
        <v>0</v>
      </c>
      <c r="D42" s="9">
        <v>135</v>
      </c>
      <c r="E42" s="9">
        <f t="shared" si="0"/>
        <v>0</v>
      </c>
      <c r="F42" s="12">
        <f t="shared" si="1"/>
        <v>62.989921612541984</v>
      </c>
      <c r="G42" s="9" t="str">
        <f>_xlfn.XLOOKUP(N42,[3]Phidráulica!$A$10:$A$166,[3]Phidráulica!$J$10:$J$166)</f>
        <v>2,1432</v>
      </c>
      <c r="H42" s="9">
        <v>0</v>
      </c>
      <c r="I42" s="12" t="str">
        <f>IFERROR(_xlfn.XLOOKUP(N42,[4]Información_Técnica!$A$7:$A$35,[4]Información_Técnica!$F$7:$F$35),0)</f>
        <v>38,79</v>
      </c>
      <c r="J42" s="12">
        <f t="shared" si="2"/>
        <v>38.79</v>
      </c>
      <c r="K42" s="9">
        <v>0</v>
      </c>
      <c r="M42" s="9">
        <v>75</v>
      </c>
      <c r="N42" s="11" t="s">
        <v>2806</v>
      </c>
      <c r="O42" s="11" t="str">
        <f>_xlfn.XLOOKUP(N42,Detalle_Unidades!F38:F584,Detalle_Unidades!A38:A584)</f>
        <v>PRC2</v>
      </c>
    </row>
    <row r="43" spans="1:15" x14ac:dyDescent="0.25">
      <c r="A43" s="11" t="s">
        <v>2816</v>
      </c>
      <c r="B43" s="11" t="s">
        <v>238</v>
      </c>
      <c r="C43" s="9">
        <v>0</v>
      </c>
      <c r="D43" s="9">
        <v>180</v>
      </c>
      <c r="E43" s="9">
        <f t="shared" si="0"/>
        <v>0</v>
      </c>
      <c r="F43" s="12">
        <f t="shared" si="1"/>
        <v>58.810076126376316</v>
      </c>
      <c r="G43" s="9" t="str">
        <f>_xlfn.XLOOKUP(N43,[3]Phidráulica!$A$10:$A$166,[3]Phidráulica!$J$10:$J$166)</f>
        <v>3,0607</v>
      </c>
      <c r="H43" s="9">
        <v>0</v>
      </c>
      <c r="I43" s="12" t="str">
        <f>IFERROR(_xlfn.XLOOKUP(N43,[4]Información_Técnica!$A$7:$A$35,[4]Información_Técnica!$F$7:$F$35),0)</f>
        <v>29,45</v>
      </c>
      <c r="J43" s="12">
        <f t="shared" si="2"/>
        <v>29.45</v>
      </c>
      <c r="K43" s="9">
        <v>0</v>
      </c>
      <c r="M43" s="9">
        <v>125</v>
      </c>
      <c r="N43" s="11" t="s">
        <v>2815</v>
      </c>
      <c r="O43" s="11" t="str">
        <f>_xlfn.XLOOKUP(N43,Detalle_Unidades!F39:F585,Detalle_Unidades!A39:A585)</f>
        <v>PRC3</v>
      </c>
    </row>
    <row r="44" spans="1:15" x14ac:dyDescent="0.25">
      <c r="A44" s="11" t="s">
        <v>2819</v>
      </c>
      <c r="B44" s="11" t="s">
        <v>238</v>
      </c>
      <c r="C44" s="9">
        <v>0</v>
      </c>
      <c r="D44" s="9">
        <v>180</v>
      </c>
      <c r="E44" s="9">
        <f t="shared" si="0"/>
        <v>0</v>
      </c>
      <c r="F44" s="12">
        <f t="shared" si="1"/>
        <v>58.810076126376316</v>
      </c>
      <c r="G44" s="9" t="str">
        <f>_xlfn.XLOOKUP(N44,[3]Phidráulica!$A$10:$A$166,[3]Phidráulica!$J$10:$J$166)</f>
        <v>3,0607</v>
      </c>
      <c r="H44" s="9">
        <v>0</v>
      </c>
      <c r="I44" s="12" t="str">
        <f>IFERROR(_xlfn.XLOOKUP(N44,[4]Información_Técnica!$A$7:$A$35,[4]Información_Técnica!$F$7:$F$35),0)</f>
        <v>29,45</v>
      </c>
      <c r="J44" s="12">
        <f t="shared" si="2"/>
        <v>29.45</v>
      </c>
      <c r="K44" s="9">
        <v>0</v>
      </c>
      <c r="M44" s="9">
        <v>125</v>
      </c>
      <c r="N44" s="11" t="s">
        <v>2815</v>
      </c>
      <c r="O44" s="11" t="str">
        <f>_xlfn.XLOOKUP(N44,Detalle_Unidades!F40:F586,Detalle_Unidades!A40:A586)</f>
        <v>PRC3</v>
      </c>
    </row>
    <row r="45" spans="1:15" x14ac:dyDescent="0.25">
      <c r="A45" s="11" t="s">
        <v>2821</v>
      </c>
      <c r="B45" s="11" t="s">
        <v>238</v>
      </c>
      <c r="C45" s="9">
        <v>0</v>
      </c>
      <c r="D45" s="9">
        <v>180</v>
      </c>
      <c r="E45" s="9">
        <f t="shared" si="0"/>
        <v>0</v>
      </c>
      <c r="F45" s="12">
        <f t="shared" si="1"/>
        <v>58.810076126376316</v>
      </c>
      <c r="G45" s="9" t="str">
        <f>_xlfn.XLOOKUP(N45,[3]Phidráulica!$A$10:$A$166,[3]Phidráulica!$J$10:$J$166)</f>
        <v>3,0607</v>
      </c>
      <c r="H45" s="9">
        <v>0</v>
      </c>
      <c r="I45" s="12" t="str">
        <f>IFERROR(_xlfn.XLOOKUP(N45,[4]Información_Técnica!$A$7:$A$35,[4]Información_Técnica!$F$7:$F$35),0)</f>
        <v>29,45</v>
      </c>
      <c r="J45" s="12">
        <f t="shared" si="2"/>
        <v>29.45</v>
      </c>
      <c r="K45" s="9">
        <v>0</v>
      </c>
      <c r="M45" s="9">
        <v>125</v>
      </c>
      <c r="N45" s="11" t="s">
        <v>2815</v>
      </c>
      <c r="O45" s="11" t="str">
        <f>_xlfn.XLOOKUP(N45,Detalle_Unidades!F41:F587,Detalle_Unidades!A41:A587)</f>
        <v>PRC3</v>
      </c>
    </row>
    <row r="46" spans="1:15" x14ac:dyDescent="0.25">
      <c r="A46" s="11" t="s">
        <v>2823</v>
      </c>
      <c r="B46" s="11" t="s">
        <v>238</v>
      </c>
      <c r="C46" s="9">
        <v>0</v>
      </c>
      <c r="D46" s="9">
        <v>190</v>
      </c>
      <c r="E46" s="9">
        <f t="shared" si="0"/>
        <v>0</v>
      </c>
      <c r="F46" s="12">
        <f t="shared" si="1"/>
        <v>62.077302577841664</v>
      </c>
      <c r="G46" s="9" t="str">
        <f>_xlfn.XLOOKUP(N46,[3]Phidráulica!$A$10:$A$166,[3]Phidráulica!$J$10:$J$166)</f>
        <v>3,0607</v>
      </c>
      <c r="H46" s="9">
        <v>0</v>
      </c>
      <c r="I46" s="12" t="str">
        <f>IFERROR(_xlfn.XLOOKUP(N46,[4]Información_Técnica!$A$7:$A$35,[4]Información_Técnica!$F$7:$F$35),0)</f>
        <v>29,45</v>
      </c>
      <c r="J46" s="12">
        <f t="shared" si="2"/>
        <v>29.45</v>
      </c>
      <c r="K46" s="9">
        <v>0</v>
      </c>
      <c r="M46" s="9">
        <v>125</v>
      </c>
      <c r="N46" s="11" t="s">
        <v>2815</v>
      </c>
      <c r="O46" s="11" t="str">
        <f>_xlfn.XLOOKUP(N46,Detalle_Unidades!F42:F588,Detalle_Unidades!A42:A588)</f>
        <v>PRC3</v>
      </c>
    </row>
    <row r="47" spans="1:15" x14ac:dyDescent="0.25">
      <c r="A47" s="11" t="s">
        <v>2850</v>
      </c>
      <c r="B47" s="11" t="s">
        <v>238</v>
      </c>
      <c r="C47" s="9">
        <v>0</v>
      </c>
      <c r="D47" s="9">
        <v>155</v>
      </c>
      <c r="E47" s="9">
        <f t="shared" si="0"/>
        <v>0</v>
      </c>
      <c r="F47" s="12">
        <f t="shared" si="1"/>
        <v>28.704766843216415</v>
      </c>
      <c r="G47" s="9" t="str">
        <f>_xlfn.XLOOKUP(N47,[3]Phidráulica!$A$10:$A$166,[3]Phidráulica!$J$10:$J$166)</f>
        <v>5,3998</v>
      </c>
      <c r="H47" s="9">
        <v>0</v>
      </c>
      <c r="I47" s="12">
        <f>IFERROR(_xlfn.XLOOKUP(N47,[4]Información_Técnica!$A$7:$A$35,[4]Información_Técnica!$F$7:$F$35),0)</f>
        <v>0</v>
      </c>
      <c r="J47" s="12">
        <f t="shared" si="2"/>
        <v>0</v>
      </c>
      <c r="K47" s="9">
        <v>0</v>
      </c>
      <c r="M47" s="9">
        <v>22</v>
      </c>
      <c r="N47" s="11" t="s">
        <v>2849</v>
      </c>
      <c r="O47" s="11" t="str">
        <f>_xlfn.XLOOKUP(N47,Detalle_Unidades!F43:F589,Detalle_Unidades!A43:A589)</f>
        <v>SNCR</v>
      </c>
    </row>
    <row r="48" spans="1:15" x14ac:dyDescent="0.25">
      <c r="A48" s="11" t="s">
        <v>2853</v>
      </c>
      <c r="B48" s="11" t="s">
        <v>238</v>
      </c>
      <c r="C48" s="9">
        <v>0</v>
      </c>
      <c r="D48" s="9">
        <v>155</v>
      </c>
      <c r="E48" s="9">
        <f t="shared" si="0"/>
        <v>0</v>
      </c>
      <c r="F48" s="12">
        <f t="shared" si="1"/>
        <v>28.704766843216415</v>
      </c>
      <c r="G48" s="9" t="str">
        <f>_xlfn.XLOOKUP(N48,[3]Phidráulica!$A$10:$A$166,[3]Phidráulica!$J$10:$J$166)</f>
        <v>5,3998</v>
      </c>
      <c r="H48" s="9">
        <v>0</v>
      </c>
      <c r="I48" s="12">
        <f>IFERROR(_xlfn.XLOOKUP(N48,[4]Información_Técnica!$A$7:$A$35,[4]Información_Técnica!$F$7:$F$35),0)</f>
        <v>0</v>
      </c>
      <c r="J48" s="12">
        <f t="shared" si="2"/>
        <v>0</v>
      </c>
      <c r="K48" s="9">
        <v>0</v>
      </c>
      <c r="M48" s="9">
        <v>22</v>
      </c>
      <c r="N48" s="11" t="s">
        <v>2849</v>
      </c>
      <c r="O48" s="11" t="str">
        <f>_xlfn.XLOOKUP(N48,Detalle_Unidades!F44:F590,Detalle_Unidades!A44:A590)</f>
        <v>SNCR</v>
      </c>
    </row>
    <row r="49" spans="1:15" x14ac:dyDescent="0.25">
      <c r="A49" s="11" t="s">
        <v>2855</v>
      </c>
      <c r="B49" s="11" t="s">
        <v>238</v>
      </c>
      <c r="C49" s="9">
        <v>0</v>
      </c>
      <c r="D49" s="9">
        <v>155</v>
      </c>
      <c r="E49" s="9">
        <f t="shared" si="0"/>
        <v>0</v>
      </c>
      <c r="F49" s="12">
        <f t="shared" si="1"/>
        <v>28.704766843216415</v>
      </c>
      <c r="G49" s="9" t="str">
        <f>_xlfn.XLOOKUP(N49,[3]Phidráulica!$A$10:$A$166,[3]Phidráulica!$J$10:$J$166)</f>
        <v>5,3998</v>
      </c>
      <c r="H49" s="9">
        <v>0</v>
      </c>
      <c r="I49" s="12">
        <f>IFERROR(_xlfn.XLOOKUP(N49,[4]Información_Técnica!$A$7:$A$35,[4]Información_Técnica!$F$7:$F$35),0)</f>
        <v>0</v>
      </c>
      <c r="J49" s="12">
        <f t="shared" si="2"/>
        <v>0</v>
      </c>
      <c r="K49" s="9">
        <v>0</v>
      </c>
      <c r="M49" s="9">
        <v>22</v>
      </c>
      <c r="N49" s="11" t="s">
        <v>2849</v>
      </c>
      <c r="O49" s="11" t="str">
        <f>_xlfn.XLOOKUP(N49,Detalle_Unidades!F45:F591,Detalle_Unidades!A45:A591)</f>
        <v>SNCR</v>
      </c>
    </row>
    <row r="50" spans="1:15" x14ac:dyDescent="0.25">
      <c r="A50" s="11" t="s">
        <v>2857</v>
      </c>
      <c r="B50" s="11" t="s">
        <v>238</v>
      </c>
      <c r="C50" s="9">
        <v>0</v>
      </c>
      <c r="D50" s="9">
        <v>155</v>
      </c>
      <c r="E50" s="9">
        <f t="shared" si="0"/>
        <v>0</v>
      </c>
      <c r="F50" s="12">
        <f t="shared" si="1"/>
        <v>28.704766843216415</v>
      </c>
      <c r="G50" s="9" t="str">
        <f>_xlfn.XLOOKUP(N50,[3]Phidráulica!$A$10:$A$166,[3]Phidráulica!$J$10:$J$166)</f>
        <v>5,3998</v>
      </c>
      <c r="H50" s="9">
        <v>0</v>
      </c>
      <c r="I50" s="12">
        <f>IFERROR(_xlfn.XLOOKUP(N50,[4]Información_Técnica!$A$7:$A$35,[4]Información_Técnica!$F$7:$F$35),0)</f>
        <v>0</v>
      </c>
      <c r="J50" s="12">
        <f t="shared" si="2"/>
        <v>0</v>
      </c>
      <c r="K50" s="9">
        <v>0</v>
      </c>
      <c r="M50" s="9">
        <v>22</v>
      </c>
      <c r="N50" s="11" t="s">
        <v>2849</v>
      </c>
      <c r="O50" s="11" t="str">
        <f>_xlfn.XLOOKUP(N50,Detalle_Unidades!F46:F592,Detalle_Unidades!A46:A592)</f>
        <v>SNCR</v>
      </c>
    </row>
    <row r="51" spans="1:15" x14ac:dyDescent="0.25">
      <c r="A51" s="11" t="s">
        <v>2859</v>
      </c>
      <c r="B51" s="11" t="s">
        <v>238</v>
      </c>
      <c r="C51" s="9">
        <v>0</v>
      </c>
      <c r="D51" s="9">
        <v>155</v>
      </c>
      <c r="E51" s="9">
        <f t="shared" si="0"/>
        <v>0</v>
      </c>
      <c r="F51" s="12">
        <f t="shared" si="1"/>
        <v>28.704766843216415</v>
      </c>
      <c r="G51" s="9" t="str">
        <f>_xlfn.XLOOKUP(N51,[3]Phidráulica!$A$10:$A$166,[3]Phidráulica!$J$10:$J$166)</f>
        <v>5,3998</v>
      </c>
      <c r="H51" s="9">
        <v>0</v>
      </c>
      <c r="I51" s="12">
        <f>IFERROR(_xlfn.XLOOKUP(N51,[4]Información_Técnica!$A$7:$A$35,[4]Información_Técnica!$F$7:$F$35),0)</f>
        <v>0</v>
      </c>
      <c r="J51" s="12">
        <f t="shared" si="2"/>
        <v>0</v>
      </c>
      <c r="K51" s="9">
        <v>0</v>
      </c>
      <c r="M51" s="9">
        <v>22</v>
      </c>
      <c r="N51" s="11" t="s">
        <v>2849</v>
      </c>
      <c r="O51" s="11" t="str">
        <f>_xlfn.XLOOKUP(N51,Detalle_Unidades!F47:F593,Detalle_Unidades!A47:A593)</f>
        <v>SNCR</v>
      </c>
    </row>
    <row r="52" spans="1:15" x14ac:dyDescent="0.25">
      <c r="A52" s="11" t="s">
        <v>2861</v>
      </c>
      <c r="B52" s="11" t="s">
        <v>238</v>
      </c>
      <c r="C52" s="9">
        <v>0</v>
      </c>
      <c r="D52" s="9">
        <v>155</v>
      </c>
      <c r="E52" s="9">
        <f t="shared" si="0"/>
        <v>0</v>
      </c>
      <c r="F52" s="12">
        <f t="shared" si="1"/>
        <v>28.704766843216415</v>
      </c>
      <c r="G52" s="9" t="str">
        <f>_xlfn.XLOOKUP(N52,[3]Phidráulica!$A$10:$A$166,[3]Phidráulica!$J$10:$J$166)</f>
        <v>5,3998</v>
      </c>
      <c r="H52" s="9">
        <v>0</v>
      </c>
      <c r="I52" s="12">
        <f>IFERROR(_xlfn.XLOOKUP(N52,[4]Información_Técnica!$A$7:$A$35,[4]Información_Técnica!$F$7:$F$35),0)</f>
        <v>0</v>
      </c>
      <c r="J52" s="12">
        <f t="shared" si="2"/>
        <v>0</v>
      </c>
      <c r="K52" s="9">
        <v>0</v>
      </c>
      <c r="M52" s="9">
        <v>22</v>
      </c>
      <c r="N52" s="11" t="s">
        <v>2849</v>
      </c>
      <c r="O52" s="11" t="str">
        <f>_xlfn.XLOOKUP(N52,Detalle_Unidades!F48:F594,Detalle_Unidades!A48:A594)</f>
        <v>SNCR</v>
      </c>
    </row>
    <row r="53" spans="1:15" x14ac:dyDescent="0.25">
      <c r="A53" s="11" t="s">
        <v>2863</v>
      </c>
      <c r="B53" s="11" t="s">
        <v>238</v>
      </c>
      <c r="C53" s="9">
        <v>0</v>
      </c>
      <c r="D53" s="9">
        <v>155</v>
      </c>
      <c r="E53" s="9">
        <f t="shared" si="0"/>
        <v>0</v>
      </c>
      <c r="F53" s="12">
        <f t="shared" si="1"/>
        <v>28.704766843216415</v>
      </c>
      <c r="G53" s="9" t="str">
        <f>_xlfn.XLOOKUP(N53,[3]Phidráulica!$A$10:$A$166,[3]Phidráulica!$J$10:$J$166)</f>
        <v>5,3998</v>
      </c>
      <c r="H53" s="9">
        <v>0</v>
      </c>
      <c r="I53" s="12">
        <f>IFERROR(_xlfn.XLOOKUP(N53,[4]Información_Técnica!$A$7:$A$35,[4]Información_Técnica!$F$7:$F$35),0)</f>
        <v>0</v>
      </c>
      <c r="J53" s="12">
        <f t="shared" si="2"/>
        <v>0</v>
      </c>
      <c r="K53" s="9">
        <v>0</v>
      </c>
      <c r="M53" s="9">
        <v>22</v>
      </c>
      <c r="N53" s="11" t="s">
        <v>2849</v>
      </c>
      <c r="O53" s="11" t="str">
        <f>_xlfn.XLOOKUP(N53,Detalle_Unidades!F49:F595,Detalle_Unidades!A49:A595)</f>
        <v>SNCR</v>
      </c>
    </row>
    <row r="54" spans="1:15" x14ac:dyDescent="0.25">
      <c r="A54" s="11" t="s">
        <v>2865</v>
      </c>
      <c r="B54" s="11" t="s">
        <v>238</v>
      </c>
      <c r="C54" s="9">
        <v>0</v>
      </c>
      <c r="D54" s="9">
        <v>155</v>
      </c>
      <c r="E54" s="9">
        <f t="shared" si="0"/>
        <v>0</v>
      </c>
      <c r="F54" s="12">
        <f t="shared" si="1"/>
        <v>28.704766843216415</v>
      </c>
      <c r="G54" s="9" t="str">
        <f>_xlfn.XLOOKUP(N54,[3]Phidráulica!$A$10:$A$166,[3]Phidráulica!$J$10:$J$166)</f>
        <v>5,3998</v>
      </c>
      <c r="H54" s="9">
        <v>0</v>
      </c>
      <c r="I54" s="12">
        <f>IFERROR(_xlfn.XLOOKUP(N54,[4]Información_Técnica!$A$7:$A$35,[4]Información_Técnica!$F$7:$F$35),0)</f>
        <v>0</v>
      </c>
      <c r="J54" s="12">
        <f t="shared" si="2"/>
        <v>0</v>
      </c>
      <c r="K54" s="9">
        <v>0</v>
      </c>
      <c r="M54" s="9">
        <v>22</v>
      </c>
      <c r="N54" s="11" t="s">
        <v>2849</v>
      </c>
      <c r="O54" s="11" t="str">
        <f>_xlfn.XLOOKUP(N54,Detalle_Unidades!F50:F596,Detalle_Unidades!A50:A596)</f>
        <v>SNCR</v>
      </c>
    </row>
    <row r="55" spans="1:15" x14ac:dyDescent="0.25">
      <c r="A55" s="11" t="s">
        <v>2877</v>
      </c>
      <c r="B55" s="11" t="s">
        <v>238</v>
      </c>
      <c r="C55" s="9">
        <v>0</v>
      </c>
      <c r="D55" s="9">
        <v>25</v>
      </c>
      <c r="E55" s="9">
        <f t="shared" si="0"/>
        <v>0</v>
      </c>
      <c r="F55" s="12">
        <f t="shared" si="1"/>
        <v>16.741445121542892</v>
      </c>
      <c r="G55" s="9" t="str">
        <f>_xlfn.XLOOKUP(N55,[3]Phidráulica!$A$10:$A$166,[3]Phidráulica!$J$10:$J$166)</f>
        <v>1,4933</v>
      </c>
      <c r="H55" s="9">
        <v>0</v>
      </c>
      <c r="I55" s="12">
        <f>IFERROR(_xlfn.XLOOKUP(N55,[4]Información_Técnica!$A$7:$A$35,[4]Información_Técnica!$F$7:$F$35),0)</f>
        <v>0</v>
      </c>
      <c r="J55" s="12">
        <f t="shared" si="2"/>
        <v>0</v>
      </c>
      <c r="K55" s="9">
        <v>0</v>
      </c>
      <c r="M55" s="9">
        <v>9.4499999999999993</v>
      </c>
      <c r="N55" s="11" t="s">
        <v>2876</v>
      </c>
      <c r="O55" s="11" t="str">
        <f>_xlfn.XLOOKUP(N55,Detalle_Unidades!F51:F597,Detalle_Unidades!A51:A597)</f>
        <v>SMI1</v>
      </c>
    </row>
    <row r="56" spans="1:15" x14ac:dyDescent="0.25">
      <c r="A56" s="11" t="s">
        <v>2880</v>
      </c>
      <c r="B56" s="11" t="s">
        <v>238</v>
      </c>
      <c r="C56" s="9">
        <v>0</v>
      </c>
      <c r="D56" s="9">
        <v>25</v>
      </c>
      <c r="E56" s="9">
        <f t="shared" si="0"/>
        <v>0</v>
      </c>
      <c r="F56" s="12">
        <f t="shared" si="1"/>
        <v>16.741445121542892</v>
      </c>
      <c r="G56" s="9" t="str">
        <f>_xlfn.XLOOKUP(N56,[3]Phidráulica!$A$10:$A$166,[3]Phidráulica!$J$10:$J$166)</f>
        <v>1,4933</v>
      </c>
      <c r="H56" s="9">
        <v>0</v>
      </c>
      <c r="I56" s="12">
        <f>IFERROR(_xlfn.XLOOKUP(N56,[4]Información_Técnica!$A$7:$A$35,[4]Información_Técnica!$F$7:$F$35),0)</f>
        <v>0</v>
      </c>
      <c r="J56" s="12">
        <f t="shared" si="2"/>
        <v>0</v>
      </c>
      <c r="K56" s="9">
        <v>0</v>
      </c>
      <c r="M56" s="9">
        <v>9.4499999999999993</v>
      </c>
      <c r="N56" s="11" t="s">
        <v>2876</v>
      </c>
      <c r="O56" s="11" t="str">
        <f>_xlfn.XLOOKUP(N56,Detalle_Unidades!F52:F598,Detalle_Unidades!A52:A598)</f>
        <v>SMI1</v>
      </c>
    </row>
    <row r="57" spans="1:15" x14ac:dyDescent="0.25">
      <c r="A57" s="11" t="s">
        <v>2890</v>
      </c>
      <c r="B57" s="11" t="s">
        <v>238</v>
      </c>
      <c r="C57" s="9">
        <v>0</v>
      </c>
      <c r="D57" s="9">
        <v>20</v>
      </c>
      <c r="E57" s="9">
        <f t="shared" si="0"/>
        <v>0</v>
      </c>
      <c r="F57" s="12">
        <f t="shared" si="1"/>
        <v>30.152268958239109</v>
      </c>
      <c r="G57" s="9" t="str">
        <f>_xlfn.XLOOKUP(N57,[3]Phidráulica!$A$10:$A$166,[3]Phidráulica!$J$10:$J$166)</f>
        <v>0,6633</v>
      </c>
      <c r="H57" s="9">
        <v>0</v>
      </c>
      <c r="I57" s="12" t="str">
        <f>IFERROR(_xlfn.XLOOKUP(N57,[4]Información_Técnica!$A$7:$A$35,[4]Información_Técnica!$F$7:$F$35),0)</f>
        <v>8,45</v>
      </c>
      <c r="J57" s="12">
        <f t="shared" si="2"/>
        <v>8.4499999999999993</v>
      </c>
      <c r="K57" s="9">
        <v>0</v>
      </c>
      <c r="M57" s="9">
        <v>1</v>
      </c>
      <c r="N57" s="11" t="s">
        <v>2889</v>
      </c>
      <c r="O57" s="15">
        <f>_xlfn.XLOOKUP(N57,Detalle_Unidades!F53:F599,Detalle_Unidades!A53:A599)</f>
        <v>0</v>
      </c>
    </row>
    <row r="58" spans="1:15" x14ac:dyDescent="0.25">
      <c r="A58" s="11" t="s">
        <v>2892</v>
      </c>
      <c r="B58" s="11" t="s">
        <v>238</v>
      </c>
      <c r="C58" s="9">
        <v>0</v>
      </c>
      <c r="D58" s="9">
        <v>20</v>
      </c>
      <c r="E58" s="9">
        <f t="shared" si="0"/>
        <v>0</v>
      </c>
      <c r="F58" s="12">
        <f t="shared" si="1"/>
        <v>30.152268958239109</v>
      </c>
      <c r="G58" s="9" t="str">
        <f>_xlfn.XLOOKUP(N58,[3]Phidráulica!$A$10:$A$166,[3]Phidráulica!$J$10:$J$166)</f>
        <v>0,6633</v>
      </c>
      <c r="H58" s="9">
        <v>0</v>
      </c>
      <c r="I58" s="12" t="str">
        <f>IFERROR(_xlfn.XLOOKUP(N58,[4]Información_Técnica!$A$7:$A$35,[4]Información_Técnica!$F$7:$F$35),0)</f>
        <v>8,45</v>
      </c>
      <c r="J58" s="12">
        <f t="shared" si="2"/>
        <v>8.4499999999999993</v>
      </c>
      <c r="K58" s="9">
        <v>0</v>
      </c>
      <c r="M58" s="9">
        <v>0</v>
      </c>
      <c r="N58" s="11" t="s">
        <v>2889</v>
      </c>
      <c r="O58" s="15">
        <f>_xlfn.XLOOKUP(N58,Detalle_Unidades!F54:F600,Detalle_Unidades!A54:A600)</f>
        <v>0</v>
      </c>
    </row>
    <row r="59" spans="1:15" x14ac:dyDescent="0.25">
      <c r="A59" s="11" t="s">
        <v>2638</v>
      </c>
      <c r="B59" s="11" t="s">
        <v>615</v>
      </c>
      <c r="C59" s="9">
        <v>0</v>
      </c>
      <c r="D59" s="9">
        <v>125</v>
      </c>
      <c r="E59" s="9">
        <f t="shared" si="0"/>
        <v>0</v>
      </c>
      <c r="F59" s="12">
        <f t="shared" si="1"/>
        <v>17.899846777311588</v>
      </c>
      <c r="G59" s="9" t="str">
        <f>_xlfn.XLOOKUP(N59,[3]Phidráulica!$A$10:$A$166,[3]Phidráulica!$J$10:$J$166)</f>
        <v>6,9833</v>
      </c>
      <c r="H59" s="9">
        <v>0</v>
      </c>
      <c r="I59" s="12">
        <f>IFERROR(_xlfn.XLOOKUP(N59,[4]Información_Técnica!$A$7:$A$35,[4]Información_Técnica!$F$7:$F$35),0)</f>
        <v>0</v>
      </c>
      <c r="J59" s="12">
        <f t="shared" si="2"/>
        <v>0</v>
      </c>
      <c r="K59" s="9">
        <v>0</v>
      </c>
      <c r="M59" s="9">
        <v>10</v>
      </c>
      <c r="N59" s="11" t="s">
        <v>2637</v>
      </c>
      <c r="O59" s="11" t="str">
        <f>_xlfn.XLOOKUP(N59,Detalle_Unidades!F55:F601,Detalle_Unidades!A55:A601)</f>
        <v>CHVR</v>
      </c>
    </row>
    <row r="60" spans="1:15" x14ac:dyDescent="0.25">
      <c r="A60" s="11" t="s">
        <v>2641</v>
      </c>
      <c r="B60" s="11" t="s">
        <v>615</v>
      </c>
      <c r="C60" s="9">
        <v>0</v>
      </c>
      <c r="D60" s="9">
        <v>125</v>
      </c>
      <c r="E60" s="9">
        <f t="shared" si="0"/>
        <v>0</v>
      </c>
      <c r="F60" s="12">
        <f t="shared" si="1"/>
        <v>17.899846777311588</v>
      </c>
      <c r="G60" s="9" t="str">
        <f>_xlfn.XLOOKUP(N60,[3]Phidráulica!$A$10:$A$166,[3]Phidráulica!$J$10:$J$166)</f>
        <v>6,9833</v>
      </c>
      <c r="H60" s="9">
        <v>0</v>
      </c>
      <c r="I60" s="12">
        <f>IFERROR(_xlfn.XLOOKUP(N60,[4]Información_Técnica!$A$7:$A$35,[4]Información_Técnica!$F$7:$F$35),0)</f>
        <v>0</v>
      </c>
      <c r="J60" s="12">
        <f t="shared" si="2"/>
        <v>0</v>
      </c>
      <c r="K60" s="9">
        <v>0</v>
      </c>
      <c r="M60" s="9">
        <v>10</v>
      </c>
      <c r="N60" s="11" t="s">
        <v>2637</v>
      </c>
      <c r="O60" s="11" t="str">
        <f>_xlfn.XLOOKUP(N60,Detalle_Unidades!F56:F602,Detalle_Unidades!A56:A602)</f>
        <v>CHVR</v>
      </c>
    </row>
    <row r="61" spans="1:15" x14ac:dyDescent="0.25">
      <c r="A61" s="11" t="s">
        <v>2643</v>
      </c>
      <c r="B61" s="11" t="s">
        <v>615</v>
      </c>
      <c r="C61" s="9">
        <v>0</v>
      </c>
      <c r="D61" s="9">
        <v>125</v>
      </c>
      <c r="E61" s="9">
        <f t="shared" si="0"/>
        <v>0</v>
      </c>
      <c r="F61" s="12">
        <f t="shared" si="1"/>
        <v>17.899846777311588</v>
      </c>
      <c r="G61" s="9" t="str">
        <f>_xlfn.XLOOKUP(N61,[3]Phidráulica!$A$10:$A$166,[3]Phidráulica!$J$10:$J$166)</f>
        <v>6,9833</v>
      </c>
      <c r="H61" s="9">
        <v>0</v>
      </c>
      <c r="I61" s="12">
        <f>IFERROR(_xlfn.XLOOKUP(N61,[4]Información_Técnica!$A$7:$A$35,[4]Información_Técnica!$F$7:$F$35),0)</f>
        <v>0</v>
      </c>
      <c r="J61" s="12">
        <f t="shared" si="2"/>
        <v>0</v>
      </c>
      <c r="K61" s="9">
        <v>0</v>
      </c>
      <c r="M61" s="9">
        <v>10</v>
      </c>
      <c r="N61" s="11" t="s">
        <v>2637</v>
      </c>
      <c r="O61" s="11" t="str">
        <f>_xlfn.XLOOKUP(N61,Detalle_Unidades!F57:F603,Detalle_Unidades!A57:A603)</f>
        <v>CHVR</v>
      </c>
    </row>
    <row r="62" spans="1:15" x14ac:dyDescent="0.25">
      <c r="A62" s="11" t="s">
        <v>2645</v>
      </c>
      <c r="B62" s="11" t="s">
        <v>615</v>
      </c>
      <c r="C62" s="9">
        <v>0</v>
      </c>
      <c r="D62" s="9">
        <v>125</v>
      </c>
      <c r="E62" s="9">
        <f t="shared" si="0"/>
        <v>0</v>
      </c>
      <c r="F62" s="12">
        <f t="shared" si="1"/>
        <v>17.899846777311588</v>
      </c>
      <c r="G62" s="9" t="str">
        <f>_xlfn.XLOOKUP(N62,[3]Phidráulica!$A$10:$A$166,[3]Phidráulica!$J$10:$J$166)</f>
        <v>6,9833</v>
      </c>
      <c r="H62" s="9">
        <v>0</v>
      </c>
      <c r="I62" s="12">
        <f>IFERROR(_xlfn.XLOOKUP(N62,[4]Información_Técnica!$A$7:$A$35,[4]Información_Técnica!$F$7:$F$35),0)</f>
        <v>0</v>
      </c>
      <c r="J62" s="12">
        <f t="shared" si="2"/>
        <v>0</v>
      </c>
      <c r="K62" s="9">
        <v>0</v>
      </c>
      <c r="M62" s="9">
        <v>10</v>
      </c>
      <c r="N62" s="11" t="s">
        <v>2637</v>
      </c>
      <c r="O62" s="11" t="str">
        <f>_xlfn.XLOOKUP(N62,Detalle_Unidades!F58:F604,Detalle_Unidades!A58:A604)</f>
        <v>CHVR</v>
      </c>
    </row>
    <row r="63" spans="1:15" x14ac:dyDescent="0.25">
      <c r="A63" s="11" t="s">
        <v>2647</v>
      </c>
      <c r="B63" s="11" t="s">
        <v>615</v>
      </c>
      <c r="C63" s="9">
        <v>0</v>
      </c>
      <c r="D63" s="9">
        <v>125</v>
      </c>
      <c r="E63" s="9">
        <f t="shared" si="0"/>
        <v>0</v>
      </c>
      <c r="F63" s="12">
        <f t="shared" si="1"/>
        <v>17.899846777311588</v>
      </c>
      <c r="G63" s="9" t="str">
        <f>_xlfn.XLOOKUP(N63,[3]Phidráulica!$A$10:$A$166,[3]Phidráulica!$J$10:$J$166)</f>
        <v>6,9833</v>
      </c>
      <c r="H63" s="9">
        <v>0</v>
      </c>
      <c r="I63" s="12">
        <f>IFERROR(_xlfn.XLOOKUP(N63,[4]Información_Técnica!$A$7:$A$35,[4]Información_Técnica!$F$7:$F$35),0)</f>
        <v>0</v>
      </c>
      <c r="J63" s="12">
        <f t="shared" si="2"/>
        <v>0</v>
      </c>
      <c r="K63" s="9">
        <v>0</v>
      </c>
      <c r="M63" s="9">
        <v>10</v>
      </c>
      <c r="N63" s="11" t="s">
        <v>2637</v>
      </c>
      <c r="O63" s="11" t="str">
        <f>_xlfn.XLOOKUP(N63,Detalle_Unidades!F59:F605,Detalle_Unidades!A59:A605)</f>
        <v>CHVR</v>
      </c>
    </row>
    <row r="64" spans="1:15" x14ac:dyDescent="0.25">
      <c r="A64" s="11" t="s">
        <v>2649</v>
      </c>
      <c r="B64" s="11" t="s">
        <v>615</v>
      </c>
      <c r="C64" s="9">
        <v>0</v>
      </c>
      <c r="D64" s="9">
        <v>125</v>
      </c>
      <c r="E64" s="9">
        <f t="shared" si="0"/>
        <v>0</v>
      </c>
      <c r="F64" s="12">
        <f t="shared" si="1"/>
        <v>17.899846777311588</v>
      </c>
      <c r="G64" s="9" t="str">
        <f>_xlfn.XLOOKUP(N64,[3]Phidráulica!$A$10:$A$166,[3]Phidráulica!$J$10:$J$166)</f>
        <v>6,9833</v>
      </c>
      <c r="H64" s="9">
        <v>0</v>
      </c>
      <c r="I64" s="12">
        <f>IFERROR(_xlfn.XLOOKUP(N64,[4]Información_Técnica!$A$7:$A$35,[4]Información_Técnica!$F$7:$F$35),0)</f>
        <v>0</v>
      </c>
      <c r="J64" s="12">
        <f t="shared" si="2"/>
        <v>0</v>
      </c>
      <c r="K64" s="9">
        <v>0</v>
      </c>
      <c r="M64" s="9">
        <v>10</v>
      </c>
      <c r="N64" s="11" t="s">
        <v>2637</v>
      </c>
      <c r="O64" s="11" t="str">
        <f>_xlfn.XLOOKUP(N64,Detalle_Unidades!F60:F606,Detalle_Unidades!A60:A606)</f>
        <v>CHVR</v>
      </c>
    </row>
    <row r="65" spans="1:15" x14ac:dyDescent="0.25">
      <c r="A65" s="11" t="s">
        <v>2651</v>
      </c>
      <c r="B65" s="11" t="s">
        <v>615</v>
      </c>
      <c r="C65" s="9">
        <v>0</v>
      </c>
      <c r="D65" s="9">
        <v>125</v>
      </c>
      <c r="E65" s="9">
        <f t="shared" si="0"/>
        <v>0</v>
      </c>
      <c r="F65" s="12">
        <f t="shared" si="1"/>
        <v>17.899846777311588</v>
      </c>
      <c r="G65" s="9" t="str">
        <f>_xlfn.XLOOKUP(N65,[3]Phidráulica!$A$10:$A$166,[3]Phidráulica!$J$10:$J$166)</f>
        <v>6,9833</v>
      </c>
      <c r="H65" s="9">
        <v>0</v>
      </c>
      <c r="I65" s="12">
        <f>IFERROR(_xlfn.XLOOKUP(N65,[4]Información_Técnica!$A$7:$A$35,[4]Información_Técnica!$F$7:$F$35),0)</f>
        <v>0</v>
      </c>
      <c r="J65" s="12">
        <f t="shared" si="2"/>
        <v>0</v>
      </c>
      <c r="K65" s="9">
        <v>0</v>
      </c>
      <c r="M65" s="9">
        <v>10</v>
      </c>
      <c r="N65" s="11" t="s">
        <v>2637</v>
      </c>
      <c r="O65" s="11" t="str">
        <f>_xlfn.XLOOKUP(N65,Detalle_Unidades!F61:F607,Detalle_Unidades!A61:A607)</f>
        <v>CHVR</v>
      </c>
    </row>
    <row r="66" spans="1:15" x14ac:dyDescent="0.25">
      <c r="A66" s="11" t="s">
        <v>2653</v>
      </c>
      <c r="B66" s="11" t="s">
        <v>615</v>
      </c>
      <c r="C66" s="9">
        <v>0</v>
      </c>
      <c r="D66" s="9">
        <v>125</v>
      </c>
      <c r="E66" s="9">
        <f t="shared" si="0"/>
        <v>0</v>
      </c>
      <c r="F66" s="12">
        <f t="shared" si="1"/>
        <v>17.899846777311588</v>
      </c>
      <c r="G66" s="9" t="str">
        <f>_xlfn.XLOOKUP(N66,[3]Phidráulica!$A$10:$A$166,[3]Phidráulica!$J$10:$J$166)</f>
        <v>6,9833</v>
      </c>
      <c r="H66" s="9">
        <v>0</v>
      </c>
      <c r="I66" s="12">
        <f>IFERROR(_xlfn.XLOOKUP(N66,[4]Información_Técnica!$A$7:$A$35,[4]Información_Técnica!$F$7:$F$35),0)</f>
        <v>0</v>
      </c>
      <c r="J66" s="12">
        <f t="shared" si="2"/>
        <v>0</v>
      </c>
      <c r="K66" s="9">
        <v>0</v>
      </c>
      <c r="M66" s="9">
        <v>10</v>
      </c>
      <c r="N66" s="11" t="s">
        <v>2637</v>
      </c>
      <c r="O66" s="11" t="str">
        <f>_xlfn.XLOOKUP(N66,Detalle_Unidades!F62:F608,Detalle_Unidades!A62:A608)</f>
        <v>CHVR</v>
      </c>
    </row>
    <row r="67" spans="1:15" x14ac:dyDescent="0.25">
      <c r="A67" s="11" t="s">
        <v>2664</v>
      </c>
      <c r="B67" s="11" t="s">
        <v>615</v>
      </c>
      <c r="C67" s="9">
        <v>0</v>
      </c>
      <c r="D67" s="9">
        <v>50</v>
      </c>
      <c r="E67" s="9">
        <f t="shared" si="0"/>
        <v>0</v>
      </c>
      <c r="F67" s="12">
        <f t="shared" si="1"/>
        <v>6.272896070657902</v>
      </c>
      <c r="G67" s="9" t="str">
        <f>_xlfn.XLOOKUP(N67,[3]Phidráulica!$A$10:$A$166,[3]Phidráulica!$J$10:$J$166)</f>
        <v>7,9708</v>
      </c>
      <c r="H67" s="9">
        <v>0</v>
      </c>
      <c r="I67" s="12">
        <f>IFERROR(_xlfn.XLOOKUP(N67,[4]Información_Técnica!$A$7:$A$35,[4]Información_Técnica!$F$7:$F$35),0)</f>
        <v>0</v>
      </c>
      <c r="J67" s="12">
        <f t="shared" si="2"/>
        <v>0</v>
      </c>
      <c r="K67" s="9">
        <v>0</v>
      </c>
      <c r="M67" s="9">
        <v>5</v>
      </c>
      <c r="N67" s="11" t="s">
        <v>2663</v>
      </c>
      <c r="O67" s="11" t="str">
        <f>_xlfn.XLOOKUP(N67,Detalle_Unidades!F63:F609,Detalle_Unidades!A63:A609)</f>
        <v>DVS1</v>
      </c>
    </row>
    <row r="68" spans="1:15" x14ac:dyDescent="0.25">
      <c r="A68" s="11" t="s">
        <v>2667</v>
      </c>
      <c r="B68" s="11" t="s">
        <v>615</v>
      </c>
      <c r="C68" s="9">
        <v>0</v>
      </c>
      <c r="D68" s="9">
        <v>50</v>
      </c>
      <c r="E68" s="9">
        <f t="shared" si="0"/>
        <v>0</v>
      </c>
      <c r="F68" s="12">
        <f t="shared" si="1"/>
        <v>6.272896070657902</v>
      </c>
      <c r="G68" s="9" t="str">
        <f>_xlfn.XLOOKUP(N68,[3]Phidráulica!$A$10:$A$166,[3]Phidráulica!$J$10:$J$166)</f>
        <v>7,9708</v>
      </c>
      <c r="H68" s="9">
        <v>0</v>
      </c>
      <c r="I68" s="12">
        <f>IFERROR(_xlfn.XLOOKUP(N68,[4]Información_Técnica!$A$7:$A$35,[4]Información_Técnica!$F$7:$F$35),0)</f>
        <v>0</v>
      </c>
      <c r="J68" s="12">
        <f t="shared" si="2"/>
        <v>0</v>
      </c>
      <c r="K68" s="9">
        <v>0</v>
      </c>
      <c r="M68" s="9">
        <v>30</v>
      </c>
      <c r="N68" s="11" t="s">
        <v>2663</v>
      </c>
      <c r="O68" s="11" t="str">
        <f>_xlfn.XLOOKUP(N68,Detalle_Unidades!F64:F610,Detalle_Unidades!A64:A610)</f>
        <v>DVS1</v>
      </c>
    </row>
    <row r="69" spans="1:15" x14ac:dyDescent="0.25">
      <c r="A69" s="11" t="s">
        <v>2669</v>
      </c>
      <c r="B69" s="11" t="s">
        <v>615</v>
      </c>
      <c r="C69" s="9">
        <v>0</v>
      </c>
      <c r="D69" s="9">
        <v>50</v>
      </c>
      <c r="E69" s="9">
        <f t="shared" si="0"/>
        <v>0</v>
      </c>
      <c r="F69" s="12">
        <f t="shared" si="1"/>
        <v>6.272896070657902</v>
      </c>
      <c r="G69" s="9" t="str">
        <f>_xlfn.XLOOKUP(N69,[3]Phidráulica!$A$10:$A$166,[3]Phidráulica!$J$10:$J$166)</f>
        <v>7,9708</v>
      </c>
      <c r="H69" s="9">
        <v>0</v>
      </c>
      <c r="I69" s="12">
        <f>IFERROR(_xlfn.XLOOKUP(N69,[4]Información_Técnica!$A$7:$A$35,[4]Información_Técnica!$F$7:$F$35),0)</f>
        <v>0</v>
      </c>
      <c r="J69" s="12">
        <f t="shared" si="2"/>
        <v>0</v>
      </c>
      <c r="K69" s="9">
        <v>0</v>
      </c>
      <c r="M69" s="9">
        <v>5</v>
      </c>
      <c r="N69" s="11" t="s">
        <v>2663</v>
      </c>
      <c r="O69" s="11" t="str">
        <f>_xlfn.XLOOKUP(N69,Detalle_Unidades!F65:F611,Detalle_Unidades!A65:A611)</f>
        <v>DVS1</v>
      </c>
    </row>
    <row r="70" spans="1:15" x14ac:dyDescent="0.25">
      <c r="A70" s="11" t="s">
        <v>2735</v>
      </c>
      <c r="B70" s="11" t="s">
        <v>615</v>
      </c>
      <c r="C70" s="9">
        <v>0</v>
      </c>
      <c r="D70" s="9">
        <v>250</v>
      </c>
      <c r="E70" s="9">
        <f t="shared" si="0"/>
        <v>0</v>
      </c>
      <c r="F70" s="12">
        <f t="shared" si="1"/>
        <v>25.391795403069359</v>
      </c>
      <c r="G70" s="9" t="str">
        <f>_xlfn.XLOOKUP(N70,[3]Phidráulica!$A$10:$A$166,[3]Phidráulica!$J$10:$J$166)</f>
        <v>9,8457</v>
      </c>
      <c r="H70" s="9">
        <v>0</v>
      </c>
      <c r="I70" s="12" t="str">
        <f>IFERROR(_xlfn.XLOOKUP(N70,[4]Información_Técnica!$A$7:$A$35,[4]Información_Técnica!$F$7:$F$35),0)</f>
        <v>18,47</v>
      </c>
      <c r="J70" s="12">
        <f t="shared" si="2"/>
        <v>18.47</v>
      </c>
      <c r="K70" s="9">
        <v>0</v>
      </c>
      <c r="M70" s="9">
        <v>60</v>
      </c>
      <c r="N70" s="11" t="s">
        <v>2734</v>
      </c>
      <c r="O70" s="11" t="str">
        <f>_xlfn.XLOOKUP(N70,Detalle_Unidades!F66:F612,Detalle_Unidades!A66:A612)</f>
        <v>GVIO</v>
      </c>
    </row>
    <row r="71" spans="1:15" x14ac:dyDescent="0.25">
      <c r="A71" s="11" t="s">
        <v>2738</v>
      </c>
      <c r="B71" s="11" t="s">
        <v>615</v>
      </c>
      <c r="C71" s="9">
        <v>0</v>
      </c>
      <c r="D71" s="9">
        <v>250</v>
      </c>
      <c r="E71" s="9">
        <f t="shared" ref="E71:E124" si="3">C71/G71</f>
        <v>0</v>
      </c>
      <c r="F71" s="12">
        <f t="shared" ref="F71:F124" si="4">D71/G71</f>
        <v>25.391795403069359</v>
      </c>
      <c r="G71" s="9" t="str">
        <f>_xlfn.XLOOKUP(N71,[3]Phidráulica!$A$10:$A$166,[3]Phidráulica!$J$10:$J$166)</f>
        <v>9,8457</v>
      </c>
      <c r="H71" s="9">
        <v>0</v>
      </c>
      <c r="I71" s="12" t="str">
        <f>IFERROR(_xlfn.XLOOKUP(N71,[4]Información_Técnica!$A$7:$A$35,[4]Información_Técnica!$F$7:$F$35),0)</f>
        <v>18,47</v>
      </c>
      <c r="J71" s="12">
        <f t="shared" ref="J71:J124" si="5">H71+1/1*(I71-H71)</f>
        <v>18.47</v>
      </c>
      <c r="K71" s="9">
        <v>0</v>
      </c>
      <c r="M71" s="9">
        <v>60</v>
      </c>
      <c r="N71" s="11" t="s">
        <v>2734</v>
      </c>
      <c r="O71" s="11" t="str">
        <f>_xlfn.XLOOKUP(N71,Detalle_Unidades!F67:F613,Detalle_Unidades!A67:A613)</f>
        <v>GVIO</v>
      </c>
    </row>
    <row r="72" spans="1:15" x14ac:dyDescent="0.25">
      <c r="A72" s="11" t="s">
        <v>2740</v>
      </c>
      <c r="B72" s="11" t="s">
        <v>615</v>
      </c>
      <c r="C72" s="9">
        <v>0</v>
      </c>
      <c r="D72" s="9">
        <v>250</v>
      </c>
      <c r="E72" s="9">
        <f t="shared" si="3"/>
        <v>0</v>
      </c>
      <c r="F72" s="12">
        <f t="shared" si="4"/>
        <v>25.391795403069359</v>
      </c>
      <c r="G72" s="9" t="str">
        <f>_xlfn.XLOOKUP(N72,[3]Phidráulica!$A$10:$A$166,[3]Phidráulica!$J$10:$J$166)</f>
        <v>9,8457</v>
      </c>
      <c r="H72" s="9">
        <v>0</v>
      </c>
      <c r="I72" s="12" t="str">
        <f>IFERROR(_xlfn.XLOOKUP(N72,[4]Información_Técnica!$A$7:$A$35,[4]Información_Técnica!$F$7:$F$35),0)</f>
        <v>18,47</v>
      </c>
      <c r="J72" s="12">
        <f t="shared" si="5"/>
        <v>18.47</v>
      </c>
      <c r="K72" s="9">
        <v>0</v>
      </c>
      <c r="M72" s="9">
        <v>60</v>
      </c>
      <c r="N72" s="11" t="s">
        <v>2734</v>
      </c>
      <c r="O72" s="11" t="str">
        <f>_xlfn.XLOOKUP(N72,Detalle_Unidades!F68:F614,Detalle_Unidades!A68:A614)</f>
        <v>GVIO</v>
      </c>
    </row>
    <row r="73" spans="1:15" x14ac:dyDescent="0.25">
      <c r="A73" s="11" t="s">
        <v>2742</v>
      </c>
      <c r="B73" s="11" t="s">
        <v>615</v>
      </c>
      <c r="C73" s="9">
        <v>0</v>
      </c>
      <c r="D73" s="9">
        <v>250</v>
      </c>
      <c r="E73" s="9">
        <f t="shared" si="3"/>
        <v>0</v>
      </c>
      <c r="F73" s="12">
        <f t="shared" si="4"/>
        <v>25.391795403069359</v>
      </c>
      <c r="G73" s="9" t="str">
        <f>_xlfn.XLOOKUP(N73,[3]Phidráulica!$A$10:$A$166,[3]Phidráulica!$J$10:$J$166)</f>
        <v>9,8457</v>
      </c>
      <c r="H73" s="9">
        <v>0</v>
      </c>
      <c r="I73" s="12" t="str">
        <f>IFERROR(_xlfn.XLOOKUP(N73,[4]Información_Técnica!$A$7:$A$35,[4]Información_Técnica!$F$7:$F$35),0)</f>
        <v>18,47</v>
      </c>
      <c r="J73" s="12">
        <f t="shared" si="5"/>
        <v>18.47</v>
      </c>
      <c r="K73" s="9">
        <v>0</v>
      </c>
      <c r="M73" s="9">
        <v>60</v>
      </c>
      <c r="N73" s="11" t="s">
        <v>2734</v>
      </c>
      <c r="O73" s="11" t="str">
        <f>_xlfn.XLOOKUP(N73,Detalle_Unidades!F69:F615,Detalle_Unidades!A69:A615)</f>
        <v>GVIO</v>
      </c>
    </row>
    <row r="74" spans="1:15" x14ac:dyDescent="0.25">
      <c r="A74" s="11" t="s">
        <v>2744</v>
      </c>
      <c r="B74" s="11" t="s">
        <v>615</v>
      </c>
      <c r="C74" s="9">
        <v>0</v>
      </c>
      <c r="D74" s="9">
        <v>250</v>
      </c>
      <c r="E74" s="9">
        <f t="shared" si="3"/>
        <v>0</v>
      </c>
      <c r="F74" s="12">
        <f t="shared" si="4"/>
        <v>25.391795403069359</v>
      </c>
      <c r="G74" s="9" t="str">
        <f>_xlfn.XLOOKUP(N74,[3]Phidráulica!$A$10:$A$166,[3]Phidráulica!$J$10:$J$166)</f>
        <v>9,8457</v>
      </c>
      <c r="H74" s="9">
        <v>0</v>
      </c>
      <c r="I74" s="12" t="str">
        <f>IFERROR(_xlfn.XLOOKUP(N74,[4]Información_Técnica!$A$7:$A$35,[4]Información_Técnica!$F$7:$F$35),0)</f>
        <v>18,47</v>
      </c>
      <c r="J74" s="12">
        <f t="shared" si="5"/>
        <v>18.47</v>
      </c>
      <c r="K74" s="9">
        <v>0</v>
      </c>
      <c r="M74" s="9">
        <v>60</v>
      </c>
      <c r="N74" s="11" t="s">
        <v>2734</v>
      </c>
      <c r="O74" s="11" t="str">
        <f>_xlfn.XLOOKUP(N74,Detalle_Unidades!F70:F616,Detalle_Unidades!A70:A616)</f>
        <v>GVIO</v>
      </c>
    </row>
    <row r="75" spans="1:15" x14ac:dyDescent="0.25">
      <c r="A75" s="11" t="s">
        <v>2764</v>
      </c>
      <c r="B75" s="11" t="s">
        <v>615</v>
      </c>
      <c r="C75" s="9">
        <v>0</v>
      </c>
      <c r="D75" s="9">
        <v>108</v>
      </c>
      <c r="E75" s="9">
        <f t="shared" si="3"/>
        <v>0</v>
      </c>
      <c r="F75" s="12">
        <f t="shared" si="4"/>
        <v>12.47372433069229</v>
      </c>
      <c r="G75" s="9" t="str">
        <f>_xlfn.XLOOKUP(N75,[3]Phidráulica!$A$10:$A$166,[3]Phidráulica!$J$10:$J$166)</f>
        <v>8,6582</v>
      </c>
      <c r="H75" s="9">
        <v>0</v>
      </c>
      <c r="I75" s="12">
        <f>IFERROR(_xlfn.XLOOKUP(N75,[4]Información_Técnica!$A$7:$A$35,[4]Información_Técnica!$F$7:$F$35),0)</f>
        <v>0</v>
      </c>
      <c r="J75" s="12">
        <f t="shared" si="5"/>
        <v>0</v>
      </c>
      <c r="K75" s="9">
        <v>0</v>
      </c>
      <c r="M75" s="9">
        <v>40</v>
      </c>
      <c r="N75" s="11" t="s">
        <v>188</v>
      </c>
      <c r="O75" s="15">
        <f>_xlfn.XLOOKUP(N75,Detalle_Unidades!F71:F617,Detalle_Unidades!A71:A617)</f>
        <v>0</v>
      </c>
    </row>
    <row r="76" spans="1:15" x14ac:dyDescent="0.25">
      <c r="A76" s="11" t="s">
        <v>2767</v>
      </c>
      <c r="B76" s="11" t="s">
        <v>615</v>
      </c>
      <c r="C76" s="9">
        <v>0</v>
      </c>
      <c r="D76" s="9">
        <v>108</v>
      </c>
      <c r="E76" s="9">
        <f t="shared" si="3"/>
        <v>0</v>
      </c>
      <c r="F76" s="12">
        <f t="shared" si="4"/>
        <v>12.47372433069229</v>
      </c>
      <c r="G76" s="9" t="str">
        <f>_xlfn.XLOOKUP(N76,[3]Phidráulica!$A$10:$A$166,[3]Phidráulica!$J$10:$J$166)</f>
        <v>8,6582</v>
      </c>
      <c r="H76" s="9">
        <v>0</v>
      </c>
      <c r="I76" s="12">
        <f>IFERROR(_xlfn.XLOOKUP(N76,[4]Información_Técnica!$A$7:$A$35,[4]Información_Técnica!$F$7:$F$35),0)</f>
        <v>0</v>
      </c>
      <c r="J76" s="12">
        <f t="shared" si="5"/>
        <v>0</v>
      </c>
      <c r="K76" s="9">
        <v>0</v>
      </c>
      <c r="M76" s="9">
        <v>40</v>
      </c>
      <c r="N76" s="11" t="s">
        <v>188</v>
      </c>
      <c r="O76" s="15">
        <f>_xlfn.XLOOKUP(N76,Detalle_Unidades!F72:F618,Detalle_Unidades!A72:A618)</f>
        <v>0</v>
      </c>
    </row>
    <row r="77" spans="1:15" x14ac:dyDescent="0.25">
      <c r="A77" s="11" t="s">
        <v>2769</v>
      </c>
      <c r="B77" s="11" t="s">
        <v>615</v>
      </c>
      <c r="C77" s="9">
        <v>0</v>
      </c>
      <c r="D77" s="9">
        <v>108</v>
      </c>
      <c r="E77" s="9">
        <f t="shared" si="3"/>
        <v>0</v>
      </c>
      <c r="F77" s="12">
        <f t="shared" si="4"/>
        <v>12.47372433069229</v>
      </c>
      <c r="G77" s="9" t="str">
        <f>_xlfn.XLOOKUP(N77,[3]Phidráulica!$A$10:$A$166,[3]Phidráulica!$J$10:$J$166)</f>
        <v>8,6582</v>
      </c>
      <c r="H77" s="9">
        <v>0</v>
      </c>
      <c r="I77" s="12">
        <f>IFERROR(_xlfn.XLOOKUP(N77,[4]Información_Técnica!$A$7:$A$35,[4]Información_Técnica!$F$7:$F$35),0)</f>
        <v>0</v>
      </c>
      <c r="J77" s="12">
        <f t="shared" si="5"/>
        <v>0</v>
      </c>
      <c r="K77" s="9">
        <v>0</v>
      </c>
      <c r="M77" s="9">
        <v>40</v>
      </c>
      <c r="N77" s="11" t="s">
        <v>188</v>
      </c>
      <c r="O77" s="15">
        <f>_xlfn.XLOOKUP(N77,Detalle_Unidades!F73:F619,Detalle_Unidades!A73:A619)</f>
        <v>0</v>
      </c>
    </row>
    <row r="78" spans="1:15" x14ac:dyDescent="0.25">
      <c r="A78" s="11" t="s">
        <v>2789</v>
      </c>
      <c r="B78" s="11" t="s">
        <v>615</v>
      </c>
      <c r="C78" s="9">
        <v>0</v>
      </c>
      <c r="D78" s="9">
        <v>92</v>
      </c>
      <c r="E78" s="9">
        <f t="shared" si="3"/>
        <v>0</v>
      </c>
      <c r="F78" s="12">
        <f t="shared" si="4"/>
        <v>12.478806375042389</v>
      </c>
      <c r="G78" s="9" t="str">
        <f>_xlfn.XLOOKUP(N78,[3]Phidráulica!$A$10:$A$166,[3]Phidráulica!$J$10:$J$166)</f>
        <v>7,3725</v>
      </c>
      <c r="H78" s="9">
        <v>0</v>
      </c>
      <c r="I78" s="12">
        <f>IFERROR(_xlfn.XLOOKUP(N78,[4]Información_Técnica!$A$7:$A$35,[4]Información_Técnica!$F$7:$F$35),0)</f>
        <v>0</v>
      </c>
      <c r="J78" s="12">
        <f t="shared" si="5"/>
        <v>0</v>
      </c>
      <c r="K78" s="9">
        <v>0</v>
      </c>
      <c r="M78" s="9">
        <v>34</v>
      </c>
      <c r="N78" s="11" t="s">
        <v>187</v>
      </c>
      <c r="O78" s="15">
        <f>_xlfn.XLOOKUP(N78,Detalle_Unidades!F74:F620,Detalle_Unidades!A74:A620)</f>
        <v>0</v>
      </c>
    </row>
    <row r="79" spans="1:15" x14ac:dyDescent="0.25">
      <c r="A79" s="11" t="s">
        <v>2792</v>
      </c>
      <c r="B79" s="11" t="s">
        <v>615</v>
      </c>
      <c r="C79" s="9">
        <v>0</v>
      </c>
      <c r="D79" s="9">
        <v>92</v>
      </c>
      <c r="E79" s="9">
        <f t="shared" si="3"/>
        <v>0</v>
      </c>
      <c r="F79" s="12">
        <f t="shared" si="4"/>
        <v>12.478806375042389</v>
      </c>
      <c r="G79" s="9" t="str">
        <f>_xlfn.XLOOKUP(N79,[3]Phidráulica!$A$10:$A$166,[3]Phidráulica!$J$10:$J$166)</f>
        <v>7,3725</v>
      </c>
      <c r="H79" s="9">
        <v>0</v>
      </c>
      <c r="I79" s="12">
        <f>IFERROR(_xlfn.XLOOKUP(N79,[4]Información_Técnica!$A$7:$A$35,[4]Información_Técnica!$F$7:$F$35),0)</f>
        <v>0</v>
      </c>
      <c r="J79" s="12">
        <f t="shared" si="5"/>
        <v>0</v>
      </c>
      <c r="K79" s="9">
        <v>0</v>
      </c>
      <c r="M79" s="9">
        <v>34</v>
      </c>
      <c r="N79" s="11" t="s">
        <v>187</v>
      </c>
      <c r="O79" s="15">
        <f>_xlfn.XLOOKUP(N79,Detalle_Unidades!F75:F621,Detalle_Unidades!A75:A621)</f>
        <v>0</v>
      </c>
    </row>
    <row r="80" spans="1:15" x14ac:dyDescent="0.25">
      <c r="A80" s="11" t="s">
        <v>2794</v>
      </c>
      <c r="B80" s="11" t="s">
        <v>615</v>
      </c>
      <c r="C80" s="9">
        <v>0</v>
      </c>
      <c r="D80" s="9">
        <v>92</v>
      </c>
      <c r="E80" s="9">
        <f t="shared" si="3"/>
        <v>0</v>
      </c>
      <c r="F80" s="12">
        <f t="shared" si="4"/>
        <v>12.478806375042389</v>
      </c>
      <c r="G80" s="9" t="str">
        <f>_xlfn.XLOOKUP(N80,[3]Phidráulica!$A$10:$A$166,[3]Phidráulica!$J$10:$J$166)</f>
        <v>7,3725</v>
      </c>
      <c r="H80" s="9">
        <v>0</v>
      </c>
      <c r="I80" s="12">
        <f>IFERROR(_xlfn.XLOOKUP(N80,[4]Información_Técnica!$A$7:$A$35,[4]Información_Técnica!$F$7:$F$35),0)</f>
        <v>0</v>
      </c>
      <c r="J80" s="12">
        <f t="shared" si="5"/>
        <v>0</v>
      </c>
      <c r="K80" s="9">
        <v>0</v>
      </c>
      <c r="M80" s="9">
        <v>34</v>
      </c>
      <c r="N80" s="11" t="s">
        <v>187</v>
      </c>
      <c r="O80" s="15">
        <f>_xlfn.XLOOKUP(N80,Detalle_Unidades!F76:F622,Detalle_Unidades!A76:A622)</f>
        <v>0</v>
      </c>
    </row>
    <row r="81" spans="1:15" x14ac:dyDescent="0.25">
      <c r="A81" s="11" t="s">
        <v>2836</v>
      </c>
      <c r="B81" s="11" t="s">
        <v>615</v>
      </c>
      <c r="C81" s="9">
        <v>0</v>
      </c>
      <c r="D81" s="9">
        <v>35</v>
      </c>
      <c r="E81" s="9">
        <f t="shared" si="3"/>
        <v>0</v>
      </c>
      <c r="F81" s="12">
        <f t="shared" si="4"/>
        <v>10.374673938819065</v>
      </c>
      <c r="G81" s="9" t="str">
        <f>_xlfn.XLOOKUP(N81,[3]Phidráulica!$A$10:$A$166,[3]Phidráulica!$J$10:$J$166)</f>
        <v>3,3736</v>
      </c>
      <c r="H81" s="9">
        <v>0</v>
      </c>
      <c r="I81" s="12">
        <f>IFERROR(_xlfn.XLOOKUP(N81,[4]Información_Técnica!$A$7:$A$35,[4]Información_Técnica!$F$7:$F$35),0)</f>
        <v>0</v>
      </c>
      <c r="J81" s="12">
        <f t="shared" si="5"/>
        <v>0</v>
      </c>
      <c r="K81" s="9">
        <v>0</v>
      </c>
      <c r="M81" s="9">
        <v>5</v>
      </c>
      <c r="N81" s="11" t="s">
        <v>2835</v>
      </c>
      <c r="O81" s="11" t="str">
        <f>_xlfn.XLOOKUP(N81,Detalle_Unidades!F77:F623,Detalle_Unidades!A77:A623)</f>
        <v>2QEK</v>
      </c>
    </row>
    <row r="82" spans="1:15" x14ac:dyDescent="0.25">
      <c r="A82" s="11" t="s">
        <v>2896</v>
      </c>
      <c r="B82" s="11" t="s">
        <v>615</v>
      </c>
      <c r="C82" s="9">
        <v>0</v>
      </c>
      <c r="D82" s="9">
        <v>10</v>
      </c>
      <c r="E82" s="9">
        <f t="shared" si="3"/>
        <v>0</v>
      </c>
      <c r="F82" s="12">
        <f t="shared" si="4"/>
        <v>4.0559724193875484</v>
      </c>
      <c r="G82" s="9" t="str">
        <f>_xlfn.XLOOKUP(N82,[3]Phidráulica!$A$10:$A$166,[3]Phidráulica!$J$10:$J$166)</f>
        <v>2,4655</v>
      </c>
      <c r="H82" s="9">
        <v>0</v>
      </c>
      <c r="I82" s="12">
        <f>IFERROR(_xlfn.XLOOKUP(N82,[4]Información_Técnica!$A$7:$A$35,[4]Información_Técnica!$F$7:$F$35),0)</f>
        <v>0</v>
      </c>
      <c r="J82" s="12">
        <f t="shared" si="5"/>
        <v>0</v>
      </c>
      <c r="K82" s="9">
        <v>0</v>
      </c>
      <c r="M82" s="9">
        <v>4.0999999999999996</v>
      </c>
      <c r="N82" s="11" t="s">
        <v>2895</v>
      </c>
      <c r="O82" s="11" t="str">
        <f>_xlfn.XLOOKUP(N82,Detalle_Unidades!F78:F624,Detalle_Unidades!A78:A624)</f>
        <v>TUJ1</v>
      </c>
    </row>
    <row r="83" spans="1:15" x14ac:dyDescent="0.25">
      <c r="A83" s="11" t="s">
        <v>2899</v>
      </c>
      <c r="B83" s="11" t="s">
        <v>615</v>
      </c>
      <c r="C83" s="9">
        <v>0</v>
      </c>
      <c r="D83" s="9">
        <v>9</v>
      </c>
      <c r="E83" s="9">
        <f t="shared" si="3"/>
        <v>0</v>
      </c>
      <c r="F83" s="12">
        <f t="shared" si="4"/>
        <v>3.6503751774487934</v>
      </c>
      <c r="G83" s="9" t="str">
        <f>_xlfn.XLOOKUP(N83,[3]Phidráulica!$A$10:$A$166,[3]Phidráulica!$J$10:$J$166)</f>
        <v>2,4655</v>
      </c>
      <c r="H83" s="9">
        <v>0</v>
      </c>
      <c r="I83" s="12">
        <f>IFERROR(_xlfn.XLOOKUP(N83,[4]Información_Técnica!$A$7:$A$35,[4]Información_Técnica!$F$7:$F$35),0)</f>
        <v>0</v>
      </c>
      <c r="J83" s="12">
        <f t="shared" si="5"/>
        <v>0</v>
      </c>
      <c r="K83" s="9">
        <v>0</v>
      </c>
      <c r="M83" s="9">
        <v>4.0999999999999996</v>
      </c>
      <c r="N83" s="11" t="s">
        <v>2895</v>
      </c>
      <c r="O83" s="11" t="str">
        <f>_xlfn.XLOOKUP(N83,Detalle_Unidades!F79:F625,Detalle_Unidades!A79:A625)</f>
        <v>TUJ1</v>
      </c>
    </row>
    <row r="84" spans="1:15" x14ac:dyDescent="0.25">
      <c r="A84" s="11" t="s">
        <v>2671</v>
      </c>
      <c r="B84" s="11" t="s">
        <v>905</v>
      </c>
      <c r="C84" s="9">
        <v>0</v>
      </c>
      <c r="D84" s="9">
        <v>200</v>
      </c>
      <c r="E84" s="9">
        <f t="shared" si="3"/>
        <v>0</v>
      </c>
      <c r="F84" s="12">
        <f t="shared" si="4"/>
        <v>181.7355747387551</v>
      </c>
      <c r="G84" s="9" t="str">
        <f>_xlfn.XLOOKUP(N84,[3]Phidráulica!$A$10:$A$166,[3]Phidráulica!$J$10:$J$166)</f>
        <v>1,1005</v>
      </c>
      <c r="H84" s="9">
        <v>0</v>
      </c>
      <c r="I84" s="12" t="str">
        <f>IFERROR(_xlfn.XLOOKUP(N84,[4]Información_Técnica!$A$7:$A$35,[4]Información_Técnica!$F$7:$F$35),0)</f>
        <v>453,72</v>
      </c>
      <c r="J84" s="12">
        <f t="shared" si="5"/>
        <v>453.72</v>
      </c>
      <c r="K84" s="9">
        <v>0</v>
      </c>
      <c r="M84" s="9">
        <v>0</v>
      </c>
      <c r="N84" s="11" t="s">
        <v>907</v>
      </c>
      <c r="O84" s="11" t="str">
        <f>_xlfn.XLOOKUP(N84,Detalle_Unidades!F80:F626,Detalle_Unidades!A80:A626)</f>
        <v>QUI1</v>
      </c>
    </row>
    <row r="85" spans="1:15" x14ac:dyDescent="0.25">
      <c r="A85" s="11" t="s">
        <v>2674</v>
      </c>
      <c r="B85" s="11" t="s">
        <v>905</v>
      </c>
      <c r="C85" s="9">
        <v>0</v>
      </c>
      <c r="D85" s="9">
        <v>200</v>
      </c>
      <c r="E85" s="9">
        <f t="shared" si="3"/>
        <v>0</v>
      </c>
      <c r="F85" s="12">
        <f t="shared" si="4"/>
        <v>181.7355747387551</v>
      </c>
      <c r="G85" s="9" t="str">
        <f>_xlfn.XLOOKUP(N85,[3]Phidráulica!$A$10:$A$166,[3]Phidráulica!$J$10:$J$166)</f>
        <v>1,1005</v>
      </c>
      <c r="H85" s="9">
        <v>0</v>
      </c>
      <c r="I85" s="12" t="str">
        <f>IFERROR(_xlfn.XLOOKUP(N85,[4]Información_Técnica!$A$7:$A$35,[4]Información_Técnica!$F$7:$F$35),0)</f>
        <v>453,72</v>
      </c>
      <c r="J85" s="12">
        <f t="shared" si="5"/>
        <v>453.72</v>
      </c>
      <c r="K85" s="9">
        <v>0</v>
      </c>
      <c r="M85" s="9">
        <v>0</v>
      </c>
      <c r="N85" s="11" t="s">
        <v>907</v>
      </c>
      <c r="O85" s="11" t="str">
        <f>_xlfn.XLOOKUP(N85,Detalle_Unidades!F81:F627,Detalle_Unidades!A81:A627)</f>
        <v>QUI1</v>
      </c>
    </row>
    <row r="86" spans="1:15" x14ac:dyDescent="0.25">
      <c r="A86" s="11" t="s">
        <v>2901</v>
      </c>
      <c r="B86" s="11" t="s">
        <v>531</v>
      </c>
      <c r="C86" s="9">
        <v>0</v>
      </c>
      <c r="D86" s="9">
        <v>83</v>
      </c>
      <c r="E86" s="9">
        <f t="shared" si="3"/>
        <v>0</v>
      </c>
      <c r="F86" s="12">
        <f t="shared" si="4"/>
        <v>174.51640033641715</v>
      </c>
      <c r="G86" s="9" t="str">
        <f>_xlfn.XLOOKUP(N86,[3]Phidráulica!$A$10:$A$166,[3]Phidráulica!$J$10:$J$166)</f>
        <v>0,4756</v>
      </c>
      <c r="H86" s="9">
        <v>0</v>
      </c>
      <c r="I86" s="12" t="str">
        <f>IFERROR(_xlfn.XLOOKUP(N86,[4]Información_Técnica!$A$7:$A$35,[4]Información_Técnica!$F$7:$F$35),0)</f>
        <v>354,01</v>
      </c>
      <c r="J86" s="12">
        <f t="shared" si="5"/>
        <v>354.01</v>
      </c>
      <c r="K86" s="9">
        <v>0</v>
      </c>
      <c r="M86" s="9">
        <v>30</v>
      </c>
      <c r="N86" s="11" t="s">
        <v>913</v>
      </c>
      <c r="O86" s="11" t="str">
        <f>_xlfn.XLOOKUP(N86,Detalle_Unidades!F82:F628,Detalle_Unidades!A82:A628)</f>
        <v>URA1</v>
      </c>
    </row>
    <row r="87" spans="1:15" x14ac:dyDescent="0.25">
      <c r="A87" s="11" t="s">
        <v>2904</v>
      </c>
      <c r="B87" s="11" t="s">
        <v>531</v>
      </c>
      <c r="C87" s="9">
        <v>0</v>
      </c>
      <c r="D87" s="9">
        <v>85</v>
      </c>
      <c r="E87" s="9">
        <f t="shared" si="3"/>
        <v>0</v>
      </c>
      <c r="F87" s="12">
        <f t="shared" si="4"/>
        <v>178.72161480235491</v>
      </c>
      <c r="G87" s="9" t="str">
        <f>_xlfn.XLOOKUP(N87,[3]Phidráulica!$A$10:$A$166,[3]Phidráulica!$J$10:$J$166)</f>
        <v>0,4756</v>
      </c>
      <c r="H87" s="9">
        <v>0</v>
      </c>
      <c r="I87" s="12" t="str">
        <f>IFERROR(_xlfn.XLOOKUP(N87,[4]Información_Técnica!$A$7:$A$35,[4]Información_Técnica!$F$7:$F$35),0)</f>
        <v>354,01</v>
      </c>
      <c r="J87" s="12">
        <f t="shared" si="5"/>
        <v>354.01</v>
      </c>
      <c r="K87" s="9">
        <v>0</v>
      </c>
      <c r="M87" s="9">
        <v>30</v>
      </c>
      <c r="N87" s="11" t="s">
        <v>913</v>
      </c>
      <c r="O87" s="11" t="str">
        <f>_xlfn.XLOOKUP(N87,Detalle_Unidades!F83:F629,Detalle_Unidades!A83:A629)</f>
        <v>URA1</v>
      </c>
    </row>
    <row r="88" spans="1:15" x14ac:dyDescent="0.25">
      <c r="A88" s="11" t="s">
        <v>2906</v>
      </c>
      <c r="B88" s="11" t="s">
        <v>531</v>
      </c>
      <c r="C88" s="9">
        <v>0</v>
      </c>
      <c r="D88" s="9">
        <v>85</v>
      </c>
      <c r="E88" s="9">
        <f t="shared" si="3"/>
        <v>0</v>
      </c>
      <c r="F88" s="12">
        <f t="shared" si="4"/>
        <v>178.72161480235491</v>
      </c>
      <c r="G88" s="9" t="str">
        <f>_xlfn.XLOOKUP(N88,[3]Phidráulica!$A$10:$A$166,[3]Phidráulica!$J$10:$J$166)</f>
        <v>0,4756</v>
      </c>
      <c r="H88" s="9">
        <v>0</v>
      </c>
      <c r="I88" s="12" t="str">
        <f>IFERROR(_xlfn.XLOOKUP(N88,[4]Información_Técnica!$A$7:$A$35,[4]Información_Técnica!$F$7:$F$35),0)</f>
        <v>354,01</v>
      </c>
      <c r="J88" s="12">
        <f t="shared" si="5"/>
        <v>354.01</v>
      </c>
      <c r="K88" s="9">
        <v>0</v>
      </c>
      <c r="M88" s="9">
        <v>30</v>
      </c>
      <c r="N88" s="11" t="s">
        <v>913</v>
      </c>
      <c r="O88" s="11" t="str">
        <f>_xlfn.XLOOKUP(N88,Detalle_Unidades!F84:F630,Detalle_Unidades!A84:A630)</f>
        <v>URA1</v>
      </c>
    </row>
    <row r="89" spans="1:15" x14ac:dyDescent="0.25">
      <c r="A89" s="11" t="s">
        <v>2908</v>
      </c>
      <c r="B89" s="11" t="s">
        <v>531</v>
      </c>
      <c r="C89" s="9">
        <v>0</v>
      </c>
      <c r="D89" s="9">
        <v>85</v>
      </c>
      <c r="E89" s="9">
        <f t="shared" si="3"/>
        <v>0</v>
      </c>
      <c r="F89" s="12">
        <f t="shared" si="4"/>
        <v>178.72161480235491</v>
      </c>
      <c r="G89" s="9" t="str">
        <f>_xlfn.XLOOKUP(N89,[3]Phidráulica!$A$10:$A$166,[3]Phidráulica!$J$10:$J$166)</f>
        <v>0,4756</v>
      </c>
      <c r="H89" s="9">
        <v>0</v>
      </c>
      <c r="I89" s="12" t="str">
        <f>IFERROR(_xlfn.XLOOKUP(N89,[4]Información_Técnica!$A$7:$A$35,[4]Información_Técnica!$F$7:$F$35),0)</f>
        <v>354,01</v>
      </c>
      <c r="J89" s="12">
        <f t="shared" si="5"/>
        <v>354.01</v>
      </c>
      <c r="K89" s="9">
        <v>0</v>
      </c>
      <c r="M89" s="9">
        <v>30</v>
      </c>
      <c r="N89" s="11" t="s">
        <v>913</v>
      </c>
      <c r="O89" s="11" t="str">
        <f>_xlfn.XLOOKUP(N89,Detalle_Unidades!F85:F631,Detalle_Unidades!A85:A631)</f>
        <v>URA1</v>
      </c>
    </row>
    <row r="90" spans="1:15" x14ac:dyDescent="0.25">
      <c r="A90" s="11" t="s">
        <v>2687</v>
      </c>
      <c r="B90" s="11" t="s">
        <v>897</v>
      </c>
      <c r="C90" s="9">
        <v>0</v>
      </c>
      <c r="D90" s="9">
        <v>15</v>
      </c>
      <c r="E90" s="9">
        <f t="shared" si="3"/>
        <v>0</v>
      </c>
      <c r="F90" s="12">
        <f t="shared" si="4"/>
        <v>11.419870574800154</v>
      </c>
      <c r="G90" s="9" t="str">
        <f>_xlfn.XLOOKUP(N90,[3]Phidráulica!$A$10:$A$166,[3]Phidráulica!$J$10:$J$166)</f>
        <v>1,3135</v>
      </c>
      <c r="H90" s="9">
        <v>0</v>
      </c>
      <c r="I90" s="12" t="str">
        <f>IFERROR(_xlfn.XLOOKUP(N90,[4]Información_Técnica!$A$7:$A$35,[4]Información_Técnica!$F$7:$F$35),0)</f>
        <v>67,7</v>
      </c>
      <c r="J90" s="12">
        <f t="shared" si="5"/>
        <v>67.7</v>
      </c>
      <c r="K90" s="9">
        <v>0</v>
      </c>
      <c r="M90" s="9">
        <v>0</v>
      </c>
      <c r="N90" s="11" t="s">
        <v>2686</v>
      </c>
      <c r="O90" s="11" t="str">
        <f>_xlfn.XLOOKUP(N90,Detalle_Unidades!F86:F632,Detalle_Unidades!A86:A632)</f>
        <v>ESMR</v>
      </c>
    </row>
    <row r="91" spans="1:15" x14ac:dyDescent="0.25">
      <c r="A91" s="11" t="s">
        <v>2690</v>
      </c>
      <c r="B91" s="11" t="s">
        <v>897</v>
      </c>
      <c r="C91" s="9">
        <v>0</v>
      </c>
      <c r="D91" s="9">
        <v>15</v>
      </c>
      <c r="E91" s="9">
        <f t="shared" si="3"/>
        <v>0</v>
      </c>
      <c r="F91" s="12">
        <f t="shared" si="4"/>
        <v>11.419870574800154</v>
      </c>
      <c r="G91" s="9" t="str">
        <f>_xlfn.XLOOKUP(N91,[3]Phidráulica!$A$10:$A$166,[3]Phidráulica!$J$10:$J$166)</f>
        <v>1,3135</v>
      </c>
      <c r="H91" s="9">
        <v>0</v>
      </c>
      <c r="I91" s="12" t="str">
        <f>IFERROR(_xlfn.XLOOKUP(N91,[4]Información_Técnica!$A$7:$A$35,[4]Información_Técnica!$F$7:$F$35),0)</f>
        <v>67,7</v>
      </c>
      <c r="J91" s="12">
        <f t="shared" si="5"/>
        <v>67.7</v>
      </c>
      <c r="K91" s="9">
        <v>0</v>
      </c>
      <c r="M91" s="9">
        <v>0</v>
      </c>
      <c r="N91" s="11" t="s">
        <v>2686</v>
      </c>
      <c r="O91" s="11" t="str">
        <f>_xlfn.XLOOKUP(N91,Detalle_Unidades!F87:F633,Detalle_Unidades!A87:A633)</f>
        <v>ESMR</v>
      </c>
    </row>
    <row r="92" spans="1:15" x14ac:dyDescent="0.25">
      <c r="A92" s="11" t="s">
        <v>2782</v>
      </c>
      <c r="B92" s="11" t="s">
        <v>897</v>
      </c>
      <c r="C92" s="9">
        <v>0</v>
      </c>
      <c r="D92" s="9">
        <v>132</v>
      </c>
      <c r="E92" s="9">
        <f t="shared" si="3"/>
        <v>0</v>
      </c>
      <c r="F92" s="12">
        <f t="shared" si="4"/>
        <v>63.851400377303733</v>
      </c>
      <c r="G92" s="9" t="str">
        <f>_xlfn.XLOOKUP(N92,[3]Phidráulica!$A$10:$A$166,[3]Phidráulica!$J$10:$J$166)</f>
        <v>2,0673</v>
      </c>
      <c r="H92" s="9">
        <v>0</v>
      </c>
      <c r="I92" s="12">
        <f>IFERROR(_xlfn.XLOOKUP(N92,[4]Información_Técnica!$A$7:$A$35,[4]Información_Técnica!$F$7:$F$35),0)</f>
        <v>0</v>
      </c>
      <c r="J92" s="12">
        <f t="shared" si="5"/>
        <v>0</v>
      </c>
      <c r="K92" s="9">
        <v>0</v>
      </c>
      <c r="M92" s="9">
        <v>20</v>
      </c>
      <c r="N92" s="11" t="s">
        <v>2781</v>
      </c>
      <c r="O92" s="11" t="str">
        <f>_xlfn.XLOOKUP(N92,Detalle_Unidades!F88:F634,Detalle_Unidades!A88:A634)</f>
        <v>HMLG</v>
      </c>
    </row>
    <row r="93" spans="1:15" x14ac:dyDescent="0.25">
      <c r="A93" s="11" t="s">
        <v>2785</v>
      </c>
      <c r="B93" s="11" t="s">
        <v>897</v>
      </c>
      <c r="C93" s="9">
        <v>0</v>
      </c>
      <c r="D93" s="9">
        <v>132</v>
      </c>
      <c r="E93" s="9">
        <f t="shared" si="3"/>
        <v>0</v>
      </c>
      <c r="F93" s="12">
        <f t="shared" si="4"/>
        <v>63.851400377303733</v>
      </c>
      <c r="G93" s="9" t="str">
        <f>_xlfn.XLOOKUP(N93,[3]Phidráulica!$A$10:$A$166,[3]Phidráulica!$J$10:$J$166)</f>
        <v>2,0673</v>
      </c>
      <c r="H93" s="9">
        <v>0</v>
      </c>
      <c r="I93" s="12">
        <f>IFERROR(_xlfn.XLOOKUP(N93,[4]Información_Técnica!$A$7:$A$35,[4]Información_Técnica!$F$7:$F$35),0)</f>
        <v>0</v>
      </c>
      <c r="J93" s="12">
        <f t="shared" si="5"/>
        <v>0</v>
      </c>
      <c r="K93" s="9">
        <v>0</v>
      </c>
      <c r="M93" s="9">
        <v>20</v>
      </c>
      <c r="N93" s="11" t="s">
        <v>2781</v>
      </c>
      <c r="O93" s="11" t="str">
        <f>_xlfn.XLOOKUP(N93,Detalle_Unidades!F89:F635,Detalle_Unidades!A89:A635)</f>
        <v>HMLG</v>
      </c>
    </row>
    <row r="94" spans="1:15" x14ac:dyDescent="0.25">
      <c r="A94" s="11" t="s">
        <v>2787</v>
      </c>
      <c r="B94" s="11" t="s">
        <v>897</v>
      </c>
      <c r="C94" s="9">
        <v>0</v>
      </c>
      <c r="D94" s="9">
        <v>132</v>
      </c>
      <c r="E94" s="9">
        <f t="shared" si="3"/>
        <v>0</v>
      </c>
      <c r="F94" s="12">
        <f t="shared" si="4"/>
        <v>63.851400377303733</v>
      </c>
      <c r="G94" s="9" t="str">
        <f>_xlfn.XLOOKUP(N94,[3]Phidráulica!$A$10:$A$166,[3]Phidráulica!$J$10:$J$166)</f>
        <v>2,0673</v>
      </c>
      <c r="H94" s="9">
        <v>0</v>
      </c>
      <c r="I94" s="12">
        <f>IFERROR(_xlfn.XLOOKUP(N94,[4]Información_Técnica!$A$7:$A$35,[4]Información_Técnica!$F$7:$F$35),0)</f>
        <v>0</v>
      </c>
      <c r="J94" s="12">
        <f t="shared" si="5"/>
        <v>0</v>
      </c>
      <c r="K94" s="9">
        <v>0</v>
      </c>
      <c r="M94" s="9">
        <v>20</v>
      </c>
      <c r="N94" s="11" t="s">
        <v>2781</v>
      </c>
      <c r="O94" s="11" t="str">
        <f>_xlfn.XLOOKUP(N94,Detalle_Unidades!F90:F636,Detalle_Unidades!A90:A636)</f>
        <v>HMLG</v>
      </c>
    </row>
    <row r="95" spans="1:15" x14ac:dyDescent="0.25">
      <c r="A95" s="11" t="s">
        <v>2869</v>
      </c>
      <c r="B95" s="11" t="s">
        <v>897</v>
      </c>
      <c r="C95" s="9">
        <v>0</v>
      </c>
      <c r="D95" s="9">
        <v>45</v>
      </c>
      <c r="E95" s="9">
        <f t="shared" si="3"/>
        <v>0</v>
      </c>
      <c r="F95" s="12">
        <f t="shared" si="4"/>
        <v>28.515303212724159</v>
      </c>
      <c r="G95" s="9" t="str">
        <f>_xlfn.XLOOKUP(N95,[3]Phidráulica!$A$10:$A$166,[3]Phidráulica!$J$10:$J$166)</f>
        <v>1,5781</v>
      </c>
      <c r="H95" s="9">
        <v>0</v>
      </c>
      <c r="I95" s="12">
        <f>IFERROR(_xlfn.XLOOKUP(N95,[4]Información_Técnica!$A$7:$A$35,[4]Información_Técnica!$F$7:$F$35),0)</f>
        <v>0</v>
      </c>
      <c r="J95" s="12">
        <f t="shared" si="5"/>
        <v>0</v>
      </c>
      <c r="K95" s="9">
        <v>0</v>
      </c>
      <c r="M95" s="9">
        <v>12</v>
      </c>
      <c r="N95" s="11" t="s">
        <v>2868</v>
      </c>
      <c r="O95" s="11" t="str">
        <f>_xlfn.XLOOKUP(N95,Detalle_Unidades!F91:F637,Detalle_Unidades!A91:A637)</f>
        <v>SNFR</v>
      </c>
    </row>
    <row r="96" spans="1:15" x14ac:dyDescent="0.25">
      <c r="A96" s="11" t="s">
        <v>2871</v>
      </c>
      <c r="B96" s="11" t="s">
        <v>897</v>
      </c>
      <c r="C96" s="9">
        <v>0</v>
      </c>
      <c r="D96" s="9">
        <v>45</v>
      </c>
      <c r="E96" s="9">
        <f t="shared" si="3"/>
        <v>0</v>
      </c>
      <c r="F96" s="12">
        <f t="shared" si="4"/>
        <v>28.515303212724159</v>
      </c>
      <c r="G96" s="9" t="str">
        <f>_xlfn.XLOOKUP(N96,[3]Phidráulica!$A$10:$A$166,[3]Phidráulica!$J$10:$J$166)</f>
        <v>1,5781</v>
      </c>
      <c r="H96" s="9">
        <v>0</v>
      </c>
      <c r="I96" s="12">
        <f>IFERROR(_xlfn.XLOOKUP(N96,[4]Información_Técnica!$A$7:$A$35,[4]Información_Técnica!$F$7:$F$35),0)</f>
        <v>0</v>
      </c>
      <c r="J96" s="12">
        <f t="shared" si="5"/>
        <v>0</v>
      </c>
      <c r="K96" s="9">
        <v>0</v>
      </c>
      <c r="M96" s="9">
        <v>12</v>
      </c>
      <c r="N96" s="11" t="s">
        <v>2868</v>
      </c>
      <c r="O96" s="11" t="str">
        <f>_xlfn.XLOOKUP(N96,Detalle_Unidades!F92:F638,Detalle_Unidades!A92:A638)</f>
        <v>SNFR</v>
      </c>
    </row>
    <row r="97" spans="1:15" x14ac:dyDescent="0.25">
      <c r="A97" s="11" t="s">
        <v>2873</v>
      </c>
      <c r="B97" s="11" t="s">
        <v>897</v>
      </c>
      <c r="C97" s="9">
        <v>0</v>
      </c>
      <c r="D97" s="9">
        <v>45</v>
      </c>
      <c r="E97" s="9">
        <f t="shared" si="3"/>
        <v>0</v>
      </c>
      <c r="F97" s="12">
        <f t="shared" si="4"/>
        <v>28.515303212724159</v>
      </c>
      <c r="G97" s="9" t="str">
        <f>_xlfn.XLOOKUP(N97,[3]Phidráulica!$A$10:$A$166,[3]Phidráulica!$J$10:$J$166)</f>
        <v>1,5781</v>
      </c>
      <c r="H97" s="9">
        <v>0</v>
      </c>
      <c r="I97" s="12">
        <f>IFERROR(_xlfn.XLOOKUP(N97,[4]Información_Técnica!$A$7:$A$35,[4]Información_Técnica!$F$7:$F$35),0)</f>
        <v>0</v>
      </c>
      <c r="J97" s="12">
        <f t="shared" si="5"/>
        <v>0</v>
      </c>
      <c r="K97" s="9">
        <v>0</v>
      </c>
      <c r="M97" s="9">
        <v>12</v>
      </c>
      <c r="N97" s="11" t="s">
        <v>2868</v>
      </c>
      <c r="O97" s="11" t="str">
        <f>_xlfn.XLOOKUP(N97,Detalle_Unidades!F93:F639,Detalle_Unidades!A93:A639)</f>
        <v>SNFR</v>
      </c>
    </row>
    <row r="98" spans="1:15" x14ac:dyDescent="0.25">
      <c r="A98" s="11" t="s">
        <v>411</v>
      </c>
      <c r="B98" s="11" t="s">
        <v>240</v>
      </c>
      <c r="C98" s="9">
        <v>0</v>
      </c>
      <c r="D98" s="9">
        <v>40</v>
      </c>
      <c r="E98" s="9">
        <f t="shared" si="3"/>
        <v>0</v>
      </c>
      <c r="F98" s="12">
        <f t="shared" si="4"/>
        <v>8.2399472643375073</v>
      </c>
      <c r="G98" s="9" t="str">
        <f>_xlfn.XLOOKUP(N98,[3]Phidráulica!$A$10:$A$166,[3]Phidráulica!$J$10:$J$166)</f>
        <v>4,8544</v>
      </c>
      <c r="H98" s="9">
        <v>0</v>
      </c>
      <c r="I98" s="12">
        <f>IFERROR(_xlfn.XLOOKUP(N98,[4]Información_Técnica!$A$7:$A$35,[4]Información_Técnica!$F$7:$F$35),0)</f>
        <v>0</v>
      </c>
      <c r="J98" s="12">
        <f t="shared" si="5"/>
        <v>0</v>
      </c>
      <c r="K98" s="9">
        <v>0</v>
      </c>
      <c r="M98" s="9">
        <v>6.6</v>
      </c>
      <c r="N98" s="11" t="s">
        <v>283</v>
      </c>
      <c r="O98" s="11" t="str">
        <f>_xlfn.XLOOKUP(N98,Detalle_Unidades!F94:F640,Detalle_Unidades!A94:A640)</f>
        <v>MOY1</v>
      </c>
    </row>
    <row r="99" spans="1:15" x14ac:dyDescent="0.25">
      <c r="A99" s="11" t="s">
        <v>2599</v>
      </c>
      <c r="B99" s="11" t="s">
        <v>240</v>
      </c>
      <c r="C99" s="9">
        <v>0</v>
      </c>
      <c r="D99" s="9">
        <v>40</v>
      </c>
      <c r="E99" s="9">
        <f t="shared" si="3"/>
        <v>0</v>
      </c>
      <c r="F99" s="12">
        <f t="shared" si="4"/>
        <v>8.2399472643375073</v>
      </c>
      <c r="G99" s="9" t="str">
        <f>_xlfn.XLOOKUP(N99,[3]Phidráulica!$A$10:$A$166,[3]Phidráulica!$J$10:$J$166)</f>
        <v>4,8544</v>
      </c>
      <c r="H99" s="9">
        <v>0</v>
      </c>
      <c r="I99" s="12">
        <f>IFERROR(_xlfn.XLOOKUP(N99,[4]Información_Técnica!$A$7:$A$35,[4]Información_Técnica!$F$7:$F$35),0)</f>
        <v>0</v>
      </c>
      <c r="J99" s="12">
        <f t="shared" si="5"/>
        <v>0</v>
      </c>
      <c r="K99" s="9">
        <v>0</v>
      </c>
      <c r="M99" s="9">
        <v>6.6</v>
      </c>
      <c r="N99" s="11" t="s">
        <v>283</v>
      </c>
      <c r="O99" s="11" t="str">
        <f>_xlfn.XLOOKUP(N99,Detalle_Unidades!F95:F641,Detalle_Unidades!A95:A641)</f>
        <v>MOY1</v>
      </c>
    </row>
    <row r="100" spans="1:15" x14ac:dyDescent="0.25">
      <c r="A100" s="11" t="s">
        <v>2611</v>
      </c>
      <c r="B100" s="11" t="s">
        <v>240</v>
      </c>
      <c r="C100" s="9">
        <v>0</v>
      </c>
      <c r="D100" s="9">
        <v>180</v>
      </c>
      <c r="E100" s="9">
        <f t="shared" si="3"/>
        <v>0</v>
      </c>
      <c r="F100" s="12">
        <f t="shared" si="4"/>
        <v>305.34351145038164</v>
      </c>
      <c r="G100" s="9" t="str">
        <f>_xlfn.XLOOKUP(N100,[3]Phidráulica!$A$10:$A$166,[3]Phidráulica!$J$10:$J$166)</f>
        <v>0,5895</v>
      </c>
      <c r="H100" s="9">
        <v>0</v>
      </c>
      <c r="I100" s="12" t="str">
        <f>IFERROR(_xlfn.XLOOKUP(N100,[4]Información_Técnica!$A$7:$A$35,[4]Información_Técnica!$F$7:$F$35),0)</f>
        <v>448,19</v>
      </c>
      <c r="J100" s="12">
        <f t="shared" si="5"/>
        <v>448.19</v>
      </c>
      <c r="K100" s="9">
        <v>0</v>
      </c>
      <c r="M100" s="9">
        <v>60</v>
      </c>
      <c r="N100" s="11" t="s">
        <v>2610</v>
      </c>
      <c r="O100" s="11" t="str">
        <f>_xlfn.XLOOKUP(N100,Detalle_Unidades!F96:F642,Detalle_Unidades!A96:A642)</f>
        <v>CHBG</v>
      </c>
    </row>
    <row r="101" spans="1:15" x14ac:dyDescent="0.25">
      <c r="A101" s="11" t="s">
        <v>2614</v>
      </c>
      <c r="B101" s="11" t="s">
        <v>240</v>
      </c>
      <c r="C101" s="9">
        <v>0</v>
      </c>
      <c r="D101" s="9">
        <v>180</v>
      </c>
      <c r="E101" s="9">
        <f t="shared" si="3"/>
        <v>0</v>
      </c>
      <c r="F101" s="12">
        <f t="shared" si="4"/>
        <v>305.34351145038164</v>
      </c>
      <c r="G101" s="9" t="str">
        <f>_xlfn.XLOOKUP(N101,[3]Phidráulica!$A$10:$A$166,[3]Phidráulica!$J$10:$J$166)</f>
        <v>0,5895</v>
      </c>
      <c r="H101" s="9">
        <v>0</v>
      </c>
      <c r="I101" s="12" t="str">
        <f>IFERROR(_xlfn.XLOOKUP(N101,[4]Información_Técnica!$A$7:$A$35,[4]Información_Técnica!$F$7:$F$35),0)</f>
        <v>448,19</v>
      </c>
      <c r="J101" s="12">
        <f t="shared" si="5"/>
        <v>448.19</v>
      </c>
      <c r="K101" s="9">
        <v>0</v>
      </c>
      <c r="M101" s="9">
        <v>60</v>
      </c>
      <c r="N101" s="11" t="s">
        <v>2610</v>
      </c>
      <c r="O101" s="11" t="str">
        <f>_xlfn.XLOOKUP(N101,Detalle_Unidades!F97:F643,Detalle_Unidades!A97:A643)</f>
        <v>CHBG</v>
      </c>
    </row>
    <row r="102" spans="1:15" x14ac:dyDescent="0.25">
      <c r="A102" s="11" t="s">
        <v>2616</v>
      </c>
      <c r="B102" s="11" t="s">
        <v>240</v>
      </c>
      <c r="C102" s="9">
        <v>0</v>
      </c>
      <c r="D102" s="9">
        <v>180</v>
      </c>
      <c r="E102" s="9">
        <f t="shared" si="3"/>
        <v>0</v>
      </c>
      <c r="F102" s="12">
        <f t="shared" si="4"/>
        <v>305.34351145038164</v>
      </c>
      <c r="G102" s="9" t="str">
        <f>_xlfn.XLOOKUP(N102,[3]Phidráulica!$A$10:$A$166,[3]Phidráulica!$J$10:$J$166)</f>
        <v>0,5895</v>
      </c>
      <c r="H102" s="9">
        <v>0</v>
      </c>
      <c r="I102" s="12" t="str">
        <f>IFERROR(_xlfn.XLOOKUP(N102,[4]Información_Técnica!$A$7:$A$35,[4]Información_Técnica!$F$7:$F$35),0)</f>
        <v>448,19</v>
      </c>
      <c r="J102" s="12">
        <f t="shared" si="5"/>
        <v>448.19</v>
      </c>
      <c r="K102" s="9">
        <v>0</v>
      </c>
      <c r="M102" s="9">
        <v>60</v>
      </c>
      <c r="N102" s="11" t="s">
        <v>2610</v>
      </c>
      <c r="O102" s="11" t="str">
        <f>_xlfn.XLOOKUP(N102,Detalle_Unidades!F98:F644,Detalle_Unidades!A98:A644)</f>
        <v>CHBG</v>
      </c>
    </row>
    <row r="103" spans="1:15" x14ac:dyDescent="0.25">
      <c r="A103" s="11" t="s">
        <v>2657</v>
      </c>
      <c r="B103" s="11" t="s">
        <v>240</v>
      </c>
      <c r="C103" s="9">
        <v>0</v>
      </c>
      <c r="D103" s="9">
        <v>28</v>
      </c>
      <c r="E103" s="9">
        <f t="shared" si="3"/>
        <v>0</v>
      </c>
      <c r="F103" s="12">
        <f t="shared" si="4"/>
        <v>4.7077812899320728</v>
      </c>
      <c r="G103" s="9" t="str">
        <f>_xlfn.XLOOKUP(N103,[3]Phidráulica!$A$10:$A$166,[3]Phidráulica!$J$10:$J$166)</f>
        <v>5,9476</v>
      </c>
      <c r="H103" s="9">
        <v>0</v>
      </c>
      <c r="I103" s="12">
        <f>IFERROR(_xlfn.XLOOKUP(N103,[4]Información_Técnica!$A$7:$A$35,[4]Información_Técnica!$F$7:$F$35),0)</f>
        <v>0</v>
      </c>
      <c r="J103" s="12">
        <f t="shared" si="5"/>
        <v>0</v>
      </c>
      <c r="K103" s="9">
        <v>0</v>
      </c>
      <c r="M103" s="9">
        <v>3</v>
      </c>
      <c r="N103" s="11" t="s">
        <v>2656</v>
      </c>
      <c r="O103" s="11" t="str">
        <f>_xlfn.XLOOKUP(N103,Detalle_Unidades!F99:F645,Detalle_Unidades!A99:A645)</f>
        <v>CUC1</v>
      </c>
    </row>
    <row r="104" spans="1:15" x14ac:dyDescent="0.25">
      <c r="A104" s="11" t="s">
        <v>2660</v>
      </c>
      <c r="B104" s="11" t="s">
        <v>240</v>
      </c>
      <c r="C104" s="9">
        <v>0</v>
      </c>
      <c r="D104" s="9">
        <v>28</v>
      </c>
      <c r="E104" s="9">
        <f t="shared" si="3"/>
        <v>0</v>
      </c>
      <c r="F104" s="12">
        <f t="shared" si="4"/>
        <v>4.7077812899320728</v>
      </c>
      <c r="G104" s="9" t="str">
        <f>_xlfn.XLOOKUP(N104,[3]Phidráulica!$A$10:$A$166,[3]Phidráulica!$J$10:$J$166)</f>
        <v>5,9476</v>
      </c>
      <c r="H104" s="9">
        <v>0</v>
      </c>
      <c r="I104" s="12">
        <f>IFERROR(_xlfn.XLOOKUP(N104,[4]Información_Técnica!$A$7:$A$35,[4]Información_Técnica!$F$7:$F$35),0)</f>
        <v>0</v>
      </c>
      <c r="J104" s="12">
        <f t="shared" si="5"/>
        <v>0</v>
      </c>
      <c r="K104" s="9">
        <v>0</v>
      </c>
      <c r="M104" s="9">
        <v>3</v>
      </c>
      <c r="N104" s="11" t="s">
        <v>2656</v>
      </c>
      <c r="O104" s="11" t="str">
        <f>_xlfn.XLOOKUP(N104,Detalle_Unidades!F100:F646,Detalle_Unidades!A100:A646)</f>
        <v>CUC1</v>
      </c>
    </row>
    <row r="105" spans="1:15" x14ac:dyDescent="0.25">
      <c r="A105" s="11" t="s">
        <v>2827</v>
      </c>
      <c r="B105" s="11" t="s">
        <v>240</v>
      </c>
      <c r="C105" s="9">
        <v>0</v>
      </c>
      <c r="D105" s="9">
        <v>17</v>
      </c>
      <c r="E105" s="9">
        <f t="shared" si="3"/>
        <v>0</v>
      </c>
      <c r="F105" s="12">
        <f t="shared" si="4"/>
        <v>34.115994380895039</v>
      </c>
      <c r="G105" s="9" t="str">
        <f>_xlfn.XLOOKUP(N105,[3]Phidráulica!$A$10:$A$166,[3]Phidráulica!$J$10:$J$166)</f>
        <v>0,4983</v>
      </c>
      <c r="H105" s="9">
        <v>0</v>
      </c>
      <c r="I105" s="12" t="str">
        <f>IFERROR(_xlfn.XLOOKUP(N105,[4]Información_Técnica!$A$7:$A$35,[4]Información_Técnica!$F$7:$F$35),0)</f>
        <v>327,82</v>
      </c>
      <c r="J105" s="12">
        <f t="shared" si="5"/>
        <v>327.82</v>
      </c>
      <c r="K105" s="9">
        <v>0</v>
      </c>
      <c r="M105" s="9">
        <v>1</v>
      </c>
      <c r="N105" s="11" t="s">
        <v>2826</v>
      </c>
      <c r="O105" s="11" t="str">
        <f>_xlfn.XLOOKUP(N105,Detalle_Unidades!F101:F647,Detalle_Unidades!A101:A647)</f>
        <v>PRDO</v>
      </c>
    </row>
    <row r="106" spans="1:15" x14ac:dyDescent="0.25">
      <c r="A106" s="11" t="s">
        <v>2830</v>
      </c>
      <c r="B106" s="11" t="s">
        <v>240</v>
      </c>
      <c r="C106" s="9">
        <v>0</v>
      </c>
      <c r="D106" s="9">
        <v>17</v>
      </c>
      <c r="E106" s="9">
        <f t="shared" si="3"/>
        <v>0</v>
      </c>
      <c r="F106" s="12">
        <f t="shared" si="4"/>
        <v>34.115994380895039</v>
      </c>
      <c r="G106" s="9" t="str">
        <f>_xlfn.XLOOKUP(N106,[3]Phidráulica!$A$10:$A$166,[3]Phidráulica!$J$10:$J$166)</f>
        <v>0,4983</v>
      </c>
      <c r="H106" s="9">
        <v>0</v>
      </c>
      <c r="I106" s="12" t="str">
        <f>IFERROR(_xlfn.XLOOKUP(N106,[4]Información_Técnica!$A$7:$A$35,[4]Información_Técnica!$F$7:$F$35),0)</f>
        <v>327,82</v>
      </c>
      <c r="J106" s="12">
        <f t="shared" si="5"/>
        <v>327.82</v>
      </c>
      <c r="K106" s="9">
        <v>0</v>
      </c>
      <c r="M106" s="9">
        <v>1</v>
      </c>
      <c r="N106" s="11" t="s">
        <v>2826</v>
      </c>
      <c r="O106" s="11" t="str">
        <f>_xlfn.XLOOKUP(N106,Detalle_Unidades!F102:F648,Detalle_Unidades!A102:A648)</f>
        <v>PRDO</v>
      </c>
    </row>
    <row r="107" spans="1:15" x14ac:dyDescent="0.25">
      <c r="A107" s="11" t="s">
        <v>2832</v>
      </c>
      <c r="B107" s="11" t="s">
        <v>240</v>
      </c>
      <c r="C107" s="9">
        <v>0</v>
      </c>
      <c r="D107" s="9">
        <v>17</v>
      </c>
      <c r="E107" s="9">
        <f t="shared" si="3"/>
        <v>0</v>
      </c>
      <c r="F107" s="12">
        <f t="shared" si="4"/>
        <v>34.115994380895039</v>
      </c>
      <c r="G107" s="9" t="str">
        <f>_xlfn.XLOOKUP(N107,[3]Phidráulica!$A$10:$A$166,[3]Phidráulica!$J$10:$J$166)</f>
        <v>0,4983</v>
      </c>
      <c r="H107" s="9">
        <v>0</v>
      </c>
      <c r="I107" s="12" t="str">
        <f>IFERROR(_xlfn.XLOOKUP(N107,[4]Información_Técnica!$A$7:$A$35,[4]Información_Técnica!$F$7:$F$35),0)</f>
        <v>327,82</v>
      </c>
      <c r="J107" s="12">
        <f t="shared" si="5"/>
        <v>327.82</v>
      </c>
      <c r="K107" s="9">
        <v>0</v>
      </c>
      <c r="M107" s="9">
        <v>1</v>
      </c>
      <c r="N107" s="11" t="s">
        <v>2826</v>
      </c>
      <c r="O107" s="11" t="str">
        <f>_xlfn.XLOOKUP(N107,Detalle_Unidades!F103:F649,Detalle_Unidades!A103:A649)</f>
        <v>PRDO</v>
      </c>
    </row>
    <row r="108" spans="1:15" x14ac:dyDescent="0.25">
      <c r="A108" s="11" t="s">
        <v>2882</v>
      </c>
      <c r="B108" s="11" t="s">
        <v>931</v>
      </c>
      <c r="C108" s="9">
        <v>0</v>
      </c>
      <c r="D108" s="9">
        <v>273</v>
      </c>
      <c r="E108" s="9">
        <f t="shared" si="3"/>
        <v>0</v>
      </c>
      <c r="F108" s="12">
        <f t="shared" si="4"/>
        <v>195.40476701739317</v>
      </c>
      <c r="G108" s="9" t="str">
        <f>_xlfn.XLOOKUP(N108,[3]Phidráulica!$A$10:$A$166,[3]Phidráulica!$J$10:$J$166)</f>
        <v>1,3971</v>
      </c>
      <c r="H108" s="9">
        <v>0</v>
      </c>
      <c r="I108" s="12">
        <f>IFERROR(_xlfn.XLOOKUP(N108,[4]Información_Técnica!$A$7:$A$35,[4]Información_Técnica!$F$7:$F$35),0)</f>
        <v>0</v>
      </c>
      <c r="J108" s="12">
        <f t="shared" si="5"/>
        <v>0</v>
      </c>
      <c r="K108" s="9">
        <v>0</v>
      </c>
      <c r="M108" s="9">
        <v>120</v>
      </c>
      <c r="N108" s="11" t="s">
        <v>611</v>
      </c>
      <c r="O108" s="11" t="str">
        <f>_xlfn.XLOOKUP(N108,Detalle_Unidades!F104:F650,Detalle_Unidades!A104:A650)</f>
        <v>SOG1</v>
      </c>
    </row>
    <row r="109" spans="1:15" x14ac:dyDescent="0.25">
      <c r="A109" s="11" t="s">
        <v>2885</v>
      </c>
      <c r="B109" s="11" t="s">
        <v>931</v>
      </c>
      <c r="C109" s="9">
        <v>0</v>
      </c>
      <c r="D109" s="9">
        <v>273</v>
      </c>
      <c r="E109" s="9">
        <f t="shared" si="3"/>
        <v>0</v>
      </c>
      <c r="F109" s="12">
        <f t="shared" si="4"/>
        <v>195.40476701739317</v>
      </c>
      <c r="G109" s="9" t="str">
        <f>_xlfn.XLOOKUP(N109,[3]Phidráulica!$A$10:$A$166,[3]Phidráulica!$J$10:$J$166)</f>
        <v>1,3971</v>
      </c>
      <c r="H109" s="9">
        <v>0</v>
      </c>
      <c r="I109" s="12">
        <f>IFERROR(_xlfn.XLOOKUP(N109,[4]Información_Técnica!$A$7:$A$35,[4]Información_Técnica!$F$7:$F$35),0)</f>
        <v>0</v>
      </c>
      <c r="J109" s="12">
        <f t="shared" si="5"/>
        <v>0</v>
      </c>
      <c r="K109" s="9">
        <v>0</v>
      </c>
      <c r="M109" s="9">
        <v>120</v>
      </c>
      <c r="N109" s="11" t="s">
        <v>611</v>
      </c>
      <c r="O109" s="11" t="str">
        <f>_xlfn.XLOOKUP(N109,Detalle_Unidades!F105:F651,Detalle_Unidades!A105:A651)</f>
        <v>SOG1</v>
      </c>
    </row>
    <row r="110" spans="1:15" x14ac:dyDescent="0.25">
      <c r="A110" s="11" t="s">
        <v>2887</v>
      </c>
      <c r="B110" s="11" t="s">
        <v>931</v>
      </c>
      <c r="C110" s="9">
        <v>0</v>
      </c>
      <c r="D110" s="9">
        <v>273</v>
      </c>
      <c r="E110" s="9">
        <f t="shared" si="3"/>
        <v>0</v>
      </c>
      <c r="F110" s="12">
        <f t="shared" si="4"/>
        <v>195.40476701739317</v>
      </c>
      <c r="G110" s="9" t="str">
        <f>_xlfn.XLOOKUP(N110,[3]Phidráulica!$A$10:$A$166,[3]Phidráulica!$J$10:$J$166)</f>
        <v>1,3971</v>
      </c>
      <c r="H110" s="9">
        <v>0</v>
      </c>
      <c r="I110" s="12">
        <f>IFERROR(_xlfn.XLOOKUP(N110,[4]Información_Técnica!$A$7:$A$35,[4]Información_Técnica!$F$7:$F$35),0)</f>
        <v>0</v>
      </c>
      <c r="J110" s="12">
        <f t="shared" si="5"/>
        <v>0</v>
      </c>
      <c r="K110" s="9">
        <v>0</v>
      </c>
      <c r="M110" s="9">
        <v>120</v>
      </c>
      <c r="N110" s="11" t="s">
        <v>611</v>
      </c>
      <c r="O110" s="11" t="str">
        <f>_xlfn.XLOOKUP(N110,Detalle_Unidades!F106:F652,Detalle_Unidades!A106:A652)</f>
        <v>SOG1</v>
      </c>
    </row>
    <row r="111" spans="1:15" x14ac:dyDescent="0.25">
      <c r="A111" s="11" t="s">
        <v>273</v>
      </c>
      <c r="B111" s="11" t="s">
        <v>239</v>
      </c>
      <c r="C111" s="9">
        <v>0</v>
      </c>
      <c r="D111" s="9">
        <v>115</v>
      </c>
      <c r="E111" s="9">
        <f t="shared" si="3"/>
        <v>0</v>
      </c>
      <c r="F111" s="12">
        <f t="shared" si="4"/>
        <v>32.771001937763593</v>
      </c>
      <c r="G111" s="9" t="str">
        <f>_xlfn.XLOOKUP(N111,[3]Phidráulica!$A$10:$A$166,[3]Phidráulica!$J$10:$J$166)</f>
        <v>3,5092</v>
      </c>
      <c r="H111" s="9">
        <v>0</v>
      </c>
      <c r="I111" s="12" t="str">
        <f>IFERROR(_xlfn.XLOOKUP(N111,[4]Información_Técnica!$A$7:$A$35,[4]Información_Técnica!$F$7:$F$35),0)</f>
        <v>6,32</v>
      </c>
      <c r="J111" s="12">
        <f t="shared" si="5"/>
        <v>6.32</v>
      </c>
      <c r="K111" s="9">
        <v>0</v>
      </c>
      <c r="M111" s="9">
        <v>30</v>
      </c>
      <c r="N111" s="11" t="s">
        <v>204</v>
      </c>
      <c r="O111" s="15">
        <f>_xlfn.XLOOKUP(N111,Detalle_Unidades!F107:F653,Detalle_Unidades!A107:A653)</f>
        <v>0</v>
      </c>
    </row>
    <row r="112" spans="1:15" x14ac:dyDescent="0.25">
      <c r="A112" s="11" t="s">
        <v>274</v>
      </c>
      <c r="B112" s="11" t="s">
        <v>239</v>
      </c>
      <c r="C112" s="9">
        <v>0</v>
      </c>
      <c r="D112" s="9">
        <v>120</v>
      </c>
      <c r="E112" s="9">
        <f t="shared" si="3"/>
        <v>0</v>
      </c>
      <c r="F112" s="12">
        <f t="shared" si="4"/>
        <v>34.195828108970709</v>
      </c>
      <c r="G112" s="9" t="str">
        <f>_xlfn.XLOOKUP(N112,[3]Phidráulica!$A$10:$A$166,[3]Phidráulica!$J$10:$J$166)</f>
        <v>3,5092</v>
      </c>
      <c r="H112" s="9">
        <v>0</v>
      </c>
      <c r="I112" s="12" t="str">
        <f>IFERROR(_xlfn.XLOOKUP(N112,[4]Información_Técnica!$A$7:$A$35,[4]Información_Técnica!$F$7:$F$35),0)</f>
        <v>6,32</v>
      </c>
      <c r="J112" s="12">
        <f t="shared" si="5"/>
        <v>6.32</v>
      </c>
      <c r="K112" s="9">
        <v>0</v>
      </c>
      <c r="M112" s="9">
        <v>30</v>
      </c>
      <c r="N112" s="11" t="s">
        <v>204</v>
      </c>
      <c r="O112" s="15">
        <f>_xlfn.XLOOKUP(N112,Detalle_Unidades!F108:F654,Detalle_Unidades!A108:A654)</f>
        <v>0</v>
      </c>
    </row>
    <row r="113" spans="1:15" x14ac:dyDescent="0.25">
      <c r="A113" s="11" t="s">
        <v>275</v>
      </c>
      <c r="B113" s="11" t="s">
        <v>239</v>
      </c>
      <c r="C113" s="9">
        <v>0</v>
      </c>
      <c r="D113" s="9">
        <v>120</v>
      </c>
      <c r="E113" s="9">
        <f t="shared" si="3"/>
        <v>0</v>
      </c>
      <c r="F113" s="12">
        <f t="shared" si="4"/>
        <v>34.195828108970709</v>
      </c>
      <c r="G113" s="9" t="str">
        <f>_xlfn.XLOOKUP(N113,[3]Phidráulica!$A$10:$A$166,[3]Phidráulica!$J$10:$J$166)</f>
        <v>3,5092</v>
      </c>
      <c r="H113" s="9">
        <v>0</v>
      </c>
      <c r="I113" s="12" t="str">
        <f>IFERROR(_xlfn.XLOOKUP(N113,[4]Información_Técnica!$A$7:$A$35,[4]Información_Técnica!$F$7:$F$35),0)</f>
        <v>6,32</v>
      </c>
      <c r="J113" s="12">
        <f t="shared" si="5"/>
        <v>6.32</v>
      </c>
      <c r="K113" s="9">
        <v>0</v>
      </c>
      <c r="M113" s="9">
        <v>30</v>
      </c>
      <c r="N113" s="11" t="s">
        <v>204</v>
      </c>
      <c r="O113" s="15">
        <f>_xlfn.XLOOKUP(N113,Detalle_Unidades!F109:F655,Detalle_Unidades!A109:A655)</f>
        <v>0</v>
      </c>
    </row>
    <row r="114" spans="1:15" x14ac:dyDescent="0.25">
      <c r="A114" s="11" t="s">
        <v>2601</v>
      </c>
      <c r="B114" s="11" t="s">
        <v>239</v>
      </c>
      <c r="C114" s="9">
        <v>0</v>
      </c>
      <c r="D114" s="9">
        <v>12</v>
      </c>
      <c r="E114" s="9">
        <f t="shared" si="3"/>
        <v>0</v>
      </c>
      <c r="F114" s="12">
        <f t="shared" si="4"/>
        <v>20.321761219305671</v>
      </c>
      <c r="G114" s="9" t="str">
        <f>_xlfn.XLOOKUP(N114,[3]Phidráulica!$A$10:$A$166,[3]Phidráulica!$J$10:$J$166)</f>
        <v>0,5905</v>
      </c>
      <c r="H114" s="9">
        <v>0</v>
      </c>
      <c r="I114" s="12">
        <f>IFERROR(_xlfn.XLOOKUP(N114,[4]Información_Técnica!$A$7:$A$35,[4]Información_Técnica!$F$7:$F$35),0)</f>
        <v>0</v>
      </c>
      <c r="J114" s="12">
        <f t="shared" si="5"/>
        <v>0</v>
      </c>
      <c r="K114" s="9">
        <v>0</v>
      </c>
      <c r="M114" s="9">
        <v>1</v>
      </c>
      <c r="N114" s="11" t="s">
        <v>284</v>
      </c>
      <c r="O114" s="15">
        <f>_xlfn.XLOOKUP(N114,Detalle_Unidades!F110:F656,Detalle_Unidades!A110:A656)</f>
        <v>0</v>
      </c>
    </row>
    <row r="115" spans="1:15" x14ac:dyDescent="0.25">
      <c r="A115" s="11" t="s">
        <v>2603</v>
      </c>
      <c r="B115" s="11" t="s">
        <v>239</v>
      </c>
      <c r="C115" s="9">
        <v>0</v>
      </c>
      <c r="D115" s="9">
        <v>12</v>
      </c>
      <c r="E115" s="9">
        <f t="shared" si="3"/>
        <v>0</v>
      </c>
      <c r="F115" s="12">
        <f t="shared" si="4"/>
        <v>20.321761219305671</v>
      </c>
      <c r="G115" s="9" t="str">
        <f>_xlfn.XLOOKUP(N115,[3]Phidráulica!$A$10:$A$166,[3]Phidráulica!$J$10:$J$166)</f>
        <v>0,5905</v>
      </c>
      <c r="H115" s="9">
        <v>0</v>
      </c>
      <c r="I115" s="12">
        <f>IFERROR(_xlfn.XLOOKUP(N115,[4]Información_Técnica!$A$7:$A$35,[4]Información_Técnica!$F$7:$F$35),0)</f>
        <v>0</v>
      </c>
      <c r="J115" s="12">
        <f t="shared" si="5"/>
        <v>0</v>
      </c>
      <c r="K115" s="9">
        <v>0</v>
      </c>
      <c r="M115" s="9">
        <v>1</v>
      </c>
      <c r="N115" s="11" t="s">
        <v>284</v>
      </c>
      <c r="O115" s="15">
        <f>_xlfn.XLOOKUP(N115,Detalle_Unidades!F111:F657,Detalle_Unidades!A111:A657)</f>
        <v>0</v>
      </c>
    </row>
    <row r="116" spans="1:15" x14ac:dyDescent="0.25">
      <c r="A116" s="11" t="s">
        <v>2605</v>
      </c>
      <c r="B116" s="11" t="s">
        <v>239</v>
      </c>
      <c r="C116" s="9">
        <v>0</v>
      </c>
      <c r="D116" s="9">
        <v>24</v>
      </c>
      <c r="E116" s="9">
        <f t="shared" si="3"/>
        <v>0</v>
      </c>
      <c r="F116" s="12">
        <f t="shared" si="4"/>
        <v>40.643522438611342</v>
      </c>
      <c r="G116" s="9" t="str">
        <f>_xlfn.XLOOKUP(N116,[3]Phidráulica!$A$10:$A$166,[3]Phidráulica!$J$10:$J$166)</f>
        <v>0,5905</v>
      </c>
      <c r="H116" s="9">
        <v>0</v>
      </c>
      <c r="I116" s="12">
        <f>IFERROR(_xlfn.XLOOKUP(N116,[4]Información_Técnica!$A$7:$A$35,[4]Información_Técnica!$F$7:$F$35),0)</f>
        <v>0</v>
      </c>
      <c r="J116" s="12">
        <f t="shared" si="5"/>
        <v>0</v>
      </c>
      <c r="K116" s="9">
        <v>0</v>
      </c>
      <c r="M116" s="9">
        <v>3</v>
      </c>
      <c r="N116" s="11" t="s">
        <v>284</v>
      </c>
      <c r="O116" s="15">
        <f>_xlfn.XLOOKUP(N116,Detalle_Unidades!F112:F658,Detalle_Unidades!A112:A658)</f>
        <v>0</v>
      </c>
    </row>
    <row r="117" spans="1:15" x14ac:dyDescent="0.25">
      <c r="A117" s="11" t="s">
        <v>2607</v>
      </c>
      <c r="B117" s="11" t="s">
        <v>239</v>
      </c>
      <c r="C117" s="9">
        <v>0</v>
      </c>
      <c r="D117" s="9">
        <v>24</v>
      </c>
      <c r="E117" s="9">
        <f t="shared" si="3"/>
        <v>0</v>
      </c>
      <c r="F117" s="12">
        <f t="shared" si="4"/>
        <v>40.643522438611342</v>
      </c>
      <c r="G117" s="9" t="str">
        <f>_xlfn.XLOOKUP(N117,[3]Phidráulica!$A$10:$A$166,[3]Phidráulica!$J$10:$J$166)</f>
        <v>0,5905</v>
      </c>
      <c r="H117" s="9">
        <v>0</v>
      </c>
      <c r="I117" s="12">
        <f>IFERROR(_xlfn.XLOOKUP(N117,[4]Información_Técnica!$A$7:$A$35,[4]Información_Técnica!$F$7:$F$35),0)</f>
        <v>0</v>
      </c>
      <c r="J117" s="12">
        <f t="shared" si="5"/>
        <v>0</v>
      </c>
      <c r="K117" s="9">
        <v>0</v>
      </c>
      <c r="M117" s="9">
        <v>3</v>
      </c>
      <c r="N117" s="11" t="s">
        <v>284</v>
      </c>
      <c r="O117" s="15">
        <f>_xlfn.XLOOKUP(N117,Detalle_Unidades!F113:F659,Detalle_Unidades!A113:A659)</f>
        <v>0</v>
      </c>
    </row>
    <row r="118" spans="1:15" x14ac:dyDescent="0.25">
      <c r="A118" s="11" t="s">
        <v>2620</v>
      </c>
      <c r="B118" s="11" t="s">
        <v>239</v>
      </c>
      <c r="C118" s="9">
        <v>0</v>
      </c>
      <c r="D118" s="9">
        <v>33</v>
      </c>
      <c r="E118" s="9">
        <f t="shared" si="3"/>
        <v>0</v>
      </c>
      <c r="F118" s="12">
        <f t="shared" si="4"/>
        <v>16.696180116367316</v>
      </c>
      <c r="G118" s="9" t="str">
        <f>_xlfn.XLOOKUP(N118,[3]Phidráulica!$A$10:$A$166,[3]Phidráulica!$J$10:$J$166)</f>
        <v>1,9765</v>
      </c>
      <c r="H118" s="9">
        <v>0</v>
      </c>
      <c r="I118" s="12" t="str">
        <f>IFERROR(_xlfn.XLOOKUP(N118,[4]Información_Técnica!$A$7:$A$35,[4]Información_Técnica!$F$7:$F$35),0)</f>
        <v>104,36</v>
      </c>
      <c r="J118" s="12">
        <f t="shared" si="5"/>
        <v>104.36</v>
      </c>
      <c r="K118" s="9">
        <v>0</v>
      </c>
      <c r="M118" s="9">
        <v>16</v>
      </c>
      <c r="N118" s="11" t="s">
        <v>2619</v>
      </c>
      <c r="O118" s="11" t="str">
        <f>_xlfn.XLOOKUP(N118,Detalle_Unidades!F114:F660,Detalle_Unidades!A114:A660)</f>
        <v>CLMG</v>
      </c>
    </row>
    <row r="119" spans="1:15" x14ac:dyDescent="0.25">
      <c r="A119" s="11" t="s">
        <v>2623</v>
      </c>
      <c r="B119" s="11" t="s">
        <v>239</v>
      </c>
      <c r="C119" s="9">
        <v>0</v>
      </c>
      <c r="D119" s="9">
        <v>33</v>
      </c>
      <c r="E119" s="9">
        <f t="shared" si="3"/>
        <v>0</v>
      </c>
      <c r="F119" s="12">
        <f t="shared" si="4"/>
        <v>16.696180116367316</v>
      </c>
      <c r="G119" s="9" t="str">
        <f>_xlfn.XLOOKUP(N119,[3]Phidráulica!$A$10:$A$166,[3]Phidráulica!$J$10:$J$166)</f>
        <v>1,9765</v>
      </c>
      <c r="H119" s="9">
        <v>0</v>
      </c>
      <c r="I119" s="12" t="str">
        <f>IFERROR(_xlfn.XLOOKUP(N119,[4]Información_Técnica!$A$7:$A$35,[4]Información_Técnica!$F$7:$F$35),0)</f>
        <v>104,36</v>
      </c>
      <c r="J119" s="12">
        <f t="shared" si="5"/>
        <v>104.36</v>
      </c>
      <c r="K119" s="9">
        <v>0</v>
      </c>
      <c r="M119" s="9">
        <v>16</v>
      </c>
      <c r="N119" s="11" t="s">
        <v>2619</v>
      </c>
      <c r="O119" s="11" t="str">
        <f>_xlfn.XLOOKUP(N119,Detalle_Unidades!F115:F661,Detalle_Unidades!A115:A661)</f>
        <v>CLMG</v>
      </c>
    </row>
    <row r="120" spans="1:15" x14ac:dyDescent="0.25">
      <c r="A120" s="11" t="s">
        <v>2625</v>
      </c>
      <c r="B120" s="11" t="s">
        <v>239</v>
      </c>
      <c r="C120" s="9">
        <v>0</v>
      </c>
      <c r="D120" s="9">
        <v>33</v>
      </c>
      <c r="E120" s="9">
        <f t="shared" si="3"/>
        <v>0</v>
      </c>
      <c r="F120" s="12">
        <f t="shared" si="4"/>
        <v>16.696180116367316</v>
      </c>
      <c r="G120" s="9" t="str">
        <f>_xlfn.XLOOKUP(N120,[3]Phidráulica!$A$10:$A$166,[3]Phidráulica!$J$10:$J$166)</f>
        <v>1,9765</v>
      </c>
      <c r="H120" s="9">
        <v>0</v>
      </c>
      <c r="I120" s="12" t="str">
        <f>IFERROR(_xlfn.XLOOKUP(N120,[4]Información_Técnica!$A$7:$A$35,[4]Información_Técnica!$F$7:$F$35),0)</f>
        <v>104,36</v>
      </c>
      <c r="J120" s="12">
        <f t="shared" si="5"/>
        <v>104.36</v>
      </c>
      <c r="K120" s="9">
        <v>0</v>
      </c>
      <c r="M120" s="9">
        <v>16</v>
      </c>
      <c r="N120" s="11" t="s">
        <v>2619</v>
      </c>
      <c r="O120" s="11" t="str">
        <f>_xlfn.XLOOKUP(N120,Detalle_Unidades!F116:F662,Detalle_Unidades!A116:A662)</f>
        <v>CLMG</v>
      </c>
    </row>
    <row r="121" spans="1:15" x14ac:dyDescent="0.25">
      <c r="A121" s="11" t="s">
        <v>2627</v>
      </c>
      <c r="B121" s="11" t="s">
        <v>239</v>
      </c>
      <c r="C121" s="9">
        <v>0</v>
      </c>
      <c r="D121" s="9">
        <v>33</v>
      </c>
      <c r="E121" s="9">
        <f t="shared" si="3"/>
        <v>0</v>
      </c>
      <c r="F121" s="12">
        <f t="shared" si="4"/>
        <v>16.696180116367316</v>
      </c>
      <c r="G121" s="9" t="str">
        <f>_xlfn.XLOOKUP(N121,[3]Phidráulica!$A$10:$A$166,[3]Phidráulica!$J$10:$J$166)</f>
        <v>1,9765</v>
      </c>
      <c r="H121" s="9">
        <v>0</v>
      </c>
      <c r="I121" s="12" t="str">
        <f>IFERROR(_xlfn.XLOOKUP(N121,[4]Información_Técnica!$A$7:$A$35,[4]Información_Técnica!$F$7:$F$35),0)</f>
        <v>104,36</v>
      </c>
      <c r="J121" s="12">
        <f t="shared" si="5"/>
        <v>104.36</v>
      </c>
      <c r="K121" s="9">
        <v>0</v>
      </c>
      <c r="M121" s="9">
        <v>16</v>
      </c>
      <c r="N121" s="11" t="s">
        <v>2619</v>
      </c>
      <c r="O121" s="11" t="str">
        <f>_xlfn.XLOOKUP(N121,Detalle_Unidades!F117:F663,Detalle_Unidades!A117:A663)</f>
        <v>CLMG</v>
      </c>
    </row>
    <row r="122" spans="1:15" x14ac:dyDescent="0.25">
      <c r="A122" s="11" t="s">
        <v>2841</v>
      </c>
      <c r="B122" s="11" t="s">
        <v>239</v>
      </c>
      <c r="C122" s="9">
        <v>0</v>
      </c>
      <c r="D122" s="9">
        <v>125</v>
      </c>
      <c r="E122" s="9">
        <f t="shared" si="3"/>
        <v>0</v>
      </c>
      <c r="F122" s="12">
        <f t="shared" si="4"/>
        <v>145.16316339565671</v>
      </c>
      <c r="G122" s="9" t="str">
        <f>_xlfn.XLOOKUP(N122,[3]Phidráulica!$A$10:$A$166,[3]Phidráulica!$J$10:$J$166)</f>
        <v>0,8611</v>
      </c>
      <c r="H122" s="9">
        <v>0</v>
      </c>
      <c r="I122" s="12" t="str">
        <f>IFERROR(_xlfn.XLOOKUP(N122,[4]Información_Técnica!$A$7:$A$35,[4]Información_Técnica!$F$7:$F$35),0)</f>
        <v>91,45</v>
      </c>
      <c r="J122" s="12">
        <f t="shared" si="5"/>
        <v>91.45</v>
      </c>
      <c r="K122" s="9">
        <v>0</v>
      </c>
      <c r="M122" s="9">
        <v>30</v>
      </c>
      <c r="N122" s="11" t="s">
        <v>2840</v>
      </c>
      <c r="O122" s="11" t="str">
        <f>_xlfn.XLOOKUP(N122,Detalle_Unidades!F118:F664,Detalle_Unidades!A118:A664)</f>
        <v>SLVJ</v>
      </c>
    </row>
    <row r="123" spans="1:15" x14ac:dyDescent="0.25">
      <c r="A123" s="11" t="s">
        <v>2844</v>
      </c>
      <c r="B123" s="11" t="s">
        <v>239</v>
      </c>
      <c r="C123" s="9">
        <v>0</v>
      </c>
      <c r="D123" s="9">
        <v>95</v>
      </c>
      <c r="E123" s="9">
        <f t="shared" si="3"/>
        <v>0</v>
      </c>
      <c r="F123" s="12">
        <f t="shared" si="4"/>
        <v>110.32400418069911</v>
      </c>
      <c r="G123" s="9" t="str">
        <f>_xlfn.XLOOKUP(N123,[3]Phidráulica!$A$10:$A$166,[3]Phidráulica!$J$10:$J$166)</f>
        <v>0,8611</v>
      </c>
      <c r="H123" s="9">
        <v>0</v>
      </c>
      <c r="I123" s="12" t="str">
        <f>IFERROR(_xlfn.XLOOKUP(N123,[4]Información_Técnica!$A$7:$A$35,[4]Información_Técnica!$F$7:$F$35),0)</f>
        <v>91,45</v>
      </c>
      <c r="J123" s="12">
        <f t="shared" si="5"/>
        <v>91.45</v>
      </c>
      <c r="K123" s="9">
        <v>0</v>
      </c>
      <c r="M123" s="9">
        <v>30</v>
      </c>
      <c r="N123" s="11" t="s">
        <v>2840</v>
      </c>
      <c r="O123" s="11" t="str">
        <f>_xlfn.XLOOKUP(N123,Detalle_Unidades!F119:F665,Detalle_Unidades!A119:A665)</f>
        <v>SLVJ</v>
      </c>
    </row>
    <row r="124" spans="1:15" x14ac:dyDescent="0.25">
      <c r="A124" s="11" t="s">
        <v>2846</v>
      </c>
      <c r="B124" s="11" t="s">
        <v>239</v>
      </c>
      <c r="C124" s="9">
        <v>0</v>
      </c>
      <c r="D124" s="9">
        <v>95</v>
      </c>
      <c r="E124" s="9">
        <f t="shared" si="3"/>
        <v>0</v>
      </c>
      <c r="F124" s="12">
        <f t="shared" si="4"/>
        <v>110.32400418069911</v>
      </c>
      <c r="G124" s="9" t="str">
        <f>_xlfn.XLOOKUP(N124,[3]Phidráulica!$A$10:$A$166,[3]Phidráulica!$J$10:$J$166)</f>
        <v>0,8611</v>
      </c>
      <c r="H124" s="9">
        <v>0</v>
      </c>
      <c r="I124" s="12" t="str">
        <f>IFERROR(_xlfn.XLOOKUP(N124,[4]Información_Técnica!$A$7:$A$35,[4]Información_Técnica!$F$7:$F$35),0)</f>
        <v>91,45</v>
      </c>
      <c r="J124" s="12">
        <f t="shared" si="5"/>
        <v>91.45</v>
      </c>
      <c r="K124" s="9">
        <v>0</v>
      </c>
      <c r="M124" s="9">
        <v>30</v>
      </c>
      <c r="N124" s="11" t="s">
        <v>2840</v>
      </c>
      <c r="O124" s="11" t="str">
        <f>_xlfn.XLOOKUP(N124,Detalle_Unidades!F120:F666,Detalle_Unidades!A120:A666)</f>
        <v>SLVJ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8FC8-7F3F-4FDA-94A1-11DD28237242}">
  <sheetPr>
    <tabColor theme="8" tint="0.79998168889431442"/>
  </sheetPr>
  <dimension ref="A1:Q124"/>
  <sheetViews>
    <sheetView topLeftCell="A41" workbookViewId="0">
      <selection activeCell="N77" sqref="N77"/>
    </sheetView>
  </sheetViews>
  <sheetFormatPr defaultRowHeight="15" x14ac:dyDescent="0.25"/>
  <cols>
    <col min="1" max="1" width="22.5703125" customWidth="1"/>
    <col min="2" max="2" width="22.5703125" bestFit="1" customWidth="1"/>
    <col min="3" max="3" width="5.5703125" bestFit="1" customWidth="1"/>
    <col min="4" max="4" width="5.8554687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6.5703125" bestFit="1" customWidth="1"/>
    <col min="10" max="10" width="9.140625" customWidth="1"/>
    <col min="11" max="11" width="5.7109375" bestFit="1" customWidth="1"/>
    <col min="12" max="12" width="7" bestFit="1" customWidth="1"/>
    <col min="13" max="13" width="14.7109375" bestFit="1" customWidth="1"/>
    <col min="14" max="14" width="24.140625" bestFit="1" customWidth="1"/>
    <col min="15" max="15" width="6.85546875" bestFit="1" customWidth="1"/>
    <col min="16" max="16" width="7.5703125" bestFit="1" customWidth="1"/>
    <col min="17" max="17" width="8.7109375" bestFit="1" customWidth="1"/>
    <col min="18" max="19" width="9.7109375" bestFit="1" customWidth="1"/>
  </cols>
  <sheetData>
    <row r="1" spans="1:17" ht="18.75" x14ac:dyDescent="0.3">
      <c r="A1" s="4" t="s">
        <v>3137</v>
      </c>
      <c r="F1" s="7" t="s">
        <v>3149</v>
      </c>
      <c r="G1" s="19">
        <v>46209</v>
      </c>
    </row>
    <row r="2" spans="1:17" x14ac:dyDescent="0.25">
      <c r="A2" s="5" t="s">
        <v>3138</v>
      </c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7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9" t="s">
        <v>238</v>
      </c>
      <c r="C6" s="9">
        <v>0</v>
      </c>
      <c r="D6" s="9">
        <v>39</v>
      </c>
      <c r="E6" s="9">
        <f>C6/G6</f>
        <v>0</v>
      </c>
      <c r="F6" s="12">
        <f t="shared" ref="F6:F37" si="0">D6/G6</f>
        <v>32.370517928286851</v>
      </c>
      <c r="G6" s="9">
        <v>1.2048000000000001</v>
      </c>
      <c r="H6" s="9">
        <v>0</v>
      </c>
      <c r="I6" s="9">
        <v>0</v>
      </c>
      <c r="J6" s="21">
        <f t="shared" ref="J6:J37" si="1">H6+1/1*(I6-H6)</f>
        <v>0</v>
      </c>
      <c r="K6" s="9">
        <v>0</v>
      </c>
      <c r="L6" s="20"/>
      <c r="M6" s="9">
        <v>15.6</v>
      </c>
      <c r="N6" s="11" t="s">
        <v>2630</v>
      </c>
      <c r="O6" s="9" t="s">
        <v>2629</v>
      </c>
    </row>
    <row r="7" spans="1:17" x14ac:dyDescent="0.25">
      <c r="A7" s="11" t="s">
        <v>2634</v>
      </c>
      <c r="B7" s="9" t="s">
        <v>238</v>
      </c>
      <c r="C7" s="9">
        <v>0</v>
      </c>
      <c r="D7" s="9">
        <v>39</v>
      </c>
      <c r="E7" s="9">
        <v>0</v>
      </c>
      <c r="F7" s="12">
        <f t="shared" si="0"/>
        <v>32.370517928286851</v>
      </c>
      <c r="G7" s="9">
        <v>1.2048000000000001</v>
      </c>
      <c r="H7" s="9">
        <v>0</v>
      </c>
      <c r="I7" s="9">
        <v>0</v>
      </c>
      <c r="J7" s="12">
        <f t="shared" si="1"/>
        <v>0</v>
      </c>
      <c r="K7" s="9">
        <v>0</v>
      </c>
      <c r="L7" s="20"/>
      <c r="M7" s="9">
        <v>15.6</v>
      </c>
      <c r="N7" s="11" t="s">
        <v>2630</v>
      </c>
      <c r="O7" s="9" t="s">
        <v>2629</v>
      </c>
    </row>
    <row r="8" spans="1:17" x14ac:dyDescent="0.25">
      <c r="A8" s="11" t="s">
        <v>2678</v>
      </c>
      <c r="B8" s="9" t="s">
        <v>238</v>
      </c>
      <c r="C8" s="9">
        <v>0</v>
      </c>
      <c r="D8" s="9">
        <v>19</v>
      </c>
      <c r="E8" s="9">
        <v>0</v>
      </c>
      <c r="F8" s="12">
        <f t="shared" si="0"/>
        <v>11.852776044915784</v>
      </c>
      <c r="G8" s="9">
        <v>1.603</v>
      </c>
      <c r="H8" s="9">
        <v>0</v>
      </c>
      <c r="I8" s="9">
        <v>0</v>
      </c>
      <c r="J8" s="12">
        <f t="shared" si="1"/>
        <v>0</v>
      </c>
      <c r="K8" s="9">
        <v>0</v>
      </c>
      <c r="L8" s="20"/>
      <c r="M8" s="9">
        <v>8</v>
      </c>
      <c r="N8" s="11" t="s">
        <v>2677</v>
      </c>
      <c r="O8" s="9" t="s">
        <v>2676</v>
      </c>
    </row>
    <row r="9" spans="1:17" x14ac:dyDescent="0.25">
      <c r="A9" s="11" t="s">
        <v>2681</v>
      </c>
      <c r="B9" s="9" t="s">
        <v>238</v>
      </c>
      <c r="C9" s="9">
        <v>0</v>
      </c>
      <c r="D9" s="9">
        <v>18</v>
      </c>
      <c r="E9" s="9">
        <v>0</v>
      </c>
      <c r="F9" s="12">
        <f t="shared" si="0"/>
        <v>11.228945726762321</v>
      </c>
      <c r="G9" s="9">
        <v>1.603</v>
      </c>
      <c r="H9" s="9">
        <v>0</v>
      </c>
      <c r="I9" s="9">
        <v>0</v>
      </c>
      <c r="J9" s="12">
        <f t="shared" si="1"/>
        <v>0</v>
      </c>
      <c r="K9" s="9">
        <v>0</v>
      </c>
      <c r="L9" s="20"/>
      <c r="M9" s="9">
        <v>8</v>
      </c>
      <c r="N9" s="11" t="s">
        <v>2677</v>
      </c>
      <c r="O9" s="9" t="s">
        <v>2676</v>
      </c>
    </row>
    <row r="10" spans="1:17" x14ac:dyDescent="0.25">
      <c r="A10" s="11" t="s">
        <v>2683</v>
      </c>
      <c r="B10" s="9" t="s">
        <v>238</v>
      </c>
      <c r="C10" s="9">
        <v>0</v>
      </c>
      <c r="D10" s="9">
        <v>18</v>
      </c>
      <c r="E10" s="9">
        <v>0</v>
      </c>
      <c r="F10" s="12">
        <f t="shared" si="0"/>
        <v>11.228945726762321</v>
      </c>
      <c r="G10" s="9">
        <v>1.603</v>
      </c>
      <c r="H10" s="9">
        <v>0</v>
      </c>
      <c r="I10" s="9">
        <v>0</v>
      </c>
      <c r="J10" s="12">
        <f t="shared" si="1"/>
        <v>0</v>
      </c>
      <c r="K10" s="9">
        <v>0</v>
      </c>
      <c r="L10" s="20"/>
      <c r="M10" s="9">
        <v>8</v>
      </c>
      <c r="N10" s="11" t="s">
        <v>2677</v>
      </c>
      <c r="O10" s="9" t="s">
        <v>2676</v>
      </c>
    </row>
    <row r="11" spans="1:17" x14ac:dyDescent="0.25">
      <c r="A11" s="11" t="s">
        <v>2693</v>
      </c>
      <c r="B11" s="9" t="s">
        <v>238</v>
      </c>
      <c r="C11" s="9">
        <v>0</v>
      </c>
      <c r="D11" s="9">
        <v>45</v>
      </c>
      <c r="E11" s="9">
        <v>0</v>
      </c>
      <c r="F11" s="12">
        <f t="shared" si="0"/>
        <v>9.7497562560935975</v>
      </c>
      <c r="G11" s="9">
        <v>4.6154999999999999</v>
      </c>
      <c r="H11" s="9">
        <v>0</v>
      </c>
      <c r="I11" s="9">
        <v>0</v>
      </c>
      <c r="J11" s="12">
        <f t="shared" si="1"/>
        <v>0</v>
      </c>
      <c r="K11" s="9">
        <v>0</v>
      </c>
      <c r="L11" s="20"/>
      <c r="M11" s="9">
        <v>0</v>
      </c>
      <c r="N11" s="11" t="s">
        <v>2692</v>
      </c>
      <c r="O11" s="22">
        <v>0</v>
      </c>
    </row>
    <row r="12" spans="1:17" x14ac:dyDescent="0.25">
      <c r="A12" s="11" t="s">
        <v>2696</v>
      </c>
      <c r="B12" s="9" t="s">
        <v>238</v>
      </c>
      <c r="C12" s="9">
        <v>0</v>
      </c>
      <c r="D12" s="9">
        <v>45</v>
      </c>
      <c r="E12" s="9">
        <v>0</v>
      </c>
      <c r="F12" s="12">
        <f t="shared" si="0"/>
        <v>9.7497562560935975</v>
      </c>
      <c r="G12" s="9">
        <v>4.6154999999999999</v>
      </c>
      <c r="H12" s="9">
        <v>0</v>
      </c>
      <c r="I12" s="9">
        <v>0</v>
      </c>
      <c r="J12" s="12">
        <f t="shared" si="1"/>
        <v>0</v>
      </c>
      <c r="K12" s="9">
        <v>0</v>
      </c>
      <c r="L12" s="20"/>
      <c r="M12" s="9">
        <v>0</v>
      </c>
      <c r="N12" s="11" t="s">
        <v>2692</v>
      </c>
      <c r="O12" s="22">
        <v>0</v>
      </c>
    </row>
    <row r="13" spans="1:17" x14ac:dyDescent="0.25">
      <c r="A13" s="11" t="s">
        <v>2698</v>
      </c>
      <c r="B13" s="9" t="s">
        <v>238</v>
      </c>
      <c r="C13" s="9">
        <v>0</v>
      </c>
      <c r="D13" s="9">
        <v>45</v>
      </c>
      <c r="E13" s="9">
        <v>0</v>
      </c>
      <c r="F13" s="12">
        <f t="shared" si="0"/>
        <v>9.7497562560935975</v>
      </c>
      <c r="G13" s="9">
        <v>4.6154999999999999</v>
      </c>
      <c r="H13" s="9">
        <v>0</v>
      </c>
      <c r="I13" s="9">
        <v>0</v>
      </c>
      <c r="J13" s="12">
        <f t="shared" si="1"/>
        <v>0</v>
      </c>
      <c r="K13" s="9">
        <v>0</v>
      </c>
      <c r="L13" s="20"/>
      <c r="M13" s="9">
        <v>0</v>
      </c>
      <c r="N13" s="11" t="s">
        <v>2692</v>
      </c>
      <c r="O13" s="22">
        <v>0</v>
      </c>
    </row>
    <row r="14" spans="1:17" x14ac:dyDescent="0.25">
      <c r="A14" s="11" t="s">
        <v>2700</v>
      </c>
      <c r="B14" s="9" t="s">
        <v>238</v>
      </c>
      <c r="C14" s="9">
        <v>0</v>
      </c>
      <c r="D14" s="9">
        <v>45</v>
      </c>
      <c r="E14" s="9">
        <v>0</v>
      </c>
      <c r="F14" s="12">
        <f t="shared" si="0"/>
        <v>9.7497562560935975</v>
      </c>
      <c r="G14" s="9">
        <v>4.6154999999999999</v>
      </c>
      <c r="H14" s="9">
        <v>0</v>
      </c>
      <c r="I14" s="9">
        <v>0</v>
      </c>
      <c r="J14" s="12">
        <f t="shared" si="1"/>
        <v>0</v>
      </c>
      <c r="K14" s="9">
        <v>0</v>
      </c>
      <c r="L14" s="20"/>
      <c r="M14" s="9">
        <v>0</v>
      </c>
      <c r="N14" s="11" t="s">
        <v>2692</v>
      </c>
      <c r="O14" s="22">
        <v>0</v>
      </c>
    </row>
    <row r="15" spans="1:17" x14ac:dyDescent="0.25">
      <c r="A15" s="11" t="s">
        <v>2702</v>
      </c>
      <c r="B15" s="9" t="s">
        <v>238</v>
      </c>
      <c r="C15" s="9">
        <v>0</v>
      </c>
      <c r="D15" s="9">
        <v>45</v>
      </c>
      <c r="E15" s="9">
        <v>0</v>
      </c>
      <c r="F15" s="12">
        <f t="shared" si="0"/>
        <v>9.7497562560935975</v>
      </c>
      <c r="G15" s="9">
        <v>4.6154999999999999</v>
      </c>
      <c r="H15" s="9">
        <v>0</v>
      </c>
      <c r="I15" s="9">
        <v>0</v>
      </c>
      <c r="J15" s="12">
        <f t="shared" si="1"/>
        <v>0</v>
      </c>
      <c r="K15" s="9">
        <v>0</v>
      </c>
      <c r="L15" s="20"/>
      <c r="M15" s="9">
        <v>0</v>
      </c>
      <c r="N15" s="11" t="s">
        <v>2692</v>
      </c>
      <c r="O15" s="22">
        <v>0</v>
      </c>
    </row>
    <row r="16" spans="1:17" x14ac:dyDescent="0.25">
      <c r="A16" s="11" t="s">
        <v>2704</v>
      </c>
      <c r="B16" s="9" t="s">
        <v>238</v>
      </c>
      <c r="C16" s="9">
        <v>0</v>
      </c>
      <c r="D16" s="9">
        <v>45</v>
      </c>
      <c r="E16" s="9">
        <v>0</v>
      </c>
      <c r="F16" s="12">
        <f t="shared" si="0"/>
        <v>9.7497562560935975</v>
      </c>
      <c r="G16" s="9">
        <v>4.6154999999999999</v>
      </c>
      <c r="H16" s="9">
        <v>0</v>
      </c>
      <c r="I16" s="9">
        <v>0</v>
      </c>
      <c r="J16" s="12">
        <f t="shared" si="1"/>
        <v>0</v>
      </c>
      <c r="K16" s="9">
        <v>0</v>
      </c>
      <c r="L16" s="20"/>
      <c r="M16" s="9">
        <v>0</v>
      </c>
      <c r="N16" s="11" t="s">
        <v>2692</v>
      </c>
      <c r="O16" s="22">
        <v>0</v>
      </c>
    </row>
    <row r="17" spans="1:15" x14ac:dyDescent="0.25">
      <c r="A17" s="11" t="s">
        <v>2707</v>
      </c>
      <c r="B17" s="9" t="s">
        <v>238</v>
      </c>
      <c r="C17" s="9">
        <v>0</v>
      </c>
      <c r="D17" s="9">
        <v>75</v>
      </c>
      <c r="E17" s="9">
        <v>0</v>
      </c>
      <c r="F17" s="12">
        <f t="shared" si="0"/>
        <v>20.546256472070787</v>
      </c>
      <c r="G17" s="9">
        <v>3.6503000000000001</v>
      </c>
      <c r="H17" s="9">
        <v>0</v>
      </c>
      <c r="I17" s="9">
        <v>0</v>
      </c>
      <c r="J17" s="12">
        <f t="shared" si="1"/>
        <v>0</v>
      </c>
      <c r="K17" s="9">
        <v>0</v>
      </c>
      <c r="L17" s="20"/>
      <c r="M17" s="9">
        <v>35</v>
      </c>
      <c r="N17" s="11" t="s">
        <v>2706</v>
      </c>
      <c r="O17" s="22">
        <v>0</v>
      </c>
    </row>
    <row r="18" spans="1:15" x14ac:dyDescent="0.25">
      <c r="A18" s="11" t="s">
        <v>2710</v>
      </c>
      <c r="B18" s="9" t="s">
        <v>238</v>
      </c>
      <c r="C18" s="9">
        <v>0</v>
      </c>
      <c r="D18" s="9">
        <v>75</v>
      </c>
      <c r="E18" s="9">
        <v>0</v>
      </c>
      <c r="F18" s="12">
        <f t="shared" si="0"/>
        <v>20.546256472070787</v>
      </c>
      <c r="G18" s="9">
        <v>3.6503000000000001</v>
      </c>
      <c r="H18" s="9">
        <v>0</v>
      </c>
      <c r="I18" s="9">
        <v>0</v>
      </c>
      <c r="J18" s="12">
        <f t="shared" si="1"/>
        <v>0</v>
      </c>
      <c r="K18" s="9">
        <v>0</v>
      </c>
      <c r="L18" s="20"/>
      <c r="M18" s="9">
        <v>35</v>
      </c>
      <c r="N18" s="11" t="s">
        <v>2706</v>
      </c>
      <c r="O18" s="22">
        <v>0</v>
      </c>
    </row>
    <row r="19" spans="1:15" x14ac:dyDescent="0.25">
      <c r="A19" s="11" t="s">
        <v>2712</v>
      </c>
      <c r="B19" s="9" t="s">
        <v>238</v>
      </c>
      <c r="C19" s="9">
        <v>0</v>
      </c>
      <c r="D19" s="9">
        <v>75</v>
      </c>
      <c r="E19" s="9">
        <v>0</v>
      </c>
      <c r="F19" s="12">
        <f t="shared" si="0"/>
        <v>20.546256472070787</v>
      </c>
      <c r="G19" s="9">
        <v>3.6503000000000001</v>
      </c>
      <c r="H19" s="9">
        <v>0</v>
      </c>
      <c r="I19" s="9">
        <v>0</v>
      </c>
      <c r="J19" s="12">
        <f t="shared" si="1"/>
        <v>0</v>
      </c>
      <c r="K19" s="9">
        <v>0</v>
      </c>
      <c r="L19" s="20"/>
      <c r="M19" s="9">
        <v>35</v>
      </c>
      <c r="N19" s="11" t="s">
        <v>2706</v>
      </c>
      <c r="O19" s="22">
        <v>0</v>
      </c>
    </row>
    <row r="20" spans="1:15" x14ac:dyDescent="0.25">
      <c r="A20" s="11" t="s">
        <v>2716</v>
      </c>
      <c r="B20" s="9" t="s">
        <v>238</v>
      </c>
      <c r="C20" s="9">
        <v>0</v>
      </c>
      <c r="D20" s="9">
        <v>70</v>
      </c>
      <c r="E20" s="9">
        <v>0</v>
      </c>
      <c r="F20" s="12">
        <f t="shared" si="0"/>
        <v>9.6975742210769855</v>
      </c>
      <c r="G20" s="9">
        <v>7.2183000000000002</v>
      </c>
      <c r="H20" s="9">
        <v>0</v>
      </c>
      <c r="I20" s="9">
        <v>0</v>
      </c>
      <c r="J20" s="12">
        <f t="shared" si="1"/>
        <v>0</v>
      </c>
      <c r="K20" s="9">
        <v>0</v>
      </c>
      <c r="L20" s="20"/>
      <c r="M20" s="9">
        <v>0</v>
      </c>
      <c r="N20" s="11" t="s">
        <v>2715</v>
      </c>
      <c r="O20" s="9" t="s">
        <v>2714</v>
      </c>
    </row>
    <row r="21" spans="1:15" x14ac:dyDescent="0.25">
      <c r="A21" s="11" t="s">
        <v>2719</v>
      </c>
      <c r="B21" s="9" t="s">
        <v>238</v>
      </c>
      <c r="C21" s="9">
        <v>0</v>
      </c>
      <c r="D21" s="9">
        <v>70</v>
      </c>
      <c r="E21" s="9">
        <v>0</v>
      </c>
      <c r="F21" s="12">
        <f t="shared" si="0"/>
        <v>9.6975742210769855</v>
      </c>
      <c r="G21" s="9">
        <v>7.2183000000000002</v>
      </c>
      <c r="H21" s="9">
        <v>0</v>
      </c>
      <c r="I21" s="9">
        <v>0</v>
      </c>
      <c r="J21" s="12">
        <f t="shared" si="1"/>
        <v>0</v>
      </c>
      <c r="K21" s="9">
        <v>0</v>
      </c>
      <c r="L21" s="20"/>
      <c r="M21" s="9">
        <v>0</v>
      </c>
      <c r="N21" s="11" t="s">
        <v>2715</v>
      </c>
      <c r="O21" s="9" t="s">
        <v>2714</v>
      </c>
    </row>
    <row r="22" spans="1:15" x14ac:dyDescent="0.25">
      <c r="A22" s="11" t="s">
        <v>2721</v>
      </c>
      <c r="B22" s="9" t="s">
        <v>238</v>
      </c>
      <c r="C22" s="9">
        <v>0</v>
      </c>
      <c r="D22" s="9">
        <v>70</v>
      </c>
      <c r="E22" s="9">
        <v>0</v>
      </c>
      <c r="F22" s="12">
        <f t="shared" si="0"/>
        <v>9.6975742210769855</v>
      </c>
      <c r="G22" s="9">
        <v>7.2183000000000002</v>
      </c>
      <c r="H22" s="9">
        <v>0</v>
      </c>
      <c r="I22" s="9">
        <v>0</v>
      </c>
      <c r="J22" s="12">
        <f t="shared" si="1"/>
        <v>0</v>
      </c>
      <c r="K22" s="9">
        <v>0</v>
      </c>
      <c r="L22" s="20"/>
      <c r="M22" s="9">
        <v>0</v>
      </c>
      <c r="N22" s="11" t="s">
        <v>2715</v>
      </c>
      <c r="O22" s="9" t="s">
        <v>2714</v>
      </c>
    </row>
    <row r="23" spans="1:15" x14ac:dyDescent="0.25">
      <c r="A23" s="11" t="s">
        <v>2723</v>
      </c>
      <c r="B23" s="9" t="s">
        <v>238</v>
      </c>
      <c r="C23" s="9">
        <v>0</v>
      </c>
      <c r="D23" s="9">
        <v>70</v>
      </c>
      <c r="E23" s="9">
        <v>0</v>
      </c>
      <c r="F23" s="12">
        <f t="shared" si="0"/>
        <v>9.6975742210769855</v>
      </c>
      <c r="G23" s="9">
        <v>7.2183000000000002</v>
      </c>
      <c r="H23" s="9">
        <v>0</v>
      </c>
      <c r="I23" s="9">
        <v>0</v>
      </c>
      <c r="J23" s="12">
        <f t="shared" si="1"/>
        <v>0</v>
      </c>
      <c r="K23" s="9">
        <v>0</v>
      </c>
      <c r="L23" s="20"/>
      <c r="M23" s="9">
        <v>0</v>
      </c>
      <c r="N23" s="11" t="s">
        <v>2715</v>
      </c>
      <c r="O23" s="9" t="s">
        <v>2714</v>
      </c>
    </row>
    <row r="24" spans="1:15" x14ac:dyDescent="0.25">
      <c r="A24" s="11" t="s">
        <v>2725</v>
      </c>
      <c r="B24" s="9" t="s">
        <v>238</v>
      </c>
      <c r="C24" s="9">
        <v>0</v>
      </c>
      <c r="D24" s="9">
        <v>70</v>
      </c>
      <c r="E24" s="9">
        <v>0</v>
      </c>
      <c r="F24" s="12">
        <f t="shared" si="0"/>
        <v>9.6975742210769855</v>
      </c>
      <c r="G24" s="9">
        <v>7.2183000000000002</v>
      </c>
      <c r="H24" s="9">
        <v>0</v>
      </c>
      <c r="I24" s="9">
        <v>0</v>
      </c>
      <c r="J24" s="12">
        <f t="shared" si="1"/>
        <v>0</v>
      </c>
      <c r="K24" s="9">
        <v>0</v>
      </c>
      <c r="L24" s="20"/>
      <c r="M24" s="9">
        <v>0</v>
      </c>
      <c r="N24" s="11" t="s">
        <v>2715</v>
      </c>
      <c r="O24" s="9" t="s">
        <v>2714</v>
      </c>
    </row>
    <row r="25" spans="1:15" x14ac:dyDescent="0.25">
      <c r="A25" s="11" t="s">
        <v>2727</v>
      </c>
      <c r="B25" s="9" t="s">
        <v>238</v>
      </c>
      <c r="C25" s="9">
        <v>0</v>
      </c>
      <c r="D25" s="9">
        <v>70</v>
      </c>
      <c r="E25" s="9">
        <v>0</v>
      </c>
      <c r="F25" s="12">
        <f t="shared" si="0"/>
        <v>9.6975742210769855</v>
      </c>
      <c r="G25" s="9">
        <v>7.2183000000000002</v>
      </c>
      <c r="H25" s="9">
        <v>0</v>
      </c>
      <c r="I25" s="9">
        <v>0</v>
      </c>
      <c r="J25" s="12">
        <f t="shared" si="1"/>
        <v>0</v>
      </c>
      <c r="K25" s="9">
        <v>0</v>
      </c>
      <c r="L25" s="20"/>
      <c r="M25" s="9">
        <v>0</v>
      </c>
      <c r="N25" s="11" t="s">
        <v>2715</v>
      </c>
      <c r="O25" s="9" t="s">
        <v>2714</v>
      </c>
    </row>
    <row r="26" spans="1:15" x14ac:dyDescent="0.25">
      <c r="A26" s="11" t="s">
        <v>2729</v>
      </c>
      <c r="B26" s="9" t="s">
        <v>238</v>
      </c>
      <c r="C26" s="9">
        <v>0</v>
      </c>
      <c r="D26" s="9">
        <v>70</v>
      </c>
      <c r="E26" s="9">
        <v>0</v>
      </c>
      <c r="F26" s="12">
        <f t="shared" si="0"/>
        <v>9.6975742210769855</v>
      </c>
      <c r="G26" s="9">
        <v>7.2183000000000002</v>
      </c>
      <c r="H26" s="9">
        <v>0</v>
      </c>
      <c r="I26" s="9">
        <v>0</v>
      </c>
      <c r="J26" s="12">
        <f t="shared" si="1"/>
        <v>0</v>
      </c>
      <c r="K26" s="9">
        <v>0</v>
      </c>
      <c r="L26" s="20"/>
      <c r="M26" s="9">
        <v>0</v>
      </c>
      <c r="N26" s="11" t="s">
        <v>2715</v>
      </c>
      <c r="O26" s="9" t="s">
        <v>2714</v>
      </c>
    </row>
    <row r="27" spans="1:15" x14ac:dyDescent="0.25">
      <c r="A27" s="11" t="s">
        <v>2731</v>
      </c>
      <c r="B27" s="9" t="s">
        <v>238</v>
      </c>
      <c r="C27" s="9">
        <v>0</v>
      </c>
      <c r="D27" s="9">
        <v>70</v>
      </c>
      <c r="E27" s="9">
        <v>0</v>
      </c>
      <c r="F27" s="12">
        <f t="shared" si="0"/>
        <v>9.6975742210769855</v>
      </c>
      <c r="G27" s="9">
        <v>7.2183000000000002</v>
      </c>
      <c r="H27" s="9">
        <v>0</v>
      </c>
      <c r="I27" s="9">
        <v>0</v>
      </c>
      <c r="J27" s="12">
        <f t="shared" si="1"/>
        <v>0</v>
      </c>
      <c r="K27" s="9">
        <v>0</v>
      </c>
      <c r="L27" s="20"/>
      <c r="M27" s="9">
        <v>0</v>
      </c>
      <c r="N27" s="11" t="s">
        <v>2715</v>
      </c>
      <c r="O27" s="9" t="s">
        <v>2714</v>
      </c>
    </row>
    <row r="28" spans="1:15" x14ac:dyDescent="0.25">
      <c r="A28" s="11" t="s">
        <v>2748</v>
      </c>
      <c r="B28" s="9" t="s">
        <v>238</v>
      </c>
      <c r="C28" s="9">
        <v>0</v>
      </c>
      <c r="D28" s="9">
        <v>300</v>
      </c>
      <c r="E28" s="9">
        <v>0</v>
      </c>
      <c r="F28" s="12">
        <f t="shared" si="0"/>
        <v>173.79214459506431</v>
      </c>
      <c r="G28" s="9">
        <v>1.7262</v>
      </c>
      <c r="H28" s="9">
        <v>0</v>
      </c>
      <c r="I28" s="23">
        <v>1299</v>
      </c>
      <c r="J28" s="21">
        <f t="shared" si="1"/>
        <v>1299</v>
      </c>
      <c r="K28" s="9">
        <v>0</v>
      </c>
      <c r="L28" s="20"/>
      <c r="M28" s="9">
        <v>154</v>
      </c>
      <c r="N28" s="11" t="s">
        <v>2747</v>
      </c>
      <c r="O28" s="9" t="s">
        <v>2746</v>
      </c>
    </row>
    <row r="29" spans="1:15" x14ac:dyDescent="0.25">
      <c r="A29" s="11" t="s">
        <v>2751</v>
      </c>
      <c r="B29" s="9" t="s">
        <v>238</v>
      </c>
      <c r="C29" s="9">
        <v>0</v>
      </c>
      <c r="D29" s="9">
        <v>300</v>
      </c>
      <c r="E29" s="9">
        <v>0</v>
      </c>
      <c r="F29" s="12">
        <f t="shared" si="0"/>
        <v>173.79214459506431</v>
      </c>
      <c r="G29" s="9">
        <v>1.7262</v>
      </c>
      <c r="H29" s="9">
        <v>0</v>
      </c>
      <c r="I29" s="23">
        <v>1299</v>
      </c>
      <c r="J29" s="21">
        <f t="shared" si="1"/>
        <v>1299</v>
      </c>
      <c r="K29" s="9">
        <v>0</v>
      </c>
      <c r="L29" s="20"/>
      <c r="M29" s="9">
        <v>154</v>
      </c>
      <c r="N29" s="11" t="s">
        <v>2747</v>
      </c>
      <c r="O29" s="9" t="s">
        <v>2746</v>
      </c>
    </row>
    <row r="30" spans="1:15" x14ac:dyDescent="0.25">
      <c r="A30" s="11" t="s">
        <v>2753</v>
      </c>
      <c r="B30" s="9" t="s">
        <v>238</v>
      </c>
      <c r="C30" s="9">
        <v>0</v>
      </c>
      <c r="D30" s="9">
        <v>300</v>
      </c>
      <c r="E30" s="9">
        <v>0</v>
      </c>
      <c r="F30" s="12">
        <f t="shared" si="0"/>
        <v>173.79214459506431</v>
      </c>
      <c r="G30" s="9">
        <v>1.7262</v>
      </c>
      <c r="H30" s="9">
        <v>0</v>
      </c>
      <c r="I30" s="23">
        <v>1299</v>
      </c>
      <c r="J30" s="21">
        <f t="shared" si="1"/>
        <v>1299</v>
      </c>
      <c r="K30" s="9">
        <v>0</v>
      </c>
      <c r="L30" s="20"/>
      <c r="M30" s="9">
        <v>154</v>
      </c>
      <c r="N30" s="11" t="s">
        <v>2747</v>
      </c>
      <c r="O30" s="9" t="s">
        <v>2746</v>
      </c>
    </row>
    <row r="31" spans="1:15" x14ac:dyDescent="0.25">
      <c r="A31" s="11" t="s">
        <v>2755</v>
      </c>
      <c r="B31" s="9" t="s">
        <v>238</v>
      </c>
      <c r="C31" s="9">
        <v>0</v>
      </c>
      <c r="D31" s="9">
        <v>300</v>
      </c>
      <c r="E31" s="9">
        <v>0</v>
      </c>
      <c r="F31" s="12">
        <f t="shared" si="0"/>
        <v>173.79214459506431</v>
      </c>
      <c r="G31" s="9">
        <v>1.7262</v>
      </c>
      <c r="H31" s="9">
        <v>0</v>
      </c>
      <c r="I31" s="23">
        <v>1299</v>
      </c>
      <c r="J31" s="21">
        <f t="shared" si="1"/>
        <v>1299</v>
      </c>
      <c r="K31" s="9">
        <v>0</v>
      </c>
      <c r="L31" s="20"/>
      <c r="M31" s="9">
        <v>154</v>
      </c>
      <c r="N31" s="11" t="s">
        <v>2747</v>
      </c>
      <c r="O31" s="9" t="s">
        <v>2746</v>
      </c>
    </row>
    <row r="32" spans="1:15" x14ac:dyDescent="0.25">
      <c r="A32" s="11" t="s">
        <v>2759</v>
      </c>
      <c r="B32" s="9" t="s">
        <v>238</v>
      </c>
      <c r="C32" s="9">
        <v>0</v>
      </c>
      <c r="D32" s="9">
        <v>85</v>
      </c>
      <c r="E32" s="9">
        <v>0</v>
      </c>
      <c r="F32" s="12">
        <f t="shared" si="0"/>
        <v>36.030689669789325</v>
      </c>
      <c r="G32" s="9">
        <v>2.3591000000000002</v>
      </c>
      <c r="H32" s="9">
        <v>0</v>
      </c>
      <c r="I32" s="9">
        <v>0</v>
      </c>
      <c r="J32" s="12">
        <f t="shared" si="1"/>
        <v>0</v>
      </c>
      <c r="K32" s="9">
        <v>0</v>
      </c>
      <c r="L32" s="20"/>
      <c r="M32" s="9">
        <v>15</v>
      </c>
      <c r="N32" s="11" t="s">
        <v>2758</v>
      </c>
      <c r="O32" s="9" t="s">
        <v>2757</v>
      </c>
    </row>
    <row r="33" spans="1:15" x14ac:dyDescent="0.25">
      <c r="A33" s="11" t="s">
        <v>2762</v>
      </c>
      <c r="B33" s="9" t="s">
        <v>238</v>
      </c>
      <c r="C33" s="9">
        <v>0</v>
      </c>
      <c r="D33" s="9">
        <v>85</v>
      </c>
      <c r="E33" s="9">
        <v>0</v>
      </c>
      <c r="F33" s="12">
        <f t="shared" si="0"/>
        <v>36.030689669789325</v>
      </c>
      <c r="G33" s="9">
        <v>2.3591000000000002</v>
      </c>
      <c r="H33" s="9">
        <v>0</v>
      </c>
      <c r="I33" s="9">
        <v>0</v>
      </c>
      <c r="J33" s="12">
        <f t="shared" si="1"/>
        <v>0</v>
      </c>
      <c r="K33" s="9">
        <v>0</v>
      </c>
      <c r="L33" s="20"/>
      <c r="M33" s="9">
        <v>15</v>
      </c>
      <c r="N33" s="11" t="s">
        <v>2758</v>
      </c>
      <c r="O33" s="9" t="s">
        <v>2757</v>
      </c>
    </row>
    <row r="34" spans="1:15" x14ac:dyDescent="0.25">
      <c r="A34" s="11" t="s">
        <v>2773</v>
      </c>
      <c r="B34" s="9" t="s">
        <v>238</v>
      </c>
      <c r="C34" s="9">
        <v>0</v>
      </c>
      <c r="D34" s="9">
        <v>102</v>
      </c>
      <c r="E34" s="9">
        <v>0</v>
      </c>
      <c r="F34" s="12">
        <f t="shared" si="0"/>
        <v>13.051656408747169</v>
      </c>
      <c r="G34" s="9">
        <v>7.8151000000000002</v>
      </c>
      <c r="H34" s="9">
        <v>0</v>
      </c>
      <c r="I34" s="9">
        <v>0</v>
      </c>
      <c r="J34" s="12">
        <f t="shared" si="1"/>
        <v>0</v>
      </c>
      <c r="K34" s="9">
        <v>0</v>
      </c>
      <c r="L34" s="20"/>
      <c r="M34" s="9">
        <v>0</v>
      </c>
      <c r="N34" s="11" t="s">
        <v>2772</v>
      </c>
      <c r="O34" s="9" t="s">
        <v>2771</v>
      </c>
    </row>
    <row r="35" spans="1:15" x14ac:dyDescent="0.25">
      <c r="A35" s="11" t="s">
        <v>2776</v>
      </c>
      <c r="B35" s="9" t="s">
        <v>238</v>
      </c>
      <c r="C35" s="9">
        <v>0</v>
      </c>
      <c r="D35" s="9">
        <v>102</v>
      </c>
      <c r="E35" s="9">
        <v>0</v>
      </c>
      <c r="F35" s="12">
        <f t="shared" si="0"/>
        <v>13.051656408747169</v>
      </c>
      <c r="G35" s="9">
        <v>7.8151000000000002</v>
      </c>
      <c r="H35" s="9">
        <v>0</v>
      </c>
      <c r="I35" s="9">
        <v>0</v>
      </c>
      <c r="J35" s="12">
        <f t="shared" si="1"/>
        <v>0</v>
      </c>
      <c r="K35" s="9">
        <v>0</v>
      </c>
      <c r="L35" s="20"/>
      <c r="M35" s="9">
        <v>0</v>
      </c>
      <c r="N35" s="11" t="s">
        <v>2772</v>
      </c>
      <c r="O35" s="9" t="s">
        <v>2771</v>
      </c>
    </row>
    <row r="36" spans="1:15" x14ac:dyDescent="0.25">
      <c r="A36" s="11" t="s">
        <v>2778</v>
      </c>
      <c r="B36" s="9" t="s">
        <v>238</v>
      </c>
      <c r="C36" s="9">
        <v>0</v>
      </c>
      <c r="D36" s="9">
        <v>102</v>
      </c>
      <c r="E36" s="9">
        <v>0</v>
      </c>
      <c r="F36" s="12">
        <f t="shared" si="0"/>
        <v>13.051656408747169</v>
      </c>
      <c r="G36" s="9">
        <v>7.8151000000000002</v>
      </c>
      <c r="H36" s="9">
        <v>0</v>
      </c>
      <c r="I36" s="9">
        <v>0</v>
      </c>
      <c r="J36" s="12">
        <f t="shared" si="1"/>
        <v>0</v>
      </c>
      <c r="K36" s="9">
        <v>0</v>
      </c>
      <c r="L36" s="20"/>
      <c r="M36" s="9">
        <v>0</v>
      </c>
      <c r="N36" s="11" t="s">
        <v>2772</v>
      </c>
      <c r="O36" s="9" t="s">
        <v>2771</v>
      </c>
    </row>
    <row r="37" spans="1:15" x14ac:dyDescent="0.25">
      <c r="A37" s="11" t="s">
        <v>2798</v>
      </c>
      <c r="B37" s="9" t="s">
        <v>238</v>
      </c>
      <c r="C37" s="9">
        <v>0</v>
      </c>
      <c r="D37" s="9">
        <v>69</v>
      </c>
      <c r="E37" s="9">
        <v>0</v>
      </c>
      <c r="F37" s="12">
        <f t="shared" si="0"/>
        <v>39.870565121923036</v>
      </c>
      <c r="G37" s="9">
        <v>1.7305999999999999</v>
      </c>
      <c r="H37" s="9">
        <v>0</v>
      </c>
      <c r="I37" s="9">
        <v>19.57</v>
      </c>
      <c r="J37" s="21">
        <f t="shared" si="1"/>
        <v>19.57</v>
      </c>
      <c r="K37" s="9">
        <v>0</v>
      </c>
      <c r="L37" s="20"/>
      <c r="M37" s="9">
        <v>49</v>
      </c>
      <c r="N37" s="11" t="s">
        <v>2797</v>
      </c>
      <c r="O37" s="9" t="s">
        <v>2796</v>
      </c>
    </row>
    <row r="38" spans="1:15" x14ac:dyDescent="0.25">
      <c r="A38" s="11" t="s">
        <v>2801</v>
      </c>
      <c r="B38" s="9" t="s">
        <v>238</v>
      </c>
      <c r="C38" s="9">
        <v>0</v>
      </c>
      <c r="D38" s="9">
        <v>69</v>
      </c>
      <c r="E38" s="9">
        <v>0</v>
      </c>
      <c r="F38" s="12">
        <f t="shared" ref="F38:F69" si="2">D38/G38</f>
        <v>39.870565121923036</v>
      </c>
      <c r="G38" s="9">
        <v>1.7305999999999999</v>
      </c>
      <c r="H38" s="9">
        <v>0</v>
      </c>
      <c r="I38" s="9">
        <v>19.57</v>
      </c>
      <c r="J38" s="21">
        <f t="shared" ref="J38:J69" si="3">H38+1/1*(I38-H38)</f>
        <v>19.57</v>
      </c>
      <c r="K38" s="9">
        <v>0</v>
      </c>
      <c r="L38" s="20"/>
      <c r="M38" s="9">
        <v>49</v>
      </c>
      <c r="N38" s="11" t="s">
        <v>2797</v>
      </c>
      <c r="O38" s="9" t="s">
        <v>2796</v>
      </c>
    </row>
    <row r="39" spans="1:15" x14ac:dyDescent="0.25">
      <c r="A39" s="11" t="s">
        <v>2803</v>
      </c>
      <c r="B39" s="9" t="s">
        <v>238</v>
      </c>
      <c r="C39" s="9">
        <v>0</v>
      </c>
      <c r="D39" s="9">
        <v>69</v>
      </c>
      <c r="E39" s="9">
        <v>0</v>
      </c>
      <c r="F39" s="12">
        <f t="shared" si="2"/>
        <v>39.870565121923036</v>
      </c>
      <c r="G39" s="9">
        <v>1.7305999999999999</v>
      </c>
      <c r="H39" s="9">
        <v>0</v>
      </c>
      <c r="I39" s="9">
        <v>19.57</v>
      </c>
      <c r="J39" s="21">
        <f t="shared" si="3"/>
        <v>19.57</v>
      </c>
      <c r="K39" s="9">
        <v>0</v>
      </c>
      <c r="L39" s="20"/>
      <c r="M39" s="9">
        <v>49</v>
      </c>
      <c r="N39" s="11" t="s">
        <v>2797</v>
      </c>
      <c r="O39" s="9" t="s">
        <v>2796</v>
      </c>
    </row>
    <row r="40" spans="1:15" x14ac:dyDescent="0.25">
      <c r="A40" s="11" t="s">
        <v>2807</v>
      </c>
      <c r="B40" s="9" t="s">
        <v>238</v>
      </c>
      <c r="C40" s="9">
        <v>0</v>
      </c>
      <c r="D40" s="9">
        <v>135</v>
      </c>
      <c r="E40" s="9">
        <v>0</v>
      </c>
      <c r="F40" s="12">
        <f t="shared" si="2"/>
        <v>62.989921612541984</v>
      </c>
      <c r="G40" s="9">
        <v>2.1432000000000002</v>
      </c>
      <c r="H40" s="9">
        <v>0</v>
      </c>
      <c r="I40" s="9">
        <v>38.79</v>
      </c>
      <c r="J40" s="21">
        <f t="shared" si="3"/>
        <v>38.79</v>
      </c>
      <c r="K40" s="9">
        <v>0</v>
      </c>
      <c r="L40" s="20"/>
      <c r="M40" s="9">
        <v>75</v>
      </c>
      <c r="N40" s="11" t="s">
        <v>2806</v>
      </c>
      <c r="O40" s="9" t="s">
        <v>2805</v>
      </c>
    </row>
    <row r="41" spans="1:15" x14ac:dyDescent="0.25">
      <c r="A41" s="11" t="s">
        <v>2810</v>
      </c>
      <c r="B41" s="9" t="s">
        <v>238</v>
      </c>
      <c r="C41" s="9">
        <v>0</v>
      </c>
      <c r="D41" s="9">
        <v>135</v>
      </c>
      <c r="E41" s="9">
        <v>0</v>
      </c>
      <c r="F41" s="12">
        <f t="shared" si="2"/>
        <v>62.989921612541984</v>
      </c>
      <c r="G41" s="9">
        <v>2.1432000000000002</v>
      </c>
      <c r="H41" s="9">
        <v>0</v>
      </c>
      <c r="I41" s="9">
        <v>38.79</v>
      </c>
      <c r="J41" s="21">
        <f t="shared" si="3"/>
        <v>38.79</v>
      </c>
      <c r="K41" s="9">
        <v>0</v>
      </c>
      <c r="L41" s="20"/>
      <c r="M41" s="9">
        <v>75</v>
      </c>
      <c r="N41" s="11" t="s">
        <v>2806</v>
      </c>
      <c r="O41" s="9" t="s">
        <v>2805</v>
      </c>
    </row>
    <row r="42" spans="1:15" x14ac:dyDescent="0.25">
      <c r="A42" s="11" t="s">
        <v>2812</v>
      </c>
      <c r="B42" s="9" t="s">
        <v>238</v>
      </c>
      <c r="C42" s="9">
        <v>0</v>
      </c>
      <c r="D42" s="9">
        <v>135</v>
      </c>
      <c r="E42" s="9">
        <v>0</v>
      </c>
      <c r="F42" s="12">
        <f t="shared" si="2"/>
        <v>62.989921612541984</v>
      </c>
      <c r="G42" s="9">
        <v>2.1432000000000002</v>
      </c>
      <c r="H42" s="9">
        <v>0</v>
      </c>
      <c r="I42" s="9">
        <v>38.79</v>
      </c>
      <c r="J42" s="21">
        <f t="shared" si="3"/>
        <v>38.79</v>
      </c>
      <c r="K42" s="9">
        <v>0</v>
      </c>
      <c r="L42" s="20"/>
      <c r="M42" s="9">
        <v>75</v>
      </c>
      <c r="N42" s="11" t="s">
        <v>2806</v>
      </c>
      <c r="O42" s="9" t="s">
        <v>2805</v>
      </c>
    </row>
    <row r="43" spans="1:15" x14ac:dyDescent="0.25">
      <c r="A43" s="11" t="s">
        <v>2816</v>
      </c>
      <c r="B43" s="9" t="s">
        <v>238</v>
      </c>
      <c r="C43" s="9">
        <v>0</v>
      </c>
      <c r="D43" s="9">
        <v>180</v>
      </c>
      <c r="E43" s="9">
        <v>0</v>
      </c>
      <c r="F43" s="12">
        <f t="shared" si="2"/>
        <v>58.810076126376316</v>
      </c>
      <c r="G43" s="9">
        <v>3.0607000000000002</v>
      </c>
      <c r="H43" s="9">
        <v>0</v>
      </c>
      <c r="I43" s="9">
        <v>29.45</v>
      </c>
      <c r="J43" s="21">
        <f t="shared" si="3"/>
        <v>29.45</v>
      </c>
      <c r="K43" s="9">
        <v>0</v>
      </c>
      <c r="L43" s="20"/>
      <c r="M43" s="9">
        <v>125</v>
      </c>
      <c r="N43" s="11" t="s">
        <v>2815</v>
      </c>
      <c r="O43" s="9" t="s">
        <v>2814</v>
      </c>
    </row>
    <row r="44" spans="1:15" x14ac:dyDescent="0.25">
      <c r="A44" s="11" t="s">
        <v>2819</v>
      </c>
      <c r="B44" s="9" t="s">
        <v>238</v>
      </c>
      <c r="C44" s="9">
        <v>0</v>
      </c>
      <c r="D44" s="9">
        <v>180</v>
      </c>
      <c r="E44" s="9">
        <v>0</v>
      </c>
      <c r="F44" s="12">
        <f t="shared" si="2"/>
        <v>58.810076126376316</v>
      </c>
      <c r="G44" s="9">
        <v>3.0607000000000002</v>
      </c>
      <c r="H44" s="9">
        <v>0</v>
      </c>
      <c r="I44" s="9">
        <v>29.45</v>
      </c>
      <c r="J44" s="21">
        <f t="shared" si="3"/>
        <v>29.45</v>
      </c>
      <c r="K44" s="9">
        <v>0</v>
      </c>
      <c r="L44" s="20"/>
      <c r="M44" s="9">
        <v>125</v>
      </c>
      <c r="N44" s="11" t="s">
        <v>2815</v>
      </c>
      <c r="O44" s="9" t="s">
        <v>2814</v>
      </c>
    </row>
    <row r="45" spans="1:15" x14ac:dyDescent="0.25">
      <c r="A45" s="11" t="s">
        <v>2821</v>
      </c>
      <c r="B45" s="9" t="s">
        <v>238</v>
      </c>
      <c r="C45" s="9">
        <v>0</v>
      </c>
      <c r="D45" s="9">
        <v>180</v>
      </c>
      <c r="E45" s="9">
        <v>0</v>
      </c>
      <c r="F45" s="12">
        <f t="shared" si="2"/>
        <v>58.810076126376316</v>
      </c>
      <c r="G45" s="9">
        <v>3.0607000000000002</v>
      </c>
      <c r="H45" s="9">
        <v>0</v>
      </c>
      <c r="I45" s="9">
        <v>29.45</v>
      </c>
      <c r="J45" s="21">
        <f t="shared" si="3"/>
        <v>29.45</v>
      </c>
      <c r="K45" s="9">
        <v>0</v>
      </c>
      <c r="L45" s="20"/>
      <c r="M45" s="9">
        <v>125</v>
      </c>
      <c r="N45" s="11" t="s">
        <v>2815</v>
      </c>
      <c r="O45" s="9" t="s">
        <v>2814</v>
      </c>
    </row>
    <row r="46" spans="1:15" x14ac:dyDescent="0.25">
      <c r="A46" s="11" t="s">
        <v>2823</v>
      </c>
      <c r="B46" s="9" t="s">
        <v>238</v>
      </c>
      <c r="C46" s="9">
        <v>0</v>
      </c>
      <c r="D46" s="9">
        <v>190</v>
      </c>
      <c r="E46" s="9">
        <v>0</v>
      </c>
      <c r="F46" s="12">
        <f t="shared" si="2"/>
        <v>62.077302577841664</v>
      </c>
      <c r="G46" s="9">
        <v>3.0607000000000002</v>
      </c>
      <c r="H46" s="9">
        <v>0</v>
      </c>
      <c r="I46" s="9">
        <v>29.45</v>
      </c>
      <c r="J46" s="21">
        <f t="shared" si="3"/>
        <v>29.45</v>
      </c>
      <c r="K46" s="9">
        <v>0</v>
      </c>
      <c r="L46" s="20"/>
      <c r="M46" s="9">
        <v>125</v>
      </c>
      <c r="N46" s="11" t="s">
        <v>2815</v>
      </c>
      <c r="O46" s="9" t="s">
        <v>2814</v>
      </c>
    </row>
    <row r="47" spans="1:15" x14ac:dyDescent="0.25">
      <c r="A47" s="11" t="s">
        <v>2850</v>
      </c>
      <c r="B47" s="9" t="s">
        <v>238</v>
      </c>
      <c r="C47" s="9">
        <v>0</v>
      </c>
      <c r="D47" s="9">
        <v>155</v>
      </c>
      <c r="E47" s="9">
        <v>0</v>
      </c>
      <c r="F47" s="12">
        <f t="shared" si="2"/>
        <v>28.704766843216415</v>
      </c>
      <c r="G47" s="9">
        <v>5.3997999999999999</v>
      </c>
      <c r="H47" s="9">
        <v>0</v>
      </c>
      <c r="I47" s="9">
        <v>0</v>
      </c>
      <c r="J47" s="12">
        <f t="shared" si="3"/>
        <v>0</v>
      </c>
      <c r="K47" s="9">
        <v>0</v>
      </c>
      <c r="L47" s="20"/>
      <c r="M47" s="9">
        <v>22</v>
      </c>
      <c r="N47" s="11" t="s">
        <v>2849</v>
      </c>
      <c r="O47" s="9" t="s">
        <v>2848</v>
      </c>
    </row>
    <row r="48" spans="1:15" x14ac:dyDescent="0.25">
      <c r="A48" s="11" t="s">
        <v>2853</v>
      </c>
      <c r="B48" s="9" t="s">
        <v>238</v>
      </c>
      <c r="C48" s="9">
        <v>0</v>
      </c>
      <c r="D48" s="9">
        <v>155</v>
      </c>
      <c r="E48" s="9">
        <v>0</v>
      </c>
      <c r="F48" s="12">
        <f t="shared" si="2"/>
        <v>28.704766843216415</v>
      </c>
      <c r="G48" s="9">
        <v>5.3997999999999999</v>
      </c>
      <c r="H48" s="9">
        <v>0</v>
      </c>
      <c r="I48" s="9">
        <v>0</v>
      </c>
      <c r="J48" s="12">
        <f t="shared" si="3"/>
        <v>0</v>
      </c>
      <c r="K48" s="9">
        <v>0</v>
      </c>
      <c r="L48" s="20"/>
      <c r="M48" s="9">
        <v>22</v>
      </c>
      <c r="N48" s="11" t="s">
        <v>2849</v>
      </c>
      <c r="O48" s="9" t="s">
        <v>2848</v>
      </c>
    </row>
    <row r="49" spans="1:15" x14ac:dyDescent="0.25">
      <c r="A49" s="11" t="s">
        <v>2855</v>
      </c>
      <c r="B49" s="9" t="s">
        <v>238</v>
      </c>
      <c r="C49" s="9">
        <v>0</v>
      </c>
      <c r="D49" s="9">
        <v>155</v>
      </c>
      <c r="E49" s="9">
        <v>0</v>
      </c>
      <c r="F49" s="12">
        <f t="shared" si="2"/>
        <v>28.704766843216415</v>
      </c>
      <c r="G49" s="9">
        <v>5.3997999999999999</v>
      </c>
      <c r="H49" s="9">
        <v>0</v>
      </c>
      <c r="I49" s="9">
        <v>0</v>
      </c>
      <c r="J49" s="12">
        <f t="shared" si="3"/>
        <v>0</v>
      </c>
      <c r="K49" s="9">
        <v>0</v>
      </c>
      <c r="L49" s="20"/>
      <c r="M49" s="9">
        <v>22</v>
      </c>
      <c r="N49" s="11" t="s">
        <v>2849</v>
      </c>
      <c r="O49" s="9" t="s">
        <v>2848</v>
      </c>
    </row>
    <row r="50" spans="1:15" x14ac:dyDescent="0.25">
      <c r="A50" s="11" t="s">
        <v>2857</v>
      </c>
      <c r="B50" s="9" t="s">
        <v>238</v>
      </c>
      <c r="C50" s="9">
        <v>0</v>
      </c>
      <c r="D50" s="9">
        <v>155</v>
      </c>
      <c r="E50" s="9">
        <v>0</v>
      </c>
      <c r="F50" s="12">
        <f t="shared" si="2"/>
        <v>28.704766843216415</v>
      </c>
      <c r="G50" s="9">
        <v>5.3997999999999999</v>
      </c>
      <c r="H50" s="9">
        <v>0</v>
      </c>
      <c r="I50" s="9">
        <v>0</v>
      </c>
      <c r="J50" s="12">
        <f t="shared" si="3"/>
        <v>0</v>
      </c>
      <c r="K50" s="9">
        <v>0</v>
      </c>
      <c r="L50" s="20"/>
      <c r="M50" s="9">
        <v>22</v>
      </c>
      <c r="N50" s="11" t="s">
        <v>2849</v>
      </c>
      <c r="O50" s="9" t="s">
        <v>2848</v>
      </c>
    </row>
    <row r="51" spans="1:15" x14ac:dyDescent="0.25">
      <c r="A51" s="11" t="s">
        <v>2859</v>
      </c>
      <c r="B51" s="9" t="s">
        <v>238</v>
      </c>
      <c r="C51" s="9">
        <v>0</v>
      </c>
      <c r="D51" s="9">
        <v>155</v>
      </c>
      <c r="E51" s="9">
        <v>0</v>
      </c>
      <c r="F51" s="12">
        <f t="shared" si="2"/>
        <v>28.704766843216415</v>
      </c>
      <c r="G51" s="9">
        <v>5.3997999999999999</v>
      </c>
      <c r="H51" s="9">
        <v>0</v>
      </c>
      <c r="I51" s="9">
        <v>0</v>
      </c>
      <c r="J51" s="12">
        <f t="shared" si="3"/>
        <v>0</v>
      </c>
      <c r="K51" s="9">
        <v>0</v>
      </c>
      <c r="L51" s="20"/>
      <c r="M51" s="9">
        <v>22</v>
      </c>
      <c r="N51" s="11" t="s">
        <v>2849</v>
      </c>
      <c r="O51" s="9" t="s">
        <v>2848</v>
      </c>
    </row>
    <row r="52" spans="1:15" x14ac:dyDescent="0.25">
      <c r="A52" s="11" t="s">
        <v>2861</v>
      </c>
      <c r="B52" s="9" t="s">
        <v>238</v>
      </c>
      <c r="C52" s="9">
        <v>0</v>
      </c>
      <c r="D52" s="9">
        <v>155</v>
      </c>
      <c r="E52" s="9">
        <v>0</v>
      </c>
      <c r="F52" s="12">
        <f t="shared" si="2"/>
        <v>28.704766843216415</v>
      </c>
      <c r="G52" s="9">
        <v>5.3997999999999999</v>
      </c>
      <c r="H52" s="9">
        <v>0</v>
      </c>
      <c r="I52" s="9">
        <v>0</v>
      </c>
      <c r="J52" s="12">
        <f t="shared" si="3"/>
        <v>0</v>
      </c>
      <c r="K52" s="9">
        <v>0</v>
      </c>
      <c r="L52" s="20"/>
      <c r="M52" s="9">
        <v>22</v>
      </c>
      <c r="N52" s="11" t="s">
        <v>2849</v>
      </c>
      <c r="O52" s="9" t="s">
        <v>2848</v>
      </c>
    </row>
    <row r="53" spans="1:15" x14ac:dyDescent="0.25">
      <c r="A53" s="11" t="s">
        <v>2863</v>
      </c>
      <c r="B53" s="9" t="s">
        <v>238</v>
      </c>
      <c r="C53" s="9">
        <v>0</v>
      </c>
      <c r="D53" s="9">
        <v>155</v>
      </c>
      <c r="E53" s="9">
        <v>0</v>
      </c>
      <c r="F53" s="12">
        <f t="shared" si="2"/>
        <v>28.704766843216415</v>
      </c>
      <c r="G53" s="9">
        <v>5.3997999999999999</v>
      </c>
      <c r="H53" s="9">
        <v>0</v>
      </c>
      <c r="I53" s="9">
        <v>0</v>
      </c>
      <c r="J53" s="12">
        <f t="shared" si="3"/>
        <v>0</v>
      </c>
      <c r="K53" s="9">
        <v>0</v>
      </c>
      <c r="L53" s="20"/>
      <c r="M53" s="9">
        <v>22</v>
      </c>
      <c r="N53" s="11" t="s">
        <v>2849</v>
      </c>
      <c r="O53" s="9" t="s">
        <v>2848</v>
      </c>
    </row>
    <row r="54" spans="1:15" x14ac:dyDescent="0.25">
      <c r="A54" s="11" t="s">
        <v>2865</v>
      </c>
      <c r="B54" s="9" t="s">
        <v>238</v>
      </c>
      <c r="C54" s="9">
        <v>0</v>
      </c>
      <c r="D54" s="9">
        <v>155</v>
      </c>
      <c r="E54" s="9">
        <v>0</v>
      </c>
      <c r="F54" s="12">
        <f t="shared" si="2"/>
        <v>28.704766843216415</v>
      </c>
      <c r="G54" s="9">
        <v>5.3997999999999999</v>
      </c>
      <c r="H54" s="9">
        <v>0</v>
      </c>
      <c r="I54" s="9">
        <v>0</v>
      </c>
      <c r="J54" s="12">
        <f t="shared" si="3"/>
        <v>0</v>
      </c>
      <c r="K54" s="9">
        <v>0</v>
      </c>
      <c r="L54" s="20"/>
      <c r="M54" s="9">
        <v>22</v>
      </c>
      <c r="N54" s="11" t="s">
        <v>2849</v>
      </c>
      <c r="O54" s="9" t="s">
        <v>2848</v>
      </c>
    </row>
    <row r="55" spans="1:15" x14ac:dyDescent="0.25">
      <c r="A55" s="11" t="s">
        <v>2877</v>
      </c>
      <c r="B55" s="9" t="s">
        <v>238</v>
      </c>
      <c r="C55" s="9">
        <v>0</v>
      </c>
      <c r="D55" s="9">
        <v>25</v>
      </c>
      <c r="E55" s="9">
        <v>0</v>
      </c>
      <c r="F55" s="12">
        <f t="shared" si="2"/>
        <v>16.741445121542892</v>
      </c>
      <c r="G55" s="9">
        <v>1.4933000000000001</v>
      </c>
      <c r="H55" s="9">
        <v>0</v>
      </c>
      <c r="I55" s="9">
        <v>0</v>
      </c>
      <c r="J55" s="12">
        <f t="shared" si="3"/>
        <v>0</v>
      </c>
      <c r="K55" s="9">
        <v>0</v>
      </c>
      <c r="L55" s="20"/>
      <c r="M55" s="9">
        <v>9.4499999999999993</v>
      </c>
      <c r="N55" s="11" t="s">
        <v>2876</v>
      </c>
      <c r="O55" s="9" t="s">
        <v>2875</v>
      </c>
    </row>
    <row r="56" spans="1:15" x14ac:dyDescent="0.25">
      <c r="A56" s="11" t="s">
        <v>2880</v>
      </c>
      <c r="B56" s="9" t="s">
        <v>238</v>
      </c>
      <c r="C56" s="9">
        <v>0</v>
      </c>
      <c r="D56" s="9">
        <v>25</v>
      </c>
      <c r="E56" s="9">
        <v>0</v>
      </c>
      <c r="F56" s="12">
        <f t="shared" si="2"/>
        <v>16.741445121542892</v>
      </c>
      <c r="G56" s="9">
        <v>1.4933000000000001</v>
      </c>
      <c r="H56" s="9">
        <v>0</v>
      </c>
      <c r="I56" s="9">
        <v>0</v>
      </c>
      <c r="J56" s="12">
        <f t="shared" si="3"/>
        <v>0</v>
      </c>
      <c r="K56" s="9">
        <v>0</v>
      </c>
      <c r="L56" s="20"/>
      <c r="M56" s="9">
        <v>9.4499999999999993</v>
      </c>
      <c r="N56" s="11" t="s">
        <v>2876</v>
      </c>
      <c r="O56" s="9" t="s">
        <v>2875</v>
      </c>
    </row>
    <row r="57" spans="1:15" x14ac:dyDescent="0.25">
      <c r="A57" s="11" t="s">
        <v>2890</v>
      </c>
      <c r="B57" s="9" t="s">
        <v>238</v>
      </c>
      <c r="C57" s="9">
        <v>0</v>
      </c>
      <c r="D57" s="9">
        <v>20</v>
      </c>
      <c r="E57" s="9">
        <v>0</v>
      </c>
      <c r="F57" s="12">
        <f t="shared" si="2"/>
        <v>30.152268958239109</v>
      </c>
      <c r="G57" s="9">
        <v>0.6633</v>
      </c>
      <c r="H57" s="9">
        <v>0</v>
      </c>
      <c r="I57" s="9">
        <v>8.4499999999999993</v>
      </c>
      <c r="J57" s="21">
        <f t="shared" si="3"/>
        <v>8.4499999999999993</v>
      </c>
      <c r="K57" s="9">
        <v>0</v>
      </c>
      <c r="L57" s="20"/>
      <c r="M57" s="9">
        <v>1</v>
      </c>
      <c r="N57" s="11" t="s">
        <v>2889</v>
      </c>
      <c r="O57" s="9">
        <v>0</v>
      </c>
    </row>
    <row r="58" spans="1:15" x14ac:dyDescent="0.25">
      <c r="A58" s="11" t="s">
        <v>2892</v>
      </c>
      <c r="B58" s="9" t="s">
        <v>238</v>
      </c>
      <c r="C58" s="9">
        <v>0</v>
      </c>
      <c r="D58" s="9">
        <v>20</v>
      </c>
      <c r="E58" s="9">
        <v>0</v>
      </c>
      <c r="F58" s="12">
        <f t="shared" si="2"/>
        <v>30.152268958239109</v>
      </c>
      <c r="G58" s="9">
        <v>0.6633</v>
      </c>
      <c r="H58" s="9">
        <v>0</v>
      </c>
      <c r="I58" s="9">
        <v>8.4499999999999993</v>
      </c>
      <c r="J58" s="21">
        <f t="shared" si="3"/>
        <v>8.4499999999999993</v>
      </c>
      <c r="K58" s="9">
        <v>0</v>
      </c>
      <c r="L58" s="20"/>
      <c r="M58" s="9">
        <v>0</v>
      </c>
      <c r="N58" s="11" t="s">
        <v>2889</v>
      </c>
      <c r="O58" s="9">
        <v>0</v>
      </c>
    </row>
    <row r="59" spans="1:15" x14ac:dyDescent="0.25">
      <c r="A59" s="11" t="s">
        <v>2638</v>
      </c>
      <c r="B59" s="9" t="s">
        <v>615</v>
      </c>
      <c r="C59" s="9">
        <v>0</v>
      </c>
      <c r="D59" s="9">
        <v>125</v>
      </c>
      <c r="E59" s="9">
        <v>0</v>
      </c>
      <c r="F59" s="12">
        <f t="shared" si="2"/>
        <v>17.899846777311588</v>
      </c>
      <c r="G59" s="9">
        <v>6.9832999999999998</v>
      </c>
      <c r="H59" s="9">
        <v>0</v>
      </c>
      <c r="I59" s="9">
        <v>0</v>
      </c>
      <c r="J59" s="12">
        <f t="shared" si="3"/>
        <v>0</v>
      </c>
      <c r="K59" s="9">
        <v>0</v>
      </c>
      <c r="L59" s="20"/>
      <c r="M59" s="9">
        <v>10</v>
      </c>
      <c r="N59" s="11" t="s">
        <v>2637</v>
      </c>
      <c r="O59" s="9" t="s">
        <v>2636</v>
      </c>
    </row>
    <row r="60" spans="1:15" x14ac:dyDescent="0.25">
      <c r="A60" s="11" t="s">
        <v>2641</v>
      </c>
      <c r="B60" s="9" t="s">
        <v>615</v>
      </c>
      <c r="C60" s="9">
        <v>0</v>
      </c>
      <c r="D60" s="9">
        <v>125</v>
      </c>
      <c r="E60" s="9">
        <v>0</v>
      </c>
      <c r="F60" s="12">
        <f t="shared" si="2"/>
        <v>17.899846777311588</v>
      </c>
      <c r="G60" s="9">
        <v>6.9832999999999998</v>
      </c>
      <c r="H60" s="9">
        <v>0</v>
      </c>
      <c r="I60" s="9">
        <v>0</v>
      </c>
      <c r="J60" s="12">
        <f t="shared" si="3"/>
        <v>0</v>
      </c>
      <c r="K60" s="9">
        <v>0</v>
      </c>
      <c r="L60" s="20"/>
      <c r="M60" s="9">
        <v>10</v>
      </c>
      <c r="N60" s="11" t="s">
        <v>2637</v>
      </c>
      <c r="O60" s="9" t="s">
        <v>2636</v>
      </c>
    </row>
    <row r="61" spans="1:15" x14ac:dyDescent="0.25">
      <c r="A61" s="11" t="s">
        <v>2643</v>
      </c>
      <c r="B61" s="9" t="s">
        <v>615</v>
      </c>
      <c r="C61" s="9">
        <v>0</v>
      </c>
      <c r="D61" s="9">
        <v>125</v>
      </c>
      <c r="E61" s="9">
        <v>0</v>
      </c>
      <c r="F61" s="12">
        <f t="shared" si="2"/>
        <v>17.899846777311588</v>
      </c>
      <c r="G61" s="9">
        <v>6.9832999999999998</v>
      </c>
      <c r="H61" s="9">
        <v>0</v>
      </c>
      <c r="I61" s="9">
        <v>0</v>
      </c>
      <c r="J61" s="12">
        <f t="shared" si="3"/>
        <v>0</v>
      </c>
      <c r="K61" s="9">
        <v>0</v>
      </c>
      <c r="L61" s="20"/>
      <c r="M61" s="9">
        <v>10</v>
      </c>
      <c r="N61" s="11" t="s">
        <v>2637</v>
      </c>
      <c r="O61" s="9" t="s">
        <v>2636</v>
      </c>
    </row>
    <row r="62" spans="1:15" x14ac:dyDescent="0.25">
      <c r="A62" s="11" t="s">
        <v>2645</v>
      </c>
      <c r="B62" s="9" t="s">
        <v>615</v>
      </c>
      <c r="C62" s="9">
        <v>0</v>
      </c>
      <c r="D62" s="9">
        <v>125</v>
      </c>
      <c r="E62" s="9">
        <v>0</v>
      </c>
      <c r="F62" s="12">
        <f t="shared" si="2"/>
        <v>17.899846777311588</v>
      </c>
      <c r="G62" s="9">
        <v>6.9832999999999998</v>
      </c>
      <c r="H62" s="9">
        <v>0</v>
      </c>
      <c r="I62" s="9">
        <v>0</v>
      </c>
      <c r="J62" s="12">
        <f t="shared" si="3"/>
        <v>0</v>
      </c>
      <c r="K62" s="9">
        <v>0</v>
      </c>
      <c r="L62" s="20"/>
      <c r="M62" s="9">
        <v>10</v>
      </c>
      <c r="N62" s="11" t="s">
        <v>2637</v>
      </c>
      <c r="O62" s="9" t="s">
        <v>2636</v>
      </c>
    </row>
    <row r="63" spans="1:15" x14ac:dyDescent="0.25">
      <c r="A63" s="11" t="s">
        <v>2647</v>
      </c>
      <c r="B63" s="9" t="s">
        <v>615</v>
      </c>
      <c r="C63" s="9">
        <v>0</v>
      </c>
      <c r="D63" s="9">
        <v>125</v>
      </c>
      <c r="E63" s="9">
        <v>0</v>
      </c>
      <c r="F63" s="12">
        <f t="shared" si="2"/>
        <v>17.899846777311588</v>
      </c>
      <c r="G63" s="9">
        <v>6.9832999999999998</v>
      </c>
      <c r="H63" s="9">
        <v>0</v>
      </c>
      <c r="I63" s="9">
        <v>0</v>
      </c>
      <c r="J63" s="12">
        <f t="shared" si="3"/>
        <v>0</v>
      </c>
      <c r="K63" s="9">
        <v>0</v>
      </c>
      <c r="L63" s="20"/>
      <c r="M63" s="9">
        <v>10</v>
      </c>
      <c r="N63" s="11" t="s">
        <v>2637</v>
      </c>
      <c r="O63" s="9" t="s">
        <v>2636</v>
      </c>
    </row>
    <row r="64" spans="1:15" x14ac:dyDescent="0.25">
      <c r="A64" s="11" t="s">
        <v>2649</v>
      </c>
      <c r="B64" s="9" t="s">
        <v>615</v>
      </c>
      <c r="C64" s="9">
        <v>0</v>
      </c>
      <c r="D64" s="9">
        <v>125</v>
      </c>
      <c r="E64" s="9">
        <v>0</v>
      </c>
      <c r="F64" s="12">
        <f t="shared" si="2"/>
        <v>17.899846777311588</v>
      </c>
      <c r="G64" s="9">
        <v>6.9832999999999998</v>
      </c>
      <c r="H64" s="9">
        <v>0</v>
      </c>
      <c r="I64" s="9">
        <v>0</v>
      </c>
      <c r="J64" s="12">
        <f t="shared" si="3"/>
        <v>0</v>
      </c>
      <c r="K64" s="9">
        <v>0</v>
      </c>
      <c r="L64" s="20"/>
      <c r="M64" s="9">
        <v>10</v>
      </c>
      <c r="N64" s="11" t="s">
        <v>2637</v>
      </c>
      <c r="O64" s="9" t="s">
        <v>2636</v>
      </c>
    </row>
    <row r="65" spans="1:15" x14ac:dyDescent="0.25">
      <c r="A65" s="11" t="s">
        <v>2651</v>
      </c>
      <c r="B65" s="9" t="s">
        <v>615</v>
      </c>
      <c r="C65" s="9">
        <v>0</v>
      </c>
      <c r="D65" s="9">
        <v>125</v>
      </c>
      <c r="E65" s="9">
        <v>0</v>
      </c>
      <c r="F65" s="12">
        <f t="shared" si="2"/>
        <v>17.899846777311588</v>
      </c>
      <c r="G65" s="9">
        <v>6.9832999999999998</v>
      </c>
      <c r="H65" s="9">
        <v>0</v>
      </c>
      <c r="I65" s="9">
        <v>0</v>
      </c>
      <c r="J65" s="12">
        <f t="shared" si="3"/>
        <v>0</v>
      </c>
      <c r="K65" s="9">
        <v>0</v>
      </c>
      <c r="L65" s="20"/>
      <c r="M65" s="9">
        <v>10</v>
      </c>
      <c r="N65" s="11" t="s">
        <v>2637</v>
      </c>
      <c r="O65" s="9" t="s">
        <v>2636</v>
      </c>
    </row>
    <row r="66" spans="1:15" x14ac:dyDescent="0.25">
      <c r="A66" s="11" t="s">
        <v>2653</v>
      </c>
      <c r="B66" s="9" t="s">
        <v>615</v>
      </c>
      <c r="C66" s="9">
        <v>0</v>
      </c>
      <c r="D66" s="9">
        <v>125</v>
      </c>
      <c r="E66" s="9">
        <v>0</v>
      </c>
      <c r="F66" s="12">
        <f t="shared" si="2"/>
        <v>17.899846777311588</v>
      </c>
      <c r="G66" s="9">
        <v>6.9832999999999998</v>
      </c>
      <c r="H66" s="9">
        <v>0</v>
      </c>
      <c r="I66" s="9">
        <v>0</v>
      </c>
      <c r="J66" s="12">
        <f t="shared" si="3"/>
        <v>0</v>
      </c>
      <c r="K66" s="9">
        <v>0</v>
      </c>
      <c r="L66" s="20"/>
      <c r="M66" s="9">
        <v>10</v>
      </c>
      <c r="N66" s="11" t="s">
        <v>2637</v>
      </c>
      <c r="O66" s="9" t="s">
        <v>2636</v>
      </c>
    </row>
    <row r="67" spans="1:15" x14ac:dyDescent="0.25">
      <c r="A67" s="11" t="s">
        <v>2664</v>
      </c>
      <c r="B67" s="9" t="s">
        <v>615</v>
      </c>
      <c r="C67" s="9">
        <v>0</v>
      </c>
      <c r="D67" s="9">
        <v>50</v>
      </c>
      <c r="E67" s="9">
        <v>0</v>
      </c>
      <c r="F67" s="12">
        <f t="shared" si="2"/>
        <v>6.272896070657902</v>
      </c>
      <c r="G67" s="9">
        <v>7.9707999999999997</v>
      </c>
      <c r="H67" s="9">
        <v>0</v>
      </c>
      <c r="I67" s="9">
        <v>0</v>
      </c>
      <c r="J67" s="12">
        <f t="shared" si="3"/>
        <v>0</v>
      </c>
      <c r="K67" s="9">
        <v>0</v>
      </c>
      <c r="L67" s="20"/>
      <c r="M67" s="9">
        <v>5</v>
      </c>
      <c r="N67" s="11" t="s">
        <v>2663</v>
      </c>
      <c r="O67" s="9" t="s">
        <v>2662</v>
      </c>
    </row>
    <row r="68" spans="1:15" x14ac:dyDescent="0.25">
      <c r="A68" s="11" t="s">
        <v>2667</v>
      </c>
      <c r="B68" s="9" t="s">
        <v>615</v>
      </c>
      <c r="C68" s="9">
        <v>0</v>
      </c>
      <c r="D68" s="9">
        <v>50</v>
      </c>
      <c r="E68" s="9">
        <v>0</v>
      </c>
      <c r="F68" s="12">
        <f t="shared" si="2"/>
        <v>6.272896070657902</v>
      </c>
      <c r="G68" s="9">
        <v>7.9707999999999997</v>
      </c>
      <c r="H68" s="9">
        <v>0</v>
      </c>
      <c r="I68" s="9">
        <v>0</v>
      </c>
      <c r="J68" s="12">
        <f t="shared" si="3"/>
        <v>0</v>
      </c>
      <c r="K68" s="9">
        <v>0</v>
      </c>
      <c r="L68" s="20"/>
      <c r="M68" s="9">
        <v>30</v>
      </c>
      <c r="N68" s="11" t="s">
        <v>2663</v>
      </c>
      <c r="O68" s="9" t="s">
        <v>2662</v>
      </c>
    </row>
    <row r="69" spans="1:15" x14ac:dyDescent="0.25">
      <c r="A69" s="11" t="s">
        <v>2669</v>
      </c>
      <c r="B69" s="9" t="s">
        <v>615</v>
      </c>
      <c r="C69" s="9">
        <v>0</v>
      </c>
      <c r="D69" s="9">
        <v>50</v>
      </c>
      <c r="E69" s="9">
        <v>0</v>
      </c>
      <c r="F69" s="12">
        <f t="shared" si="2"/>
        <v>6.272896070657902</v>
      </c>
      <c r="G69" s="9">
        <v>7.9707999999999997</v>
      </c>
      <c r="H69" s="9">
        <v>0</v>
      </c>
      <c r="I69" s="9">
        <v>0</v>
      </c>
      <c r="J69" s="12">
        <f t="shared" si="3"/>
        <v>0</v>
      </c>
      <c r="K69" s="9">
        <v>0</v>
      </c>
      <c r="L69" s="20"/>
      <c r="M69" s="9">
        <v>5</v>
      </c>
      <c r="N69" s="11" t="s">
        <v>2663</v>
      </c>
      <c r="O69" s="9" t="s">
        <v>2662</v>
      </c>
    </row>
    <row r="70" spans="1:15" x14ac:dyDescent="0.25">
      <c r="A70" s="11" t="s">
        <v>2735</v>
      </c>
      <c r="B70" s="9" t="s">
        <v>615</v>
      </c>
      <c r="C70" s="9">
        <v>0</v>
      </c>
      <c r="D70" s="9">
        <v>250</v>
      </c>
      <c r="E70" s="9">
        <v>0</v>
      </c>
      <c r="F70" s="12">
        <f t="shared" ref="F70:F101" si="4">D70/G70</f>
        <v>25.391795403069359</v>
      </c>
      <c r="G70" s="9">
        <v>9.8457000000000008</v>
      </c>
      <c r="H70" s="9">
        <v>0</v>
      </c>
      <c r="I70" s="22">
        <v>18.47</v>
      </c>
      <c r="J70" s="21">
        <f t="shared" ref="J70:J101" si="5">H70+1/1*(I70-H70)</f>
        <v>18.47</v>
      </c>
      <c r="K70" s="9">
        <v>0</v>
      </c>
      <c r="L70" s="20"/>
      <c r="M70" s="9">
        <v>60</v>
      </c>
      <c r="N70" s="11" t="s">
        <v>2734</v>
      </c>
      <c r="O70" s="9" t="s">
        <v>2733</v>
      </c>
    </row>
    <row r="71" spans="1:15" x14ac:dyDescent="0.25">
      <c r="A71" s="11" t="s">
        <v>2738</v>
      </c>
      <c r="B71" s="9" t="s">
        <v>615</v>
      </c>
      <c r="C71" s="9">
        <v>0</v>
      </c>
      <c r="D71" s="9">
        <v>250</v>
      </c>
      <c r="E71" s="9">
        <v>0</v>
      </c>
      <c r="F71" s="12">
        <f t="shared" si="4"/>
        <v>25.391795403069359</v>
      </c>
      <c r="G71" s="9">
        <v>9.8457000000000008</v>
      </c>
      <c r="H71" s="9">
        <v>0</v>
      </c>
      <c r="I71" s="22">
        <v>18.47</v>
      </c>
      <c r="J71" s="21">
        <f t="shared" si="5"/>
        <v>18.47</v>
      </c>
      <c r="K71" s="9">
        <v>0</v>
      </c>
      <c r="L71" s="20"/>
      <c r="M71" s="9">
        <v>60</v>
      </c>
      <c r="N71" s="11" t="s">
        <v>2734</v>
      </c>
      <c r="O71" s="9" t="s">
        <v>2733</v>
      </c>
    </row>
    <row r="72" spans="1:15" x14ac:dyDescent="0.25">
      <c r="A72" s="11" t="s">
        <v>2740</v>
      </c>
      <c r="B72" s="9" t="s">
        <v>615</v>
      </c>
      <c r="C72" s="9">
        <v>0</v>
      </c>
      <c r="D72" s="9">
        <v>250</v>
      </c>
      <c r="E72" s="9">
        <v>0</v>
      </c>
      <c r="F72" s="12">
        <f t="shared" si="4"/>
        <v>25.391795403069359</v>
      </c>
      <c r="G72" s="9">
        <v>9.8457000000000008</v>
      </c>
      <c r="H72" s="9">
        <v>0</v>
      </c>
      <c r="I72" s="22">
        <v>18.47</v>
      </c>
      <c r="J72" s="21">
        <f t="shared" si="5"/>
        <v>18.47</v>
      </c>
      <c r="K72" s="9">
        <v>0</v>
      </c>
      <c r="L72" s="20"/>
      <c r="M72" s="9">
        <v>60</v>
      </c>
      <c r="N72" s="11" t="s">
        <v>2734</v>
      </c>
      <c r="O72" s="9" t="s">
        <v>2733</v>
      </c>
    </row>
    <row r="73" spans="1:15" x14ac:dyDescent="0.25">
      <c r="A73" s="11" t="s">
        <v>2742</v>
      </c>
      <c r="B73" s="9" t="s">
        <v>615</v>
      </c>
      <c r="C73" s="9">
        <v>0</v>
      </c>
      <c r="D73" s="9">
        <v>250</v>
      </c>
      <c r="E73" s="9">
        <v>0</v>
      </c>
      <c r="F73" s="12">
        <f t="shared" si="4"/>
        <v>25.391795403069359</v>
      </c>
      <c r="G73" s="9">
        <v>9.8457000000000008</v>
      </c>
      <c r="H73" s="9">
        <v>0</v>
      </c>
      <c r="I73" s="22">
        <v>18.47</v>
      </c>
      <c r="J73" s="21">
        <f t="shared" si="5"/>
        <v>18.47</v>
      </c>
      <c r="K73" s="9">
        <v>0</v>
      </c>
      <c r="L73" s="20"/>
      <c r="M73" s="9">
        <v>60</v>
      </c>
      <c r="N73" s="11" t="s">
        <v>2734</v>
      </c>
      <c r="O73" s="9" t="s">
        <v>2733</v>
      </c>
    </row>
    <row r="74" spans="1:15" x14ac:dyDescent="0.25">
      <c r="A74" s="11" t="s">
        <v>2744</v>
      </c>
      <c r="B74" s="9" t="s">
        <v>615</v>
      </c>
      <c r="C74" s="9">
        <v>0</v>
      </c>
      <c r="D74" s="9">
        <v>250</v>
      </c>
      <c r="E74" s="9">
        <v>0</v>
      </c>
      <c r="F74" s="12">
        <f t="shared" si="4"/>
        <v>25.391795403069359</v>
      </c>
      <c r="G74" s="9">
        <v>9.8457000000000008</v>
      </c>
      <c r="H74" s="9">
        <v>0</v>
      </c>
      <c r="I74" s="22">
        <v>18.47</v>
      </c>
      <c r="J74" s="21">
        <f t="shared" si="5"/>
        <v>18.47</v>
      </c>
      <c r="K74" s="9">
        <v>0</v>
      </c>
      <c r="L74" s="20"/>
      <c r="M74" s="9">
        <v>60</v>
      </c>
      <c r="N74" s="11" t="s">
        <v>2734</v>
      </c>
      <c r="O74" s="9" t="s">
        <v>2733</v>
      </c>
    </row>
    <row r="75" spans="1:15" x14ac:dyDescent="0.25">
      <c r="A75" s="11" t="s">
        <v>2764</v>
      </c>
      <c r="B75" s="9" t="s">
        <v>615</v>
      </c>
      <c r="C75" s="9">
        <v>0</v>
      </c>
      <c r="D75" s="9">
        <v>108</v>
      </c>
      <c r="E75" s="9">
        <v>0</v>
      </c>
      <c r="F75" s="12">
        <f t="shared" si="4"/>
        <v>12.47372433069229</v>
      </c>
      <c r="G75" s="9">
        <v>8.6582000000000008</v>
      </c>
      <c r="H75" s="9">
        <v>0</v>
      </c>
      <c r="I75" s="9">
        <v>0</v>
      </c>
      <c r="J75" s="12">
        <f t="shared" si="5"/>
        <v>0</v>
      </c>
      <c r="K75" s="9">
        <v>0</v>
      </c>
      <c r="L75" s="20"/>
      <c r="M75" s="9">
        <v>40</v>
      </c>
      <c r="N75" s="11" t="s">
        <v>188</v>
      </c>
      <c r="O75" s="9">
        <v>0</v>
      </c>
    </row>
    <row r="76" spans="1:15" x14ac:dyDescent="0.25">
      <c r="A76" s="11" t="s">
        <v>2767</v>
      </c>
      <c r="B76" s="9" t="s">
        <v>615</v>
      </c>
      <c r="C76" s="9">
        <v>0</v>
      </c>
      <c r="D76" s="9">
        <v>108</v>
      </c>
      <c r="E76" s="9">
        <v>0</v>
      </c>
      <c r="F76" s="12">
        <f t="shared" si="4"/>
        <v>12.47372433069229</v>
      </c>
      <c r="G76" s="9">
        <v>8.6582000000000008</v>
      </c>
      <c r="H76" s="9">
        <v>0</v>
      </c>
      <c r="I76" s="9">
        <v>0</v>
      </c>
      <c r="J76" s="12">
        <f t="shared" si="5"/>
        <v>0</v>
      </c>
      <c r="K76" s="9">
        <v>0</v>
      </c>
      <c r="L76" s="20"/>
      <c r="M76" s="9">
        <v>40</v>
      </c>
      <c r="N76" s="11" t="s">
        <v>188</v>
      </c>
      <c r="O76" s="9">
        <v>0</v>
      </c>
    </row>
    <row r="77" spans="1:15" x14ac:dyDescent="0.25">
      <c r="A77" s="11" t="s">
        <v>2769</v>
      </c>
      <c r="B77" s="9" t="s">
        <v>615</v>
      </c>
      <c r="C77" s="9">
        <v>0</v>
      </c>
      <c r="D77" s="9">
        <v>108</v>
      </c>
      <c r="E77" s="9">
        <v>0</v>
      </c>
      <c r="F77" s="12">
        <f t="shared" si="4"/>
        <v>12.47372433069229</v>
      </c>
      <c r="G77" s="9">
        <v>8.6582000000000008</v>
      </c>
      <c r="H77" s="9">
        <v>0</v>
      </c>
      <c r="I77" s="9">
        <v>0</v>
      </c>
      <c r="J77" s="12">
        <f t="shared" si="5"/>
        <v>0</v>
      </c>
      <c r="K77" s="9">
        <v>0</v>
      </c>
      <c r="L77" s="20"/>
      <c r="M77" s="9">
        <v>40</v>
      </c>
      <c r="N77" s="11" t="s">
        <v>188</v>
      </c>
      <c r="O77" s="9">
        <v>0</v>
      </c>
    </row>
    <row r="78" spans="1:15" x14ac:dyDescent="0.25">
      <c r="A78" s="11" t="s">
        <v>2789</v>
      </c>
      <c r="B78" s="9" t="s">
        <v>615</v>
      </c>
      <c r="C78" s="9">
        <v>0</v>
      </c>
      <c r="D78" s="9">
        <v>92</v>
      </c>
      <c r="E78" s="9">
        <v>0</v>
      </c>
      <c r="F78" s="12">
        <f t="shared" si="4"/>
        <v>12.478806375042389</v>
      </c>
      <c r="G78" s="9">
        <v>7.3724999999999996</v>
      </c>
      <c r="H78" s="9">
        <v>0</v>
      </c>
      <c r="I78" s="9">
        <v>0</v>
      </c>
      <c r="J78" s="12">
        <f t="shared" si="5"/>
        <v>0</v>
      </c>
      <c r="K78" s="9">
        <v>0</v>
      </c>
      <c r="L78" s="20"/>
      <c r="M78" s="9">
        <v>34</v>
      </c>
      <c r="N78" s="11" t="s">
        <v>187</v>
      </c>
      <c r="O78" s="9">
        <v>0</v>
      </c>
    </row>
    <row r="79" spans="1:15" x14ac:dyDescent="0.25">
      <c r="A79" s="11" t="s">
        <v>2792</v>
      </c>
      <c r="B79" s="9" t="s">
        <v>615</v>
      </c>
      <c r="C79" s="9">
        <v>0</v>
      </c>
      <c r="D79" s="9">
        <v>92</v>
      </c>
      <c r="E79" s="9">
        <v>0</v>
      </c>
      <c r="F79" s="12">
        <f t="shared" si="4"/>
        <v>12.478806375042389</v>
      </c>
      <c r="G79" s="9">
        <v>7.3724999999999996</v>
      </c>
      <c r="H79" s="9">
        <v>0</v>
      </c>
      <c r="I79" s="9">
        <v>0</v>
      </c>
      <c r="J79" s="12">
        <f t="shared" si="5"/>
        <v>0</v>
      </c>
      <c r="K79" s="9">
        <v>0</v>
      </c>
      <c r="L79" s="20"/>
      <c r="M79" s="9">
        <v>34</v>
      </c>
      <c r="N79" s="11" t="s">
        <v>187</v>
      </c>
      <c r="O79" s="9">
        <v>0</v>
      </c>
    </row>
    <row r="80" spans="1:15" x14ac:dyDescent="0.25">
      <c r="A80" s="11" t="s">
        <v>2794</v>
      </c>
      <c r="B80" s="9" t="s">
        <v>615</v>
      </c>
      <c r="C80" s="9">
        <v>0</v>
      </c>
      <c r="D80" s="9">
        <v>92</v>
      </c>
      <c r="E80" s="9">
        <v>0</v>
      </c>
      <c r="F80" s="12">
        <f t="shared" si="4"/>
        <v>12.478806375042389</v>
      </c>
      <c r="G80" s="9">
        <v>7.3724999999999996</v>
      </c>
      <c r="H80" s="9">
        <v>0</v>
      </c>
      <c r="I80" s="9">
        <v>0</v>
      </c>
      <c r="J80" s="12">
        <f t="shared" si="5"/>
        <v>0</v>
      </c>
      <c r="K80" s="9">
        <v>0</v>
      </c>
      <c r="L80" s="20"/>
      <c r="M80" s="9">
        <v>34</v>
      </c>
      <c r="N80" s="11" t="s">
        <v>187</v>
      </c>
      <c r="O80" s="9">
        <v>0</v>
      </c>
    </row>
    <row r="81" spans="1:15" x14ac:dyDescent="0.25">
      <c r="A81" s="11" t="s">
        <v>2836</v>
      </c>
      <c r="B81" s="9" t="s">
        <v>615</v>
      </c>
      <c r="C81" s="9">
        <v>0</v>
      </c>
      <c r="D81" s="9">
        <v>35</v>
      </c>
      <c r="E81" s="9">
        <v>0</v>
      </c>
      <c r="F81" s="12">
        <f t="shared" si="4"/>
        <v>10.374673938819065</v>
      </c>
      <c r="G81" s="9">
        <v>3.3736000000000002</v>
      </c>
      <c r="H81" s="9">
        <v>0</v>
      </c>
      <c r="I81" s="9">
        <v>0</v>
      </c>
      <c r="J81" s="12">
        <f t="shared" si="5"/>
        <v>0</v>
      </c>
      <c r="K81" s="9">
        <v>0</v>
      </c>
      <c r="L81" s="20"/>
      <c r="M81" s="9">
        <v>5</v>
      </c>
      <c r="N81" s="11" t="s">
        <v>2835</v>
      </c>
      <c r="O81" s="9" t="s">
        <v>2834</v>
      </c>
    </row>
    <row r="82" spans="1:15" x14ac:dyDescent="0.25">
      <c r="A82" s="11" t="s">
        <v>2896</v>
      </c>
      <c r="B82" s="9" t="s">
        <v>615</v>
      </c>
      <c r="C82" s="9">
        <v>0</v>
      </c>
      <c r="D82" s="9">
        <v>10</v>
      </c>
      <c r="E82" s="9">
        <v>0</v>
      </c>
      <c r="F82" s="12">
        <f t="shared" si="4"/>
        <v>4.0559724193875484</v>
      </c>
      <c r="G82" s="9">
        <v>2.4655</v>
      </c>
      <c r="H82" s="9">
        <v>0</v>
      </c>
      <c r="I82" s="9">
        <v>0</v>
      </c>
      <c r="J82" s="12">
        <f t="shared" si="5"/>
        <v>0</v>
      </c>
      <c r="K82" s="9">
        <v>0</v>
      </c>
      <c r="L82" s="20"/>
      <c r="M82" s="9">
        <v>4.0999999999999996</v>
      </c>
      <c r="N82" s="11" t="s">
        <v>2895</v>
      </c>
      <c r="O82" s="9" t="s">
        <v>2894</v>
      </c>
    </row>
    <row r="83" spans="1:15" x14ac:dyDescent="0.25">
      <c r="A83" s="11" t="s">
        <v>2899</v>
      </c>
      <c r="B83" s="9" t="s">
        <v>615</v>
      </c>
      <c r="C83" s="9">
        <v>0</v>
      </c>
      <c r="D83" s="9">
        <v>9</v>
      </c>
      <c r="E83" s="9">
        <v>0</v>
      </c>
      <c r="F83" s="12">
        <f t="shared" si="4"/>
        <v>3.6503751774487934</v>
      </c>
      <c r="G83" s="9">
        <v>2.4655</v>
      </c>
      <c r="H83" s="9">
        <v>0</v>
      </c>
      <c r="I83" s="9">
        <v>0</v>
      </c>
      <c r="J83" s="12">
        <f t="shared" si="5"/>
        <v>0</v>
      </c>
      <c r="K83" s="9">
        <v>0</v>
      </c>
      <c r="L83" s="20"/>
      <c r="M83" s="9">
        <v>4.0999999999999996</v>
      </c>
      <c r="N83" s="11" t="s">
        <v>2895</v>
      </c>
      <c r="O83" s="9" t="s">
        <v>2894</v>
      </c>
    </row>
    <row r="84" spans="1:15" x14ac:dyDescent="0.25">
      <c r="A84" s="11" t="s">
        <v>2671</v>
      </c>
      <c r="B84" s="9" t="s">
        <v>905</v>
      </c>
      <c r="C84" s="9">
        <v>0</v>
      </c>
      <c r="D84" s="9">
        <v>200</v>
      </c>
      <c r="E84" s="9">
        <v>0</v>
      </c>
      <c r="F84" s="12">
        <f t="shared" si="4"/>
        <v>181.7355747387551</v>
      </c>
      <c r="G84" s="9">
        <v>1.1005</v>
      </c>
      <c r="H84" s="9">
        <v>0</v>
      </c>
      <c r="I84" s="9">
        <v>453.72</v>
      </c>
      <c r="J84" s="21">
        <f t="shared" si="5"/>
        <v>453.72</v>
      </c>
      <c r="K84" s="9">
        <v>0</v>
      </c>
      <c r="L84" s="20"/>
      <c r="M84" s="9">
        <v>0</v>
      </c>
      <c r="N84" s="11" t="s">
        <v>907</v>
      </c>
      <c r="O84" s="9" t="s">
        <v>906</v>
      </c>
    </row>
    <row r="85" spans="1:15" x14ac:dyDescent="0.25">
      <c r="A85" s="11" t="s">
        <v>2674</v>
      </c>
      <c r="B85" s="9" t="s">
        <v>905</v>
      </c>
      <c r="C85" s="9">
        <v>0</v>
      </c>
      <c r="D85" s="9">
        <v>200</v>
      </c>
      <c r="E85" s="9">
        <v>0</v>
      </c>
      <c r="F85" s="12">
        <f t="shared" si="4"/>
        <v>181.7355747387551</v>
      </c>
      <c r="G85" s="9">
        <v>1.1005</v>
      </c>
      <c r="H85" s="9">
        <v>0</v>
      </c>
      <c r="I85" s="9">
        <v>453.72</v>
      </c>
      <c r="J85" s="21">
        <f t="shared" si="5"/>
        <v>453.72</v>
      </c>
      <c r="K85" s="9">
        <v>0</v>
      </c>
      <c r="L85" s="20"/>
      <c r="M85" s="9">
        <v>0</v>
      </c>
      <c r="N85" s="11" t="s">
        <v>907</v>
      </c>
      <c r="O85" s="9" t="s">
        <v>906</v>
      </c>
    </row>
    <row r="86" spans="1:15" x14ac:dyDescent="0.25">
      <c r="A86" s="11" t="s">
        <v>2901</v>
      </c>
      <c r="B86" s="9" t="s">
        <v>531</v>
      </c>
      <c r="C86" s="9">
        <v>0</v>
      </c>
      <c r="D86" s="9">
        <v>83</v>
      </c>
      <c r="E86" s="9">
        <v>0</v>
      </c>
      <c r="F86" s="12">
        <f t="shared" si="4"/>
        <v>174.51640033641715</v>
      </c>
      <c r="G86" s="9">
        <v>0.47560000000000002</v>
      </c>
      <c r="H86" s="9">
        <v>0</v>
      </c>
      <c r="I86" s="9">
        <v>354.01</v>
      </c>
      <c r="J86" s="21">
        <f t="shared" si="5"/>
        <v>354.01</v>
      </c>
      <c r="K86" s="9">
        <v>0</v>
      </c>
      <c r="L86" s="20"/>
      <c r="M86" s="9">
        <v>30</v>
      </c>
      <c r="N86" s="11" t="s">
        <v>913</v>
      </c>
      <c r="O86" s="9" t="s">
        <v>912</v>
      </c>
    </row>
    <row r="87" spans="1:15" x14ac:dyDescent="0.25">
      <c r="A87" s="11" t="s">
        <v>2904</v>
      </c>
      <c r="B87" s="9" t="s">
        <v>531</v>
      </c>
      <c r="C87" s="9">
        <v>0</v>
      </c>
      <c r="D87" s="9">
        <v>85</v>
      </c>
      <c r="E87" s="9">
        <v>0</v>
      </c>
      <c r="F87" s="12">
        <f t="shared" si="4"/>
        <v>178.72161480235491</v>
      </c>
      <c r="G87" s="9">
        <v>0.47560000000000002</v>
      </c>
      <c r="H87" s="9">
        <v>0</v>
      </c>
      <c r="I87" s="9">
        <v>354.01</v>
      </c>
      <c r="J87" s="21">
        <f t="shared" si="5"/>
        <v>354.01</v>
      </c>
      <c r="K87" s="9">
        <v>0</v>
      </c>
      <c r="L87" s="20"/>
      <c r="M87" s="9">
        <v>30</v>
      </c>
      <c r="N87" s="11" t="s">
        <v>913</v>
      </c>
      <c r="O87" s="9" t="s">
        <v>912</v>
      </c>
    </row>
    <row r="88" spans="1:15" x14ac:dyDescent="0.25">
      <c r="A88" s="11" t="s">
        <v>2906</v>
      </c>
      <c r="B88" s="9" t="s">
        <v>531</v>
      </c>
      <c r="C88" s="9">
        <v>0</v>
      </c>
      <c r="D88" s="9">
        <v>85</v>
      </c>
      <c r="E88" s="9">
        <v>0</v>
      </c>
      <c r="F88" s="12">
        <f t="shared" si="4"/>
        <v>178.72161480235491</v>
      </c>
      <c r="G88" s="9">
        <v>0.47560000000000002</v>
      </c>
      <c r="H88" s="9">
        <v>0</v>
      </c>
      <c r="I88" s="9">
        <v>354.01</v>
      </c>
      <c r="J88" s="21">
        <f t="shared" si="5"/>
        <v>354.01</v>
      </c>
      <c r="K88" s="9">
        <v>0</v>
      </c>
      <c r="L88" s="20"/>
      <c r="M88" s="9">
        <v>30</v>
      </c>
      <c r="N88" s="11" t="s">
        <v>913</v>
      </c>
      <c r="O88" s="9" t="s">
        <v>912</v>
      </c>
    </row>
    <row r="89" spans="1:15" x14ac:dyDescent="0.25">
      <c r="A89" s="11" t="s">
        <v>2908</v>
      </c>
      <c r="B89" s="9" t="s">
        <v>531</v>
      </c>
      <c r="C89" s="9">
        <v>0</v>
      </c>
      <c r="D89" s="9">
        <v>85</v>
      </c>
      <c r="E89" s="9">
        <v>0</v>
      </c>
      <c r="F89" s="12">
        <f t="shared" si="4"/>
        <v>178.72161480235491</v>
      </c>
      <c r="G89" s="9">
        <v>0.47560000000000002</v>
      </c>
      <c r="H89" s="9">
        <v>0</v>
      </c>
      <c r="I89" s="9">
        <v>354.01</v>
      </c>
      <c r="J89" s="21">
        <f t="shared" si="5"/>
        <v>354.01</v>
      </c>
      <c r="K89" s="9">
        <v>0</v>
      </c>
      <c r="L89" s="20"/>
      <c r="M89" s="9">
        <v>30</v>
      </c>
      <c r="N89" s="11" t="s">
        <v>913</v>
      </c>
      <c r="O89" s="9" t="s">
        <v>912</v>
      </c>
    </row>
    <row r="90" spans="1:15" x14ac:dyDescent="0.25">
      <c r="A90" s="11" t="s">
        <v>2687</v>
      </c>
      <c r="B90" s="9" t="s">
        <v>897</v>
      </c>
      <c r="C90" s="9">
        <v>0</v>
      </c>
      <c r="D90" s="9">
        <v>15</v>
      </c>
      <c r="E90" s="9">
        <v>0</v>
      </c>
      <c r="F90" s="12">
        <f t="shared" si="4"/>
        <v>11.419870574800154</v>
      </c>
      <c r="G90" s="9">
        <v>1.3134999999999999</v>
      </c>
      <c r="H90" s="9">
        <v>0</v>
      </c>
      <c r="I90" s="9">
        <v>67.7</v>
      </c>
      <c r="J90" s="21">
        <f t="shared" si="5"/>
        <v>67.7</v>
      </c>
      <c r="K90" s="9">
        <v>0</v>
      </c>
      <c r="L90" s="20"/>
      <c r="M90" s="9">
        <v>0</v>
      </c>
      <c r="N90" s="11" t="s">
        <v>2686</v>
      </c>
      <c r="O90" s="9" t="s">
        <v>2685</v>
      </c>
    </row>
    <row r="91" spans="1:15" x14ac:dyDescent="0.25">
      <c r="A91" s="11" t="s">
        <v>2690</v>
      </c>
      <c r="B91" s="9" t="s">
        <v>897</v>
      </c>
      <c r="C91" s="9">
        <v>0</v>
      </c>
      <c r="D91" s="9">
        <v>15</v>
      </c>
      <c r="E91" s="9">
        <v>0</v>
      </c>
      <c r="F91" s="12">
        <f t="shared" si="4"/>
        <v>11.419870574800154</v>
      </c>
      <c r="G91" s="9">
        <v>1.3134999999999999</v>
      </c>
      <c r="H91" s="9">
        <v>0</v>
      </c>
      <c r="I91" s="9">
        <v>67.7</v>
      </c>
      <c r="J91" s="21">
        <f t="shared" si="5"/>
        <v>67.7</v>
      </c>
      <c r="K91" s="9">
        <v>0</v>
      </c>
      <c r="L91" s="20"/>
      <c r="M91" s="9">
        <v>0</v>
      </c>
      <c r="N91" s="11" t="s">
        <v>2686</v>
      </c>
      <c r="O91" s="9" t="s">
        <v>2685</v>
      </c>
    </row>
    <row r="92" spans="1:15" x14ac:dyDescent="0.25">
      <c r="A92" s="11" t="s">
        <v>2782</v>
      </c>
      <c r="B92" s="9" t="s">
        <v>897</v>
      </c>
      <c r="C92" s="9">
        <v>0</v>
      </c>
      <c r="D92" s="9">
        <v>132</v>
      </c>
      <c r="E92" s="9">
        <v>0</v>
      </c>
      <c r="F92" s="12">
        <f t="shared" si="4"/>
        <v>63.851400377303733</v>
      </c>
      <c r="G92" s="9">
        <v>2.0672999999999999</v>
      </c>
      <c r="H92" s="9">
        <v>0</v>
      </c>
      <c r="I92" s="9">
        <v>0</v>
      </c>
      <c r="J92" s="12">
        <f t="shared" si="5"/>
        <v>0</v>
      </c>
      <c r="K92" s="9">
        <v>0</v>
      </c>
      <c r="L92" s="20"/>
      <c r="M92" s="9">
        <v>20</v>
      </c>
      <c r="N92" s="11" t="s">
        <v>2781</v>
      </c>
      <c r="O92" s="9" t="s">
        <v>2780</v>
      </c>
    </row>
    <row r="93" spans="1:15" x14ac:dyDescent="0.25">
      <c r="A93" s="11" t="s">
        <v>2785</v>
      </c>
      <c r="B93" s="9" t="s">
        <v>897</v>
      </c>
      <c r="C93" s="9">
        <v>0</v>
      </c>
      <c r="D93" s="9">
        <v>132</v>
      </c>
      <c r="E93" s="9">
        <v>0</v>
      </c>
      <c r="F93" s="12">
        <f t="shared" si="4"/>
        <v>63.851400377303733</v>
      </c>
      <c r="G93" s="9">
        <v>2.0672999999999999</v>
      </c>
      <c r="H93" s="9">
        <v>0</v>
      </c>
      <c r="I93" s="9">
        <v>0</v>
      </c>
      <c r="J93" s="12">
        <f t="shared" si="5"/>
        <v>0</v>
      </c>
      <c r="K93" s="9">
        <v>0</v>
      </c>
      <c r="L93" s="20"/>
      <c r="M93" s="9">
        <v>20</v>
      </c>
      <c r="N93" s="11" t="s">
        <v>2781</v>
      </c>
      <c r="O93" s="9" t="s">
        <v>2780</v>
      </c>
    </row>
    <row r="94" spans="1:15" x14ac:dyDescent="0.25">
      <c r="A94" s="11" t="s">
        <v>2787</v>
      </c>
      <c r="B94" s="9" t="s">
        <v>897</v>
      </c>
      <c r="C94" s="9">
        <v>0</v>
      </c>
      <c r="D94" s="9">
        <v>132</v>
      </c>
      <c r="E94" s="9">
        <v>0</v>
      </c>
      <c r="F94" s="12">
        <f t="shared" si="4"/>
        <v>63.851400377303733</v>
      </c>
      <c r="G94" s="9">
        <v>2.0672999999999999</v>
      </c>
      <c r="H94" s="9">
        <v>0</v>
      </c>
      <c r="I94" s="9">
        <v>0</v>
      </c>
      <c r="J94" s="12">
        <f t="shared" si="5"/>
        <v>0</v>
      </c>
      <c r="K94" s="9">
        <v>0</v>
      </c>
      <c r="L94" s="20"/>
      <c r="M94" s="9">
        <v>20</v>
      </c>
      <c r="N94" s="11" t="s">
        <v>2781</v>
      </c>
      <c r="O94" s="9" t="s">
        <v>2780</v>
      </c>
    </row>
    <row r="95" spans="1:15" x14ac:dyDescent="0.25">
      <c r="A95" s="11" t="s">
        <v>2869</v>
      </c>
      <c r="B95" s="9" t="s">
        <v>897</v>
      </c>
      <c r="C95" s="9">
        <v>0</v>
      </c>
      <c r="D95" s="9">
        <v>45</v>
      </c>
      <c r="E95" s="9">
        <v>0</v>
      </c>
      <c r="F95" s="12">
        <f t="shared" si="4"/>
        <v>28.515303212724159</v>
      </c>
      <c r="G95" s="9">
        <v>1.5781000000000001</v>
      </c>
      <c r="H95" s="9">
        <v>0</v>
      </c>
      <c r="I95" s="9">
        <v>0</v>
      </c>
      <c r="J95" s="12">
        <f t="shared" si="5"/>
        <v>0</v>
      </c>
      <c r="K95" s="9">
        <v>0</v>
      </c>
      <c r="L95" s="20"/>
      <c r="M95" s="9">
        <v>12</v>
      </c>
      <c r="N95" s="11" t="s">
        <v>2868</v>
      </c>
      <c r="O95" s="9" t="s">
        <v>2867</v>
      </c>
    </row>
    <row r="96" spans="1:15" x14ac:dyDescent="0.25">
      <c r="A96" s="11" t="s">
        <v>2871</v>
      </c>
      <c r="B96" s="9" t="s">
        <v>897</v>
      </c>
      <c r="C96" s="9">
        <v>0</v>
      </c>
      <c r="D96" s="9">
        <v>45</v>
      </c>
      <c r="E96" s="9">
        <v>0</v>
      </c>
      <c r="F96" s="12">
        <f t="shared" si="4"/>
        <v>28.515303212724159</v>
      </c>
      <c r="G96" s="9">
        <v>1.5781000000000001</v>
      </c>
      <c r="H96" s="9">
        <v>0</v>
      </c>
      <c r="I96" s="9">
        <v>0</v>
      </c>
      <c r="J96" s="12">
        <f t="shared" si="5"/>
        <v>0</v>
      </c>
      <c r="K96" s="9">
        <v>0</v>
      </c>
      <c r="L96" s="20"/>
      <c r="M96" s="9">
        <v>12</v>
      </c>
      <c r="N96" s="11" t="s">
        <v>2868</v>
      </c>
      <c r="O96" s="9" t="s">
        <v>2867</v>
      </c>
    </row>
    <row r="97" spans="1:15" x14ac:dyDescent="0.25">
      <c r="A97" s="11" t="s">
        <v>2873</v>
      </c>
      <c r="B97" s="9" t="s">
        <v>897</v>
      </c>
      <c r="C97" s="9">
        <v>0</v>
      </c>
      <c r="D97" s="9">
        <v>45</v>
      </c>
      <c r="E97" s="9">
        <v>0</v>
      </c>
      <c r="F97" s="12">
        <f t="shared" si="4"/>
        <v>28.515303212724159</v>
      </c>
      <c r="G97" s="9">
        <v>1.5781000000000001</v>
      </c>
      <c r="H97" s="9">
        <v>0</v>
      </c>
      <c r="I97" s="9">
        <v>0</v>
      </c>
      <c r="J97" s="12">
        <f t="shared" si="5"/>
        <v>0</v>
      </c>
      <c r="K97" s="9">
        <v>0</v>
      </c>
      <c r="L97" s="20"/>
      <c r="M97" s="9">
        <v>12</v>
      </c>
      <c r="N97" s="11" t="s">
        <v>2868</v>
      </c>
      <c r="O97" s="9" t="s">
        <v>2867</v>
      </c>
    </row>
    <row r="98" spans="1:15" x14ac:dyDescent="0.25">
      <c r="A98" s="11" t="s">
        <v>411</v>
      </c>
      <c r="B98" s="9" t="s">
        <v>240</v>
      </c>
      <c r="C98" s="9">
        <v>0</v>
      </c>
      <c r="D98" s="9">
        <v>40</v>
      </c>
      <c r="E98" s="9">
        <v>0</v>
      </c>
      <c r="F98" s="12">
        <f t="shared" si="4"/>
        <v>8.2399472643375073</v>
      </c>
      <c r="G98" s="9">
        <v>4.8544</v>
      </c>
      <c r="H98" s="9">
        <v>0</v>
      </c>
      <c r="I98" s="9">
        <v>0</v>
      </c>
      <c r="J98" s="12">
        <f t="shared" si="5"/>
        <v>0</v>
      </c>
      <c r="K98" s="9">
        <v>0</v>
      </c>
      <c r="L98" s="20"/>
      <c r="M98" s="9">
        <v>6.6</v>
      </c>
      <c r="N98" s="11" t="s">
        <v>283</v>
      </c>
      <c r="O98" s="9" t="s">
        <v>2596</v>
      </c>
    </row>
    <row r="99" spans="1:15" x14ac:dyDescent="0.25">
      <c r="A99" s="11" t="s">
        <v>2599</v>
      </c>
      <c r="B99" s="9" t="s">
        <v>240</v>
      </c>
      <c r="C99" s="9">
        <v>0</v>
      </c>
      <c r="D99" s="9">
        <v>40</v>
      </c>
      <c r="E99" s="9">
        <v>0</v>
      </c>
      <c r="F99" s="12">
        <f t="shared" si="4"/>
        <v>8.2399472643375073</v>
      </c>
      <c r="G99" s="9">
        <v>4.8544</v>
      </c>
      <c r="H99" s="9">
        <v>0</v>
      </c>
      <c r="I99" s="9">
        <v>0</v>
      </c>
      <c r="J99" s="12">
        <f t="shared" si="5"/>
        <v>0</v>
      </c>
      <c r="K99" s="9">
        <v>0</v>
      </c>
      <c r="L99" s="20"/>
      <c r="M99" s="9">
        <v>6.6</v>
      </c>
      <c r="N99" s="11" t="s">
        <v>283</v>
      </c>
      <c r="O99" s="9" t="s">
        <v>2596</v>
      </c>
    </row>
    <row r="100" spans="1:15" x14ac:dyDescent="0.25">
      <c r="A100" s="11" t="s">
        <v>2611</v>
      </c>
      <c r="B100" s="9" t="s">
        <v>240</v>
      </c>
      <c r="C100" s="9">
        <v>0</v>
      </c>
      <c r="D100" s="9">
        <v>180</v>
      </c>
      <c r="E100" s="9">
        <v>0</v>
      </c>
      <c r="F100" s="12">
        <f t="shared" si="4"/>
        <v>305.34351145038164</v>
      </c>
      <c r="G100" s="9">
        <v>0.58950000000000002</v>
      </c>
      <c r="H100" s="9">
        <v>0</v>
      </c>
      <c r="I100" s="22">
        <v>448.19</v>
      </c>
      <c r="J100" s="21">
        <f t="shared" si="5"/>
        <v>448.19</v>
      </c>
      <c r="K100" s="9">
        <v>0</v>
      </c>
      <c r="L100" s="20"/>
      <c r="M100" s="9">
        <v>60</v>
      </c>
      <c r="N100" s="11" t="s">
        <v>2610</v>
      </c>
      <c r="O100" s="9" t="s">
        <v>2609</v>
      </c>
    </row>
    <row r="101" spans="1:15" x14ac:dyDescent="0.25">
      <c r="A101" s="11" t="s">
        <v>2614</v>
      </c>
      <c r="B101" s="9" t="s">
        <v>240</v>
      </c>
      <c r="C101" s="9">
        <v>0</v>
      </c>
      <c r="D101" s="9">
        <v>180</v>
      </c>
      <c r="E101" s="9">
        <v>0</v>
      </c>
      <c r="F101" s="12">
        <f t="shared" si="4"/>
        <v>305.34351145038164</v>
      </c>
      <c r="G101" s="9">
        <v>0.58950000000000002</v>
      </c>
      <c r="H101" s="9">
        <v>0</v>
      </c>
      <c r="I101" s="22">
        <v>448.19</v>
      </c>
      <c r="J101" s="21">
        <f t="shared" si="5"/>
        <v>448.19</v>
      </c>
      <c r="K101" s="9">
        <v>0</v>
      </c>
      <c r="L101" s="20"/>
      <c r="M101" s="9">
        <v>60</v>
      </c>
      <c r="N101" s="11" t="s">
        <v>2610</v>
      </c>
      <c r="O101" s="9" t="s">
        <v>2609</v>
      </c>
    </row>
    <row r="102" spans="1:15" x14ac:dyDescent="0.25">
      <c r="A102" s="11" t="s">
        <v>2616</v>
      </c>
      <c r="B102" s="9" t="s">
        <v>240</v>
      </c>
      <c r="C102" s="9">
        <v>0</v>
      </c>
      <c r="D102" s="9">
        <v>180</v>
      </c>
      <c r="E102" s="9">
        <v>0</v>
      </c>
      <c r="F102" s="12">
        <f t="shared" ref="F102:F124" si="6">D102/G102</f>
        <v>305.34351145038164</v>
      </c>
      <c r="G102" s="9">
        <v>0.58950000000000002</v>
      </c>
      <c r="H102" s="9">
        <v>0</v>
      </c>
      <c r="I102" s="22">
        <v>448.19</v>
      </c>
      <c r="J102" s="21">
        <f t="shared" ref="J102:J124" si="7">H102+1/1*(I102-H102)</f>
        <v>448.19</v>
      </c>
      <c r="K102" s="9">
        <v>0</v>
      </c>
      <c r="L102" s="20"/>
      <c r="M102" s="9">
        <v>60</v>
      </c>
      <c r="N102" s="11" t="s">
        <v>2610</v>
      </c>
      <c r="O102" s="9" t="s">
        <v>2609</v>
      </c>
    </row>
    <row r="103" spans="1:15" x14ac:dyDescent="0.25">
      <c r="A103" s="11" t="s">
        <v>2657</v>
      </c>
      <c r="B103" s="9" t="s">
        <v>240</v>
      </c>
      <c r="C103" s="9">
        <v>0</v>
      </c>
      <c r="D103" s="9">
        <v>28</v>
      </c>
      <c r="E103" s="9">
        <v>0</v>
      </c>
      <c r="F103" s="12">
        <f t="shared" si="6"/>
        <v>4.7077812899320728</v>
      </c>
      <c r="G103" s="9">
        <v>5.9476000000000004</v>
      </c>
      <c r="H103" s="9">
        <v>0</v>
      </c>
      <c r="I103" s="9">
        <v>0</v>
      </c>
      <c r="J103" s="12">
        <f t="shared" si="7"/>
        <v>0</v>
      </c>
      <c r="K103" s="9">
        <v>0</v>
      </c>
      <c r="L103" s="20"/>
      <c r="M103" s="9">
        <v>3</v>
      </c>
      <c r="N103" s="11" t="s">
        <v>2656</v>
      </c>
      <c r="O103" s="9" t="s">
        <v>2655</v>
      </c>
    </row>
    <row r="104" spans="1:15" x14ac:dyDescent="0.25">
      <c r="A104" s="11" t="s">
        <v>2660</v>
      </c>
      <c r="B104" s="9" t="s">
        <v>240</v>
      </c>
      <c r="C104" s="9">
        <v>0</v>
      </c>
      <c r="D104" s="9">
        <v>28</v>
      </c>
      <c r="E104" s="9">
        <v>0</v>
      </c>
      <c r="F104" s="12">
        <f t="shared" si="6"/>
        <v>4.7077812899320728</v>
      </c>
      <c r="G104" s="9">
        <v>5.9476000000000004</v>
      </c>
      <c r="H104" s="9">
        <v>0</v>
      </c>
      <c r="I104" s="9">
        <v>0</v>
      </c>
      <c r="J104" s="12">
        <f t="shared" si="7"/>
        <v>0</v>
      </c>
      <c r="K104" s="9">
        <v>0</v>
      </c>
      <c r="L104" s="20"/>
      <c r="M104" s="9">
        <v>3</v>
      </c>
      <c r="N104" s="11" t="s">
        <v>2656</v>
      </c>
      <c r="O104" s="9" t="s">
        <v>2655</v>
      </c>
    </row>
    <row r="105" spans="1:15" x14ac:dyDescent="0.25">
      <c r="A105" s="11" t="s">
        <v>2827</v>
      </c>
      <c r="B105" s="9" t="s">
        <v>240</v>
      </c>
      <c r="C105" s="9">
        <v>0</v>
      </c>
      <c r="D105" s="9">
        <v>17</v>
      </c>
      <c r="E105" s="9">
        <v>0</v>
      </c>
      <c r="F105" s="12">
        <f t="shared" si="6"/>
        <v>34.115994380895039</v>
      </c>
      <c r="G105" s="9">
        <v>0.49830000000000002</v>
      </c>
      <c r="H105" s="9">
        <v>0</v>
      </c>
      <c r="I105" s="9">
        <v>327.82</v>
      </c>
      <c r="J105" s="21">
        <f t="shared" si="7"/>
        <v>327.82</v>
      </c>
      <c r="K105" s="9">
        <v>0</v>
      </c>
      <c r="L105" s="20"/>
      <c r="M105" s="9">
        <v>1</v>
      </c>
      <c r="N105" s="11" t="s">
        <v>2826</v>
      </c>
      <c r="O105" s="9" t="s">
        <v>2825</v>
      </c>
    </row>
    <row r="106" spans="1:15" x14ac:dyDescent="0.25">
      <c r="A106" s="11" t="s">
        <v>2830</v>
      </c>
      <c r="B106" s="9" t="s">
        <v>240</v>
      </c>
      <c r="C106" s="9">
        <v>0</v>
      </c>
      <c r="D106" s="9">
        <v>17</v>
      </c>
      <c r="E106" s="9">
        <v>0</v>
      </c>
      <c r="F106" s="12">
        <f t="shared" si="6"/>
        <v>34.115994380895039</v>
      </c>
      <c r="G106" s="9">
        <v>0.49830000000000002</v>
      </c>
      <c r="H106" s="9">
        <v>0</v>
      </c>
      <c r="I106" s="9">
        <v>327.82</v>
      </c>
      <c r="J106" s="21">
        <f t="shared" si="7"/>
        <v>327.82</v>
      </c>
      <c r="K106" s="9">
        <v>0</v>
      </c>
      <c r="L106" s="20"/>
      <c r="M106" s="9">
        <v>1</v>
      </c>
      <c r="N106" s="11" t="s">
        <v>2826</v>
      </c>
      <c r="O106" s="9" t="s">
        <v>2825</v>
      </c>
    </row>
    <row r="107" spans="1:15" x14ac:dyDescent="0.25">
      <c r="A107" s="11" t="s">
        <v>2832</v>
      </c>
      <c r="B107" s="9" t="s">
        <v>240</v>
      </c>
      <c r="C107" s="9">
        <v>0</v>
      </c>
      <c r="D107" s="9">
        <v>17</v>
      </c>
      <c r="E107" s="9">
        <v>0</v>
      </c>
      <c r="F107" s="12">
        <f t="shared" si="6"/>
        <v>34.115994380895039</v>
      </c>
      <c r="G107" s="9">
        <v>0.49830000000000002</v>
      </c>
      <c r="H107" s="9">
        <v>0</v>
      </c>
      <c r="I107" s="9">
        <v>327.82</v>
      </c>
      <c r="J107" s="21">
        <f t="shared" si="7"/>
        <v>327.82</v>
      </c>
      <c r="K107" s="9">
        <v>0</v>
      </c>
      <c r="L107" s="20"/>
      <c r="M107" s="9">
        <v>1</v>
      </c>
      <c r="N107" s="11" t="s">
        <v>2826</v>
      </c>
      <c r="O107" s="9" t="s">
        <v>2825</v>
      </c>
    </row>
    <row r="108" spans="1:15" x14ac:dyDescent="0.25">
      <c r="A108" s="11" t="s">
        <v>2882</v>
      </c>
      <c r="B108" s="9" t="s">
        <v>931</v>
      </c>
      <c r="C108" s="9">
        <v>0</v>
      </c>
      <c r="D108" s="9">
        <v>273</v>
      </c>
      <c r="E108" s="9">
        <v>0</v>
      </c>
      <c r="F108" s="12">
        <f t="shared" si="6"/>
        <v>195.40476701739317</v>
      </c>
      <c r="G108" s="9">
        <v>1.3971</v>
      </c>
      <c r="H108" s="9">
        <v>0</v>
      </c>
      <c r="I108" s="9">
        <v>0</v>
      </c>
      <c r="J108" s="12">
        <f t="shared" si="7"/>
        <v>0</v>
      </c>
      <c r="K108" s="9">
        <v>0</v>
      </c>
      <c r="L108" s="20"/>
      <c r="M108" s="9">
        <v>120</v>
      </c>
      <c r="N108" s="11" t="s">
        <v>611</v>
      </c>
      <c r="O108" s="9" t="s">
        <v>932</v>
      </c>
    </row>
    <row r="109" spans="1:15" x14ac:dyDescent="0.25">
      <c r="A109" s="11" t="s">
        <v>2885</v>
      </c>
      <c r="B109" s="9" t="s">
        <v>931</v>
      </c>
      <c r="C109" s="9">
        <v>0</v>
      </c>
      <c r="D109" s="9">
        <v>273</v>
      </c>
      <c r="E109" s="9">
        <v>0</v>
      </c>
      <c r="F109" s="12">
        <f t="shared" si="6"/>
        <v>195.40476701739317</v>
      </c>
      <c r="G109" s="9">
        <v>1.3971</v>
      </c>
      <c r="H109" s="9">
        <v>0</v>
      </c>
      <c r="I109" s="9">
        <v>0</v>
      </c>
      <c r="J109" s="12">
        <f t="shared" si="7"/>
        <v>0</v>
      </c>
      <c r="K109" s="9">
        <v>0</v>
      </c>
      <c r="L109" s="20"/>
      <c r="M109" s="9">
        <v>120</v>
      </c>
      <c r="N109" s="11" t="s">
        <v>611</v>
      </c>
      <c r="O109" s="9" t="s">
        <v>932</v>
      </c>
    </row>
    <row r="110" spans="1:15" x14ac:dyDescent="0.25">
      <c r="A110" s="11" t="s">
        <v>2887</v>
      </c>
      <c r="B110" s="9" t="s">
        <v>931</v>
      </c>
      <c r="C110" s="9">
        <v>0</v>
      </c>
      <c r="D110" s="9">
        <v>273</v>
      </c>
      <c r="E110" s="9">
        <v>0</v>
      </c>
      <c r="F110" s="12">
        <f t="shared" si="6"/>
        <v>195.40476701739317</v>
      </c>
      <c r="G110" s="9">
        <v>1.3971</v>
      </c>
      <c r="H110" s="9">
        <v>0</v>
      </c>
      <c r="I110" s="9">
        <v>0</v>
      </c>
      <c r="J110" s="12">
        <f t="shared" si="7"/>
        <v>0</v>
      </c>
      <c r="K110" s="9">
        <v>0</v>
      </c>
      <c r="L110" s="20"/>
      <c r="M110" s="9">
        <v>120</v>
      </c>
      <c r="N110" s="11" t="s">
        <v>611</v>
      </c>
      <c r="O110" s="9" t="s">
        <v>932</v>
      </c>
    </row>
    <row r="111" spans="1:15" x14ac:dyDescent="0.25">
      <c r="A111" s="11" t="s">
        <v>273</v>
      </c>
      <c r="B111" s="9" t="s">
        <v>239</v>
      </c>
      <c r="C111" s="9">
        <v>0</v>
      </c>
      <c r="D111" s="9">
        <v>115</v>
      </c>
      <c r="E111" s="9">
        <v>0</v>
      </c>
      <c r="F111" s="12">
        <f t="shared" si="6"/>
        <v>32.771001937763593</v>
      </c>
      <c r="G111" s="9">
        <v>3.5091999999999999</v>
      </c>
      <c r="H111" s="9">
        <v>0</v>
      </c>
      <c r="I111" s="9">
        <v>0</v>
      </c>
      <c r="J111" s="12">
        <f t="shared" si="7"/>
        <v>0</v>
      </c>
      <c r="K111" s="9">
        <v>0</v>
      </c>
      <c r="L111" s="20"/>
      <c r="M111" s="9">
        <v>30</v>
      </c>
      <c r="N111" s="11" t="s">
        <v>204</v>
      </c>
      <c r="O111" s="9">
        <v>0</v>
      </c>
    </row>
    <row r="112" spans="1:15" x14ac:dyDescent="0.25">
      <c r="A112" s="11" t="s">
        <v>274</v>
      </c>
      <c r="B112" s="9" t="s">
        <v>239</v>
      </c>
      <c r="C112" s="9">
        <v>0</v>
      </c>
      <c r="D112" s="9">
        <v>120</v>
      </c>
      <c r="E112" s="9">
        <v>0</v>
      </c>
      <c r="F112" s="12">
        <f t="shared" si="6"/>
        <v>34.195828108970709</v>
      </c>
      <c r="G112" s="9">
        <v>3.5091999999999999</v>
      </c>
      <c r="H112" s="9">
        <v>0</v>
      </c>
      <c r="I112" s="9">
        <v>0</v>
      </c>
      <c r="J112" s="12">
        <f t="shared" si="7"/>
        <v>0</v>
      </c>
      <c r="K112" s="9">
        <v>0</v>
      </c>
      <c r="L112" s="20"/>
      <c r="M112" s="9">
        <v>30</v>
      </c>
      <c r="N112" s="11" t="s">
        <v>204</v>
      </c>
      <c r="O112" s="9">
        <v>0</v>
      </c>
    </row>
    <row r="113" spans="1:15" x14ac:dyDescent="0.25">
      <c r="A113" s="11" t="s">
        <v>275</v>
      </c>
      <c r="B113" s="9" t="s">
        <v>239</v>
      </c>
      <c r="C113" s="9">
        <v>0</v>
      </c>
      <c r="D113" s="9">
        <v>120</v>
      </c>
      <c r="E113" s="9">
        <v>0</v>
      </c>
      <c r="F113" s="12">
        <f t="shared" si="6"/>
        <v>34.195828108970709</v>
      </c>
      <c r="G113" s="9">
        <v>3.5091999999999999</v>
      </c>
      <c r="H113" s="9">
        <v>0</v>
      </c>
      <c r="I113" s="9">
        <v>0</v>
      </c>
      <c r="J113" s="12">
        <f t="shared" si="7"/>
        <v>0</v>
      </c>
      <c r="K113" s="9">
        <v>0</v>
      </c>
      <c r="L113" s="20"/>
      <c r="M113" s="9">
        <v>30</v>
      </c>
      <c r="N113" s="11" t="s">
        <v>204</v>
      </c>
      <c r="O113" s="9">
        <v>0</v>
      </c>
    </row>
    <row r="114" spans="1:15" x14ac:dyDescent="0.25">
      <c r="A114" s="11" t="s">
        <v>2601</v>
      </c>
      <c r="B114" s="9" t="s">
        <v>239</v>
      </c>
      <c r="C114" s="9">
        <v>0</v>
      </c>
      <c r="D114" s="9">
        <v>12</v>
      </c>
      <c r="E114" s="9">
        <v>0</v>
      </c>
      <c r="F114" s="12">
        <f t="shared" si="6"/>
        <v>20.321761219305671</v>
      </c>
      <c r="G114" s="9">
        <v>0.59050000000000002</v>
      </c>
      <c r="H114" s="9">
        <v>0</v>
      </c>
      <c r="I114" s="9">
        <v>0</v>
      </c>
      <c r="J114" s="12">
        <f t="shared" si="7"/>
        <v>0</v>
      </c>
      <c r="K114" s="9">
        <v>0</v>
      </c>
      <c r="L114" s="20"/>
      <c r="M114" s="9">
        <v>1</v>
      </c>
      <c r="N114" s="11" t="s">
        <v>284</v>
      </c>
      <c r="O114" s="9">
        <v>0</v>
      </c>
    </row>
    <row r="115" spans="1:15" x14ac:dyDescent="0.25">
      <c r="A115" s="11" t="s">
        <v>2603</v>
      </c>
      <c r="B115" s="9" t="s">
        <v>239</v>
      </c>
      <c r="C115" s="9">
        <v>0</v>
      </c>
      <c r="D115" s="9">
        <v>12</v>
      </c>
      <c r="E115" s="9">
        <v>0</v>
      </c>
      <c r="F115" s="12">
        <f t="shared" si="6"/>
        <v>20.321761219305671</v>
      </c>
      <c r="G115" s="9">
        <v>0.59050000000000002</v>
      </c>
      <c r="H115" s="9">
        <v>0</v>
      </c>
      <c r="I115" s="9">
        <v>0</v>
      </c>
      <c r="J115" s="12">
        <f t="shared" si="7"/>
        <v>0</v>
      </c>
      <c r="K115" s="9">
        <v>0</v>
      </c>
      <c r="L115" s="20"/>
      <c r="M115" s="9">
        <v>1</v>
      </c>
      <c r="N115" s="11" t="s">
        <v>284</v>
      </c>
      <c r="O115" s="9">
        <v>0</v>
      </c>
    </row>
    <row r="116" spans="1:15" x14ac:dyDescent="0.25">
      <c r="A116" s="11" t="s">
        <v>2605</v>
      </c>
      <c r="B116" s="9" t="s">
        <v>239</v>
      </c>
      <c r="C116" s="9">
        <v>0</v>
      </c>
      <c r="D116" s="9">
        <v>24</v>
      </c>
      <c r="E116" s="9">
        <v>0</v>
      </c>
      <c r="F116" s="12">
        <f t="shared" si="6"/>
        <v>40.643522438611342</v>
      </c>
      <c r="G116" s="9">
        <v>0.59050000000000002</v>
      </c>
      <c r="H116" s="9">
        <v>0</v>
      </c>
      <c r="I116" s="9">
        <v>0</v>
      </c>
      <c r="J116" s="12">
        <f t="shared" si="7"/>
        <v>0</v>
      </c>
      <c r="K116" s="9">
        <v>0</v>
      </c>
      <c r="L116" s="20"/>
      <c r="M116" s="9">
        <v>3</v>
      </c>
      <c r="N116" s="11" t="s">
        <v>284</v>
      </c>
      <c r="O116" s="9">
        <v>0</v>
      </c>
    </row>
    <row r="117" spans="1:15" x14ac:dyDescent="0.25">
      <c r="A117" s="11" t="s">
        <v>2607</v>
      </c>
      <c r="B117" s="9" t="s">
        <v>239</v>
      </c>
      <c r="C117" s="9">
        <v>0</v>
      </c>
      <c r="D117" s="9">
        <v>24</v>
      </c>
      <c r="E117" s="9">
        <v>0</v>
      </c>
      <c r="F117" s="12">
        <f t="shared" si="6"/>
        <v>40.643522438611342</v>
      </c>
      <c r="G117" s="9">
        <v>0.59050000000000002</v>
      </c>
      <c r="H117" s="9">
        <v>0</v>
      </c>
      <c r="I117" s="9">
        <v>0</v>
      </c>
      <c r="J117" s="12">
        <f t="shared" si="7"/>
        <v>0</v>
      </c>
      <c r="K117" s="9">
        <v>0</v>
      </c>
      <c r="L117" s="20"/>
      <c r="M117" s="9">
        <v>3</v>
      </c>
      <c r="N117" s="11" t="s">
        <v>284</v>
      </c>
      <c r="O117" s="9">
        <v>0</v>
      </c>
    </row>
    <row r="118" spans="1:15" x14ac:dyDescent="0.25">
      <c r="A118" s="11" t="s">
        <v>2620</v>
      </c>
      <c r="B118" s="9" t="s">
        <v>239</v>
      </c>
      <c r="C118" s="9">
        <v>0</v>
      </c>
      <c r="D118" s="9">
        <v>33</v>
      </c>
      <c r="E118" s="9">
        <v>0</v>
      </c>
      <c r="F118" s="12">
        <f t="shared" si="6"/>
        <v>16.696180116367316</v>
      </c>
      <c r="G118" s="9">
        <v>1.9764999999999999</v>
      </c>
      <c r="H118" s="9">
        <v>0</v>
      </c>
      <c r="I118" s="9">
        <v>104.36</v>
      </c>
      <c r="J118" s="21">
        <f t="shared" si="7"/>
        <v>104.36</v>
      </c>
      <c r="K118" s="9">
        <v>0</v>
      </c>
      <c r="L118" s="20"/>
      <c r="M118" s="9">
        <v>16</v>
      </c>
      <c r="N118" s="11" t="s">
        <v>2619</v>
      </c>
      <c r="O118" s="9" t="s">
        <v>2618</v>
      </c>
    </row>
    <row r="119" spans="1:15" x14ac:dyDescent="0.25">
      <c r="A119" s="11" t="s">
        <v>2623</v>
      </c>
      <c r="B119" s="9" t="s">
        <v>239</v>
      </c>
      <c r="C119" s="9">
        <v>0</v>
      </c>
      <c r="D119" s="9">
        <v>33</v>
      </c>
      <c r="E119" s="9">
        <v>0</v>
      </c>
      <c r="F119" s="12">
        <f t="shared" si="6"/>
        <v>16.696180116367316</v>
      </c>
      <c r="G119" s="9">
        <v>1.9764999999999999</v>
      </c>
      <c r="H119" s="9">
        <v>0</v>
      </c>
      <c r="I119" s="9">
        <v>104.36</v>
      </c>
      <c r="J119" s="21">
        <f t="shared" si="7"/>
        <v>104.36</v>
      </c>
      <c r="K119" s="9">
        <v>0</v>
      </c>
      <c r="L119" s="20"/>
      <c r="M119" s="9">
        <v>16</v>
      </c>
      <c r="N119" s="11" t="s">
        <v>2619</v>
      </c>
      <c r="O119" s="9" t="s">
        <v>2618</v>
      </c>
    </row>
    <row r="120" spans="1:15" x14ac:dyDescent="0.25">
      <c r="A120" s="11" t="s">
        <v>2625</v>
      </c>
      <c r="B120" s="9" t="s">
        <v>239</v>
      </c>
      <c r="C120" s="9">
        <v>0</v>
      </c>
      <c r="D120" s="9">
        <v>33</v>
      </c>
      <c r="E120" s="9">
        <v>0</v>
      </c>
      <c r="F120" s="12">
        <f t="shared" si="6"/>
        <v>16.696180116367316</v>
      </c>
      <c r="G120" s="9">
        <v>1.9764999999999999</v>
      </c>
      <c r="H120" s="9">
        <v>0</v>
      </c>
      <c r="I120" s="9">
        <v>104.36</v>
      </c>
      <c r="J120" s="21">
        <f t="shared" si="7"/>
        <v>104.36</v>
      </c>
      <c r="K120" s="9">
        <v>0</v>
      </c>
      <c r="L120" s="20"/>
      <c r="M120" s="9">
        <v>16</v>
      </c>
      <c r="N120" s="11" t="s">
        <v>2619</v>
      </c>
      <c r="O120" s="9" t="s">
        <v>2618</v>
      </c>
    </row>
    <row r="121" spans="1:15" x14ac:dyDescent="0.25">
      <c r="A121" s="11" t="s">
        <v>2627</v>
      </c>
      <c r="B121" s="9" t="s">
        <v>239</v>
      </c>
      <c r="C121" s="9">
        <v>0</v>
      </c>
      <c r="D121" s="9">
        <v>33</v>
      </c>
      <c r="E121" s="9">
        <v>0</v>
      </c>
      <c r="F121" s="12">
        <f t="shared" si="6"/>
        <v>16.696180116367316</v>
      </c>
      <c r="G121" s="9">
        <v>1.9764999999999999</v>
      </c>
      <c r="H121" s="9">
        <v>0</v>
      </c>
      <c r="I121" s="9">
        <v>104.36</v>
      </c>
      <c r="J121" s="21">
        <f t="shared" si="7"/>
        <v>104.36</v>
      </c>
      <c r="K121" s="9">
        <v>0</v>
      </c>
      <c r="L121" s="20"/>
      <c r="M121" s="9">
        <v>16</v>
      </c>
      <c r="N121" s="11" t="s">
        <v>2619</v>
      </c>
      <c r="O121" s="9" t="s">
        <v>2618</v>
      </c>
    </row>
    <row r="122" spans="1:15" x14ac:dyDescent="0.25">
      <c r="A122" s="11" t="s">
        <v>2841</v>
      </c>
      <c r="B122" s="9" t="s">
        <v>239</v>
      </c>
      <c r="C122" s="9">
        <v>0</v>
      </c>
      <c r="D122" s="9">
        <v>125</v>
      </c>
      <c r="E122" s="9">
        <v>0</v>
      </c>
      <c r="F122" s="12">
        <f t="shared" si="6"/>
        <v>145.16316339565671</v>
      </c>
      <c r="G122" s="9">
        <v>0.86109999999999998</v>
      </c>
      <c r="H122" s="9">
        <v>0</v>
      </c>
      <c r="I122" s="9">
        <v>91.45</v>
      </c>
      <c r="J122" s="21">
        <f t="shared" si="7"/>
        <v>91.45</v>
      </c>
      <c r="K122" s="9">
        <v>0</v>
      </c>
      <c r="L122" s="20"/>
      <c r="M122" s="9">
        <v>30</v>
      </c>
      <c r="N122" s="11" t="s">
        <v>2840</v>
      </c>
      <c r="O122" s="9" t="s">
        <v>2839</v>
      </c>
    </row>
    <row r="123" spans="1:15" x14ac:dyDescent="0.25">
      <c r="A123" s="11" t="s">
        <v>2844</v>
      </c>
      <c r="B123" s="9" t="s">
        <v>239</v>
      </c>
      <c r="C123" s="9">
        <v>0</v>
      </c>
      <c r="D123" s="9">
        <v>95</v>
      </c>
      <c r="E123" s="9">
        <v>0</v>
      </c>
      <c r="F123" s="12">
        <f t="shared" si="6"/>
        <v>110.32400418069911</v>
      </c>
      <c r="G123" s="9">
        <v>0.86109999999999998</v>
      </c>
      <c r="H123" s="9">
        <v>0</v>
      </c>
      <c r="I123" s="9">
        <v>91.45</v>
      </c>
      <c r="J123" s="21">
        <f t="shared" si="7"/>
        <v>91.45</v>
      </c>
      <c r="K123" s="9">
        <v>0</v>
      </c>
      <c r="L123" s="20"/>
      <c r="M123" s="9">
        <v>30</v>
      </c>
      <c r="N123" s="11" t="s">
        <v>2840</v>
      </c>
      <c r="O123" s="9" t="s">
        <v>2839</v>
      </c>
    </row>
    <row r="124" spans="1:15" x14ac:dyDescent="0.25">
      <c r="A124" s="11" t="s">
        <v>2846</v>
      </c>
      <c r="B124" s="9" t="s">
        <v>239</v>
      </c>
      <c r="C124" s="9">
        <v>0</v>
      </c>
      <c r="D124" s="9">
        <v>95</v>
      </c>
      <c r="E124" s="9">
        <v>0</v>
      </c>
      <c r="F124" s="12">
        <f t="shared" si="6"/>
        <v>110.32400418069911</v>
      </c>
      <c r="G124" s="9">
        <v>0.86109999999999998</v>
      </c>
      <c r="H124" s="9">
        <v>0</v>
      </c>
      <c r="I124" s="9">
        <v>91.45</v>
      </c>
      <c r="J124" s="21">
        <f t="shared" si="7"/>
        <v>91.45</v>
      </c>
      <c r="K124" s="9">
        <v>0</v>
      </c>
      <c r="L124" s="20"/>
      <c r="M124" s="9">
        <v>30</v>
      </c>
      <c r="N124" s="11" t="s">
        <v>2840</v>
      </c>
      <c r="O124" s="9" t="s">
        <v>2839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330-B866-401C-9217-83762261C08C}">
  <dimension ref="A1:R40"/>
  <sheetViews>
    <sheetView workbookViewId="0">
      <selection activeCell="A4" sqref="A4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10.7109375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hidden="1" customWidth="1"/>
    <col min="14" max="14" width="19.5703125" bestFit="1" customWidth="1"/>
    <col min="17" max="17" width="11.28515625" bestFit="1" customWidth="1"/>
  </cols>
  <sheetData>
    <row r="1" spans="1:18" ht="18.75" x14ac:dyDescent="0.3">
      <c r="A1" s="4" t="s">
        <v>3137</v>
      </c>
    </row>
    <row r="2" spans="1:18" x14ac:dyDescent="0.25">
      <c r="A2" s="5" t="s">
        <v>3138</v>
      </c>
      <c r="J2">
        <f>'[1]02_POR_ENTIDAD'!$B$2/'[2]02_POR_ENTIDAD'!$B$2</f>
        <v>0.59731319713971154</v>
      </c>
    </row>
    <row r="3" spans="1:18" x14ac:dyDescent="0.25">
      <c r="A3" s="5"/>
    </row>
    <row r="4" spans="1:18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227</v>
      </c>
      <c r="O4" s="7" t="s">
        <v>943</v>
      </c>
      <c r="P4" s="7" t="s">
        <v>3140</v>
      </c>
      <c r="Q4" s="7" t="s">
        <v>3141</v>
      </c>
      <c r="R4" s="7" t="s">
        <v>3154</v>
      </c>
    </row>
    <row r="5" spans="1:18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3136</v>
      </c>
      <c r="K5" s="17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8" x14ac:dyDescent="0.25">
      <c r="A6" s="11" t="s">
        <v>2630</v>
      </c>
      <c r="B6" s="11" t="s">
        <v>238</v>
      </c>
      <c r="C6" s="9">
        <v>0</v>
      </c>
      <c r="D6" s="9">
        <v>78</v>
      </c>
      <c r="E6" s="9">
        <f>C6/G6</f>
        <v>0</v>
      </c>
      <c r="F6" s="12">
        <f>D6/G6</f>
        <v>64.741035856573703</v>
      </c>
      <c r="G6" s="9">
        <v>1.2048000000000001</v>
      </c>
      <c r="H6" s="22">
        <v>0</v>
      </c>
      <c r="I6" s="9">
        <f>IF(COUNTIF([4]Información_Técnica!$A$7:$A$35,A6),_xlfn.XLOOKUP(A6,[4]Información_Técnica!$A$7:$A$35,[4]Información_Técnica!$G$7:$G$35),0)</f>
        <v>0</v>
      </c>
      <c r="J6" s="21">
        <f>H6+1/1*(I6-H6)</f>
        <v>0</v>
      </c>
      <c r="K6" s="22">
        <v>0</v>
      </c>
      <c r="L6" s="22"/>
      <c r="M6" s="9" t="e">
        <f>SUMIF([5]Uhidráulica!$H$8:$H$126,A6&amp;"*",[5]Uhidráulica!$P$8:$P$126)</f>
        <v>#VALUE!</v>
      </c>
      <c r="N6" s="11" t="s">
        <v>3152</v>
      </c>
      <c r="O6" s="11" t="str">
        <f>_xlfn.XLOOKUP(A6,Detalle_Unidades!$F$433:$F$548,Detalle_Unidades!$A$433:$A$548)</f>
        <v>CLL1</v>
      </c>
    </row>
    <row r="7" spans="1:18" x14ac:dyDescent="0.25">
      <c r="A7" s="11" t="s">
        <v>2677</v>
      </c>
      <c r="B7" s="11" t="s">
        <v>238</v>
      </c>
      <c r="C7" s="9">
        <v>0</v>
      </c>
      <c r="D7" s="9">
        <v>55</v>
      </c>
      <c r="E7" s="9">
        <f t="shared" ref="E7:E40" si="0">C7/G7</f>
        <v>0</v>
      </c>
      <c r="F7" s="12">
        <f t="shared" ref="F7:F40" si="1">D7/G7</f>
        <v>34.310667498440424</v>
      </c>
      <c r="G7" s="9">
        <v>1.603</v>
      </c>
      <c r="H7" s="22">
        <v>0</v>
      </c>
      <c r="I7" s="9">
        <f>IF(COUNTIF([4]Información_Técnica!$A$7:$A$35,A7),_xlfn.XLOOKUP(A7,[4]Información_Técnica!$A$7:$A$35,[4]Información_Técnica!$G$7:$G$35),0)</f>
        <v>0</v>
      </c>
      <c r="J7" s="12"/>
      <c r="K7" s="22">
        <v>0</v>
      </c>
      <c r="L7" s="22"/>
      <c r="M7" s="9" t="e">
        <f>SUMIF([5]Uhidráulica!$H$8:$H$126,A7&amp;"*",[5]Uhidráulica!$P$8:$P$126)</f>
        <v>#VALUE!</v>
      </c>
      <c r="N7" s="11" t="s">
        <v>230</v>
      </c>
      <c r="O7" s="11" t="str">
        <f>_xlfn.XLOOKUP(A7,Detalle_Unidades!$F$433:$F$548,Detalle_Unidades!$A$433:$A$548)</f>
        <v>HMIN</v>
      </c>
    </row>
    <row r="8" spans="1:18" x14ac:dyDescent="0.25">
      <c r="A8" s="11" t="s">
        <v>2692</v>
      </c>
      <c r="B8" s="11" t="s">
        <v>238</v>
      </c>
      <c r="C8" s="9">
        <v>0</v>
      </c>
      <c r="D8" s="9">
        <v>270</v>
      </c>
      <c r="E8" s="9">
        <f t="shared" si="0"/>
        <v>0</v>
      </c>
      <c r="F8" s="12">
        <f t="shared" si="1"/>
        <v>58.498537536561585</v>
      </c>
      <c r="G8" s="9">
        <v>4.6154999999999999</v>
      </c>
      <c r="H8" s="9"/>
      <c r="I8" s="25">
        <f>IF(COUNTIF([4]Información_Técnica!$A$7:$A$35,A8),_xlfn.XLOOKUP(A8,[4]Información_Técnica!$A$7:$A$35,[4]Información_Técnica!$G$7:$G$35),0)</f>
        <v>0</v>
      </c>
      <c r="J8" s="12"/>
      <c r="K8" s="9">
        <v>0</v>
      </c>
      <c r="L8" s="22"/>
      <c r="M8" s="9" t="e">
        <f>SUMIF([5]Uhidráulica!$H$8:$H$126,A8&amp;"*",[5]Uhidráulica!$P$8:$P$126)</f>
        <v>#VALUE!</v>
      </c>
      <c r="N8" s="11" t="s">
        <v>229</v>
      </c>
      <c r="O8" s="15" t="str">
        <f>P8</f>
        <v>GTRG</v>
      </c>
      <c r="P8" t="s">
        <v>2929</v>
      </c>
      <c r="R8" t="s">
        <v>3161</v>
      </c>
    </row>
    <row r="9" spans="1:18" x14ac:dyDescent="0.25">
      <c r="A9" s="11" t="s">
        <v>2706</v>
      </c>
      <c r="B9" s="11" t="s">
        <v>238</v>
      </c>
      <c r="C9" s="9">
        <v>0</v>
      </c>
      <c r="D9" s="9">
        <v>202</v>
      </c>
      <c r="E9" s="9">
        <f t="shared" si="0"/>
        <v>0</v>
      </c>
      <c r="F9" s="12">
        <f t="shared" si="1"/>
        <v>55.337917431443991</v>
      </c>
      <c r="G9" s="9">
        <v>3.6503000000000001</v>
      </c>
      <c r="H9" s="9"/>
      <c r="I9" s="25">
        <f>IF(COUNTIF([4]Información_Técnica!$A$7:$A$35,A9),_xlfn.XLOOKUP(A9,[4]Información_Técnica!$A$7:$A$35,[4]Información_Técnica!$G$7:$G$35),0)</f>
        <v>0</v>
      </c>
      <c r="J9" s="12"/>
      <c r="K9" s="9">
        <v>0</v>
      </c>
      <c r="L9" s="22"/>
      <c r="M9" s="9" t="e">
        <f>SUMIF([5]Uhidráulica!$H$8:$H$126,A9&amp;"*",[5]Uhidráulica!$P$8:$P$126)</f>
        <v>#VALUE!</v>
      </c>
      <c r="N9" s="11" t="s">
        <v>229</v>
      </c>
      <c r="O9" s="15" t="str">
        <f>P9</f>
        <v>GTRG</v>
      </c>
      <c r="P9" t="s">
        <v>2929</v>
      </c>
      <c r="R9" t="s">
        <v>3162</v>
      </c>
    </row>
    <row r="10" spans="1:18" x14ac:dyDescent="0.25">
      <c r="A10" s="11" t="s">
        <v>2715</v>
      </c>
      <c r="B10" s="11" t="s">
        <v>238</v>
      </c>
      <c r="C10" s="9">
        <v>0</v>
      </c>
      <c r="D10" s="9">
        <v>560</v>
      </c>
      <c r="E10" s="9">
        <f t="shared" si="0"/>
        <v>0</v>
      </c>
      <c r="F10" s="12">
        <f t="shared" si="1"/>
        <v>77.580593768615884</v>
      </c>
      <c r="G10" s="9">
        <v>7.2183000000000002</v>
      </c>
      <c r="H10" s="9"/>
      <c r="I10" s="25">
        <f>IF(COUNTIF([4]Información_Técnica!$A$7:$A$35,A10),_xlfn.XLOOKUP(A10,[4]Información_Técnica!$A$7:$A$35,[4]Información_Técnica!$G$7:$G$35),0)</f>
        <v>0</v>
      </c>
      <c r="J10" s="12"/>
      <c r="K10" s="9">
        <v>0</v>
      </c>
      <c r="L10" s="9"/>
      <c r="M10" s="9" t="e">
        <f>SUMIF([5]Uhidráulica!$H$8:$H$126,A10&amp;"*",[5]Uhidráulica!$P$8:$P$126)</f>
        <v>#VALUE!</v>
      </c>
      <c r="N10" s="11" t="s">
        <v>229</v>
      </c>
      <c r="O10" s="11" t="str">
        <f>_xlfn.XLOOKUP(A10,Detalle_Unidades!$F$433:$F$548,Detalle_Unidades!$A$433:$A$548)</f>
        <v>GTPE</v>
      </c>
      <c r="R10" t="s">
        <v>3155</v>
      </c>
    </row>
    <row r="11" spans="1:18" x14ac:dyDescent="0.25">
      <c r="A11" s="11" t="s">
        <v>2747</v>
      </c>
      <c r="B11" s="11" t="s">
        <v>238</v>
      </c>
      <c r="C11" s="9">
        <v>0</v>
      </c>
      <c r="D11" s="24">
        <v>1200</v>
      </c>
      <c r="E11" s="9">
        <f t="shared" si="0"/>
        <v>0</v>
      </c>
      <c r="F11" s="12">
        <f t="shared" si="1"/>
        <v>695.16857838025726</v>
      </c>
      <c r="G11" s="9">
        <v>1.7262</v>
      </c>
      <c r="H11" s="9"/>
      <c r="I11" s="9">
        <f>IF(COUNTIF([4]Información_Técnica!$A$7:$A$35,A11),_xlfn.XLOOKUP(A11,[4]Información_Técnica!$A$7:$A$35,[4]Información_Técnica!$G$7:$G$35),0)</f>
        <v>1431</v>
      </c>
      <c r="J11" s="12"/>
      <c r="K11" s="9">
        <v>0</v>
      </c>
      <c r="L11" s="9"/>
      <c r="M11" s="9" t="e">
        <f>SUMIF([5]Uhidráulica!$H$8:$H$126,A11&amp;"*",[5]Uhidráulica!$P$8:$P$126)</f>
        <v>#VALUE!</v>
      </c>
      <c r="N11" s="11" t="s">
        <v>229</v>
      </c>
      <c r="O11" s="11" t="str">
        <f>_xlfn.XLOOKUP(A11,Detalle_Unidades!$F$433:$F$548,Detalle_Unidades!$A$433:$A$548)</f>
        <v>PES1</v>
      </c>
    </row>
    <row r="12" spans="1:18" x14ac:dyDescent="0.25">
      <c r="A12" s="11" t="s">
        <v>2758</v>
      </c>
      <c r="B12" s="11" t="s">
        <v>238</v>
      </c>
      <c r="C12" s="9">
        <v>0</v>
      </c>
      <c r="D12" s="9">
        <v>170</v>
      </c>
      <c r="E12" s="9">
        <f t="shared" si="0"/>
        <v>0</v>
      </c>
      <c r="F12" s="12">
        <f t="shared" si="1"/>
        <v>72.06137933957865</v>
      </c>
      <c r="G12" s="9">
        <v>2.3591000000000002</v>
      </c>
      <c r="H12" s="9"/>
      <c r="I12" s="25">
        <f>IF(COUNTIF([4]Información_Técnica!$A$7:$A$35,A12),_xlfn.XLOOKUP(A12,[4]Información_Técnica!$A$7:$A$35,[4]Información_Técnica!$G$7:$G$35),0)</f>
        <v>0</v>
      </c>
      <c r="J12" s="12"/>
      <c r="K12" s="9">
        <v>0</v>
      </c>
      <c r="L12" s="9"/>
      <c r="M12" s="9" t="e">
        <f>SUMIF([5]Uhidráulica!$H$8:$H$126,A12&amp;"*",[5]Uhidráulica!$P$8:$P$126)</f>
        <v>#VALUE!</v>
      </c>
      <c r="N12" s="11" t="s">
        <v>229</v>
      </c>
      <c r="O12" s="11" t="str">
        <f>_xlfn.XLOOKUP(A12,Detalle_Unidades!$F$433:$F$548,Detalle_Unidades!$A$433:$A$548)</f>
        <v>JAGS</v>
      </c>
      <c r="R12" t="s">
        <v>3158</v>
      </c>
    </row>
    <row r="13" spans="1:18" x14ac:dyDescent="0.25">
      <c r="A13" s="11" t="s">
        <v>2772</v>
      </c>
      <c r="B13" s="11" t="s">
        <v>238</v>
      </c>
      <c r="C13" s="9">
        <v>0</v>
      </c>
      <c r="D13" s="9">
        <v>306</v>
      </c>
      <c r="E13" s="9">
        <f t="shared" si="0"/>
        <v>0</v>
      </c>
      <c r="F13" s="12">
        <f t="shared" si="1"/>
        <v>39.154969226241505</v>
      </c>
      <c r="G13" s="9">
        <v>7.8151000000000002</v>
      </c>
      <c r="H13" s="9"/>
      <c r="I13" s="25">
        <f>IF(COUNTIF([4]Información_Técnica!$A$7:$A$35,A13),_xlfn.XLOOKUP(A13,[4]Información_Técnica!$A$7:$A$35,[4]Información_Técnica!$G$7:$G$35),0)</f>
        <v>0</v>
      </c>
      <c r="J13" s="12"/>
      <c r="K13" s="9">
        <v>0</v>
      </c>
      <c r="L13" s="9"/>
      <c r="M13" s="9" t="e">
        <f>SUMIF([5]Uhidráulica!$H$8:$H$126,A13&amp;"*",[5]Uhidráulica!$P$8:$P$126)</f>
        <v>#VALUE!</v>
      </c>
      <c r="N13" s="11" t="s">
        <v>229</v>
      </c>
      <c r="O13" s="11" t="str">
        <f>_xlfn.XLOOKUP(A13,Detalle_Unidades!$F$433:$F$548,Detalle_Unidades!$A$433:$A$548)</f>
        <v>LTSJ</v>
      </c>
      <c r="R13" t="s">
        <v>3157</v>
      </c>
    </row>
    <row r="14" spans="1:18" x14ac:dyDescent="0.25">
      <c r="A14" s="11" t="s">
        <v>2797</v>
      </c>
      <c r="B14" s="11" t="s">
        <v>238</v>
      </c>
      <c r="C14" s="9">
        <v>0</v>
      </c>
      <c r="D14" s="9">
        <v>207</v>
      </c>
      <c r="E14" s="9">
        <f t="shared" si="0"/>
        <v>0</v>
      </c>
      <c r="F14" s="12">
        <f t="shared" si="1"/>
        <v>119.61169536576911</v>
      </c>
      <c r="G14" s="9">
        <v>1.7305999999999999</v>
      </c>
      <c r="H14" s="9"/>
      <c r="I14" s="9">
        <f>IF(COUNTIF([4]Información_Técnica!$A$7:$A$35,A14),_xlfn.XLOOKUP(A14,[4]Información_Técnica!$A$7:$A$35,[4]Información_Técnica!$G$7:$G$35),0)</f>
        <v>67.59</v>
      </c>
      <c r="J14" s="12"/>
      <c r="K14" s="9">
        <v>0</v>
      </c>
      <c r="L14" s="9"/>
      <c r="M14" s="9" t="e">
        <f>SUMIF([5]Uhidráulica!$H$8:$H$126,A14&amp;"*",[5]Uhidráulica!$P$8:$P$126)</f>
        <v>#VALUE!</v>
      </c>
      <c r="N14" s="11" t="s">
        <v>229</v>
      </c>
      <c r="O14" s="11" t="str">
        <f>_xlfn.XLOOKUP(A14,Detalle_Unidades!$F$433:$F$548,Detalle_Unidades!$A$433:$A$548)</f>
        <v>PLYS</v>
      </c>
    </row>
    <row r="15" spans="1:18" x14ac:dyDescent="0.25">
      <c r="A15" s="11" t="s">
        <v>2806</v>
      </c>
      <c r="B15" s="11" t="s">
        <v>238</v>
      </c>
      <c r="C15" s="9">
        <v>0</v>
      </c>
      <c r="D15" s="9">
        <v>405</v>
      </c>
      <c r="E15" s="9">
        <f t="shared" si="0"/>
        <v>0</v>
      </c>
      <c r="F15" s="12">
        <f t="shared" si="1"/>
        <v>188.96976483762597</v>
      </c>
      <c r="G15" s="9">
        <v>2.1432000000000002</v>
      </c>
      <c r="H15" s="9"/>
      <c r="I15" s="9">
        <f>IF(COUNTIF([4]Información_Técnica!$A$7:$A$35,A15),_xlfn.XLOOKUP(A15,[4]Información_Técnica!$A$7:$A$35,[4]Información_Técnica!$G$7:$G$35),0)</f>
        <v>124.67</v>
      </c>
      <c r="J15" s="12"/>
      <c r="K15" s="9">
        <v>0</v>
      </c>
      <c r="L15" s="9"/>
      <c r="M15" s="9">
        <v>225</v>
      </c>
      <c r="N15" s="11" t="s">
        <v>229</v>
      </c>
      <c r="O15" s="11" t="str">
        <f>_xlfn.XLOOKUP(A15,Detalle_Unidades!$F$433:$F$548,Detalle_Unidades!$A$433:$A$548)</f>
        <v>PRC2</v>
      </c>
    </row>
    <row r="16" spans="1:18" x14ac:dyDescent="0.25">
      <c r="A16" s="11" t="s">
        <v>2815</v>
      </c>
      <c r="B16" s="11" t="s">
        <v>238</v>
      </c>
      <c r="C16" s="9">
        <v>0</v>
      </c>
      <c r="D16" s="9">
        <v>700</v>
      </c>
      <c r="E16" s="9">
        <f t="shared" si="0"/>
        <v>0</v>
      </c>
      <c r="F16" s="12">
        <f t="shared" si="1"/>
        <v>228.70585160257457</v>
      </c>
      <c r="G16" s="9">
        <v>3.0607000000000002</v>
      </c>
      <c r="H16" s="9"/>
      <c r="I16" s="9">
        <f>IF(COUNTIF([4]Información_Técnica!$A$7:$A$35,A16),_xlfn.XLOOKUP(A16,[4]Información_Técnica!$A$7:$A$35,[4]Información_Técnica!$G$7:$G$35),0)</f>
        <v>161.28</v>
      </c>
      <c r="J16" s="12"/>
      <c r="K16" s="9">
        <v>0</v>
      </c>
      <c r="L16" s="9"/>
      <c r="M16" s="9" t="e">
        <f>SUMIF([5]Uhidráulica!$H$8:$H$126,A16&amp;"*",[5]Uhidráulica!$P$8:$P$126)</f>
        <v>#VALUE!</v>
      </c>
      <c r="N16" s="11" t="s">
        <v>229</v>
      </c>
      <c r="O16" s="11" t="str">
        <f>_xlfn.XLOOKUP(A16,Detalle_Unidades!$F$433:$F$548,Detalle_Unidades!$A$433:$A$548)</f>
        <v>PRC3</v>
      </c>
    </row>
    <row r="17" spans="1:18" x14ac:dyDescent="0.25">
      <c r="A17" s="11" t="s">
        <v>2849</v>
      </c>
      <c r="B17" s="11" t="s">
        <v>238</v>
      </c>
      <c r="C17" s="9">
        <v>0</v>
      </c>
      <c r="D17" s="24">
        <v>1240</v>
      </c>
      <c r="E17" s="9">
        <f t="shared" si="0"/>
        <v>0</v>
      </c>
      <c r="F17" s="12">
        <f t="shared" si="1"/>
        <v>229.63813474573132</v>
      </c>
      <c r="G17" s="9">
        <v>5.3997999999999999</v>
      </c>
      <c r="H17" s="9"/>
      <c r="I17" s="25">
        <f>IF(COUNTIF([4]Información_Técnica!$A$7:$A$35,A17),_xlfn.XLOOKUP(A17,[4]Información_Técnica!$A$7:$A$35,[4]Información_Técnica!$G$7:$G$35),0)</f>
        <v>0</v>
      </c>
      <c r="J17" s="12"/>
      <c r="K17" s="9">
        <v>0</v>
      </c>
      <c r="L17" s="9"/>
      <c r="M17" s="9" t="e">
        <f>SUMIF([5]Uhidráulica!$H$8:$H$126,A17&amp;"*",[5]Uhidráulica!$P$8:$P$126)</f>
        <v>#VALUE!</v>
      </c>
      <c r="N17" s="11" t="s">
        <v>229</v>
      </c>
      <c r="O17" s="11" t="str">
        <f>_xlfn.XLOOKUP(A17,Detalle_Unidades!$F$433:$F$548,Detalle_Unidades!$A$433:$A$548)</f>
        <v>SNCR</v>
      </c>
      <c r="R17" t="s">
        <v>3156</v>
      </c>
    </row>
    <row r="18" spans="1:18" x14ac:dyDescent="0.25">
      <c r="A18" s="11" t="s">
        <v>2876</v>
      </c>
      <c r="B18" s="11" t="s">
        <v>238</v>
      </c>
      <c r="C18" s="9">
        <v>0</v>
      </c>
      <c r="D18" s="9">
        <v>50</v>
      </c>
      <c r="E18" s="9">
        <f t="shared" si="0"/>
        <v>0</v>
      </c>
      <c r="F18" s="12">
        <f t="shared" si="1"/>
        <v>33.482890243085784</v>
      </c>
      <c r="G18" s="9">
        <v>1.4933000000000001</v>
      </c>
      <c r="H18" s="9">
        <v>0</v>
      </c>
      <c r="I18" s="9">
        <f>IF(COUNTIF([4]Información_Técnica!$A$7:$A$35,A18),_xlfn.XLOOKUP(A18,[4]Información_Técnica!$A$7:$A$35,[4]Información_Técnica!$G$7:$G$35),0)</f>
        <v>0</v>
      </c>
      <c r="J18" s="12"/>
      <c r="K18" s="9">
        <v>0</v>
      </c>
      <c r="L18" s="9"/>
      <c r="M18" s="9" t="e">
        <f>SUMIF([5]Uhidráulica!$H$8:$H$126,A18&amp;"*",[5]Uhidráulica!$P$8:$P$126)</f>
        <v>#VALUE!</v>
      </c>
      <c r="N18" s="11" t="s">
        <v>230</v>
      </c>
      <c r="O18" s="11" t="str">
        <f>_xlfn.XLOOKUP(A18,Detalle_Unidades!$F$433:$F$548,Detalle_Unidades!$A$433:$A$548)</f>
        <v>SMI1</v>
      </c>
    </row>
    <row r="19" spans="1:18" x14ac:dyDescent="0.25">
      <c r="A19" s="11" t="s">
        <v>2889</v>
      </c>
      <c r="B19" s="11" t="s">
        <v>238</v>
      </c>
      <c r="C19" s="9">
        <v>0</v>
      </c>
      <c r="D19" s="9">
        <v>40</v>
      </c>
      <c r="E19" s="9">
        <f t="shared" si="0"/>
        <v>0</v>
      </c>
      <c r="F19" s="12">
        <f t="shared" si="1"/>
        <v>60.304537916478218</v>
      </c>
      <c r="G19" s="9">
        <v>0.6633</v>
      </c>
      <c r="H19" s="9"/>
      <c r="I19" s="9">
        <f>IF(COUNTIF([4]Información_Técnica!$A$7:$A$35,A19),_xlfn.XLOOKUP(A19,[4]Información_Técnica!$A$7:$A$35,[4]Información_Técnica!$G$7:$G$35),0)</f>
        <v>27.65</v>
      </c>
      <c r="J19" s="12"/>
      <c r="K19" s="9">
        <v>0</v>
      </c>
      <c r="L19" s="9"/>
      <c r="M19" s="9" t="e">
        <f>SUMIF([5]Uhidráulica!$H$8:$H$126,A19&amp;"*",[5]Uhidráulica!$P$8:$P$126)</f>
        <v>#VALUE!</v>
      </c>
      <c r="N19" s="11" t="s">
        <v>229</v>
      </c>
      <c r="O19" s="15" t="str">
        <f>P19</f>
        <v>GTRG</v>
      </c>
      <c r="P19" t="s">
        <v>2929</v>
      </c>
    </row>
    <row r="20" spans="1:18" x14ac:dyDescent="0.25">
      <c r="A20" s="11" t="s">
        <v>2637</v>
      </c>
      <c r="B20" s="11" t="s">
        <v>615</v>
      </c>
      <c r="C20" s="9">
        <v>0</v>
      </c>
      <c r="D20" s="24">
        <v>1000</v>
      </c>
      <c r="E20" s="9">
        <f t="shared" si="0"/>
        <v>0</v>
      </c>
      <c r="F20" s="12">
        <f t="shared" si="1"/>
        <v>143.1987742184927</v>
      </c>
      <c r="G20" s="9">
        <v>6.9832999999999998</v>
      </c>
      <c r="H20" s="9"/>
      <c r="I20" s="25">
        <f>IF(COUNTIF([4]Información_Técnica!$A$7:$A$35,A20),_xlfn.XLOOKUP(A20,[4]Información_Técnica!$A$7:$A$35,[4]Información_Técnica!$G$7:$G$35),0)</f>
        <v>0</v>
      </c>
      <c r="J20" s="12"/>
      <c r="K20" s="9">
        <v>0</v>
      </c>
      <c r="L20" s="9"/>
      <c r="M20" s="9" t="e">
        <f>SUMIF([5]Uhidráulica!$H$8:$H$126,A20&amp;"*",[5]Uhidráulica!$P$8:$P$126)</f>
        <v>#VALUE!</v>
      </c>
      <c r="N20" s="11" t="s">
        <v>229</v>
      </c>
      <c r="O20" s="11" t="str">
        <f>_xlfn.XLOOKUP(A20,Detalle_Unidades!$F$433:$F$548,Detalle_Unidades!$A$433:$A$548)</f>
        <v>CHVR</v>
      </c>
      <c r="R20" t="s">
        <v>3165</v>
      </c>
    </row>
    <row r="21" spans="1:18" x14ac:dyDescent="0.25">
      <c r="A21" s="11" t="s">
        <v>2663</v>
      </c>
      <c r="B21" s="11" t="s">
        <v>615</v>
      </c>
      <c r="C21" s="9">
        <v>0</v>
      </c>
      <c r="D21" s="9">
        <v>150</v>
      </c>
      <c r="E21" s="9">
        <f t="shared" si="0"/>
        <v>0</v>
      </c>
      <c r="F21" s="12">
        <f t="shared" si="1"/>
        <v>18.818688211973704</v>
      </c>
      <c r="G21" s="9">
        <v>7.9707999999999997</v>
      </c>
      <c r="H21" s="9">
        <v>0</v>
      </c>
      <c r="I21" s="9">
        <f>IF(COUNTIF([4]Información_Técnica!$A$7:$A$35,A21),_xlfn.XLOOKUP(A21,[4]Información_Técnica!$A$7:$A$35,[4]Información_Técnica!$G$7:$G$35),0)</f>
        <v>0</v>
      </c>
      <c r="J21" s="12"/>
      <c r="K21" s="9">
        <v>0</v>
      </c>
      <c r="L21" s="9"/>
      <c r="M21" s="9" t="e">
        <f>SUMIF([5]Uhidráulica!$H$8:$H$126,A21&amp;"*",[5]Uhidráulica!$P$8:$P$126)</f>
        <v>#VALUE!</v>
      </c>
      <c r="N21" s="11" t="s">
        <v>230</v>
      </c>
      <c r="O21" s="11" t="str">
        <f>_xlfn.XLOOKUP(A21,Detalle_Unidades!$F$433:$F$548,Detalle_Unidades!$A$433:$A$548)</f>
        <v>DVS1</v>
      </c>
    </row>
    <row r="22" spans="1:18" x14ac:dyDescent="0.25">
      <c r="A22" s="11" t="s">
        <v>2734</v>
      </c>
      <c r="B22" s="11" t="s">
        <v>615</v>
      </c>
      <c r="C22" s="9">
        <v>0</v>
      </c>
      <c r="D22" s="24">
        <v>1250</v>
      </c>
      <c r="E22" s="9">
        <f t="shared" si="0"/>
        <v>0</v>
      </c>
      <c r="F22" s="12">
        <f t="shared" si="1"/>
        <v>126.95897701534679</v>
      </c>
      <c r="G22" s="9">
        <v>9.8457000000000008</v>
      </c>
      <c r="H22" s="9"/>
      <c r="I22" s="9">
        <f>IF(COUNTIF([4]Información_Técnica!$A$7:$A$35,A22),_xlfn.XLOOKUP(A22,[4]Información_Técnica!$A$7:$A$35,[4]Información_Técnica!$G$7:$G$35),0)</f>
        <v>741.69</v>
      </c>
      <c r="J22" s="12"/>
      <c r="K22" s="9">
        <v>0</v>
      </c>
      <c r="L22" s="9"/>
      <c r="M22" s="9" t="e">
        <f>SUMIF([5]Uhidráulica!$H$8:$H$126,A22&amp;"*",[5]Uhidráulica!$P$8:$P$126)</f>
        <v>#VALUE!</v>
      </c>
      <c r="N22" s="11" t="s">
        <v>229</v>
      </c>
      <c r="O22" s="11" t="str">
        <f>_xlfn.XLOOKUP(A22,Detalle_Unidades!$F$433:$F$548,Detalle_Unidades!$A$433:$A$548)</f>
        <v>GVIO</v>
      </c>
    </row>
    <row r="23" spans="1:18" x14ac:dyDescent="0.25">
      <c r="A23" s="11" t="s">
        <v>188</v>
      </c>
      <c r="B23" s="11" t="s">
        <v>615</v>
      </c>
      <c r="C23" s="9">
        <v>0</v>
      </c>
      <c r="D23" s="9">
        <v>324</v>
      </c>
      <c r="E23" s="9">
        <f t="shared" si="0"/>
        <v>0</v>
      </c>
      <c r="F23" s="12">
        <f t="shared" si="1"/>
        <v>37.421172992076869</v>
      </c>
      <c r="G23" s="9">
        <v>8.6582000000000008</v>
      </c>
      <c r="H23" s="9"/>
      <c r="I23" s="25">
        <f>IF(COUNTIF([4]Información_Técnica!$A$7:$A$35,A23),_xlfn.XLOOKUP(A23,[4]Información_Técnica!$A$7:$A$35,[4]Información_Técnica!$G$7:$G$35),0)</f>
        <v>0</v>
      </c>
      <c r="J23" s="12"/>
      <c r="K23" s="9">
        <v>0</v>
      </c>
      <c r="L23" s="9"/>
      <c r="M23" s="9" t="e">
        <f>SUMIF([5]Uhidráulica!$H$8:$H$126,A23&amp;"*",[5]Uhidráulica!$P$8:$P$126)</f>
        <v>#VALUE!</v>
      </c>
      <c r="N23" s="11" t="s">
        <v>229</v>
      </c>
      <c r="O23" s="15" t="str">
        <f>P23</f>
        <v>PGUG</v>
      </c>
      <c r="P23" t="s">
        <v>2923</v>
      </c>
      <c r="R23" t="s">
        <v>3163</v>
      </c>
    </row>
    <row r="24" spans="1:18" x14ac:dyDescent="0.25">
      <c r="A24" s="11" t="s">
        <v>187</v>
      </c>
      <c r="B24" s="11" t="s">
        <v>615</v>
      </c>
      <c r="C24" s="9">
        <v>0</v>
      </c>
      <c r="D24" s="9">
        <v>276</v>
      </c>
      <c r="E24" s="9">
        <f t="shared" si="0"/>
        <v>0</v>
      </c>
      <c r="F24" s="12">
        <f t="shared" si="1"/>
        <v>37.436419125127166</v>
      </c>
      <c r="G24" s="9">
        <v>7.3724999999999996</v>
      </c>
      <c r="H24" s="9"/>
      <c r="I24" s="25">
        <f>IF(COUNTIF([4]Información_Técnica!$A$7:$A$35,A24),_xlfn.XLOOKUP(A24,[4]Información_Técnica!$A$7:$A$35,[4]Información_Técnica!$G$7:$G$35),0)</f>
        <v>0</v>
      </c>
      <c r="J24" s="12"/>
      <c r="K24" s="9">
        <v>0</v>
      </c>
      <c r="M24" s="9" t="e">
        <f>SUMIF([5]Uhidráulica!$H$8:$H$126,A24&amp;"*",[5]Uhidráulica!$P$8:$P$126)</f>
        <v>#VALUE!</v>
      </c>
      <c r="N24" s="11" t="s">
        <v>229</v>
      </c>
      <c r="O24" s="15" t="str">
        <f>P24</f>
        <v>PGUG</v>
      </c>
      <c r="P24" t="s">
        <v>2923</v>
      </c>
      <c r="R24" t="s">
        <v>3163</v>
      </c>
    </row>
    <row r="25" spans="1:18" x14ac:dyDescent="0.25">
      <c r="A25" s="11" t="s">
        <v>2835</v>
      </c>
      <c r="B25" s="11" t="s">
        <v>615</v>
      </c>
      <c r="C25" s="9">
        <v>0</v>
      </c>
      <c r="D25" s="9">
        <v>35</v>
      </c>
      <c r="E25" s="9">
        <f t="shared" si="0"/>
        <v>0</v>
      </c>
      <c r="F25" s="12">
        <f t="shared" si="1"/>
        <v>10.374673938819065</v>
      </c>
      <c r="G25" s="9">
        <v>3.3736000000000002</v>
      </c>
      <c r="H25" s="9">
        <v>0</v>
      </c>
      <c r="I25" s="9">
        <f>IF(COUNTIF([4]Información_Técnica!$A$7:$A$35,A25),_xlfn.XLOOKUP(A25,[4]Información_Técnica!$A$7:$A$35,[4]Información_Técnica!$G$7:$G$35),0)</f>
        <v>0</v>
      </c>
      <c r="J25" s="12"/>
      <c r="K25" s="9">
        <v>0</v>
      </c>
      <c r="M25" s="9" t="e">
        <f>SUMIF([5]Uhidráulica!$H$8:$H$126,A25&amp;"*",[5]Uhidráulica!$P$8:$P$126)</f>
        <v>#VALUE!</v>
      </c>
      <c r="N25" s="11" t="s">
        <v>230</v>
      </c>
      <c r="O25" s="11" t="str">
        <f>_xlfn.XLOOKUP(A25,Detalle_Unidades!$F$433:$F$548,Detalle_Unidades!$A$433:$A$548)</f>
        <v>2QEK</v>
      </c>
    </row>
    <row r="26" spans="1:18" x14ac:dyDescent="0.25">
      <c r="A26" s="11" t="s">
        <v>2895</v>
      </c>
      <c r="B26" s="11" t="s">
        <v>615</v>
      </c>
      <c r="C26" s="9">
        <v>0</v>
      </c>
      <c r="D26" s="9">
        <v>19</v>
      </c>
      <c r="E26" s="9">
        <f t="shared" si="0"/>
        <v>0</v>
      </c>
      <c r="F26" s="12">
        <f t="shared" si="1"/>
        <v>7.7063475968363413</v>
      </c>
      <c r="G26" s="9">
        <v>2.4655</v>
      </c>
      <c r="H26" s="9">
        <v>0</v>
      </c>
      <c r="I26" s="9">
        <f>IF(COUNTIF([4]Información_Técnica!$A$7:$A$35,A26),_xlfn.XLOOKUP(A26,[4]Información_Técnica!$A$7:$A$35,[4]Información_Técnica!$G$7:$G$35),0)</f>
        <v>0</v>
      </c>
      <c r="J26" s="12"/>
      <c r="K26" s="9">
        <v>0</v>
      </c>
      <c r="M26" s="9" t="e">
        <f>SUMIF([5]Uhidráulica!$H$8:$H$126,A26&amp;"*",[5]Uhidráulica!$P$8:$P$126)</f>
        <v>#VALUE!</v>
      </c>
      <c r="N26" s="11" t="s">
        <v>230</v>
      </c>
      <c r="O26" s="11" t="str">
        <f>_xlfn.XLOOKUP(A26,Detalle_Unidades!$F$433:$F$548,Detalle_Unidades!$A$433:$A$548)</f>
        <v>TUJ1</v>
      </c>
    </row>
    <row r="27" spans="1:18" x14ac:dyDescent="0.25">
      <c r="A27" s="11" t="s">
        <v>907</v>
      </c>
      <c r="B27" s="11" t="s">
        <v>905</v>
      </c>
      <c r="C27" s="9">
        <v>0</v>
      </c>
      <c r="D27" s="9">
        <v>400</v>
      </c>
      <c r="E27" s="9">
        <f t="shared" si="0"/>
        <v>0</v>
      </c>
      <c r="F27" s="12">
        <f t="shared" si="1"/>
        <v>363.47114947751021</v>
      </c>
      <c r="G27" s="9">
        <v>1.1005</v>
      </c>
      <c r="H27" s="9"/>
      <c r="I27" s="9">
        <f>IF(COUNTIF([4]Información_Técnica!$A$7:$A$35,A27),_xlfn.XLOOKUP(A27,[4]Información_Técnica!$A$7:$A$35,[4]Información_Técnica!$G$7:$G$35),0)</f>
        <v>2742.14</v>
      </c>
      <c r="J27" s="12"/>
      <c r="K27" s="9">
        <v>0</v>
      </c>
      <c r="M27" s="9" t="e">
        <f>SUMIF([5]Uhidráulica!$H$8:$H$126,A27&amp;"*",[5]Uhidráulica!$P$8:$P$126)</f>
        <v>#VALUE!</v>
      </c>
      <c r="N27" s="11" t="s">
        <v>229</v>
      </c>
      <c r="O27" s="11" t="str">
        <f>_xlfn.XLOOKUP(A27,Detalle_Unidades!$F$433:$F$548,Detalle_Unidades!$A$433:$A$548)</f>
        <v>QUI1</v>
      </c>
    </row>
    <row r="28" spans="1:18" x14ac:dyDescent="0.25">
      <c r="A28" s="11" t="s">
        <v>913</v>
      </c>
      <c r="B28" s="11" t="s">
        <v>531</v>
      </c>
      <c r="C28" s="9">
        <v>0</v>
      </c>
      <c r="D28" s="9">
        <v>338</v>
      </c>
      <c r="E28" s="9">
        <f t="shared" si="0"/>
        <v>0</v>
      </c>
      <c r="F28" s="12">
        <f t="shared" si="1"/>
        <v>710.6812447434819</v>
      </c>
      <c r="G28" s="9">
        <v>0.47560000000000002</v>
      </c>
      <c r="H28" s="9"/>
      <c r="I28" s="9">
        <f>IF(COUNTIF([4]Información_Técnica!$A$7:$A$35,A28),_xlfn.XLOOKUP(A28,[4]Información_Técnica!$A$7:$A$35,[4]Información_Técnica!$G$7:$G$35),0)</f>
        <v>1418.17</v>
      </c>
      <c r="J28" s="12"/>
      <c r="K28" s="9">
        <v>0</v>
      </c>
      <c r="M28" s="9" t="e">
        <f>SUMIF([5]Uhidráulica!$H$8:$H$126,A28&amp;"*",[5]Uhidráulica!$P$8:$P$126)</f>
        <v>#VALUE!</v>
      </c>
      <c r="N28" s="11" t="s">
        <v>229</v>
      </c>
      <c r="O28" s="11" t="str">
        <f>_xlfn.XLOOKUP(A28,Detalle_Unidades!$F$433:$F$548,Detalle_Unidades!$A$433:$A$548)</f>
        <v>URA1</v>
      </c>
    </row>
    <row r="29" spans="1:18" x14ac:dyDescent="0.25">
      <c r="A29" s="11" t="s">
        <v>2686</v>
      </c>
      <c r="B29" s="11" t="s">
        <v>897</v>
      </c>
      <c r="C29" s="9">
        <v>0</v>
      </c>
      <c r="D29" s="9">
        <v>30</v>
      </c>
      <c r="E29" s="9">
        <f t="shared" si="0"/>
        <v>0</v>
      </c>
      <c r="F29" s="12">
        <f t="shared" si="1"/>
        <v>22.839741149600307</v>
      </c>
      <c r="G29" s="9">
        <v>1.3134999999999999</v>
      </c>
      <c r="H29" s="9">
        <v>0</v>
      </c>
      <c r="I29" s="9">
        <f>IF(COUNTIF([4]Información_Técnica!$A$7:$A$35,A29),_xlfn.XLOOKUP(A29,[4]Información_Técnica!$A$7:$A$35,[4]Información_Técnica!$G$7:$G$35),0)</f>
        <v>528.48</v>
      </c>
      <c r="J29" s="12"/>
      <c r="K29" s="9">
        <v>0</v>
      </c>
      <c r="M29" s="9" t="e">
        <f>SUMIF([5]Uhidráulica!$H$8:$H$126,A29&amp;"*",[5]Uhidráulica!$P$8:$P$126)</f>
        <v>#VALUE!</v>
      </c>
      <c r="N29" s="11" t="s">
        <v>230</v>
      </c>
      <c r="O29" s="11" t="str">
        <f>_xlfn.XLOOKUP(A29,Detalle_Unidades!$F$433:$F$548,Detalle_Unidades!$A$433:$A$548)</f>
        <v>ESMR</v>
      </c>
    </row>
    <row r="30" spans="1:18" x14ac:dyDescent="0.25">
      <c r="A30" s="11" t="s">
        <v>2781</v>
      </c>
      <c r="B30" s="11" t="s">
        <v>897</v>
      </c>
      <c r="C30" s="9">
        <v>0</v>
      </c>
      <c r="D30" s="9">
        <v>396</v>
      </c>
      <c r="E30" s="9">
        <f t="shared" si="0"/>
        <v>0</v>
      </c>
      <c r="F30" s="12">
        <f t="shared" si="1"/>
        <v>191.55420113191119</v>
      </c>
      <c r="G30" s="9">
        <v>2.0672999999999999</v>
      </c>
      <c r="H30" s="9"/>
      <c r="I30" s="25">
        <f>IF(COUNTIF([4]Información_Técnica!$A$7:$A$35,A30),_xlfn.XLOOKUP(A30,[4]Información_Técnica!$A$7:$A$35,[4]Información_Técnica!$G$7:$G$35),0)</f>
        <v>0</v>
      </c>
      <c r="J30" s="12"/>
      <c r="K30" s="9">
        <v>0</v>
      </c>
      <c r="M30" s="9" t="e">
        <f>SUMIF([5]Uhidráulica!$H$8:$H$126,A30&amp;"*",[5]Uhidráulica!$P$8:$P$126)</f>
        <v>#VALUE!</v>
      </c>
      <c r="N30" s="11" t="s">
        <v>229</v>
      </c>
      <c r="O30" s="11" t="str">
        <f>_xlfn.XLOOKUP(A30,Detalle_Unidades!$F$433:$F$548,Detalle_Unidades!$A$433:$A$548)</f>
        <v>HMLG</v>
      </c>
      <c r="R30" t="s">
        <v>3159</v>
      </c>
    </row>
    <row r="31" spans="1:18" x14ac:dyDescent="0.25">
      <c r="A31" s="11" t="s">
        <v>2868</v>
      </c>
      <c r="B31" s="11" t="s">
        <v>897</v>
      </c>
      <c r="C31" s="9">
        <v>0</v>
      </c>
      <c r="D31" s="9">
        <v>135</v>
      </c>
      <c r="E31" s="9">
        <f t="shared" si="0"/>
        <v>0</v>
      </c>
      <c r="F31" s="12">
        <f t="shared" si="1"/>
        <v>85.545909638172489</v>
      </c>
      <c r="G31" s="9">
        <v>1.5781000000000001</v>
      </c>
      <c r="H31" s="9">
        <v>0</v>
      </c>
      <c r="I31" s="9">
        <f>IF(COUNTIF([4]Información_Técnica!$A$7:$A$35,A31),_xlfn.XLOOKUP(A31,[4]Información_Técnica!$A$7:$A$35,[4]Información_Técnica!$G$7:$G$35),0)</f>
        <v>0</v>
      </c>
      <c r="J31" s="12"/>
      <c r="K31" s="9">
        <v>0</v>
      </c>
      <c r="M31" s="9" t="e">
        <f>SUMIF([5]Uhidráulica!$H$8:$H$126,A31&amp;"*",[5]Uhidráulica!$P$8:$P$126)</f>
        <v>#VALUE!</v>
      </c>
      <c r="N31" s="11" t="s">
        <v>230</v>
      </c>
      <c r="O31" s="11" t="str">
        <f>_xlfn.XLOOKUP(A31,Detalle_Unidades!$F$433:$F$548,Detalle_Unidades!$A$433:$A$548)</f>
        <v>SNFR</v>
      </c>
    </row>
    <row r="32" spans="1:18" x14ac:dyDescent="0.25">
      <c r="A32" s="11" t="s">
        <v>283</v>
      </c>
      <c r="B32" s="11" t="s">
        <v>240</v>
      </c>
      <c r="C32" s="9">
        <v>0</v>
      </c>
      <c r="D32" s="9">
        <v>80</v>
      </c>
      <c r="E32" s="9">
        <f t="shared" si="0"/>
        <v>0</v>
      </c>
      <c r="F32" s="12">
        <f t="shared" si="1"/>
        <v>16.479894528675015</v>
      </c>
      <c r="G32" s="9">
        <v>4.8544</v>
      </c>
      <c r="H32" s="9">
        <v>0</v>
      </c>
      <c r="I32" s="9">
        <f>IF(COUNTIF([4]Información_Técnica!$A$7:$A$35,A32),_xlfn.XLOOKUP(A32,[4]Información_Técnica!$A$7:$A$35,[4]Información_Técnica!$G$7:$G$35),0)</f>
        <v>0</v>
      </c>
      <c r="J32" s="12"/>
      <c r="K32" s="9">
        <v>0</v>
      </c>
      <c r="M32" s="9" t="e">
        <f>SUMIF([5]Uhidráulica!$H$8:$H$126,A32&amp;"*",[5]Uhidráulica!$P$8:$P$126)</f>
        <v>#VALUE!</v>
      </c>
      <c r="N32" s="11" t="s">
        <v>230</v>
      </c>
      <c r="O32" s="11" t="str">
        <f>_xlfn.XLOOKUP(A32,Detalle_Unidades!$F$433:$F$548,Detalle_Unidades!$A$433:$A$548)</f>
        <v>MOY1</v>
      </c>
    </row>
    <row r="33" spans="1:18" x14ac:dyDescent="0.25">
      <c r="A33" s="11" t="s">
        <v>2610</v>
      </c>
      <c r="B33" s="11" t="s">
        <v>240</v>
      </c>
      <c r="C33" s="9">
        <v>0</v>
      </c>
      <c r="D33" s="9">
        <v>540</v>
      </c>
      <c r="E33" s="9">
        <f t="shared" si="0"/>
        <v>0</v>
      </c>
      <c r="F33" s="12">
        <f t="shared" si="1"/>
        <v>916.03053435114498</v>
      </c>
      <c r="G33" s="9">
        <v>0.58950000000000002</v>
      </c>
      <c r="H33" s="9"/>
      <c r="I33" s="9">
        <f>IF(COUNTIF([4]Información_Técnica!$A$7:$A$35,A33),_xlfn.XLOOKUP(A33,[4]Información_Técnica!$A$7:$A$35,[4]Información_Técnica!$G$7:$G$35),0)</f>
        <v>1171.79</v>
      </c>
      <c r="J33" s="12"/>
      <c r="K33" s="9">
        <v>0</v>
      </c>
      <c r="M33" s="9" t="e">
        <f>SUMIF([5]Uhidráulica!$H$8:$H$126,A33&amp;"*",[5]Uhidráulica!$P$8:$P$126)</f>
        <v>#VALUE!</v>
      </c>
      <c r="N33" s="11" t="s">
        <v>229</v>
      </c>
      <c r="O33" s="11" t="str">
        <f>_xlfn.XLOOKUP(A33,Detalle_Unidades!$F$433:$F$548,Detalle_Unidades!$A$433:$A$548)</f>
        <v>CHBG</v>
      </c>
    </row>
    <row r="34" spans="1:18" x14ac:dyDescent="0.25">
      <c r="A34" s="11" t="s">
        <v>2656</v>
      </c>
      <c r="B34" s="11" t="s">
        <v>240</v>
      </c>
      <c r="C34" s="9">
        <v>0</v>
      </c>
      <c r="D34" s="9">
        <v>56</v>
      </c>
      <c r="E34" s="9">
        <f t="shared" si="0"/>
        <v>0</v>
      </c>
      <c r="F34" s="12">
        <f t="shared" si="1"/>
        <v>9.4155625798641456</v>
      </c>
      <c r="G34" s="9">
        <v>5.9476000000000004</v>
      </c>
      <c r="H34" s="9">
        <v>0</v>
      </c>
      <c r="I34" s="9">
        <f>IF(COUNTIF([4]Información_Técnica!$A$7:$A$35,A34),_xlfn.XLOOKUP(A34,[4]Información_Técnica!$A$7:$A$35,[4]Información_Técnica!$G$7:$G$35),0)</f>
        <v>0</v>
      </c>
      <c r="J34" s="12"/>
      <c r="K34" s="9">
        <v>0</v>
      </c>
      <c r="M34" s="9" t="e">
        <f>SUMIF([5]Uhidráulica!$H$8:$H$126,A34&amp;"*",[5]Uhidráulica!$P$8:$P$126)</f>
        <v>#VALUE!</v>
      </c>
      <c r="N34" s="11" t="s">
        <v>230</v>
      </c>
      <c r="O34" s="11" t="str">
        <f>_xlfn.XLOOKUP(A34,Detalle_Unidades!$F$433:$F$548,Detalle_Unidades!$A$433:$A$548)</f>
        <v>CUC1</v>
      </c>
    </row>
    <row r="35" spans="1:18" x14ac:dyDescent="0.25">
      <c r="A35" s="11" t="s">
        <v>2826</v>
      </c>
      <c r="B35" s="11" t="s">
        <v>240</v>
      </c>
      <c r="C35" s="9">
        <v>0</v>
      </c>
      <c r="D35" s="9">
        <v>51</v>
      </c>
      <c r="E35" s="9">
        <f t="shared" si="0"/>
        <v>0</v>
      </c>
      <c r="F35" s="12">
        <f t="shared" si="1"/>
        <v>102.34798314268512</v>
      </c>
      <c r="G35" s="9">
        <v>0.49830000000000002</v>
      </c>
      <c r="H35" s="9"/>
      <c r="I35" s="9">
        <f>IF(COUNTIF([4]Información_Técnica!$A$7:$A$35,A35),_xlfn.XLOOKUP(A35,[4]Información_Técnica!$A$7:$A$35,[4]Información_Técnica!$G$7:$G$35),0)</f>
        <v>980.89</v>
      </c>
      <c r="J35" s="12"/>
      <c r="K35" s="9">
        <v>0</v>
      </c>
      <c r="M35" s="9" t="e">
        <f>SUMIF([5]Uhidráulica!$H$8:$H$126,A35&amp;"*",[5]Uhidráulica!$P$8:$P$126)</f>
        <v>#VALUE!</v>
      </c>
      <c r="N35" s="11" t="s">
        <v>229</v>
      </c>
      <c r="O35" s="11" t="str">
        <f>_xlfn.XLOOKUP(A35,Detalle_Unidades!$F$433:$F$548,Detalle_Unidades!$A$433:$A$548)</f>
        <v>PRDO</v>
      </c>
    </row>
    <row r="36" spans="1:18" x14ac:dyDescent="0.25">
      <c r="A36" s="11" t="s">
        <v>611</v>
      </c>
      <c r="B36" s="11" t="s">
        <v>931</v>
      </c>
      <c r="C36" s="9">
        <v>0</v>
      </c>
      <c r="D36" s="9">
        <v>819</v>
      </c>
      <c r="E36" s="9">
        <f t="shared" si="0"/>
        <v>0</v>
      </c>
      <c r="F36" s="12">
        <f t="shared" si="1"/>
        <v>586.21430105217951</v>
      </c>
      <c r="G36" s="9">
        <v>1.3971</v>
      </c>
      <c r="H36" s="9"/>
      <c r="I36" s="25">
        <f>IF(COUNTIF([4]Información_Técnica!$A$7:$A$35,A36),_xlfn.XLOOKUP(A36,[4]Información_Técnica!$A$7:$A$35,[4]Información_Técnica!$G$7:$G$35),0)</f>
        <v>0</v>
      </c>
      <c r="J36" s="12"/>
      <c r="K36" s="9">
        <v>0</v>
      </c>
      <c r="M36" s="9" t="e">
        <f>SUMIF([5]Uhidráulica!$H$8:$H$126,A36&amp;"*",[5]Uhidráulica!$P$8:$P$126)</f>
        <v>#VALUE!</v>
      </c>
      <c r="N36" s="11" t="s">
        <v>229</v>
      </c>
      <c r="O36" s="11" t="str">
        <f>_xlfn.XLOOKUP(A36,Detalle_Unidades!$F$433:$F$548,Detalle_Unidades!$A$433:$A$548)</f>
        <v>SOG1</v>
      </c>
      <c r="R36" t="s">
        <v>3160</v>
      </c>
    </row>
    <row r="37" spans="1:18" x14ac:dyDescent="0.25">
      <c r="A37" s="11" t="s">
        <v>204</v>
      </c>
      <c r="B37" s="11" t="s">
        <v>239</v>
      </c>
      <c r="C37" s="9">
        <v>0</v>
      </c>
      <c r="D37" s="9">
        <v>355</v>
      </c>
      <c r="E37" s="9">
        <f t="shared" si="0"/>
        <v>0</v>
      </c>
      <c r="F37" s="12">
        <f t="shared" si="1"/>
        <v>101.162658155705</v>
      </c>
      <c r="G37" s="9">
        <v>3.5091999999999999</v>
      </c>
      <c r="H37" s="9"/>
      <c r="I37" s="9">
        <f>IF(COUNTIF([4]Información_Técnica!$A$7:$A$35,A37),_xlfn.XLOOKUP(A37,[4]Información_Técnica!$A$7:$A$35,[4]Información_Técnica!$G$7:$G$35),0)</f>
        <v>38.380000000000003</v>
      </c>
      <c r="J37" s="12"/>
      <c r="K37" s="9">
        <v>0</v>
      </c>
      <c r="M37" s="9" t="e">
        <f>SUMIF([5]Uhidráulica!$H$8:$H$126,A37&amp;"*",[5]Uhidráulica!$P$8:$P$126)</f>
        <v>#VALUE!</v>
      </c>
      <c r="N37" s="11" t="s">
        <v>229</v>
      </c>
      <c r="O37" s="15" t="str">
        <f>P37</f>
        <v>ALBG</v>
      </c>
      <c r="P37" t="s">
        <v>2926</v>
      </c>
    </row>
    <row r="38" spans="1:18" x14ac:dyDescent="0.25">
      <c r="A38" s="11" t="s">
        <v>284</v>
      </c>
      <c r="B38" s="11" t="s">
        <v>239</v>
      </c>
      <c r="C38" s="9">
        <v>0</v>
      </c>
      <c r="D38" s="9">
        <v>72</v>
      </c>
      <c r="E38" s="9">
        <f t="shared" si="0"/>
        <v>0</v>
      </c>
      <c r="F38" s="12">
        <f t="shared" si="1"/>
        <v>121.93056731583404</v>
      </c>
      <c r="G38" s="9">
        <v>0.59050000000000002</v>
      </c>
      <c r="H38" s="9"/>
      <c r="I38" s="25">
        <f>IF(COUNTIF([4]Información_Técnica!$A$7:$A$35,A38),_xlfn.XLOOKUP(A38,[4]Información_Técnica!$A$7:$A$35,[4]Información_Técnica!$G$7:$G$35),0)</f>
        <v>0</v>
      </c>
      <c r="J38" s="12"/>
      <c r="K38" s="9">
        <v>0</v>
      </c>
      <c r="M38" s="9" t="e">
        <f>SUMIF([5]Uhidráulica!$H$8:$H$126,A38&amp;"*",[5]Uhidráulica!$P$8:$P$126)</f>
        <v>#VALUE!</v>
      </c>
      <c r="N38" s="11" t="s">
        <v>229</v>
      </c>
      <c r="O38" s="15" t="str">
        <f>P38</f>
        <v>ALBG</v>
      </c>
      <c r="P38" t="s">
        <v>2926</v>
      </c>
      <c r="R38" t="s">
        <v>3164</v>
      </c>
    </row>
    <row r="39" spans="1:18" x14ac:dyDescent="0.25">
      <c r="A39" s="11" t="s">
        <v>2619</v>
      </c>
      <c r="B39" s="11" t="s">
        <v>239</v>
      </c>
      <c r="C39" s="9">
        <v>0</v>
      </c>
      <c r="D39" s="9">
        <v>132</v>
      </c>
      <c r="E39" s="9">
        <f t="shared" si="0"/>
        <v>0</v>
      </c>
      <c r="F39" s="12">
        <f t="shared" si="1"/>
        <v>66.784720465469263</v>
      </c>
      <c r="G39" s="9">
        <v>1.9764999999999999</v>
      </c>
      <c r="H39" s="9"/>
      <c r="I39" s="9">
        <f>IF(COUNTIF([4]Información_Técnica!$A$7:$A$35,A39),_xlfn.XLOOKUP(A39,[4]Información_Técnica!$A$7:$A$35,[4]Información_Técnica!$G$7:$G$35),0)</f>
        <v>529.29999999999995</v>
      </c>
      <c r="J39" s="12"/>
      <c r="K39" s="9">
        <v>0</v>
      </c>
      <c r="M39" s="9" t="e">
        <f>SUMIF([5]Uhidráulica!$H$8:$H$126,A39&amp;"*",[5]Uhidráulica!$P$8:$P$126)</f>
        <v>#VALUE!</v>
      </c>
      <c r="N39" s="11" t="s">
        <v>229</v>
      </c>
      <c r="O39" s="11" t="str">
        <f>_xlfn.XLOOKUP(A39,Detalle_Unidades!$F$433:$F$548,Detalle_Unidades!$A$433:$A$548)</f>
        <v>CLMG</v>
      </c>
    </row>
    <row r="40" spans="1:18" x14ac:dyDescent="0.25">
      <c r="A40" s="11" t="s">
        <v>2840</v>
      </c>
      <c r="B40" s="11" t="s">
        <v>239</v>
      </c>
      <c r="C40" s="9">
        <v>0</v>
      </c>
      <c r="D40" s="9">
        <v>315</v>
      </c>
      <c r="E40" s="9">
        <f t="shared" si="0"/>
        <v>0</v>
      </c>
      <c r="F40" s="12">
        <f t="shared" si="1"/>
        <v>365.81117175705492</v>
      </c>
      <c r="G40" s="9">
        <v>0.86109999999999998</v>
      </c>
      <c r="H40" s="9"/>
      <c r="I40" s="9">
        <f>IF(COUNTIF([4]Información_Técnica!$A$7:$A$35,A40),_xlfn.XLOOKUP(A40,[4]Información_Técnica!$A$7:$A$35,[4]Información_Técnica!$G$7:$G$35),0)</f>
        <v>807.22</v>
      </c>
      <c r="J40" s="12"/>
      <c r="K40" s="9">
        <v>0</v>
      </c>
      <c r="M40" s="9" t="e">
        <f>SUMIF([5]Uhidráulica!$H$8:$H$126,A40&amp;"*",[5]Uhidráulica!$P$8:$P$126)</f>
        <v>#VALUE!</v>
      </c>
      <c r="N40" s="11" t="s">
        <v>229</v>
      </c>
      <c r="O40" s="11" t="str">
        <f>_xlfn.XLOOKUP(A40,Detalle_Unidades!$F$433:$F$548,Detalle_Unidades!$A$433:$A$548)</f>
        <v>SLVJ</v>
      </c>
    </row>
  </sheetData>
  <autoFilter ref="A4:R40" xr:uid="{BEED3330-B866-401C-9217-83762261C08C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2D8-BF90-4AD5-BE37-ACC73259EBCA}">
  <dimension ref="A1:I25"/>
  <sheetViews>
    <sheetView tabSelected="1" workbookViewId="0">
      <selection activeCell="H28" sqref="H28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8" bestFit="1" customWidth="1"/>
    <col min="9" max="9" width="15" bestFit="1" customWidth="1"/>
  </cols>
  <sheetData>
    <row r="1" spans="1:9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3172</v>
      </c>
    </row>
    <row r="2" spans="1:9" x14ac:dyDescent="0.25">
      <c r="A2">
        <v>169</v>
      </c>
      <c r="B2" s="26">
        <v>46211</v>
      </c>
      <c r="C2" s="27">
        <v>46211</v>
      </c>
      <c r="D2">
        <v>1</v>
      </c>
      <c r="E2" t="s">
        <v>3173</v>
      </c>
      <c r="F2">
        <v>2</v>
      </c>
      <c r="G2" t="b">
        <v>1</v>
      </c>
      <c r="H2" t="s">
        <v>3174</v>
      </c>
      <c r="I2">
        <v>9701.1501600000011</v>
      </c>
    </row>
    <row r="3" spans="1:9" x14ac:dyDescent="0.25">
      <c r="A3">
        <v>170</v>
      </c>
      <c r="B3" s="26">
        <v>46211.041666666657</v>
      </c>
      <c r="C3" s="27">
        <v>46211</v>
      </c>
      <c r="D3">
        <v>2</v>
      </c>
      <c r="E3" t="s">
        <v>3173</v>
      </c>
      <c r="F3">
        <v>2</v>
      </c>
      <c r="G3" t="b">
        <v>1</v>
      </c>
      <c r="H3" t="s">
        <v>3174</v>
      </c>
      <c r="I3">
        <v>9441.1010000000006</v>
      </c>
    </row>
    <row r="4" spans="1:9" x14ac:dyDescent="0.25">
      <c r="A4">
        <v>171</v>
      </c>
      <c r="B4" s="26">
        <v>46211.083333333343</v>
      </c>
      <c r="C4" s="27">
        <v>46211</v>
      </c>
      <c r="D4">
        <v>3</v>
      </c>
      <c r="E4" t="s">
        <v>3173</v>
      </c>
      <c r="F4">
        <v>2</v>
      </c>
      <c r="G4" t="b">
        <v>1</v>
      </c>
      <c r="H4" t="s">
        <v>3174</v>
      </c>
      <c r="I4">
        <v>9172.4144400000005</v>
      </c>
    </row>
    <row r="5" spans="1:9" x14ac:dyDescent="0.25">
      <c r="A5">
        <v>172</v>
      </c>
      <c r="B5" s="26">
        <v>46211.125</v>
      </c>
      <c r="C5" s="27">
        <v>46211</v>
      </c>
      <c r="D5">
        <v>4</v>
      </c>
      <c r="E5" t="s">
        <v>3173</v>
      </c>
      <c r="F5">
        <v>2</v>
      </c>
      <c r="G5" t="b">
        <v>1</v>
      </c>
      <c r="H5" t="s">
        <v>3174</v>
      </c>
      <c r="I5">
        <v>9036.3672399999996</v>
      </c>
    </row>
    <row r="6" spans="1:9" x14ac:dyDescent="0.25">
      <c r="A6">
        <v>173</v>
      </c>
      <c r="B6" s="26">
        <v>46211.166666666657</v>
      </c>
      <c r="C6" s="27">
        <v>46211</v>
      </c>
      <c r="D6">
        <v>5</v>
      </c>
      <c r="E6" t="s">
        <v>3173</v>
      </c>
      <c r="F6">
        <v>2</v>
      </c>
      <c r="G6" t="b">
        <v>1</v>
      </c>
      <c r="H6" t="s">
        <v>3174</v>
      </c>
      <c r="I6">
        <v>9145.85664</v>
      </c>
    </row>
    <row r="7" spans="1:9" x14ac:dyDescent="0.25">
      <c r="A7">
        <v>174</v>
      </c>
      <c r="B7" s="26">
        <v>46211.208333333343</v>
      </c>
      <c r="C7" s="27">
        <v>46211</v>
      </c>
      <c r="D7">
        <v>6</v>
      </c>
      <c r="E7" t="s">
        <v>3173</v>
      </c>
      <c r="F7">
        <v>2</v>
      </c>
      <c r="G7" t="b">
        <v>1</v>
      </c>
      <c r="H7" t="s">
        <v>3174</v>
      </c>
      <c r="I7">
        <v>9399.4659300000003</v>
      </c>
    </row>
    <row r="8" spans="1:9" x14ac:dyDescent="0.25">
      <c r="A8">
        <v>175</v>
      </c>
      <c r="B8" s="26">
        <v>46211.25</v>
      </c>
      <c r="C8" s="27">
        <v>46211</v>
      </c>
      <c r="D8">
        <v>7</v>
      </c>
      <c r="E8" t="s">
        <v>3173</v>
      </c>
      <c r="F8">
        <v>2</v>
      </c>
      <c r="G8" t="b">
        <v>1</v>
      </c>
      <c r="H8" t="s">
        <v>3174</v>
      </c>
      <c r="I8">
        <v>9516.5084100000004</v>
      </c>
    </row>
    <row r="9" spans="1:9" x14ac:dyDescent="0.25">
      <c r="A9">
        <v>176</v>
      </c>
      <c r="B9" s="26">
        <v>46211.291666666657</v>
      </c>
      <c r="C9" s="27">
        <v>46211</v>
      </c>
      <c r="D9">
        <v>8</v>
      </c>
      <c r="E9" t="s">
        <v>3173</v>
      </c>
      <c r="F9">
        <v>2</v>
      </c>
      <c r="G9" t="b">
        <v>1</v>
      </c>
      <c r="H9" t="s">
        <v>3174</v>
      </c>
      <c r="I9">
        <v>9966.4028800000015</v>
      </c>
    </row>
    <row r="10" spans="1:9" x14ac:dyDescent="0.25">
      <c r="A10">
        <v>177</v>
      </c>
      <c r="B10" s="26">
        <v>46211.333333333343</v>
      </c>
      <c r="C10" s="27">
        <v>46211</v>
      </c>
      <c r="D10">
        <v>9</v>
      </c>
      <c r="E10" t="s">
        <v>3173</v>
      </c>
      <c r="F10">
        <v>2</v>
      </c>
      <c r="G10" t="b">
        <v>1</v>
      </c>
      <c r="H10" t="s">
        <v>3174</v>
      </c>
      <c r="I10">
        <v>10475.85966</v>
      </c>
    </row>
    <row r="11" spans="1:9" x14ac:dyDescent="0.25">
      <c r="A11">
        <v>178</v>
      </c>
      <c r="B11" s="26">
        <v>46211.375</v>
      </c>
      <c r="C11" s="27">
        <v>46211</v>
      </c>
      <c r="D11">
        <v>10</v>
      </c>
      <c r="E11" t="s">
        <v>3173</v>
      </c>
      <c r="F11">
        <v>2</v>
      </c>
      <c r="G11" t="b">
        <v>1</v>
      </c>
      <c r="H11" t="s">
        <v>3174</v>
      </c>
      <c r="I11">
        <v>10765.16545</v>
      </c>
    </row>
    <row r="12" spans="1:9" x14ac:dyDescent="0.25">
      <c r="A12">
        <v>179</v>
      </c>
      <c r="B12" s="26">
        <v>46211.416666666657</v>
      </c>
      <c r="C12" s="27">
        <v>46211</v>
      </c>
      <c r="D12">
        <v>11</v>
      </c>
      <c r="E12" t="s">
        <v>3173</v>
      </c>
      <c r="F12">
        <v>2</v>
      </c>
      <c r="G12" t="b">
        <v>1</v>
      </c>
      <c r="H12" t="s">
        <v>3174</v>
      </c>
      <c r="I12">
        <v>11121.39839</v>
      </c>
    </row>
    <row r="13" spans="1:9" x14ac:dyDescent="0.25">
      <c r="A13">
        <v>180</v>
      </c>
      <c r="B13" s="26">
        <v>46211.458333333343</v>
      </c>
      <c r="C13" s="27">
        <v>46211</v>
      </c>
      <c r="D13">
        <v>12</v>
      </c>
      <c r="E13" t="s">
        <v>3173</v>
      </c>
      <c r="F13">
        <v>2</v>
      </c>
      <c r="G13" t="b">
        <v>1</v>
      </c>
      <c r="H13" t="s">
        <v>3174</v>
      </c>
      <c r="I13">
        <v>11443.482389999999</v>
      </c>
    </row>
    <row r="14" spans="1:9" x14ac:dyDescent="0.25">
      <c r="A14">
        <v>181</v>
      </c>
      <c r="B14" s="26">
        <v>46211.5</v>
      </c>
      <c r="C14" s="27">
        <v>46211</v>
      </c>
      <c r="D14">
        <v>13</v>
      </c>
      <c r="E14" t="s">
        <v>3173</v>
      </c>
      <c r="F14">
        <v>2</v>
      </c>
      <c r="G14" t="b">
        <v>1</v>
      </c>
      <c r="H14" t="s">
        <v>3174</v>
      </c>
      <c r="I14">
        <v>11481.439319999999</v>
      </c>
    </row>
    <row r="15" spans="1:9" x14ac:dyDescent="0.25">
      <c r="A15">
        <v>182</v>
      </c>
      <c r="B15" s="26">
        <v>46211.541666666657</v>
      </c>
      <c r="C15" s="27">
        <v>46211</v>
      </c>
      <c r="D15">
        <v>14</v>
      </c>
      <c r="E15" t="s">
        <v>3173</v>
      </c>
      <c r="F15">
        <v>2</v>
      </c>
      <c r="G15" t="b">
        <v>1</v>
      </c>
      <c r="H15" t="s">
        <v>3174</v>
      </c>
      <c r="I15">
        <v>11646.21781</v>
      </c>
    </row>
    <row r="16" spans="1:9" x14ac:dyDescent="0.25">
      <c r="A16">
        <v>183</v>
      </c>
      <c r="B16" s="26">
        <v>46211.583333333343</v>
      </c>
      <c r="C16" s="27">
        <v>46211</v>
      </c>
      <c r="D16">
        <v>15</v>
      </c>
      <c r="E16" t="s">
        <v>3173</v>
      </c>
      <c r="F16">
        <v>2</v>
      </c>
      <c r="G16" t="b">
        <v>1</v>
      </c>
      <c r="H16" t="s">
        <v>3174</v>
      </c>
      <c r="I16">
        <v>11922.982910000001</v>
      </c>
    </row>
    <row r="17" spans="1:9" x14ac:dyDescent="0.25">
      <c r="A17">
        <v>184</v>
      </c>
      <c r="B17" s="26">
        <v>46211.625</v>
      </c>
      <c r="C17" s="27">
        <v>46211</v>
      </c>
      <c r="D17">
        <v>16</v>
      </c>
      <c r="E17" t="s">
        <v>3173</v>
      </c>
      <c r="F17">
        <v>2</v>
      </c>
      <c r="G17" t="b">
        <v>1</v>
      </c>
      <c r="H17" t="s">
        <v>3174</v>
      </c>
      <c r="I17">
        <v>11947.62501</v>
      </c>
    </row>
    <row r="18" spans="1:9" x14ac:dyDescent="0.25">
      <c r="A18">
        <v>185</v>
      </c>
      <c r="B18" s="26">
        <v>46211.666666666657</v>
      </c>
      <c r="C18" s="27">
        <v>46211</v>
      </c>
      <c r="D18">
        <v>17</v>
      </c>
      <c r="E18" t="s">
        <v>3173</v>
      </c>
      <c r="F18">
        <v>2</v>
      </c>
      <c r="G18" t="b">
        <v>1</v>
      </c>
      <c r="H18" t="s">
        <v>3174</v>
      </c>
      <c r="I18">
        <v>11796.787469999999</v>
      </c>
    </row>
    <row r="19" spans="1:9" x14ac:dyDescent="0.25">
      <c r="A19">
        <v>186</v>
      </c>
      <c r="B19" s="26">
        <v>46211.708333333343</v>
      </c>
      <c r="C19" s="27">
        <v>46211</v>
      </c>
      <c r="D19">
        <v>18</v>
      </c>
      <c r="E19" t="s">
        <v>3173</v>
      </c>
      <c r="F19">
        <v>2</v>
      </c>
      <c r="G19" t="b">
        <v>1</v>
      </c>
      <c r="H19" t="s">
        <v>3174</v>
      </c>
      <c r="I19">
        <v>11532.53478</v>
      </c>
    </row>
    <row r="20" spans="1:9" x14ac:dyDescent="0.25">
      <c r="A20">
        <v>187</v>
      </c>
      <c r="B20" s="26">
        <v>46211.75</v>
      </c>
      <c r="C20" s="27">
        <v>46211</v>
      </c>
      <c r="D20">
        <v>19</v>
      </c>
      <c r="E20" t="s">
        <v>3173</v>
      </c>
      <c r="F20">
        <v>2</v>
      </c>
      <c r="G20" t="b">
        <v>1</v>
      </c>
      <c r="H20" t="s">
        <v>3174</v>
      </c>
      <c r="I20">
        <v>11907.31551</v>
      </c>
    </row>
    <row r="21" spans="1:9" x14ac:dyDescent="0.25">
      <c r="A21">
        <v>188</v>
      </c>
      <c r="B21" s="26">
        <v>46211.791666666657</v>
      </c>
      <c r="C21" s="27">
        <v>46211</v>
      </c>
      <c r="D21">
        <v>20</v>
      </c>
      <c r="E21" t="s">
        <v>3173</v>
      </c>
      <c r="F21">
        <v>2</v>
      </c>
      <c r="G21" t="b">
        <v>1</v>
      </c>
      <c r="H21" t="s">
        <v>3174</v>
      </c>
      <c r="I21">
        <v>12201.624169999999</v>
      </c>
    </row>
    <row r="22" spans="1:9" x14ac:dyDescent="0.25">
      <c r="A22">
        <v>189</v>
      </c>
      <c r="B22" s="26">
        <v>46211.833333333343</v>
      </c>
      <c r="C22" s="27">
        <v>46211</v>
      </c>
      <c r="D22">
        <v>21</v>
      </c>
      <c r="E22" t="s">
        <v>3173</v>
      </c>
      <c r="F22">
        <v>2</v>
      </c>
      <c r="G22" t="b">
        <v>1</v>
      </c>
      <c r="H22" t="s">
        <v>3174</v>
      </c>
      <c r="I22">
        <v>11934.538329999999</v>
      </c>
    </row>
    <row r="23" spans="1:9" x14ac:dyDescent="0.25">
      <c r="A23">
        <v>190</v>
      </c>
      <c r="B23" s="26">
        <v>46211.875</v>
      </c>
      <c r="C23" s="27">
        <v>46211</v>
      </c>
      <c r="D23">
        <v>22</v>
      </c>
      <c r="E23" t="s">
        <v>3173</v>
      </c>
      <c r="F23">
        <v>2</v>
      </c>
      <c r="G23" t="b">
        <v>1</v>
      </c>
      <c r="H23" t="s">
        <v>3174</v>
      </c>
      <c r="I23">
        <v>11497.19097</v>
      </c>
    </row>
    <row r="24" spans="1:9" x14ac:dyDescent="0.25">
      <c r="A24">
        <v>191</v>
      </c>
      <c r="B24" s="26">
        <v>46211.916666666657</v>
      </c>
      <c r="C24" s="27">
        <v>46211</v>
      </c>
      <c r="D24">
        <v>23</v>
      </c>
      <c r="E24" t="s">
        <v>3173</v>
      </c>
      <c r="F24">
        <v>2</v>
      </c>
      <c r="G24" t="b">
        <v>1</v>
      </c>
      <c r="H24" t="s">
        <v>3174</v>
      </c>
      <c r="I24">
        <v>10866.807510000001</v>
      </c>
    </row>
    <row r="25" spans="1:9" x14ac:dyDescent="0.25">
      <c r="A25">
        <v>192</v>
      </c>
      <c r="B25" s="26">
        <v>46211.958333333343</v>
      </c>
      <c r="C25" s="27">
        <v>46211</v>
      </c>
      <c r="D25">
        <v>24</v>
      </c>
      <c r="E25" t="s">
        <v>3173</v>
      </c>
      <c r="F25">
        <v>2</v>
      </c>
      <c r="G25" t="b">
        <v>1</v>
      </c>
      <c r="H25" t="s">
        <v>3174</v>
      </c>
      <c r="I25">
        <v>10250.67928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9F8C-6200-4056-B6F3-76E45F6DE076}">
  <dimension ref="A1:M649"/>
  <sheetViews>
    <sheetView workbookViewId="0">
      <selection activeCell="J12" sqref="J12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42578125" bestFit="1" customWidth="1"/>
    <col min="10" max="10" width="74.42578125" bestFit="1" customWidth="1"/>
    <col min="11" max="11" width="14.85546875" bestFit="1" customWidth="1"/>
    <col min="12" max="12" width="9.85546875" bestFit="1" customWidth="1"/>
  </cols>
  <sheetData>
    <row r="1" spans="1:13" x14ac:dyDescent="0.25">
      <c r="A1" t="s">
        <v>3166</v>
      </c>
      <c r="B1" t="s">
        <v>3167</v>
      </c>
      <c r="C1" t="s">
        <v>3168</v>
      </c>
      <c r="D1" t="s">
        <v>3148</v>
      </c>
      <c r="E1" t="s">
        <v>3169</v>
      </c>
      <c r="F1" t="s">
        <v>3170</v>
      </c>
      <c r="G1" t="s">
        <v>3171</v>
      </c>
      <c r="H1" t="s">
        <v>943</v>
      </c>
      <c r="I1" t="s">
        <v>3175</v>
      </c>
      <c r="J1" t="s">
        <v>3176</v>
      </c>
      <c r="K1" t="s">
        <v>3177</v>
      </c>
      <c r="L1" t="s">
        <v>3178</v>
      </c>
      <c r="M1" t="s">
        <v>3179</v>
      </c>
    </row>
    <row r="2" spans="1:13" x14ac:dyDescent="0.25">
      <c r="A2">
        <v>169</v>
      </c>
      <c r="B2" s="26">
        <v>46211</v>
      </c>
      <c r="C2" s="27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</row>
    <row r="3" spans="1:13" x14ac:dyDescent="0.25">
      <c r="A3">
        <v>169</v>
      </c>
      <c r="B3" s="26">
        <v>46211</v>
      </c>
      <c r="C3" s="27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</row>
    <row r="4" spans="1:13" x14ac:dyDescent="0.25">
      <c r="A4">
        <v>169</v>
      </c>
      <c r="B4" s="26">
        <v>46211</v>
      </c>
      <c r="C4" s="27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</row>
    <row r="5" spans="1:13" x14ac:dyDescent="0.25">
      <c r="A5">
        <v>169</v>
      </c>
      <c r="B5" s="26">
        <v>46211</v>
      </c>
      <c r="C5" s="27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</row>
    <row r="6" spans="1:13" x14ac:dyDescent="0.25">
      <c r="A6">
        <v>169</v>
      </c>
      <c r="B6" s="26">
        <v>46211</v>
      </c>
      <c r="C6" s="27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3190</v>
      </c>
      <c r="K6" t="s">
        <v>3182</v>
      </c>
    </row>
    <row r="7" spans="1:13" x14ac:dyDescent="0.25">
      <c r="A7">
        <v>169</v>
      </c>
      <c r="B7" s="26">
        <v>46211</v>
      </c>
      <c r="C7" s="27">
        <v>46211</v>
      </c>
      <c r="D7">
        <v>1</v>
      </c>
      <c r="E7" t="s">
        <v>3173</v>
      </c>
      <c r="F7">
        <v>2</v>
      </c>
      <c r="G7" t="b">
        <v>1</v>
      </c>
      <c r="H7" t="s">
        <v>3191</v>
      </c>
      <c r="I7">
        <v>1613.81005</v>
      </c>
      <c r="J7" t="s">
        <v>3192</v>
      </c>
      <c r="K7" t="s">
        <v>3182</v>
      </c>
    </row>
    <row r="8" spans="1:13" x14ac:dyDescent="0.25">
      <c r="A8">
        <v>169</v>
      </c>
      <c r="B8" s="26">
        <v>46211</v>
      </c>
      <c r="C8" s="27">
        <v>46211</v>
      </c>
      <c r="D8">
        <v>1</v>
      </c>
      <c r="E8" t="s">
        <v>3173</v>
      </c>
      <c r="F8">
        <v>2</v>
      </c>
      <c r="G8" t="b">
        <v>1</v>
      </c>
      <c r="H8" t="s">
        <v>3193</v>
      </c>
      <c r="I8">
        <v>266.58663999999999</v>
      </c>
      <c r="J8" t="s">
        <v>3194</v>
      </c>
      <c r="K8" t="s">
        <v>3182</v>
      </c>
    </row>
    <row r="9" spans="1:13" x14ac:dyDescent="0.25">
      <c r="A9">
        <v>169</v>
      </c>
      <c r="B9" s="26">
        <v>46211</v>
      </c>
      <c r="C9" s="27">
        <v>46211</v>
      </c>
      <c r="D9">
        <v>1</v>
      </c>
      <c r="E9" t="s">
        <v>3173</v>
      </c>
      <c r="F9">
        <v>2</v>
      </c>
      <c r="G9" t="b">
        <v>1</v>
      </c>
      <c r="H9" t="s">
        <v>3195</v>
      </c>
      <c r="I9">
        <v>29.133150000000001</v>
      </c>
      <c r="J9" t="s">
        <v>3196</v>
      </c>
      <c r="K9" t="s">
        <v>3182</v>
      </c>
    </row>
    <row r="10" spans="1:13" x14ac:dyDescent="0.25">
      <c r="A10">
        <v>169</v>
      </c>
      <c r="B10" s="26">
        <v>46211</v>
      </c>
      <c r="C10" s="27">
        <v>46211</v>
      </c>
      <c r="D10">
        <v>1</v>
      </c>
      <c r="E10" t="s">
        <v>3173</v>
      </c>
      <c r="F10">
        <v>2</v>
      </c>
      <c r="G10" t="b">
        <v>1</v>
      </c>
      <c r="H10" t="s">
        <v>3197</v>
      </c>
      <c r="I10">
        <v>1563.5728099999999</v>
      </c>
      <c r="J10" t="s">
        <v>3198</v>
      </c>
      <c r="K10" t="s">
        <v>3182</v>
      </c>
    </row>
    <row r="11" spans="1:13" x14ac:dyDescent="0.25">
      <c r="A11">
        <v>169</v>
      </c>
      <c r="B11" s="26">
        <v>46211</v>
      </c>
      <c r="C11" s="27">
        <v>46211</v>
      </c>
      <c r="D11">
        <v>1</v>
      </c>
      <c r="E11" t="s">
        <v>3173</v>
      </c>
      <c r="F11">
        <v>2</v>
      </c>
      <c r="G11" t="b">
        <v>1</v>
      </c>
      <c r="H11" t="s">
        <v>3199</v>
      </c>
      <c r="I11">
        <v>7.4702500000000001</v>
      </c>
      <c r="J11" t="s">
        <v>3200</v>
      </c>
      <c r="K11" t="s">
        <v>3182</v>
      </c>
    </row>
    <row r="12" spans="1:13" x14ac:dyDescent="0.25">
      <c r="A12">
        <v>169</v>
      </c>
      <c r="B12" s="26">
        <v>46211</v>
      </c>
      <c r="C12" s="27">
        <v>46211</v>
      </c>
      <c r="D12">
        <v>1</v>
      </c>
      <c r="E12" t="s">
        <v>3173</v>
      </c>
      <c r="F12">
        <v>2</v>
      </c>
      <c r="G12" t="b">
        <v>1</v>
      </c>
      <c r="H12" t="s">
        <v>3201</v>
      </c>
      <c r="I12">
        <v>206.33945</v>
      </c>
      <c r="J12" t="s">
        <v>3202</v>
      </c>
      <c r="K12" t="s">
        <v>3182</v>
      </c>
    </row>
    <row r="13" spans="1:13" x14ac:dyDescent="0.25">
      <c r="A13">
        <v>169</v>
      </c>
      <c r="B13" s="26">
        <v>46211</v>
      </c>
      <c r="C13" s="27">
        <v>46211</v>
      </c>
      <c r="D13">
        <v>1</v>
      </c>
      <c r="E13" t="s">
        <v>3173</v>
      </c>
      <c r="F13">
        <v>2</v>
      </c>
      <c r="G13" t="b">
        <v>1</v>
      </c>
      <c r="H13" t="s">
        <v>3203</v>
      </c>
      <c r="I13">
        <v>37.622489999999999</v>
      </c>
      <c r="J13" t="s">
        <v>3204</v>
      </c>
      <c r="K13" t="s">
        <v>3182</v>
      </c>
    </row>
    <row r="14" spans="1:13" x14ac:dyDescent="0.25">
      <c r="A14">
        <v>169</v>
      </c>
      <c r="B14" s="26">
        <v>46211</v>
      </c>
      <c r="C14" s="27">
        <v>46211</v>
      </c>
      <c r="D14">
        <v>1</v>
      </c>
      <c r="E14" t="s">
        <v>3173</v>
      </c>
      <c r="F14">
        <v>2</v>
      </c>
      <c r="G14" t="b">
        <v>1</v>
      </c>
      <c r="H14" t="s">
        <v>3205</v>
      </c>
      <c r="I14">
        <v>56.812269999999998</v>
      </c>
      <c r="J14" t="s">
        <v>3206</v>
      </c>
      <c r="K14" t="s">
        <v>3182</v>
      </c>
    </row>
    <row r="15" spans="1:13" x14ac:dyDescent="0.25">
      <c r="A15">
        <v>169</v>
      </c>
      <c r="B15" s="26">
        <v>46211</v>
      </c>
      <c r="C15" s="27">
        <v>46211</v>
      </c>
      <c r="D15">
        <v>1</v>
      </c>
      <c r="E15" t="s">
        <v>3173</v>
      </c>
      <c r="F15">
        <v>2</v>
      </c>
      <c r="G15" t="b">
        <v>1</v>
      </c>
      <c r="H15" t="s">
        <v>3207</v>
      </c>
      <c r="I15">
        <v>100.37157999999999</v>
      </c>
      <c r="J15" t="s">
        <v>3208</v>
      </c>
      <c r="K15" t="s">
        <v>3182</v>
      </c>
    </row>
    <row r="16" spans="1:13" x14ac:dyDescent="0.25">
      <c r="A16">
        <v>169</v>
      </c>
      <c r="B16" s="26">
        <v>46211</v>
      </c>
      <c r="C16" s="27">
        <v>46211</v>
      </c>
      <c r="D16">
        <v>1</v>
      </c>
      <c r="E16" t="s">
        <v>3173</v>
      </c>
      <c r="F16">
        <v>2</v>
      </c>
      <c r="G16" t="b">
        <v>1</v>
      </c>
      <c r="H16" t="s">
        <v>3209</v>
      </c>
      <c r="I16">
        <v>8.6721900000000005</v>
      </c>
      <c r="J16" t="s">
        <v>3210</v>
      </c>
      <c r="K16" t="s">
        <v>3182</v>
      </c>
    </row>
    <row r="17" spans="1:11" x14ac:dyDescent="0.25">
      <c r="A17">
        <v>169</v>
      </c>
      <c r="B17" s="26">
        <v>46211</v>
      </c>
      <c r="C17" s="27">
        <v>46211</v>
      </c>
      <c r="D17">
        <v>1</v>
      </c>
      <c r="E17" t="s">
        <v>3173</v>
      </c>
      <c r="F17">
        <v>2</v>
      </c>
      <c r="G17" t="b">
        <v>1</v>
      </c>
      <c r="H17" t="s">
        <v>3211</v>
      </c>
      <c r="I17">
        <v>0.67300000000000004</v>
      </c>
      <c r="J17" t="s">
        <v>3212</v>
      </c>
      <c r="K17" t="s">
        <v>3182</v>
      </c>
    </row>
    <row r="18" spans="1:11" x14ac:dyDescent="0.25">
      <c r="A18">
        <v>169</v>
      </c>
      <c r="B18" s="26">
        <v>46211</v>
      </c>
      <c r="C18" s="27">
        <v>46211</v>
      </c>
      <c r="D18">
        <v>1</v>
      </c>
      <c r="E18" t="s">
        <v>3173</v>
      </c>
      <c r="F18">
        <v>2</v>
      </c>
      <c r="G18" t="b">
        <v>1</v>
      </c>
      <c r="H18" t="s">
        <v>3213</v>
      </c>
      <c r="I18">
        <v>471.36169000000001</v>
      </c>
      <c r="J18" t="s">
        <v>3214</v>
      </c>
      <c r="K18" t="s">
        <v>3182</v>
      </c>
    </row>
    <row r="19" spans="1:11" x14ac:dyDescent="0.25">
      <c r="A19">
        <v>169</v>
      </c>
      <c r="B19" s="26">
        <v>46211</v>
      </c>
      <c r="C19" s="27">
        <v>46211</v>
      </c>
      <c r="D19">
        <v>1</v>
      </c>
      <c r="E19" t="s">
        <v>3173</v>
      </c>
      <c r="F19">
        <v>2</v>
      </c>
      <c r="G19" t="b">
        <v>1</v>
      </c>
      <c r="H19" t="s">
        <v>3215</v>
      </c>
      <c r="I19">
        <v>209.33295000000001</v>
      </c>
      <c r="J19" t="s">
        <v>3216</v>
      </c>
      <c r="K19" t="s">
        <v>3182</v>
      </c>
    </row>
    <row r="20" spans="1:11" x14ac:dyDescent="0.25">
      <c r="A20">
        <v>169</v>
      </c>
      <c r="B20" s="26">
        <v>46211</v>
      </c>
      <c r="C20" s="27">
        <v>46211</v>
      </c>
      <c r="D20">
        <v>1</v>
      </c>
      <c r="E20" t="s">
        <v>3173</v>
      </c>
      <c r="F20">
        <v>2</v>
      </c>
      <c r="G20" t="b">
        <v>1</v>
      </c>
      <c r="H20" t="s">
        <v>3217</v>
      </c>
      <c r="I20">
        <v>1565.1247100000001</v>
      </c>
      <c r="J20" t="s">
        <v>197</v>
      </c>
      <c r="K20" t="s">
        <v>3182</v>
      </c>
    </row>
    <row r="21" spans="1:11" x14ac:dyDescent="0.25">
      <c r="A21">
        <v>169</v>
      </c>
      <c r="B21" s="26">
        <v>46211</v>
      </c>
      <c r="C21" s="27">
        <v>46211</v>
      </c>
      <c r="D21">
        <v>1</v>
      </c>
      <c r="E21" t="s">
        <v>3173</v>
      </c>
      <c r="F21">
        <v>2</v>
      </c>
      <c r="G21" t="b">
        <v>1</v>
      </c>
      <c r="H21" t="s">
        <v>3218</v>
      </c>
      <c r="I21">
        <v>37.55968</v>
      </c>
      <c r="J21" t="s">
        <v>3219</v>
      </c>
      <c r="K21" t="s">
        <v>3182</v>
      </c>
    </row>
    <row r="22" spans="1:11" x14ac:dyDescent="0.25">
      <c r="A22">
        <v>169</v>
      </c>
      <c r="B22" s="26">
        <v>46211</v>
      </c>
      <c r="C22" s="27">
        <v>46211</v>
      </c>
      <c r="D22">
        <v>1</v>
      </c>
      <c r="E22" t="s">
        <v>3173</v>
      </c>
      <c r="F22">
        <v>2</v>
      </c>
      <c r="G22" t="b">
        <v>1</v>
      </c>
      <c r="H22" t="s">
        <v>3220</v>
      </c>
      <c r="I22">
        <v>1196.74657</v>
      </c>
      <c r="J22" t="s">
        <v>198</v>
      </c>
      <c r="K22" t="s">
        <v>3182</v>
      </c>
    </row>
    <row r="23" spans="1:11" x14ac:dyDescent="0.25">
      <c r="A23">
        <v>169</v>
      </c>
      <c r="B23" s="26">
        <v>46211</v>
      </c>
      <c r="C23" s="27">
        <v>46211</v>
      </c>
      <c r="D23">
        <v>1</v>
      </c>
      <c r="E23" t="s">
        <v>3173</v>
      </c>
      <c r="F23">
        <v>2</v>
      </c>
      <c r="G23" t="b">
        <v>1</v>
      </c>
      <c r="H23" t="s">
        <v>3221</v>
      </c>
      <c r="I23">
        <v>560.19164000000001</v>
      </c>
      <c r="J23" t="s">
        <v>20</v>
      </c>
      <c r="K23" t="s">
        <v>3182</v>
      </c>
    </row>
    <row r="24" spans="1:11" x14ac:dyDescent="0.25">
      <c r="A24">
        <v>169</v>
      </c>
      <c r="B24" s="26">
        <v>46211</v>
      </c>
      <c r="C24" s="27">
        <v>46211</v>
      </c>
      <c r="D24">
        <v>1</v>
      </c>
      <c r="E24" t="s">
        <v>3173</v>
      </c>
      <c r="F24">
        <v>2</v>
      </c>
      <c r="G24" t="b">
        <v>1</v>
      </c>
      <c r="H24" t="s">
        <v>3222</v>
      </c>
      <c r="I24">
        <v>12.353059999999999</v>
      </c>
      <c r="J24" t="s">
        <v>3223</v>
      </c>
      <c r="K24" t="s">
        <v>3182</v>
      </c>
    </row>
    <row r="25" spans="1:11" x14ac:dyDescent="0.25">
      <c r="A25">
        <v>169</v>
      </c>
      <c r="B25" s="26">
        <v>46211</v>
      </c>
      <c r="C25" s="27">
        <v>46211</v>
      </c>
      <c r="D25">
        <v>1</v>
      </c>
      <c r="E25" t="s">
        <v>3173</v>
      </c>
      <c r="F25">
        <v>2</v>
      </c>
      <c r="G25" t="b">
        <v>1</v>
      </c>
      <c r="H25" t="s">
        <v>3224</v>
      </c>
      <c r="I25">
        <v>372.18594000000002</v>
      </c>
      <c r="J25" t="s">
        <v>3225</v>
      </c>
      <c r="K25" t="s">
        <v>3182</v>
      </c>
    </row>
    <row r="26" spans="1:11" x14ac:dyDescent="0.25">
      <c r="A26">
        <v>169</v>
      </c>
      <c r="B26" s="26">
        <v>46211</v>
      </c>
      <c r="C26" s="27">
        <v>46211</v>
      </c>
      <c r="D26">
        <v>1</v>
      </c>
      <c r="E26" t="s">
        <v>3173</v>
      </c>
      <c r="F26">
        <v>2</v>
      </c>
      <c r="G26" t="b">
        <v>1</v>
      </c>
      <c r="H26" t="s">
        <v>3226</v>
      </c>
      <c r="I26">
        <v>1.1634199999999999</v>
      </c>
      <c r="J26" t="s">
        <v>3227</v>
      </c>
      <c r="K26" t="s">
        <v>3182</v>
      </c>
    </row>
    <row r="27" spans="1:11" x14ac:dyDescent="0.25">
      <c r="A27">
        <v>169</v>
      </c>
      <c r="B27" s="26">
        <v>46211</v>
      </c>
      <c r="C27" s="27">
        <v>46211</v>
      </c>
      <c r="D27">
        <v>1</v>
      </c>
      <c r="E27" t="s">
        <v>3173</v>
      </c>
      <c r="F27">
        <v>2</v>
      </c>
      <c r="G27" t="b">
        <v>1</v>
      </c>
      <c r="H27" t="s">
        <v>3228</v>
      </c>
      <c r="I27">
        <v>113.89842</v>
      </c>
      <c r="J27" t="s">
        <v>3229</v>
      </c>
      <c r="K27" t="s">
        <v>3182</v>
      </c>
    </row>
    <row r="28" spans="1:11" x14ac:dyDescent="0.25">
      <c r="A28">
        <v>169</v>
      </c>
      <c r="B28" s="26">
        <v>46211</v>
      </c>
      <c r="C28" s="27">
        <v>46211</v>
      </c>
      <c r="D28">
        <v>1</v>
      </c>
      <c r="E28" t="s">
        <v>3173</v>
      </c>
      <c r="F28">
        <v>2</v>
      </c>
      <c r="G28" t="b">
        <v>1</v>
      </c>
      <c r="H28" t="s">
        <v>3230</v>
      </c>
      <c r="I28">
        <v>1.9543999999999999</v>
      </c>
      <c r="J28" t="s">
        <v>3231</v>
      </c>
      <c r="K28" t="s">
        <v>3182</v>
      </c>
    </row>
    <row r="29" spans="1:11" x14ac:dyDescent="0.25">
      <c r="A29">
        <v>170</v>
      </c>
      <c r="B29" s="26">
        <v>46211.041666666657</v>
      </c>
      <c r="C29" s="27">
        <v>46211</v>
      </c>
      <c r="D29">
        <v>2</v>
      </c>
      <c r="E29" t="s">
        <v>3173</v>
      </c>
      <c r="F29">
        <v>2</v>
      </c>
      <c r="G29" t="b">
        <v>1</v>
      </c>
      <c r="H29" t="s">
        <v>3180</v>
      </c>
      <c r="I29">
        <v>63.667110000000001</v>
      </c>
      <c r="J29" t="s">
        <v>3181</v>
      </c>
      <c r="K29" t="s">
        <v>3182</v>
      </c>
    </row>
    <row r="30" spans="1:11" x14ac:dyDescent="0.25">
      <c r="A30">
        <v>170</v>
      </c>
      <c r="B30" s="26">
        <v>46211.041666666657</v>
      </c>
      <c r="C30" s="27">
        <v>46211</v>
      </c>
      <c r="D30">
        <v>2</v>
      </c>
      <c r="E30" t="s">
        <v>3173</v>
      </c>
      <c r="F30">
        <v>2</v>
      </c>
      <c r="G30" t="b">
        <v>1</v>
      </c>
      <c r="H30" t="s">
        <v>3183</v>
      </c>
      <c r="I30">
        <v>74.76867</v>
      </c>
      <c r="J30" t="s">
        <v>3184</v>
      </c>
      <c r="K30" t="s">
        <v>3182</v>
      </c>
    </row>
    <row r="31" spans="1:11" x14ac:dyDescent="0.25">
      <c r="A31">
        <v>170</v>
      </c>
      <c r="B31" s="26">
        <v>46211.041666666657</v>
      </c>
      <c r="C31" s="27">
        <v>46211</v>
      </c>
      <c r="D31">
        <v>2</v>
      </c>
      <c r="E31" t="s">
        <v>3173</v>
      </c>
      <c r="F31">
        <v>2</v>
      </c>
      <c r="G31" t="b">
        <v>1</v>
      </c>
      <c r="H31" t="s">
        <v>3185</v>
      </c>
      <c r="I31">
        <v>106.90691</v>
      </c>
      <c r="J31" t="s">
        <v>3186</v>
      </c>
      <c r="K31" t="s">
        <v>3182</v>
      </c>
    </row>
    <row r="32" spans="1:11" x14ac:dyDescent="0.25">
      <c r="A32">
        <v>170</v>
      </c>
      <c r="B32" s="26">
        <v>46211.041666666657</v>
      </c>
      <c r="C32" s="27">
        <v>46211</v>
      </c>
      <c r="D32">
        <v>2</v>
      </c>
      <c r="E32" t="s">
        <v>3173</v>
      </c>
      <c r="F32">
        <v>2</v>
      </c>
      <c r="G32" t="b">
        <v>1</v>
      </c>
      <c r="H32" t="s">
        <v>3187</v>
      </c>
      <c r="I32">
        <v>26.2498</v>
      </c>
      <c r="J32" t="s">
        <v>3188</v>
      </c>
      <c r="K32" t="s">
        <v>3182</v>
      </c>
    </row>
    <row r="33" spans="1:11" x14ac:dyDescent="0.25">
      <c r="A33">
        <v>170</v>
      </c>
      <c r="B33" s="26">
        <v>46211.041666666657</v>
      </c>
      <c r="C33" s="27">
        <v>46211</v>
      </c>
      <c r="D33">
        <v>2</v>
      </c>
      <c r="E33" t="s">
        <v>3173</v>
      </c>
      <c r="F33">
        <v>2</v>
      </c>
      <c r="G33" t="b">
        <v>1</v>
      </c>
      <c r="H33" t="s">
        <v>3189</v>
      </c>
      <c r="I33">
        <v>177.06428</v>
      </c>
      <c r="J33" t="s">
        <v>3190</v>
      </c>
      <c r="K33" t="s">
        <v>3182</v>
      </c>
    </row>
    <row r="34" spans="1:11" x14ac:dyDescent="0.25">
      <c r="A34">
        <v>170</v>
      </c>
      <c r="B34" s="26">
        <v>46211.041666666657</v>
      </c>
      <c r="C34" s="27">
        <v>46211</v>
      </c>
      <c r="D34">
        <v>2</v>
      </c>
      <c r="E34" t="s">
        <v>3173</v>
      </c>
      <c r="F34">
        <v>2</v>
      </c>
      <c r="G34" t="b">
        <v>1</v>
      </c>
      <c r="H34" t="s">
        <v>3191</v>
      </c>
      <c r="I34">
        <v>1571.6116199999999</v>
      </c>
      <c r="J34" t="s">
        <v>3192</v>
      </c>
      <c r="K34" t="s">
        <v>3182</v>
      </c>
    </row>
    <row r="35" spans="1:11" x14ac:dyDescent="0.25">
      <c r="A35">
        <v>170</v>
      </c>
      <c r="B35" s="26">
        <v>46211.041666666657</v>
      </c>
      <c r="C35" s="27">
        <v>46211</v>
      </c>
      <c r="D35">
        <v>2</v>
      </c>
      <c r="E35" t="s">
        <v>3173</v>
      </c>
      <c r="F35">
        <v>2</v>
      </c>
      <c r="G35" t="b">
        <v>1</v>
      </c>
      <c r="H35" t="s">
        <v>3193</v>
      </c>
      <c r="I35">
        <v>256.15926999999999</v>
      </c>
      <c r="J35" t="s">
        <v>3194</v>
      </c>
      <c r="K35" t="s">
        <v>3182</v>
      </c>
    </row>
    <row r="36" spans="1:11" x14ac:dyDescent="0.25">
      <c r="A36">
        <v>170</v>
      </c>
      <c r="B36" s="26">
        <v>46211.041666666657</v>
      </c>
      <c r="C36" s="27">
        <v>46211</v>
      </c>
      <c r="D36">
        <v>2</v>
      </c>
      <c r="E36" t="s">
        <v>3173</v>
      </c>
      <c r="F36">
        <v>2</v>
      </c>
      <c r="G36" t="b">
        <v>1</v>
      </c>
      <c r="H36" t="s">
        <v>3195</v>
      </c>
      <c r="I36">
        <v>27.565760000000001</v>
      </c>
      <c r="J36" t="s">
        <v>3196</v>
      </c>
      <c r="K36" t="s">
        <v>3182</v>
      </c>
    </row>
    <row r="37" spans="1:11" x14ac:dyDescent="0.25">
      <c r="A37">
        <v>170</v>
      </c>
      <c r="B37" s="26">
        <v>46211.041666666657</v>
      </c>
      <c r="C37" s="27">
        <v>46211</v>
      </c>
      <c r="D37">
        <v>2</v>
      </c>
      <c r="E37" t="s">
        <v>3173</v>
      </c>
      <c r="F37">
        <v>2</v>
      </c>
      <c r="G37" t="b">
        <v>1</v>
      </c>
      <c r="H37" t="s">
        <v>3197</v>
      </c>
      <c r="I37">
        <v>1523.95985</v>
      </c>
      <c r="J37" t="s">
        <v>3198</v>
      </c>
      <c r="K37" t="s">
        <v>3182</v>
      </c>
    </row>
    <row r="38" spans="1:11" x14ac:dyDescent="0.25">
      <c r="A38">
        <v>170</v>
      </c>
      <c r="B38" s="26">
        <v>46211.041666666657</v>
      </c>
      <c r="C38" s="27">
        <v>46211</v>
      </c>
      <c r="D38">
        <v>2</v>
      </c>
      <c r="E38" t="s">
        <v>3173</v>
      </c>
      <c r="F38">
        <v>2</v>
      </c>
      <c r="G38" t="b">
        <v>1</v>
      </c>
      <c r="H38" t="s">
        <v>3199</v>
      </c>
      <c r="I38">
        <v>7.0909899999999997</v>
      </c>
      <c r="J38" t="s">
        <v>3200</v>
      </c>
      <c r="K38" t="s">
        <v>3182</v>
      </c>
    </row>
    <row r="39" spans="1:11" x14ac:dyDescent="0.25">
      <c r="A39">
        <v>170</v>
      </c>
      <c r="B39" s="26">
        <v>46211.041666666657</v>
      </c>
      <c r="C39" s="27">
        <v>46211</v>
      </c>
      <c r="D39">
        <v>2</v>
      </c>
      <c r="E39" t="s">
        <v>3173</v>
      </c>
      <c r="F39">
        <v>2</v>
      </c>
      <c r="G39" t="b">
        <v>1</v>
      </c>
      <c r="H39" t="s">
        <v>3201</v>
      </c>
      <c r="I39">
        <v>213.87807000000001</v>
      </c>
      <c r="J39" t="s">
        <v>3202</v>
      </c>
      <c r="K39" t="s">
        <v>3182</v>
      </c>
    </row>
    <row r="40" spans="1:11" x14ac:dyDescent="0.25">
      <c r="A40">
        <v>170</v>
      </c>
      <c r="B40" s="26">
        <v>46211.041666666657</v>
      </c>
      <c r="C40" s="27">
        <v>46211</v>
      </c>
      <c r="D40">
        <v>2</v>
      </c>
      <c r="E40" t="s">
        <v>3173</v>
      </c>
      <c r="F40">
        <v>2</v>
      </c>
      <c r="G40" t="b">
        <v>1</v>
      </c>
      <c r="H40" t="s">
        <v>3203</v>
      </c>
      <c r="I40">
        <v>36.304319999999997</v>
      </c>
      <c r="J40" t="s">
        <v>3204</v>
      </c>
      <c r="K40" t="s">
        <v>3182</v>
      </c>
    </row>
    <row r="41" spans="1:11" x14ac:dyDescent="0.25">
      <c r="A41">
        <v>170</v>
      </c>
      <c r="B41" s="26">
        <v>46211.041666666657</v>
      </c>
      <c r="C41" s="27">
        <v>46211</v>
      </c>
      <c r="D41">
        <v>2</v>
      </c>
      <c r="E41" t="s">
        <v>3173</v>
      </c>
      <c r="F41">
        <v>2</v>
      </c>
      <c r="G41" t="b">
        <v>1</v>
      </c>
      <c r="H41" t="s">
        <v>3205</v>
      </c>
      <c r="I41">
        <v>53.429910000000007</v>
      </c>
      <c r="J41" t="s">
        <v>3206</v>
      </c>
      <c r="K41" t="s">
        <v>3182</v>
      </c>
    </row>
    <row r="42" spans="1:11" x14ac:dyDescent="0.25">
      <c r="A42">
        <v>170</v>
      </c>
      <c r="B42" s="26">
        <v>46211.041666666657</v>
      </c>
      <c r="C42" s="27">
        <v>46211</v>
      </c>
      <c r="D42">
        <v>2</v>
      </c>
      <c r="E42" t="s">
        <v>3173</v>
      </c>
      <c r="F42">
        <v>2</v>
      </c>
      <c r="G42" t="b">
        <v>1</v>
      </c>
      <c r="H42" t="s">
        <v>3207</v>
      </c>
      <c r="I42">
        <v>95.139130000000009</v>
      </c>
      <c r="J42" t="s">
        <v>3208</v>
      </c>
      <c r="K42" t="s">
        <v>3182</v>
      </c>
    </row>
    <row r="43" spans="1:11" x14ac:dyDescent="0.25">
      <c r="A43">
        <v>170</v>
      </c>
      <c r="B43" s="26">
        <v>46211.041666666657</v>
      </c>
      <c r="C43" s="27">
        <v>46211</v>
      </c>
      <c r="D43">
        <v>2</v>
      </c>
      <c r="E43" t="s">
        <v>3173</v>
      </c>
      <c r="F43">
        <v>2</v>
      </c>
      <c r="G43" t="b">
        <v>1</v>
      </c>
      <c r="H43" t="s">
        <v>3209</v>
      </c>
      <c r="I43">
        <v>8.38096</v>
      </c>
      <c r="J43" t="s">
        <v>3210</v>
      </c>
      <c r="K43" t="s">
        <v>3182</v>
      </c>
    </row>
    <row r="44" spans="1:11" x14ac:dyDescent="0.25">
      <c r="A44">
        <v>170</v>
      </c>
      <c r="B44" s="26">
        <v>46211.041666666657</v>
      </c>
      <c r="C44" s="27">
        <v>46211</v>
      </c>
      <c r="D44">
        <v>2</v>
      </c>
      <c r="E44" t="s">
        <v>3173</v>
      </c>
      <c r="F44">
        <v>2</v>
      </c>
      <c r="G44" t="b">
        <v>1</v>
      </c>
      <c r="H44" t="s">
        <v>3211</v>
      </c>
      <c r="I44">
        <v>0.59899999999999998</v>
      </c>
      <c r="J44" t="s">
        <v>3212</v>
      </c>
      <c r="K44" t="s">
        <v>3182</v>
      </c>
    </row>
    <row r="45" spans="1:11" x14ac:dyDescent="0.25">
      <c r="A45">
        <v>170</v>
      </c>
      <c r="B45" s="26">
        <v>46211.041666666657</v>
      </c>
      <c r="C45" s="27">
        <v>46211</v>
      </c>
      <c r="D45">
        <v>2</v>
      </c>
      <c r="E45" t="s">
        <v>3173</v>
      </c>
      <c r="F45">
        <v>2</v>
      </c>
      <c r="G45" t="b">
        <v>1</v>
      </c>
      <c r="H45" t="s">
        <v>3213</v>
      </c>
      <c r="I45">
        <v>459.63875999999999</v>
      </c>
      <c r="J45" t="s">
        <v>3214</v>
      </c>
      <c r="K45" t="s">
        <v>3182</v>
      </c>
    </row>
    <row r="46" spans="1:11" x14ac:dyDescent="0.25">
      <c r="A46">
        <v>170</v>
      </c>
      <c r="B46" s="26">
        <v>46211.041666666657</v>
      </c>
      <c r="C46" s="27">
        <v>46211</v>
      </c>
      <c r="D46">
        <v>2</v>
      </c>
      <c r="E46" t="s">
        <v>3173</v>
      </c>
      <c r="F46">
        <v>2</v>
      </c>
      <c r="G46" t="b">
        <v>1</v>
      </c>
      <c r="H46" t="s">
        <v>3215</v>
      </c>
      <c r="I46">
        <v>201.3827</v>
      </c>
      <c r="J46" t="s">
        <v>3216</v>
      </c>
      <c r="K46" t="s">
        <v>3182</v>
      </c>
    </row>
    <row r="47" spans="1:11" x14ac:dyDescent="0.25">
      <c r="A47">
        <v>170</v>
      </c>
      <c r="B47" s="26">
        <v>46211.041666666657</v>
      </c>
      <c r="C47" s="27">
        <v>46211</v>
      </c>
      <c r="D47">
        <v>2</v>
      </c>
      <c r="E47" t="s">
        <v>3173</v>
      </c>
      <c r="F47">
        <v>2</v>
      </c>
      <c r="G47" t="b">
        <v>1</v>
      </c>
      <c r="H47" t="s">
        <v>3217</v>
      </c>
      <c r="I47">
        <v>1503.5051800000001</v>
      </c>
      <c r="J47" t="s">
        <v>197</v>
      </c>
      <c r="K47" t="s">
        <v>3182</v>
      </c>
    </row>
    <row r="48" spans="1:11" x14ac:dyDescent="0.25">
      <c r="A48">
        <v>170</v>
      </c>
      <c r="B48" s="26">
        <v>46211.041666666657</v>
      </c>
      <c r="C48" s="27">
        <v>46211</v>
      </c>
      <c r="D48">
        <v>2</v>
      </c>
      <c r="E48" t="s">
        <v>3173</v>
      </c>
      <c r="F48">
        <v>2</v>
      </c>
      <c r="G48" t="b">
        <v>1</v>
      </c>
      <c r="H48" t="s">
        <v>3218</v>
      </c>
      <c r="I48">
        <v>36.236699999999999</v>
      </c>
      <c r="J48" t="s">
        <v>3219</v>
      </c>
      <c r="K48" t="s">
        <v>3182</v>
      </c>
    </row>
    <row r="49" spans="1:11" x14ac:dyDescent="0.25">
      <c r="A49">
        <v>170</v>
      </c>
      <c r="B49" s="26">
        <v>46211.041666666657</v>
      </c>
      <c r="C49" s="27">
        <v>46211</v>
      </c>
      <c r="D49">
        <v>2</v>
      </c>
      <c r="E49" t="s">
        <v>3173</v>
      </c>
      <c r="F49">
        <v>2</v>
      </c>
      <c r="G49" t="b">
        <v>1</v>
      </c>
      <c r="H49" t="s">
        <v>3220</v>
      </c>
      <c r="I49">
        <v>1146.5919100000001</v>
      </c>
      <c r="J49" t="s">
        <v>198</v>
      </c>
      <c r="K49" t="s">
        <v>3182</v>
      </c>
    </row>
    <row r="50" spans="1:11" x14ac:dyDescent="0.25">
      <c r="A50">
        <v>170</v>
      </c>
      <c r="B50" s="26">
        <v>46211.041666666657</v>
      </c>
      <c r="C50" s="27">
        <v>46211</v>
      </c>
      <c r="D50">
        <v>2</v>
      </c>
      <c r="E50" t="s">
        <v>3173</v>
      </c>
      <c r="F50">
        <v>2</v>
      </c>
      <c r="G50" t="b">
        <v>1</v>
      </c>
      <c r="H50" t="s">
        <v>3221</v>
      </c>
      <c r="I50">
        <v>540.66667000000007</v>
      </c>
      <c r="J50" t="s">
        <v>20</v>
      </c>
      <c r="K50" t="s">
        <v>3182</v>
      </c>
    </row>
    <row r="51" spans="1:11" x14ac:dyDescent="0.25">
      <c r="A51">
        <v>170</v>
      </c>
      <c r="B51" s="26">
        <v>46211.041666666657</v>
      </c>
      <c r="C51" s="27">
        <v>46211</v>
      </c>
      <c r="D51">
        <v>2</v>
      </c>
      <c r="E51" t="s">
        <v>3173</v>
      </c>
      <c r="F51">
        <v>2</v>
      </c>
      <c r="G51" t="b">
        <v>1</v>
      </c>
      <c r="H51" t="s">
        <v>3222</v>
      </c>
      <c r="I51">
        <v>11.906700000000001</v>
      </c>
      <c r="J51" t="s">
        <v>3223</v>
      </c>
      <c r="K51" t="s">
        <v>3182</v>
      </c>
    </row>
    <row r="52" spans="1:11" x14ac:dyDescent="0.25">
      <c r="A52">
        <v>170</v>
      </c>
      <c r="B52" s="26">
        <v>46211.041666666657</v>
      </c>
      <c r="C52" s="27">
        <v>46211</v>
      </c>
      <c r="D52">
        <v>2</v>
      </c>
      <c r="E52" t="s">
        <v>3173</v>
      </c>
      <c r="F52">
        <v>2</v>
      </c>
      <c r="G52" t="b">
        <v>1</v>
      </c>
      <c r="H52" t="s">
        <v>3224</v>
      </c>
      <c r="I52">
        <v>355.71744999999999</v>
      </c>
      <c r="J52" t="s">
        <v>3225</v>
      </c>
      <c r="K52" t="s">
        <v>3182</v>
      </c>
    </row>
    <row r="53" spans="1:11" x14ac:dyDescent="0.25">
      <c r="A53">
        <v>170</v>
      </c>
      <c r="B53" s="26">
        <v>46211.041666666657</v>
      </c>
      <c r="C53" s="27">
        <v>46211</v>
      </c>
      <c r="D53">
        <v>2</v>
      </c>
      <c r="E53" t="s">
        <v>3173</v>
      </c>
      <c r="F53">
        <v>2</v>
      </c>
      <c r="G53" t="b">
        <v>1</v>
      </c>
      <c r="H53" t="s">
        <v>3226</v>
      </c>
      <c r="I53">
        <v>1.05905</v>
      </c>
      <c r="J53" t="s">
        <v>3227</v>
      </c>
      <c r="K53" t="s">
        <v>3182</v>
      </c>
    </row>
    <row r="54" spans="1:11" x14ac:dyDescent="0.25">
      <c r="A54">
        <v>170</v>
      </c>
      <c r="B54" s="26">
        <v>46211.041666666657</v>
      </c>
      <c r="C54" s="27">
        <v>46211</v>
      </c>
      <c r="D54">
        <v>2</v>
      </c>
      <c r="E54" t="s">
        <v>3173</v>
      </c>
      <c r="F54">
        <v>2</v>
      </c>
      <c r="G54" t="b">
        <v>1</v>
      </c>
      <c r="H54" t="s">
        <v>3228</v>
      </c>
      <c r="I54">
        <v>109.78695999999999</v>
      </c>
      <c r="J54" t="s">
        <v>3229</v>
      </c>
      <c r="K54" t="s">
        <v>3182</v>
      </c>
    </row>
    <row r="55" spans="1:11" x14ac:dyDescent="0.25">
      <c r="A55">
        <v>170</v>
      </c>
      <c r="B55" s="26">
        <v>46211.041666666657</v>
      </c>
      <c r="C55" s="27">
        <v>46211</v>
      </c>
      <c r="D55">
        <v>2</v>
      </c>
      <c r="E55" t="s">
        <v>3173</v>
      </c>
      <c r="F55">
        <v>2</v>
      </c>
      <c r="G55" t="b">
        <v>1</v>
      </c>
      <c r="H55" t="s">
        <v>3230</v>
      </c>
      <c r="I55">
        <v>2.0246900000000001</v>
      </c>
      <c r="J55" t="s">
        <v>3231</v>
      </c>
      <c r="K55" t="s">
        <v>3182</v>
      </c>
    </row>
    <row r="56" spans="1:11" x14ac:dyDescent="0.25">
      <c r="A56">
        <v>171</v>
      </c>
      <c r="B56" s="26">
        <v>46211.083333333343</v>
      </c>
      <c r="C56" s="27">
        <v>46211</v>
      </c>
      <c r="D56">
        <v>3</v>
      </c>
      <c r="E56" t="s">
        <v>3173</v>
      </c>
      <c r="F56">
        <v>2</v>
      </c>
      <c r="G56" t="b">
        <v>1</v>
      </c>
      <c r="H56" t="s">
        <v>3180</v>
      </c>
      <c r="I56">
        <v>61.9739</v>
      </c>
      <c r="J56" t="s">
        <v>3181</v>
      </c>
      <c r="K56" t="s">
        <v>3182</v>
      </c>
    </row>
    <row r="57" spans="1:11" x14ac:dyDescent="0.25">
      <c r="A57">
        <v>171</v>
      </c>
      <c r="B57" s="26">
        <v>46211.083333333343</v>
      </c>
      <c r="C57" s="27">
        <v>46211</v>
      </c>
      <c r="D57">
        <v>3</v>
      </c>
      <c r="E57" t="s">
        <v>3173</v>
      </c>
      <c r="F57">
        <v>2</v>
      </c>
      <c r="G57" t="b">
        <v>1</v>
      </c>
      <c r="H57" t="s">
        <v>3183</v>
      </c>
      <c r="I57">
        <v>72.62594</v>
      </c>
      <c r="J57" t="s">
        <v>3184</v>
      </c>
      <c r="K57" t="s">
        <v>3182</v>
      </c>
    </row>
    <row r="58" spans="1:11" x14ac:dyDescent="0.25">
      <c r="A58">
        <v>171</v>
      </c>
      <c r="B58" s="26">
        <v>46211.083333333343</v>
      </c>
      <c r="C58" s="27">
        <v>46211</v>
      </c>
      <c r="D58">
        <v>3</v>
      </c>
      <c r="E58" t="s">
        <v>3173</v>
      </c>
      <c r="F58">
        <v>2</v>
      </c>
      <c r="G58" t="b">
        <v>1</v>
      </c>
      <c r="H58" t="s">
        <v>3185</v>
      </c>
      <c r="I58">
        <v>103.3407</v>
      </c>
      <c r="J58" t="s">
        <v>3186</v>
      </c>
      <c r="K58" t="s">
        <v>3182</v>
      </c>
    </row>
    <row r="59" spans="1:11" x14ac:dyDescent="0.25">
      <c r="A59">
        <v>171</v>
      </c>
      <c r="B59" s="26">
        <v>46211.083333333343</v>
      </c>
      <c r="C59" s="27">
        <v>46211</v>
      </c>
      <c r="D59">
        <v>3</v>
      </c>
      <c r="E59" t="s">
        <v>3173</v>
      </c>
      <c r="F59">
        <v>2</v>
      </c>
      <c r="G59" t="b">
        <v>1</v>
      </c>
      <c r="H59" t="s">
        <v>3187</v>
      </c>
      <c r="I59">
        <v>25.4467</v>
      </c>
      <c r="J59" t="s">
        <v>3188</v>
      </c>
      <c r="K59" t="s">
        <v>3182</v>
      </c>
    </row>
    <row r="60" spans="1:11" x14ac:dyDescent="0.25">
      <c r="A60">
        <v>171</v>
      </c>
      <c r="B60" s="26">
        <v>46211.083333333343</v>
      </c>
      <c r="C60" s="27">
        <v>46211</v>
      </c>
      <c r="D60">
        <v>3</v>
      </c>
      <c r="E60" t="s">
        <v>3173</v>
      </c>
      <c r="F60">
        <v>2</v>
      </c>
      <c r="G60" t="b">
        <v>1</v>
      </c>
      <c r="H60" t="s">
        <v>3189</v>
      </c>
      <c r="I60">
        <v>170.49701999999999</v>
      </c>
      <c r="J60" t="s">
        <v>3190</v>
      </c>
      <c r="K60" t="s">
        <v>3182</v>
      </c>
    </row>
    <row r="61" spans="1:11" x14ac:dyDescent="0.25">
      <c r="A61">
        <v>171</v>
      </c>
      <c r="B61" s="26">
        <v>46211.083333333343</v>
      </c>
      <c r="C61" s="27">
        <v>46211</v>
      </c>
      <c r="D61">
        <v>3</v>
      </c>
      <c r="E61" t="s">
        <v>3173</v>
      </c>
      <c r="F61">
        <v>2</v>
      </c>
      <c r="G61" t="b">
        <v>1</v>
      </c>
      <c r="H61" t="s">
        <v>3191</v>
      </c>
      <c r="I61">
        <v>1522.6476</v>
      </c>
      <c r="J61" t="s">
        <v>3192</v>
      </c>
      <c r="K61" t="s">
        <v>3182</v>
      </c>
    </row>
    <row r="62" spans="1:11" x14ac:dyDescent="0.25">
      <c r="A62">
        <v>171</v>
      </c>
      <c r="B62" s="26">
        <v>46211.083333333343</v>
      </c>
      <c r="C62" s="27">
        <v>46211</v>
      </c>
      <c r="D62">
        <v>3</v>
      </c>
      <c r="E62" t="s">
        <v>3173</v>
      </c>
      <c r="F62">
        <v>2</v>
      </c>
      <c r="G62" t="b">
        <v>1</v>
      </c>
      <c r="H62" t="s">
        <v>3193</v>
      </c>
      <c r="I62">
        <v>247.82570000000001</v>
      </c>
      <c r="J62" t="s">
        <v>3194</v>
      </c>
      <c r="K62" t="s">
        <v>3182</v>
      </c>
    </row>
    <row r="63" spans="1:11" x14ac:dyDescent="0.25">
      <c r="A63">
        <v>171</v>
      </c>
      <c r="B63" s="26">
        <v>46211.083333333343</v>
      </c>
      <c r="C63" s="27">
        <v>46211</v>
      </c>
      <c r="D63">
        <v>3</v>
      </c>
      <c r="E63" t="s">
        <v>3173</v>
      </c>
      <c r="F63">
        <v>2</v>
      </c>
      <c r="G63" t="b">
        <v>1</v>
      </c>
      <c r="H63" t="s">
        <v>3195</v>
      </c>
      <c r="I63">
        <v>26.692070000000001</v>
      </c>
      <c r="J63" t="s">
        <v>3196</v>
      </c>
      <c r="K63" t="s">
        <v>3182</v>
      </c>
    </row>
    <row r="64" spans="1:11" x14ac:dyDescent="0.25">
      <c r="A64">
        <v>171</v>
      </c>
      <c r="B64" s="26">
        <v>46211.083333333343</v>
      </c>
      <c r="C64" s="27">
        <v>46211</v>
      </c>
      <c r="D64">
        <v>3</v>
      </c>
      <c r="E64" t="s">
        <v>3173</v>
      </c>
      <c r="F64">
        <v>2</v>
      </c>
      <c r="G64" t="b">
        <v>1</v>
      </c>
      <c r="H64" t="s">
        <v>3197</v>
      </c>
      <c r="I64">
        <v>1461.65372</v>
      </c>
      <c r="J64" t="s">
        <v>3198</v>
      </c>
      <c r="K64" t="s">
        <v>3182</v>
      </c>
    </row>
    <row r="65" spans="1:11" x14ac:dyDescent="0.25">
      <c r="A65">
        <v>171</v>
      </c>
      <c r="B65" s="26">
        <v>46211.083333333343</v>
      </c>
      <c r="C65" s="27">
        <v>46211</v>
      </c>
      <c r="D65">
        <v>3</v>
      </c>
      <c r="E65" t="s">
        <v>3173</v>
      </c>
      <c r="F65">
        <v>2</v>
      </c>
      <c r="G65" t="b">
        <v>1</v>
      </c>
      <c r="H65" t="s">
        <v>3199</v>
      </c>
      <c r="I65">
        <v>6.8739600000000003</v>
      </c>
      <c r="J65" t="s">
        <v>3200</v>
      </c>
      <c r="K65" t="s">
        <v>3182</v>
      </c>
    </row>
    <row r="66" spans="1:11" x14ac:dyDescent="0.25">
      <c r="A66">
        <v>171</v>
      </c>
      <c r="B66" s="26">
        <v>46211.083333333343</v>
      </c>
      <c r="C66" s="27">
        <v>46211</v>
      </c>
      <c r="D66">
        <v>3</v>
      </c>
      <c r="E66" t="s">
        <v>3173</v>
      </c>
      <c r="F66">
        <v>2</v>
      </c>
      <c r="G66" t="b">
        <v>1</v>
      </c>
      <c r="H66" t="s">
        <v>3201</v>
      </c>
      <c r="I66">
        <v>209.32084</v>
      </c>
      <c r="J66" t="s">
        <v>3202</v>
      </c>
      <c r="K66" t="s">
        <v>3182</v>
      </c>
    </row>
    <row r="67" spans="1:11" x14ac:dyDescent="0.25">
      <c r="A67">
        <v>171</v>
      </c>
      <c r="B67" s="26">
        <v>46211.083333333343</v>
      </c>
      <c r="C67" s="27">
        <v>46211</v>
      </c>
      <c r="D67">
        <v>3</v>
      </c>
      <c r="E67" t="s">
        <v>3173</v>
      </c>
      <c r="F67">
        <v>2</v>
      </c>
      <c r="G67" t="b">
        <v>1</v>
      </c>
      <c r="H67" t="s">
        <v>3203</v>
      </c>
      <c r="I67">
        <v>35.24306</v>
      </c>
      <c r="J67" t="s">
        <v>3204</v>
      </c>
      <c r="K67" t="s">
        <v>3182</v>
      </c>
    </row>
    <row r="68" spans="1:11" x14ac:dyDescent="0.25">
      <c r="A68">
        <v>171</v>
      </c>
      <c r="B68" s="26">
        <v>46211.083333333343</v>
      </c>
      <c r="C68" s="27">
        <v>46211</v>
      </c>
      <c r="D68">
        <v>3</v>
      </c>
      <c r="E68" t="s">
        <v>3173</v>
      </c>
      <c r="F68">
        <v>2</v>
      </c>
      <c r="G68" t="b">
        <v>1</v>
      </c>
      <c r="H68" t="s">
        <v>3205</v>
      </c>
      <c r="I68">
        <v>51.721609999999998</v>
      </c>
      <c r="J68" t="s">
        <v>3206</v>
      </c>
      <c r="K68" t="s">
        <v>3182</v>
      </c>
    </row>
    <row r="69" spans="1:11" x14ac:dyDescent="0.25">
      <c r="A69">
        <v>171</v>
      </c>
      <c r="B69" s="26">
        <v>46211.083333333343</v>
      </c>
      <c r="C69" s="27">
        <v>46211</v>
      </c>
      <c r="D69">
        <v>3</v>
      </c>
      <c r="E69" t="s">
        <v>3173</v>
      </c>
      <c r="F69">
        <v>2</v>
      </c>
      <c r="G69" t="b">
        <v>1</v>
      </c>
      <c r="H69" t="s">
        <v>3207</v>
      </c>
      <c r="I69">
        <v>92.007100000000008</v>
      </c>
      <c r="J69" t="s">
        <v>3208</v>
      </c>
      <c r="K69" t="s">
        <v>3182</v>
      </c>
    </row>
    <row r="70" spans="1:11" x14ac:dyDescent="0.25">
      <c r="A70">
        <v>171</v>
      </c>
      <c r="B70" s="26">
        <v>46211.083333333343</v>
      </c>
      <c r="C70" s="27">
        <v>46211</v>
      </c>
      <c r="D70">
        <v>3</v>
      </c>
      <c r="E70" t="s">
        <v>3173</v>
      </c>
      <c r="F70">
        <v>2</v>
      </c>
      <c r="G70" t="b">
        <v>1</v>
      </c>
      <c r="H70" t="s">
        <v>3209</v>
      </c>
      <c r="I70">
        <v>8.1544500000000006</v>
      </c>
      <c r="J70" t="s">
        <v>3210</v>
      </c>
      <c r="K70" t="s">
        <v>3182</v>
      </c>
    </row>
    <row r="71" spans="1:11" x14ac:dyDescent="0.25">
      <c r="A71">
        <v>171</v>
      </c>
      <c r="B71" s="26">
        <v>46211.083333333343</v>
      </c>
      <c r="C71" s="27">
        <v>46211</v>
      </c>
      <c r="D71">
        <v>3</v>
      </c>
      <c r="E71" t="s">
        <v>3173</v>
      </c>
      <c r="F71">
        <v>2</v>
      </c>
      <c r="G71" t="b">
        <v>1</v>
      </c>
      <c r="H71" t="s">
        <v>3211</v>
      </c>
      <c r="I71">
        <v>0.57100000000000006</v>
      </c>
      <c r="J71" t="s">
        <v>3212</v>
      </c>
      <c r="K71" t="s">
        <v>3182</v>
      </c>
    </row>
    <row r="72" spans="1:11" x14ac:dyDescent="0.25">
      <c r="A72">
        <v>171</v>
      </c>
      <c r="B72" s="26">
        <v>46211.083333333343</v>
      </c>
      <c r="C72" s="27">
        <v>46211</v>
      </c>
      <c r="D72">
        <v>3</v>
      </c>
      <c r="E72" t="s">
        <v>3173</v>
      </c>
      <c r="F72">
        <v>2</v>
      </c>
      <c r="G72" t="b">
        <v>1</v>
      </c>
      <c r="H72" t="s">
        <v>3213</v>
      </c>
      <c r="I72">
        <v>446.94564000000003</v>
      </c>
      <c r="J72" t="s">
        <v>3214</v>
      </c>
      <c r="K72" t="s">
        <v>3182</v>
      </c>
    </row>
    <row r="73" spans="1:11" x14ac:dyDescent="0.25">
      <c r="A73">
        <v>171</v>
      </c>
      <c r="B73" s="26">
        <v>46211.083333333343</v>
      </c>
      <c r="C73" s="27">
        <v>46211</v>
      </c>
      <c r="D73">
        <v>3</v>
      </c>
      <c r="E73" t="s">
        <v>3173</v>
      </c>
      <c r="F73">
        <v>2</v>
      </c>
      <c r="G73" t="b">
        <v>1</v>
      </c>
      <c r="H73" t="s">
        <v>3215</v>
      </c>
      <c r="I73">
        <v>199.31533999999999</v>
      </c>
      <c r="J73" t="s">
        <v>3216</v>
      </c>
      <c r="K73" t="s">
        <v>3182</v>
      </c>
    </row>
    <row r="74" spans="1:11" x14ac:dyDescent="0.25">
      <c r="A74">
        <v>171</v>
      </c>
      <c r="B74" s="26">
        <v>46211.083333333343</v>
      </c>
      <c r="C74" s="27">
        <v>46211</v>
      </c>
      <c r="D74">
        <v>3</v>
      </c>
      <c r="E74" t="s">
        <v>3173</v>
      </c>
      <c r="F74">
        <v>2</v>
      </c>
      <c r="G74" t="b">
        <v>1</v>
      </c>
      <c r="H74" t="s">
        <v>3217</v>
      </c>
      <c r="I74">
        <v>1456.35778</v>
      </c>
      <c r="J74" t="s">
        <v>197</v>
      </c>
      <c r="K74" t="s">
        <v>3182</v>
      </c>
    </row>
    <row r="75" spans="1:11" x14ac:dyDescent="0.25">
      <c r="A75">
        <v>171</v>
      </c>
      <c r="B75" s="26">
        <v>46211.083333333343</v>
      </c>
      <c r="C75" s="27">
        <v>46211</v>
      </c>
      <c r="D75">
        <v>3</v>
      </c>
      <c r="E75" t="s">
        <v>3173</v>
      </c>
      <c r="F75">
        <v>2</v>
      </c>
      <c r="G75" t="b">
        <v>1</v>
      </c>
      <c r="H75" t="s">
        <v>3218</v>
      </c>
      <c r="I75">
        <v>35.13064</v>
      </c>
      <c r="J75" t="s">
        <v>3219</v>
      </c>
      <c r="K75" t="s">
        <v>3182</v>
      </c>
    </row>
    <row r="76" spans="1:11" x14ac:dyDescent="0.25">
      <c r="A76">
        <v>171</v>
      </c>
      <c r="B76" s="26">
        <v>46211.083333333343</v>
      </c>
      <c r="C76" s="27">
        <v>46211</v>
      </c>
      <c r="D76">
        <v>3</v>
      </c>
      <c r="E76" t="s">
        <v>3173</v>
      </c>
      <c r="F76">
        <v>2</v>
      </c>
      <c r="G76" t="b">
        <v>1</v>
      </c>
      <c r="H76" t="s">
        <v>3220</v>
      </c>
      <c r="I76">
        <v>1126.1794500000001</v>
      </c>
      <c r="J76" t="s">
        <v>198</v>
      </c>
      <c r="K76" t="s">
        <v>3182</v>
      </c>
    </row>
    <row r="77" spans="1:11" x14ac:dyDescent="0.25">
      <c r="A77">
        <v>171</v>
      </c>
      <c r="B77" s="26">
        <v>46211.083333333343</v>
      </c>
      <c r="C77" s="27">
        <v>46211</v>
      </c>
      <c r="D77">
        <v>3</v>
      </c>
      <c r="E77" t="s">
        <v>3173</v>
      </c>
      <c r="F77">
        <v>2</v>
      </c>
      <c r="G77" t="b">
        <v>1</v>
      </c>
      <c r="H77" t="s">
        <v>3221</v>
      </c>
      <c r="I77">
        <v>527.58818999999994</v>
      </c>
      <c r="J77" t="s">
        <v>20</v>
      </c>
      <c r="K77" t="s">
        <v>3182</v>
      </c>
    </row>
    <row r="78" spans="1:11" x14ac:dyDescent="0.25">
      <c r="A78">
        <v>171</v>
      </c>
      <c r="B78" s="26">
        <v>46211.083333333343</v>
      </c>
      <c r="C78" s="27">
        <v>46211</v>
      </c>
      <c r="D78">
        <v>3</v>
      </c>
      <c r="E78" t="s">
        <v>3173</v>
      </c>
      <c r="F78">
        <v>2</v>
      </c>
      <c r="G78" t="b">
        <v>1</v>
      </c>
      <c r="H78" t="s">
        <v>3222</v>
      </c>
      <c r="I78">
        <v>11.670529999999999</v>
      </c>
      <c r="J78" t="s">
        <v>3223</v>
      </c>
      <c r="K78" t="s">
        <v>3182</v>
      </c>
    </row>
    <row r="79" spans="1:11" x14ac:dyDescent="0.25">
      <c r="A79">
        <v>171</v>
      </c>
      <c r="B79" s="26">
        <v>46211.083333333343</v>
      </c>
      <c r="C79" s="27">
        <v>46211</v>
      </c>
      <c r="D79">
        <v>3</v>
      </c>
      <c r="E79" t="s">
        <v>3173</v>
      </c>
      <c r="F79">
        <v>2</v>
      </c>
      <c r="G79" t="b">
        <v>1</v>
      </c>
      <c r="H79" t="s">
        <v>3224</v>
      </c>
      <c r="I79">
        <v>343.62511999999998</v>
      </c>
      <c r="J79" t="s">
        <v>3225</v>
      </c>
      <c r="K79" t="s">
        <v>3182</v>
      </c>
    </row>
    <row r="80" spans="1:11" x14ac:dyDescent="0.25">
      <c r="A80">
        <v>171</v>
      </c>
      <c r="B80" s="26">
        <v>46211.083333333343</v>
      </c>
      <c r="C80" s="27">
        <v>46211</v>
      </c>
      <c r="D80">
        <v>3</v>
      </c>
      <c r="E80" t="s">
        <v>3173</v>
      </c>
      <c r="F80">
        <v>2</v>
      </c>
      <c r="G80" t="b">
        <v>1</v>
      </c>
      <c r="H80" t="s">
        <v>3226</v>
      </c>
      <c r="I80">
        <v>1.01424</v>
      </c>
      <c r="J80" t="s">
        <v>3227</v>
      </c>
      <c r="K80" t="s">
        <v>3182</v>
      </c>
    </row>
    <row r="81" spans="1:11" x14ac:dyDescent="0.25">
      <c r="A81">
        <v>171</v>
      </c>
      <c r="B81" s="26">
        <v>46211.083333333343</v>
      </c>
      <c r="C81" s="27">
        <v>46211</v>
      </c>
      <c r="D81">
        <v>3</v>
      </c>
      <c r="E81" t="s">
        <v>3173</v>
      </c>
      <c r="F81">
        <v>2</v>
      </c>
      <c r="G81" t="b">
        <v>1</v>
      </c>
      <c r="H81" t="s">
        <v>3228</v>
      </c>
      <c r="I81">
        <v>104.58128000000001</v>
      </c>
      <c r="J81" t="s">
        <v>3229</v>
      </c>
      <c r="K81" t="s">
        <v>3182</v>
      </c>
    </row>
    <row r="82" spans="1:11" x14ac:dyDescent="0.25">
      <c r="A82">
        <v>171</v>
      </c>
      <c r="B82" s="26">
        <v>46211.083333333343</v>
      </c>
      <c r="C82" s="27">
        <v>46211</v>
      </c>
      <c r="D82">
        <v>3</v>
      </c>
      <c r="E82" t="s">
        <v>3173</v>
      </c>
      <c r="F82">
        <v>2</v>
      </c>
      <c r="G82" t="b">
        <v>1</v>
      </c>
      <c r="H82" t="s">
        <v>3230</v>
      </c>
      <c r="I82">
        <v>1.83609</v>
      </c>
      <c r="J82" t="s">
        <v>3231</v>
      </c>
      <c r="K82" t="s">
        <v>3182</v>
      </c>
    </row>
    <row r="83" spans="1:11" x14ac:dyDescent="0.25">
      <c r="A83">
        <v>172</v>
      </c>
      <c r="B83" s="26">
        <v>46211.125</v>
      </c>
      <c r="C83" s="27">
        <v>46211</v>
      </c>
      <c r="D83">
        <v>4</v>
      </c>
      <c r="E83" t="s">
        <v>3173</v>
      </c>
      <c r="F83">
        <v>2</v>
      </c>
      <c r="G83" t="b">
        <v>1</v>
      </c>
      <c r="H83" t="s">
        <v>3180</v>
      </c>
      <c r="I83">
        <v>60.214739999999999</v>
      </c>
      <c r="J83" t="s">
        <v>3181</v>
      </c>
      <c r="K83" t="s">
        <v>3182</v>
      </c>
    </row>
    <row r="84" spans="1:11" x14ac:dyDescent="0.25">
      <c r="A84">
        <v>172</v>
      </c>
      <c r="B84" s="26">
        <v>46211.125</v>
      </c>
      <c r="C84" s="27">
        <v>46211</v>
      </c>
      <c r="D84">
        <v>4</v>
      </c>
      <c r="E84" t="s">
        <v>3173</v>
      </c>
      <c r="F84">
        <v>2</v>
      </c>
      <c r="G84" t="b">
        <v>1</v>
      </c>
      <c r="H84" t="s">
        <v>3183</v>
      </c>
      <c r="I84">
        <v>71.94080000000001</v>
      </c>
      <c r="J84" t="s">
        <v>3184</v>
      </c>
      <c r="K84" t="s">
        <v>3182</v>
      </c>
    </row>
    <row r="85" spans="1:11" x14ac:dyDescent="0.25">
      <c r="A85">
        <v>172</v>
      </c>
      <c r="B85" s="26">
        <v>46211.125</v>
      </c>
      <c r="C85" s="27">
        <v>46211</v>
      </c>
      <c r="D85">
        <v>4</v>
      </c>
      <c r="E85" t="s">
        <v>3173</v>
      </c>
      <c r="F85">
        <v>2</v>
      </c>
      <c r="G85" t="b">
        <v>1</v>
      </c>
      <c r="H85" t="s">
        <v>3185</v>
      </c>
      <c r="I85">
        <v>103.70001999999999</v>
      </c>
      <c r="J85" t="s">
        <v>3186</v>
      </c>
      <c r="K85" t="s">
        <v>3182</v>
      </c>
    </row>
    <row r="86" spans="1:11" x14ac:dyDescent="0.25">
      <c r="A86">
        <v>172</v>
      </c>
      <c r="B86" s="26">
        <v>46211.125</v>
      </c>
      <c r="C86" s="27">
        <v>46211</v>
      </c>
      <c r="D86">
        <v>4</v>
      </c>
      <c r="E86" t="s">
        <v>3173</v>
      </c>
      <c r="F86">
        <v>2</v>
      </c>
      <c r="G86" t="b">
        <v>1</v>
      </c>
      <c r="H86" t="s">
        <v>3187</v>
      </c>
      <c r="I86">
        <v>25.485759999999999</v>
      </c>
      <c r="J86" t="s">
        <v>3188</v>
      </c>
      <c r="K86" t="s">
        <v>3182</v>
      </c>
    </row>
    <row r="87" spans="1:11" x14ac:dyDescent="0.25">
      <c r="A87">
        <v>172</v>
      </c>
      <c r="B87" s="26">
        <v>46211.125</v>
      </c>
      <c r="C87" s="27">
        <v>46211</v>
      </c>
      <c r="D87">
        <v>4</v>
      </c>
      <c r="E87" t="s">
        <v>3173</v>
      </c>
      <c r="F87">
        <v>2</v>
      </c>
      <c r="G87" t="b">
        <v>1</v>
      </c>
      <c r="H87" t="s">
        <v>3189</v>
      </c>
      <c r="I87">
        <v>171.66434000000001</v>
      </c>
      <c r="J87" t="s">
        <v>3190</v>
      </c>
      <c r="K87" t="s">
        <v>3182</v>
      </c>
    </row>
    <row r="88" spans="1:11" x14ac:dyDescent="0.25">
      <c r="A88">
        <v>172</v>
      </c>
      <c r="B88" s="26">
        <v>46211.125</v>
      </c>
      <c r="C88" s="27">
        <v>46211</v>
      </c>
      <c r="D88">
        <v>4</v>
      </c>
      <c r="E88" t="s">
        <v>3173</v>
      </c>
      <c r="F88">
        <v>2</v>
      </c>
      <c r="G88" t="b">
        <v>1</v>
      </c>
      <c r="H88" t="s">
        <v>3191</v>
      </c>
      <c r="I88">
        <v>1479.40461</v>
      </c>
      <c r="J88" t="s">
        <v>3192</v>
      </c>
      <c r="K88" t="s">
        <v>3182</v>
      </c>
    </row>
    <row r="89" spans="1:11" x14ac:dyDescent="0.25">
      <c r="A89">
        <v>172</v>
      </c>
      <c r="B89" s="26">
        <v>46211.125</v>
      </c>
      <c r="C89" s="27">
        <v>46211</v>
      </c>
      <c r="D89">
        <v>4</v>
      </c>
      <c r="E89" t="s">
        <v>3173</v>
      </c>
      <c r="F89">
        <v>2</v>
      </c>
      <c r="G89" t="b">
        <v>1</v>
      </c>
      <c r="H89" t="s">
        <v>3193</v>
      </c>
      <c r="I89">
        <v>243.09835000000001</v>
      </c>
      <c r="J89" t="s">
        <v>3194</v>
      </c>
      <c r="K89" t="s">
        <v>3182</v>
      </c>
    </row>
    <row r="90" spans="1:11" x14ac:dyDescent="0.25">
      <c r="A90">
        <v>172</v>
      </c>
      <c r="B90" s="26">
        <v>46211.125</v>
      </c>
      <c r="C90" s="27">
        <v>46211</v>
      </c>
      <c r="D90">
        <v>4</v>
      </c>
      <c r="E90" t="s">
        <v>3173</v>
      </c>
      <c r="F90">
        <v>2</v>
      </c>
      <c r="G90" t="b">
        <v>1</v>
      </c>
      <c r="H90" t="s">
        <v>3195</v>
      </c>
      <c r="I90">
        <v>26.220839999999999</v>
      </c>
      <c r="J90" t="s">
        <v>3196</v>
      </c>
      <c r="K90" t="s">
        <v>3182</v>
      </c>
    </row>
    <row r="91" spans="1:11" x14ac:dyDescent="0.25">
      <c r="A91">
        <v>172</v>
      </c>
      <c r="B91" s="26">
        <v>46211.125</v>
      </c>
      <c r="C91" s="27">
        <v>46211</v>
      </c>
      <c r="D91">
        <v>4</v>
      </c>
      <c r="E91" t="s">
        <v>3173</v>
      </c>
      <c r="F91">
        <v>2</v>
      </c>
      <c r="G91" t="b">
        <v>1</v>
      </c>
      <c r="H91" t="s">
        <v>3197</v>
      </c>
      <c r="I91">
        <v>1419.4119599999999</v>
      </c>
      <c r="J91" t="s">
        <v>3198</v>
      </c>
      <c r="K91" t="s">
        <v>3182</v>
      </c>
    </row>
    <row r="92" spans="1:11" x14ac:dyDescent="0.25">
      <c r="A92">
        <v>172</v>
      </c>
      <c r="B92" s="26">
        <v>46211.125</v>
      </c>
      <c r="C92" s="27">
        <v>46211</v>
      </c>
      <c r="D92">
        <v>4</v>
      </c>
      <c r="E92" t="s">
        <v>3173</v>
      </c>
      <c r="F92">
        <v>2</v>
      </c>
      <c r="G92" t="b">
        <v>1</v>
      </c>
      <c r="H92" t="s">
        <v>3199</v>
      </c>
      <c r="I92">
        <v>6.7780900000000006</v>
      </c>
      <c r="J92" t="s">
        <v>3200</v>
      </c>
      <c r="K92" t="s">
        <v>3182</v>
      </c>
    </row>
    <row r="93" spans="1:11" x14ac:dyDescent="0.25">
      <c r="A93">
        <v>172</v>
      </c>
      <c r="B93" s="26">
        <v>46211.125</v>
      </c>
      <c r="C93" s="27">
        <v>46211</v>
      </c>
      <c r="D93">
        <v>4</v>
      </c>
      <c r="E93" t="s">
        <v>3173</v>
      </c>
      <c r="F93">
        <v>2</v>
      </c>
      <c r="G93" t="b">
        <v>1</v>
      </c>
      <c r="H93" t="s">
        <v>3201</v>
      </c>
      <c r="I93">
        <v>208.29258999999999</v>
      </c>
      <c r="J93" t="s">
        <v>3202</v>
      </c>
      <c r="K93" t="s">
        <v>3182</v>
      </c>
    </row>
    <row r="94" spans="1:11" x14ac:dyDescent="0.25">
      <c r="A94">
        <v>172</v>
      </c>
      <c r="B94" s="26">
        <v>46211.125</v>
      </c>
      <c r="C94" s="27">
        <v>46211</v>
      </c>
      <c r="D94">
        <v>4</v>
      </c>
      <c r="E94" t="s">
        <v>3173</v>
      </c>
      <c r="F94">
        <v>2</v>
      </c>
      <c r="G94" t="b">
        <v>1</v>
      </c>
      <c r="H94" t="s">
        <v>3203</v>
      </c>
      <c r="I94">
        <v>33.68188</v>
      </c>
      <c r="J94" t="s">
        <v>3204</v>
      </c>
      <c r="K94" t="s">
        <v>3182</v>
      </c>
    </row>
    <row r="95" spans="1:11" x14ac:dyDescent="0.25">
      <c r="A95">
        <v>172</v>
      </c>
      <c r="B95" s="26">
        <v>46211.125</v>
      </c>
      <c r="C95" s="27">
        <v>46211</v>
      </c>
      <c r="D95">
        <v>4</v>
      </c>
      <c r="E95" t="s">
        <v>3173</v>
      </c>
      <c r="F95">
        <v>2</v>
      </c>
      <c r="G95" t="b">
        <v>1</v>
      </c>
      <c r="H95" t="s">
        <v>3205</v>
      </c>
      <c r="I95">
        <v>50.817210000000003</v>
      </c>
      <c r="J95" t="s">
        <v>3206</v>
      </c>
      <c r="K95" t="s">
        <v>3182</v>
      </c>
    </row>
    <row r="96" spans="1:11" x14ac:dyDescent="0.25">
      <c r="A96">
        <v>172</v>
      </c>
      <c r="B96" s="26">
        <v>46211.125</v>
      </c>
      <c r="C96" s="27">
        <v>46211</v>
      </c>
      <c r="D96">
        <v>4</v>
      </c>
      <c r="E96" t="s">
        <v>3173</v>
      </c>
      <c r="F96">
        <v>2</v>
      </c>
      <c r="G96" t="b">
        <v>1</v>
      </c>
      <c r="H96" t="s">
        <v>3207</v>
      </c>
      <c r="I96">
        <v>91.277020000000007</v>
      </c>
      <c r="J96" t="s">
        <v>3208</v>
      </c>
      <c r="K96" t="s">
        <v>3182</v>
      </c>
    </row>
    <row r="97" spans="1:11" x14ac:dyDescent="0.25">
      <c r="A97">
        <v>172</v>
      </c>
      <c r="B97" s="26">
        <v>46211.125</v>
      </c>
      <c r="C97" s="27">
        <v>46211</v>
      </c>
      <c r="D97">
        <v>4</v>
      </c>
      <c r="E97" t="s">
        <v>3173</v>
      </c>
      <c r="F97">
        <v>2</v>
      </c>
      <c r="G97" t="b">
        <v>1</v>
      </c>
      <c r="H97" t="s">
        <v>3209</v>
      </c>
      <c r="I97">
        <v>8.0411900000000003</v>
      </c>
      <c r="J97" t="s">
        <v>3210</v>
      </c>
      <c r="K97" t="s">
        <v>3182</v>
      </c>
    </row>
    <row r="98" spans="1:11" x14ac:dyDescent="0.25">
      <c r="A98">
        <v>172</v>
      </c>
      <c r="B98" s="26">
        <v>46211.125</v>
      </c>
      <c r="C98" s="27">
        <v>46211</v>
      </c>
      <c r="D98">
        <v>4</v>
      </c>
      <c r="E98" t="s">
        <v>3173</v>
      </c>
      <c r="F98">
        <v>2</v>
      </c>
      <c r="G98" t="b">
        <v>1</v>
      </c>
      <c r="H98" t="s">
        <v>3211</v>
      </c>
      <c r="I98">
        <v>0.54300000000000004</v>
      </c>
      <c r="J98" t="s">
        <v>3212</v>
      </c>
      <c r="K98" t="s">
        <v>3182</v>
      </c>
    </row>
    <row r="99" spans="1:11" x14ac:dyDescent="0.25">
      <c r="A99">
        <v>172</v>
      </c>
      <c r="B99" s="26">
        <v>46211.125</v>
      </c>
      <c r="C99" s="27">
        <v>46211</v>
      </c>
      <c r="D99">
        <v>4</v>
      </c>
      <c r="E99" t="s">
        <v>3173</v>
      </c>
      <c r="F99">
        <v>2</v>
      </c>
      <c r="G99" t="b">
        <v>1</v>
      </c>
      <c r="H99" t="s">
        <v>3213</v>
      </c>
      <c r="I99">
        <v>436.60840000000002</v>
      </c>
      <c r="J99" t="s">
        <v>3214</v>
      </c>
      <c r="K99" t="s">
        <v>3182</v>
      </c>
    </row>
    <row r="100" spans="1:11" x14ac:dyDescent="0.25">
      <c r="A100">
        <v>172</v>
      </c>
      <c r="B100" s="26">
        <v>46211.125</v>
      </c>
      <c r="C100" s="27">
        <v>46211</v>
      </c>
      <c r="D100">
        <v>4</v>
      </c>
      <c r="E100" t="s">
        <v>3173</v>
      </c>
      <c r="F100">
        <v>2</v>
      </c>
      <c r="G100" t="b">
        <v>1</v>
      </c>
      <c r="H100" t="s">
        <v>3215</v>
      </c>
      <c r="I100">
        <v>197.28779</v>
      </c>
      <c r="J100" t="s">
        <v>3216</v>
      </c>
      <c r="K100" t="s">
        <v>3182</v>
      </c>
    </row>
    <row r="101" spans="1:11" x14ac:dyDescent="0.25">
      <c r="A101">
        <v>172</v>
      </c>
      <c r="B101" s="26">
        <v>46211.125</v>
      </c>
      <c r="C101" s="27">
        <v>46211</v>
      </c>
      <c r="D101">
        <v>4</v>
      </c>
      <c r="E101" t="s">
        <v>3173</v>
      </c>
      <c r="F101">
        <v>2</v>
      </c>
      <c r="G101" t="b">
        <v>1</v>
      </c>
      <c r="H101" t="s">
        <v>3217</v>
      </c>
      <c r="I101">
        <v>1460.2373399999999</v>
      </c>
      <c r="J101" t="s">
        <v>197</v>
      </c>
      <c r="K101" t="s">
        <v>3182</v>
      </c>
    </row>
    <row r="102" spans="1:11" x14ac:dyDescent="0.25">
      <c r="A102">
        <v>172</v>
      </c>
      <c r="B102" s="26">
        <v>46211.125</v>
      </c>
      <c r="C102" s="27">
        <v>46211</v>
      </c>
      <c r="D102">
        <v>4</v>
      </c>
      <c r="E102" t="s">
        <v>3173</v>
      </c>
      <c r="F102">
        <v>2</v>
      </c>
      <c r="G102" t="b">
        <v>1</v>
      </c>
      <c r="H102" t="s">
        <v>3218</v>
      </c>
      <c r="I102">
        <v>33.816730000000007</v>
      </c>
      <c r="J102" t="s">
        <v>3219</v>
      </c>
      <c r="K102" t="s">
        <v>3182</v>
      </c>
    </row>
    <row r="103" spans="1:11" x14ac:dyDescent="0.25">
      <c r="A103">
        <v>172</v>
      </c>
      <c r="B103" s="26">
        <v>46211.125</v>
      </c>
      <c r="C103" s="27">
        <v>46211</v>
      </c>
      <c r="D103">
        <v>4</v>
      </c>
      <c r="E103" t="s">
        <v>3173</v>
      </c>
      <c r="F103">
        <v>2</v>
      </c>
      <c r="G103" t="b">
        <v>1</v>
      </c>
      <c r="H103" t="s">
        <v>3220</v>
      </c>
      <c r="I103">
        <v>1113.7463299999999</v>
      </c>
      <c r="J103" t="s">
        <v>198</v>
      </c>
      <c r="K103" t="s">
        <v>3182</v>
      </c>
    </row>
    <row r="104" spans="1:11" x14ac:dyDescent="0.25">
      <c r="A104">
        <v>172</v>
      </c>
      <c r="B104" s="26">
        <v>46211.125</v>
      </c>
      <c r="C104" s="27">
        <v>46211</v>
      </c>
      <c r="D104">
        <v>4</v>
      </c>
      <c r="E104" t="s">
        <v>3173</v>
      </c>
      <c r="F104">
        <v>2</v>
      </c>
      <c r="G104" t="b">
        <v>1</v>
      </c>
      <c r="H104" t="s">
        <v>3221</v>
      </c>
      <c r="I104">
        <v>518.01085999999998</v>
      </c>
      <c r="J104" t="s">
        <v>20</v>
      </c>
      <c r="K104" t="s">
        <v>3182</v>
      </c>
    </row>
    <row r="105" spans="1:11" x14ac:dyDescent="0.25">
      <c r="A105">
        <v>172</v>
      </c>
      <c r="B105" s="26">
        <v>46211.125</v>
      </c>
      <c r="C105" s="27">
        <v>46211</v>
      </c>
      <c r="D105">
        <v>4</v>
      </c>
      <c r="E105" t="s">
        <v>3173</v>
      </c>
      <c r="F105">
        <v>2</v>
      </c>
      <c r="G105" t="b">
        <v>1</v>
      </c>
      <c r="H105" t="s">
        <v>3222</v>
      </c>
      <c r="I105">
        <v>11.57813</v>
      </c>
      <c r="J105" t="s">
        <v>3223</v>
      </c>
      <c r="K105" t="s">
        <v>3182</v>
      </c>
    </row>
    <row r="106" spans="1:11" x14ac:dyDescent="0.25">
      <c r="A106">
        <v>172</v>
      </c>
      <c r="B106" s="26">
        <v>46211.125</v>
      </c>
      <c r="C106" s="27">
        <v>46211</v>
      </c>
      <c r="D106">
        <v>4</v>
      </c>
      <c r="E106" t="s">
        <v>3173</v>
      </c>
      <c r="F106">
        <v>2</v>
      </c>
      <c r="G106" t="b">
        <v>1</v>
      </c>
      <c r="H106" t="s">
        <v>3224</v>
      </c>
      <c r="I106">
        <v>334.78165000000001</v>
      </c>
      <c r="J106" t="s">
        <v>3225</v>
      </c>
      <c r="K106" t="s">
        <v>3182</v>
      </c>
    </row>
    <row r="107" spans="1:11" x14ac:dyDescent="0.25">
      <c r="A107">
        <v>172</v>
      </c>
      <c r="B107" s="26">
        <v>46211.125</v>
      </c>
      <c r="C107" s="27">
        <v>46211</v>
      </c>
      <c r="D107">
        <v>4</v>
      </c>
      <c r="E107" t="s">
        <v>3173</v>
      </c>
      <c r="F107">
        <v>2</v>
      </c>
      <c r="G107" t="b">
        <v>1</v>
      </c>
      <c r="H107" t="s">
        <v>3226</v>
      </c>
      <c r="I107">
        <v>0.99032000000000009</v>
      </c>
      <c r="J107" t="s">
        <v>3227</v>
      </c>
      <c r="K107" t="s">
        <v>3182</v>
      </c>
    </row>
    <row r="108" spans="1:11" x14ac:dyDescent="0.25">
      <c r="A108">
        <v>172</v>
      </c>
      <c r="B108" s="26">
        <v>46211.125</v>
      </c>
      <c r="C108" s="27">
        <v>46211</v>
      </c>
      <c r="D108">
        <v>4</v>
      </c>
      <c r="E108" t="s">
        <v>3173</v>
      </c>
      <c r="F108">
        <v>2</v>
      </c>
      <c r="G108" t="b">
        <v>1</v>
      </c>
      <c r="H108" t="s">
        <v>3228</v>
      </c>
      <c r="I108">
        <v>102.11627</v>
      </c>
      <c r="J108" t="s">
        <v>3229</v>
      </c>
      <c r="K108" t="s">
        <v>3182</v>
      </c>
    </row>
    <row r="109" spans="1:11" x14ac:dyDescent="0.25">
      <c r="A109">
        <v>172</v>
      </c>
      <c r="B109" s="26">
        <v>46211.125</v>
      </c>
      <c r="C109" s="27">
        <v>46211</v>
      </c>
      <c r="D109">
        <v>4</v>
      </c>
      <c r="E109" t="s">
        <v>3173</v>
      </c>
      <c r="F109">
        <v>2</v>
      </c>
      <c r="G109" t="b">
        <v>1</v>
      </c>
      <c r="H109" t="s">
        <v>3230</v>
      </c>
      <c r="I109">
        <v>1.89079</v>
      </c>
      <c r="J109" t="s">
        <v>3231</v>
      </c>
      <c r="K109" t="s">
        <v>3182</v>
      </c>
    </row>
    <row r="110" spans="1:11" x14ac:dyDescent="0.25">
      <c r="A110">
        <v>173</v>
      </c>
      <c r="B110" s="26">
        <v>46211.166666666657</v>
      </c>
      <c r="C110" s="27">
        <v>46211</v>
      </c>
      <c r="D110">
        <v>5</v>
      </c>
      <c r="E110" t="s">
        <v>3173</v>
      </c>
      <c r="F110">
        <v>2</v>
      </c>
      <c r="G110" t="b">
        <v>1</v>
      </c>
      <c r="H110" t="s">
        <v>3180</v>
      </c>
      <c r="I110">
        <v>59.142370000000007</v>
      </c>
      <c r="J110" t="s">
        <v>3181</v>
      </c>
      <c r="K110" t="s">
        <v>3182</v>
      </c>
    </row>
    <row r="111" spans="1:11" x14ac:dyDescent="0.25">
      <c r="A111">
        <v>173</v>
      </c>
      <c r="B111" s="26">
        <v>46211.166666666657</v>
      </c>
      <c r="C111" s="27">
        <v>46211</v>
      </c>
      <c r="D111">
        <v>5</v>
      </c>
      <c r="E111" t="s">
        <v>3173</v>
      </c>
      <c r="F111">
        <v>2</v>
      </c>
      <c r="G111" t="b">
        <v>1</v>
      </c>
      <c r="H111" t="s">
        <v>3183</v>
      </c>
      <c r="I111">
        <v>76.011700000000005</v>
      </c>
      <c r="J111" t="s">
        <v>3184</v>
      </c>
      <c r="K111" t="s">
        <v>3182</v>
      </c>
    </row>
    <row r="112" spans="1:11" x14ac:dyDescent="0.25">
      <c r="A112">
        <v>173</v>
      </c>
      <c r="B112" s="26">
        <v>46211.166666666657</v>
      </c>
      <c r="C112" s="27">
        <v>46211</v>
      </c>
      <c r="D112">
        <v>5</v>
      </c>
      <c r="E112" t="s">
        <v>3173</v>
      </c>
      <c r="F112">
        <v>2</v>
      </c>
      <c r="G112" t="b">
        <v>1</v>
      </c>
      <c r="H112" t="s">
        <v>3185</v>
      </c>
      <c r="I112">
        <v>105.91759999999999</v>
      </c>
      <c r="J112" t="s">
        <v>3186</v>
      </c>
      <c r="K112" t="s">
        <v>3182</v>
      </c>
    </row>
    <row r="113" spans="1:11" x14ac:dyDescent="0.25">
      <c r="A113">
        <v>173</v>
      </c>
      <c r="B113" s="26">
        <v>46211.166666666657</v>
      </c>
      <c r="C113" s="27">
        <v>46211</v>
      </c>
      <c r="D113">
        <v>5</v>
      </c>
      <c r="E113" t="s">
        <v>3173</v>
      </c>
      <c r="F113">
        <v>2</v>
      </c>
      <c r="G113" t="b">
        <v>1</v>
      </c>
      <c r="H113" t="s">
        <v>3187</v>
      </c>
      <c r="I113">
        <v>25.689229999999998</v>
      </c>
      <c r="J113" t="s">
        <v>3188</v>
      </c>
      <c r="K113" t="s">
        <v>3182</v>
      </c>
    </row>
    <row r="114" spans="1:11" x14ac:dyDescent="0.25">
      <c r="A114">
        <v>173</v>
      </c>
      <c r="B114" s="26">
        <v>46211.166666666657</v>
      </c>
      <c r="C114" s="27">
        <v>46211</v>
      </c>
      <c r="D114">
        <v>5</v>
      </c>
      <c r="E114" t="s">
        <v>3173</v>
      </c>
      <c r="F114">
        <v>2</v>
      </c>
      <c r="G114" t="b">
        <v>1</v>
      </c>
      <c r="H114" t="s">
        <v>3189</v>
      </c>
      <c r="I114">
        <v>178.23239000000001</v>
      </c>
      <c r="J114" t="s">
        <v>3190</v>
      </c>
      <c r="K114" t="s">
        <v>3182</v>
      </c>
    </row>
    <row r="115" spans="1:11" x14ac:dyDescent="0.25">
      <c r="A115">
        <v>173</v>
      </c>
      <c r="B115" s="26">
        <v>46211.166666666657</v>
      </c>
      <c r="C115" s="27">
        <v>46211</v>
      </c>
      <c r="D115">
        <v>5</v>
      </c>
      <c r="E115" t="s">
        <v>3173</v>
      </c>
      <c r="F115">
        <v>2</v>
      </c>
      <c r="G115" t="b">
        <v>1</v>
      </c>
      <c r="H115" t="s">
        <v>3191</v>
      </c>
      <c r="I115">
        <v>1434.3128099999999</v>
      </c>
      <c r="J115" t="s">
        <v>3192</v>
      </c>
      <c r="K115" t="s">
        <v>3182</v>
      </c>
    </row>
    <row r="116" spans="1:11" x14ac:dyDescent="0.25">
      <c r="A116">
        <v>173</v>
      </c>
      <c r="B116" s="26">
        <v>46211.166666666657</v>
      </c>
      <c r="C116" s="27">
        <v>46211</v>
      </c>
      <c r="D116">
        <v>5</v>
      </c>
      <c r="E116" t="s">
        <v>3173</v>
      </c>
      <c r="F116">
        <v>2</v>
      </c>
      <c r="G116" t="b">
        <v>1</v>
      </c>
      <c r="H116" t="s">
        <v>3193</v>
      </c>
      <c r="I116">
        <v>239.04214999999999</v>
      </c>
      <c r="J116" t="s">
        <v>3194</v>
      </c>
      <c r="K116" t="s">
        <v>3182</v>
      </c>
    </row>
    <row r="117" spans="1:11" x14ac:dyDescent="0.25">
      <c r="A117">
        <v>173</v>
      </c>
      <c r="B117" s="26">
        <v>46211.166666666657</v>
      </c>
      <c r="C117" s="27">
        <v>46211</v>
      </c>
      <c r="D117">
        <v>5</v>
      </c>
      <c r="E117" t="s">
        <v>3173</v>
      </c>
      <c r="F117">
        <v>2</v>
      </c>
      <c r="G117" t="b">
        <v>1</v>
      </c>
      <c r="H117" t="s">
        <v>3195</v>
      </c>
      <c r="I117">
        <v>26.66375</v>
      </c>
      <c r="J117" t="s">
        <v>3196</v>
      </c>
      <c r="K117" t="s">
        <v>3182</v>
      </c>
    </row>
    <row r="118" spans="1:11" x14ac:dyDescent="0.25">
      <c r="A118">
        <v>173</v>
      </c>
      <c r="B118" s="26">
        <v>46211.166666666657</v>
      </c>
      <c r="C118" s="27">
        <v>46211</v>
      </c>
      <c r="D118">
        <v>5</v>
      </c>
      <c r="E118" t="s">
        <v>3173</v>
      </c>
      <c r="F118">
        <v>2</v>
      </c>
      <c r="G118" t="b">
        <v>1</v>
      </c>
      <c r="H118" t="s">
        <v>3197</v>
      </c>
      <c r="I118">
        <v>1379.6916100000001</v>
      </c>
      <c r="J118" t="s">
        <v>3198</v>
      </c>
      <c r="K118" t="s">
        <v>3182</v>
      </c>
    </row>
    <row r="119" spans="1:11" x14ac:dyDescent="0.25">
      <c r="A119">
        <v>173</v>
      </c>
      <c r="B119" s="26">
        <v>46211.166666666657</v>
      </c>
      <c r="C119" s="27">
        <v>46211</v>
      </c>
      <c r="D119">
        <v>5</v>
      </c>
      <c r="E119" t="s">
        <v>3173</v>
      </c>
      <c r="F119">
        <v>2</v>
      </c>
      <c r="G119" t="b">
        <v>1</v>
      </c>
      <c r="H119" t="s">
        <v>3199</v>
      </c>
      <c r="I119">
        <v>6.8361700000000001</v>
      </c>
      <c r="J119" t="s">
        <v>3200</v>
      </c>
      <c r="K119" t="s">
        <v>3182</v>
      </c>
    </row>
    <row r="120" spans="1:11" x14ac:dyDescent="0.25">
      <c r="A120">
        <v>173</v>
      </c>
      <c r="B120" s="26">
        <v>46211.166666666657</v>
      </c>
      <c r="C120" s="27">
        <v>46211</v>
      </c>
      <c r="D120">
        <v>5</v>
      </c>
      <c r="E120" t="s">
        <v>3173</v>
      </c>
      <c r="F120">
        <v>2</v>
      </c>
      <c r="G120" t="b">
        <v>1</v>
      </c>
      <c r="H120" t="s">
        <v>3201</v>
      </c>
      <c r="I120">
        <v>213.43405999999999</v>
      </c>
      <c r="J120" t="s">
        <v>3202</v>
      </c>
      <c r="K120" t="s">
        <v>3182</v>
      </c>
    </row>
    <row r="121" spans="1:11" x14ac:dyDescent="0.25">
      <c r="A121">
        <v>173</v>
      </c>
      <c r="B121" s="26">
        <v>46211.166666666657</v>
      </c>
      <c r="C121" s="27">
        <v>46211</v>
      </c>
      <c r="D121">
        <v>5</v>
      </c>
      <c r="E121" t="s">
        <v>3173</v>
      </c>
      <c r="F121">
        <v>2</v>
      </c>
      <c r="G121" t="b">
        <v>1</v>
      </c>
      <c r="H121" t="s">
        <v>3203</v>
      </c>
      <c r="I121">
        <v>33.355969999999999</v>
      </c>
      <c r="J121" t="s">
        <v>3204</v>
      </c>
      <c r="K121" t="s">
        <v>3182</v>
      </c>
    </row>
    <row r="122" spans="1:11" x14ac:dyDescent="0.25">
      <c r="A122">
        <v>173</v>
      </c>
      <c r="B122" s="26">
        <v>46211.166666666657</v>
      </c>
      <c r="C122" s="27">
        <v>46211</v>
      </c>
      <c r="D122">
        <v>5</v>
      </c>
      <c r="E122" t="s">
        <v>3173</v>
      </c>
      <c r="F122">
        <v>2</v>
      </c>
      <c r="G122" t="b">
        <v>1</v>
      </c>
      <c r="H122" t="s">
        <v>3205</v>
      </c>
      <c r="I122">
        <v>51.823450000000001</v>
      </c>
      <c r="J122" t="s">
        <v>3206</v>
      </c>
      <c r="K122" t="s">
        <v>3182</v>
      </c>
    </row>
    <row r="123" spans="1:11" x14ac:dyDescent="0.25">
      <c r="A123">
        <v>173</v>
      </c>
      <c r="B123" s="26">
        <v>46211.166666666657</v>
      </c>
      <c r="C123" s="27">
        <v>46211</v>
      </c>
      <c r="D123">
        <v>5</v>
      </c>
      <c r="E123" t="s">
        <v>3173</v>
      </c>
      <c r="F123">
        <v>2</v>
      </c>
      <c r="G123" t="b">
        <v>1</v>
      </c>
      <c r="H123" t="s">
        <v>3207</v>
      </c>
      <c r="I123">
        <v>93.622190000000003</v>
      </c>
      <c r="J123" t="s">
        <v>3208</v>
      </c>
      <c r="K123" t="s">
        <v>3182</v>
      </c>
    </row>
    <row r="124" spans="1:11" x14ac:dyDescent="0.25">
      <c r="A124">
        <v>173</v>
      </c>
      <c r="B124" s="26">
        <v>46211.166666666657</v>
      </c>
      <c r="C124" s="27">
        <v>46211</v>
      </c>
      <c r="D124">
        <v>5</v>
      </c>
      <c r="E124" t="s">
        <v>3173</v>
      </c>
      <c r="F124">
        <v>2</v>
      </c>
      <c r="G124" t="b">
        <v>1</v>
      </c>
      <c r="H124" t="s">
        <v>3209</v>
      </c>
      <c r="I124">
        <v>8.0735500000000009</v>
      </c>
      <c r="J124" t="s">
        <v>3210</v>
      </c>
      <c r="K124" t="s">
        <v>3182</v>
      </c>
    </row>
    <row r="125" spans="1:11" x14ac:dyDescent="0.25">
      <c r="A125">
        <v>173</v>
      </c>
      <c r="B125" s="26">
        <v>46211.166666666657</v>
      </c>
      <c r="C125" s="27">
        <v>46211</v>
      </c>
      <c r="D125">
        <v>5</v>
      </c>
      <c r="E125" t="s">
        <v>3173</v>
      </c>
      <c r="F125">
        <v>2</v>
      </c>
      <c r="G125" t="b">
        <v>1</v>
      </c>
      <c r="H125" t="s">
        <v>3211</v>
      </c>
      <c r="I125">
        <v>0.54200000000000004</v>
      </c>
      <c r="J125" t="s">
        <v>3212</v>
      </c>
      <c r="K125" t="s">
        <v>3182</v>
      </c>
    </row>
    <row r="126" spans="1:11" x14ac:dyDescent="0.25">
      <c r="A126">
        <v>173</v>
      </c>
      <c r="B126" s="26">
        <v>46211.166666666657</v>
      </c>
      <c r="C126" s="27">
        <v>46211</v>
      </c>
      <c r="D126">
        <v>5</v>
      </c>
      <c r="E126" t="s">
        <v>3173</v>
      </c>
      <c r="F126">
        <v>2</v>
      </c>
      <c r="G126" t="b">
        <v>1</v>
      </c>
      <c r="H126" t="s">
        <v>3213</v>
      </c>
      <c r="I126">
        <v>434.06369999999998</v>
      </c>
      <c r="J126" t="s">
        <v>3214</v>
      </c>
      <c r="K126" t="s">
        <v>3182</v>
      </c>
    </row>
    <row r="127" spans="1:11" x14ac:dyDescent="0.25">
      <c r="A127">
        <v>173</v>
      </c>
      <c r="B127" s="26">
        <v>46211.166666666657</v>
      </c>
      <c r="C127" s="27">
        <v>46211</v>
      </c>
      <c r="D127">
        <v>5</v>
      </c>
      <c r="E127" t="s">
        <v>3173</v>
      </c>
      <c r="F127">
        <v>2</v>
      </c>
      <c r="G127" t="b">
        <v>1</v>
      </c>
      <c r="H127" t="s">
        <v>3215</v>
      </c>
      <c r="I127">
        <v>197.56528</v>
      </c>
      <c r="J127" t="s">
        <v>3216</v>
      </c>
      <c r="K127" t="s">
        <v>3182</v>
      </c>
    </row>
    <row r="128" spans="1:11" x14ac:dyDescent="0.25">
      <c r="A128">
        <v>173</v>
      </c>
      <c r="B128" s="26">
        <v>46211.166666666657</v>
      </c>
      <c r="C128" s="27">
        <v>46211</v>
      </c>
      <c r="D128">
        <v>5</v>
      </c>
      <c r="E128" t="s">
        <v>3173</v>
      </c>
      <c r="F128">
        <v>2</v>
      </c>
      <c r="G128" t="b">
        <v>1</v>
      </c>
      <c r="H128" t="s">
        <v>3217</v>
      </c>
      <c r="I128">
        <v>1580.70622</v>
      </c>
      <c r="J128" t="s">
        <v>197</v>
      </c>
      <c r="K128" t="s">
        <v>3182</v>
      </c>
    </row>
    <row r="129" spans="1:11" x14ac:dyDescent="0.25">
      <c r="A129">
        <v>173</v>
      </c>
      <c r="B129" s="26">
        <v>46211.166666666657</v>
      </c>
      <c r="C129" s="27">
        <v>46211</v>
      </c>
      <c r="D129">
        <v>5</v>
      </c>
      <c r="E129" t="s">
        <v>3173</v>
      </c>
      <c r="F129">
        <v>2</v>
      </c>
      <c r="G129" t="b">
        <v>1</v>
      </c>
      <c r="H129" t="s">
        <v>3218</v>
      </c>
      <c r="I129">
        <v>33.461440000000003</v>
      </c>
      <c r="J129" t="s">
        <v>3219</v>
      </c>
      <c r="K129" t="s">
        <v>3182</v>
      </c>
    </row>
    <row r="130" spans="1:11" x14ac:dyDescent="0.25">
      <c r="A130">
        <v>173</v>
      </c>
      <c r="B130" s="26">
        <v>46211.166666666657</v>
      </c>
      <c r="C130" s="27">
        <v>46211</v>
      </c>
      <c r="D130">
        <v>5</v>
      </c>
      <c r="E130" t="s">
        <v>3173</v>
      </c>
      <c r="F130">
        <v>2</v>
      </c>
      <c r="G130" t="b">
        <v>1</v>
      </c>
      <c r="H130" t="s">
        <v>3220</v>
      </c>
      <c r="I130">
        <v>1158.7300299999999</v>
      </c>
      <c r="J130" t="s">
        <v>198</v>
      </c>
      <c r="K130" t="s">
        <v>3182</v>
      </c>
    </row>
    <row r="131" spans="1:11" x14ac:dyDescent="0.25">
      <c r="A131">
        <v>173</v>
      </c>
      <c r="B131" s="26">
        <v>46211.166666666657</v>
      </c>
      <c r="C131" s="27">
        <v>46211</v>
      </c>
      <c r="D131">
        <v>5</v>
      </c>
      <c r="E131" t="s">
        <v>3173</v>
      </c>
      <c r="F131">
        <v>2</v>
      </c>
      <c r="G131" t="b">
        <v>1</v>
      </c>
      <c r="H131" t="s">
        <v>3221</v>
      </c>
      <c r="I131">
        <v>519.92906000000005</v>
      </c>
      <c r="J131" t="s">
        <v>20</v>
      </c>
      <c r="K131" t="s">
        <v>3182</v>
      </c>
    </row>
    <row r="132" spans="1:11" x14ac:dyDescent="0.25">
      <c r="A132">
        <v>173</v>
      </c>
      <c r="B132" s="26">
        <v>46211.166666666657</v>
      </c>
      <c r="C132" s="27">
        <v>46211</v>
      </c>
      <c r="D132">
        <v>5</v>
      </c>
      <c r="E132" t="s">
        <v>3173</v>
      </c>
      <c r="F132">
        <v>2</v>
      </c>
      <c r="G132" t="b">
        <v>1</v>
      </c>
      <c r="H132" t="s">
        <v>3222</v>
      </c>
      <c r="I132">
        <v>11.79021</v>
      </c>
      <c r="J132" t="s">
        <v>3223</v>
      </c>
      <c r="K132" t="s">
        <v>3182</v>
      </c>
    </row>
    <row r="133" spans="1:11" x14ac:dyDescent="0.25">
      <c r="A133">
        <v>173</v>
      </c>
      <c r="B133" s="26">
        <v>46211.166666666657</v>
      </c>
      <c r="C133" s="27">
        <v>46211</v>
      </c>
      <c r="D133">
        <v>5</v>
      </c>
      <c r="E133" t="s">
        <v>3173</v>
      </c>
      <c r="F133">
        <v>2</v>
      </c>
      <c r="G133" t="b">
        <v>1</v>
      </c>
      <c r="H133" t="s">
        <v>3224</v>
      </c>
      <c r="I133">
        <v>332.60338000000002</v>
      </c>
      <c r="J133" t="s">
        <v>3225</v>
      </c>
      <c r="K133" t="s">
        <v>3182</v>
      </c>
    </row>
    <row r="134" spans="1:11" x14ac:dyDescent="0.25">
      <c r="A134">
        <v>173</v>
      </c>
      <c r="B134" s="26">
        <v>46211.166666666657</v>
      </c>
      <c r="C134" s="27">
        <v>46211</v>
      </c>
      <c r="D134">
        <v>5</v>
      </c>
      <c r="E134" t="s">
        <v>3173</v>
      </c>
      <c r="F134">
        <v>2</v>
      </c>
      <c r="G134" t="b">
        <v>1</v>
      </c>
      <c r="H134" t="s">
        <v>3226</v>
      </c>
      <c r="I134">
        <v>1.0114700000000001</v>
      </c>
      <c r="J134" t="s">
        <v>3227</v>
      </c>
      <c r="K134" t="s">
        <v>3182</v>
      </c>
    </row>
    <row r="135" spans="1:11" x14ac:dyDescent="0.25">
      <c r="A135">
        <v>173</v>
      </c>
      <c r="B135" s="26">
        <v>46211.166666666657</v>
      </c>
      <c r="C135" s="27">
        <v>46211</v>
      </c>
      <c r="D135">
        <v>5</v>
      </c>
      <c r="E135" t="s">
        <v>3173</v>
      </c>
      <c r="F135">
        <v>2</v>
      </c>
      <c r="G135" t="b">
        <v>1</v>
      </c>
      <c r="H135" t="s">
        <v>3228</v>
      </c>
      <c r="I135">
        <v>100.71831</v>
      </c>
      <c r="J135" t="s">
        <v>3229</v>
      </c>
      <c r="K135" t="s">
        <v>3182</v>
      </c>
    </row>
    <row r="136" spans="1:11" x14ac:dyDescent="0.25">
      <c r="A136">
        <v>173</v>
      </c>
      <c r="B136" s="26">
        <v>46211.166666666657</v>
      </c>
      <c r="C136" s="27">
        <v>46211</v>
      </c>
      <c r="D136">
        <v>5</v>
      </c>
      <c r="E136" t="s">
        <v>3173</v>
      </c>
      <c r="F136">
        <v>2</v>
      </c>
      <c r="G136" t="b">
        <v>1</v>
      </c>
      <c r="H136" t="s">
        <v>3230</v>
      </c>
      <c r="I136">
        <v>1.84768</v>
      </c>
      <c r="J136" t="s">
        <v>3231</v>
      </c>
      <c r="K136" t="s">
        <v>3182</v>
      </c>
    </row>
    <row r="137" spans="1:11" x14ac:dyDescent="0.25">
      <c r="A137">
        <v>174</v>
      </c>
      <c r="B137" s="26">
        <v>46211.208333333343</v>
      </c>
      <c r="C137" s="27">
        <v>46211</v>
      </c>
      <c r="D137">
        <v>6</v>
      </c>
      <c r="E137" t="s">
        <v>3173</v>
      </c>
      <c r="F137">
        <v>2</v>
      </c>
      <c r="G137" t="b">
        <v>1</v>
      </c>
      <c r="H137" t="s">
        <v>3180</v>
      </c>
      <c r="I137">
        <v>58.837090000000003</v>
      </c>
      <c r="J137" t="s">
        <v>3181</v>
      </c>
      <c r="K137" t="s">
        <v>3182</v>
      </c>
    </row>
    <row r="138" spans="1:11" x14ac:dyDescent="0.25">
      <c r="A138">
        <v>174</v>
      </c>
      <c r="B138" s="26">
        <v>46211.208333333343</v>
      </c>
      <c r="C138" s="27">
        <v>46211</v>
      </c>
      <c r="D138">
        <v>6</v>
      </c>
      <c r="E138" t="s">
        <v>3173</v>
      </c>
      <c r="F138">
        <v>2</v>
      </c>
      <c r="G138" t="b">
        <v>1</v>
      </c>
      <c r="H138" t="s">
        <v>3183</v>
      </c>
      <c r="I138">
        <v>88.392880000000005</v>
      </c>
      <c r="J138" t="s">
        <v>3184</v>
      </c>
      <c r="K138" t="s">
        <v>3182</v>
      </c>
    </row>
    <row r="139" spans="1:11" x14ac:dyDescent="0.25">
      <c r="A139">
        <v>174</v>
      </c>
      <c r="B139" s="26">
        <v>46211.208333333343</v>
      </c>
      <c r="C139" s="27">
        <v>46211</v>
      </c>
      <c r="D139">
        <v>6</v>
      </c>
      <c r="E139" t="s">
        <v>3173</v>
      </c>
      <c r="F139">
        <v>2</v>
      </c>
      <c r="G139" t="b">
        <v>1</v>
      </c>
      <c r="H139" t="s">
        <v>3185</v>
      </c>
      <c r="I139">
        <v>113.98621</v>
      </c>
      <c r="J139" t="s">
        <v>3186</v>
      </c>
      <c r="K139" t="s">
        <v>3182</v>
      </c>
    </row>
    <row r="140" spans="1:11" x14ac:dyDescent="0.25">
      <c r="A140">
        <v>174</v>
      </c>
      <c r="B140" s="26">
        <v>46211.208333333343</v>
      </c>
      <c r="C140" s="27">
        <v>46211</v>
      </c>
      <c r="D140">
        <v>6</v>
      </c>
      <c r="E140" t="s">
        <v>3173</v>
      </c>
      <c r="F140">
        <v>2</v>
      </c>
      <c r="G140" t="b">
        <v>1</v>
      </c>
      <c r="H140" t="s">
        <v>3187</v>
      </c>
      <c r="I140">
        <v>25.500260000000001</v>
      </c>
      <c r="J140" t="s">
        <v>3188</v>
      </c>
      <c r="K140" t="s">
        <v>3182</v>
      </c>
    </row>
    <row r="141" spans="1:11" x14ac:dyDescent="0.25">
      <c r="A141">
        <v>174</v>
      </c>
      <c r="B141" s="26">
        <v>46211.208333333343</v>
      </c>
      <c r="C141" s="27">
        <v>46211</v>
      </c>
      <c r="D141">
        <v>6</v>
      </c>
      <c r="E141" t="s">
        <v>3173</v>
      </c>
      <c r="F141">
        <v>2</v>
      </c>
      <c r="G141" t="b">
        <v>1</v>
      </c>
      <c r="H141" t="s">
        <v>3189</v>
      </c>
      <c r="I141">
        <v>190.19014000000001</v>
      </c>
      <c r="J141" t="s">
        <v>3190</v>
      </c>
      <c r="K141" t="s">
        <v>3182</v>
      </c>
    </row>
    <row r="142" spans="1:11" x14ac:dyDescent="0.25">
      <c r="A142">
        <v>174</v>
      </c>
      <c r="B142" s="26">
        <v>46211.208333333343</v>
      </c>
      <c r="C142" s="27">
        <v>46211</v>
      </c>
      <c r="D142">
        <v>6</v>
      </c>
      <c r="E142" t="s">
        <v>3173</v>
      </c>
      <c r="F142">
        <v>2</v>
      </c>
      <c r="G142" t="b">
        <v>1</v>
      </c>
      <c r="H142" t="s">
        <v>3191</v>
      </c>
      <c r="I142">
        <v>1358.83456</v>
      </c>
      <c r="J142" t="s">
        <v>3192</v>
      </c>
      <c r="K142" t="s">
        <v>3182</v>
      </c>
    </row>
    <row r="143" spans="1:11" x14ac:dyDescent="0.25">
      <c r="A143">
        <v>174</v>
      </c>
      <c r="B143" s="26">
        <v>46211.208333333343</v>
      </c>
      <c r="C143" s="27">
        <v>46211</v>
      </c>
      <c r="D143">
        <v>6</v>
      </c>
      <c r="E143" t="s">
        <v>3173</v>
      </c>
      <c r="F143">
        <v>2</v>
      </c>
      <c r="G143" t="b">
        <v>1</v>
      </c>
      <c r="H143" t="s">
        <v>3193</v>
      </c>
      <c r="I143">
        <v>237.04211000000001</v>
      </c>
      <c r="J143" t="s">
        <v>3194</v>
      </c>
      <c r="K143" t="s">
        <v>3182</v>
      </c>
    </row>
    <row r="144" spans="1:11" x14ac:dyDescent="0.25">
      <c r="A144">
        <v>174</v>
      </c>
      <c r="B144" s="26">
        <v>46211.208333333343</v>
      </c>
      <c r="C144" s="27">
        <v>46211</v>
      </c>
      <c r="D144">
        <v>6</v>
      </c>
      <c r="E144" t="s">
        <v>3173</v>
      </c>
      <c r="F144">
        <v>2</v>
      </c>
      <c r="G144" t="b">
        <v>1</v>
      </c>
      <c r="H144" t="s">
        <v>3195</v>
      </c>
      <c r="I144">
        <v>28.995619999999999</v>
      </c>
      <c r="J144" t="s">
        <v>3196</v>
      </c>
      <c r="K144" t="s">
        <v>3182</v>
      </c>
    </row>
    <row r="145" spans="1:11" x14ac:dyDescent="0.25">
      <c r="A145">
        <v>174</v>
      </c>
      <c r="B145" s="26">
        <v>46211.208333333343</v>
      </c>
      <c r="C145" s="27">
        <v>46211</v>
      </c>
      <c r="D145">
        <v>6</v>
      </c>
      <c r="E145" t="s">
        <v>3173</v>
      </c>
      <c r="F145">
        <v>2</v>
      </c>
      <c r="G145" t="b">
        <v>1</v>
      </c>
      <c r="H145" t="s">
        <v>3197</v>
      </c>
      <c r="I145">
        <v>1324.8285800000001</v>
      </c>
      <c r="J145" t="s">
        <v>3198</v>
      </c>
      <c r="K145" t="s">
        <v>3182</v>
      </c>
    </row>
    <row r="146" spans="1:11" x14ac:dyDescent="0.25">
      <c r="A146">
        <v>174</v>
      </c>
      <c r="B146" s="26">
        <v>46211.208333333343</v>
      </c>
      <c r="C146" s="27">
        <v>46211</v>
      </c>
      <c r="D146">
        <v>6</v>
      </c>
      <c r="E146" t="s">
        <v>3173</v>
      </c>
      <c r="F146">
        <v>2</v>
      </c>
      <c r="G146" t="b">
        <v>1</v>
      </c>
      <c r="H146" t="s">
        <v>3199</v>
      </c>
      <c r="I146">
        <v>7.2747099999999998</v>
      </c>
      <c r="J146" t="s">
        <v>3200</v>
      </c>
      <c r="K146" t="s">
        <v>3182</v>
      </c>
    </row>
    <row r="147" spans="1:11" x14ac:dyDescent="0.25">
      <c r="A147">
        <v>174</v>
      </c>
      <c r="B147" s="26">
        <v>46211.208333333343</v>
      </c>
      <c r="C147" s="27">
        <v>46211</v>
      </c>
      <c r="D147">
        <v>6</v>
      </c>
      <c r="E147" t="s">
        <v>3173</v>
      </c>
      <c r="F147">
        <v>2</v>
      </c>
      <c r="G147" t="b">
        <v>1</v>
      </c>
      <c r="H147" t="s">
        <v>3201</v>
      </c>
      <c r="I147">
        <v>233.30958000000001</v>
      </c>
      <c r="J147" t="s">
        <v>3202</v>
      </c>
      <c r="K147" t="s">
        <v>3182</v>
      </c>
    </row>
    <row r="148" spans="1:11" x14ac:dyDescent="0.25">
      <c r="A148">
        <v>174</v>
      </c>
      <c r="B148" s="26">
        <v>46211.208333333343</v>
      </c>
      <c r="C148" s="27">
        <v>46211</v>
      </c>
      <c r="D148">
        <v>6</v>
      </c>
      <c r="E148" t="s">
        <v>3173</v>
      </c>
      <c r="F148">
        <v>2</v>
      </c>
      <c r="G148" t="b">
        <v>1</v>
      </c>
      <c r="H148" t="s">
        <v>3203</v>
      </c>
      <c r="I148">
        <v>33.757219999999997</v>
      </c>
      <c r="J148" t="s">
        <v>3204</v>
      </c>
      <c r="K148" t="s">
        <v>3182</v>
      </c>
    </row>
    <row r="149" spans="1:11" x14ac:dyDescent="0.25">
      <c r="A149">
        <v>174</v>
      </c>
      <c r="B149" s="26">
        <v>46211.208333333343</v>
      </c>
      <c r="C149" s="27">
        <v>46211</v>
      </c>
      <c r="D149">
        <v>6</v>
      </c>
      <c r="E149" t="s">
        <v>3173</v>
      </c>
      <c r="F149">
        <v>2</v>
      </c>
      <c r="G149" t="b">
        <v>1</v>
      </c>
      <c r="H149" t="s">
        <v>3205</v>
      </c>
      <c r="I149">
        <v>56.645820000000001</v>
      </c>
      <c r="J149" t="s">
        <v>3206</v>
      </c>
      <c r="K149" t="s">
        <v>3182</v>
      </c>
    </row>
    <row r="150" spans="1:11" x14ac:dyDescent="0.25">
      <c r="A150">
        <v>174</v>
      </c>
      <c r="B150" s="26">
        <v>46211.208333333343</v>
      </c>
      <c r="C150" s="27">
        <v>46211</v>
      </c>
      <c r="D150">
        <v>6</v>
      </c>
      <c r="E150" t="s">
        <v>3173</v>
      </c>
      <c r="F150">
        <v>2</v>
      </c>
      <c r="G150" t="b">
        <v>1</v>
      </c>
      <c r="H150" t="s">
        <v>3207</v>
      </c>
      <c r="I150">
        <v>99.238100000000003</v>
      </c>
      <c r="J150" t="s">
        <v>3208</v>
      </c>
      <c r="K150" t="s">
        <v>3182</v>
      </c>
    </row>
    <row r="151" spans="1:11" x14ac:dyDescent="0.25">
      <c r="A151">
        <v>174</v>
      </c>
      <c r="B151" s="26">
        <v>46211.208333333343</v>
      </c>
      <c r="C151" s="27">
        <v>46211</v>
      </c>
      <c r="D151">
        <v>6</v>
      </c>
      <c r="E151" t="s">
        <v>3173</v>
      </c>
      <c r="F151">
        <v>2</v>
      </c>
      <c r="G151" t="b">
        <v>1</v>
      </c>
      <c r="H151" t="s">
        <v>3209</v>
      </c>
      <c r="I151">
        <v>8.4133200000000006</v>
      </c>
      <c r="J151" t="s">
        <v>3210</v>
      </c>
      <c r="K151" t="s">
        <v>3182</v>
      </c>
    </row>
    <row r="152" spans="1:11" x14ac:dyDescent="0.25">
      <c r="A152">
        <v>174</v>
      </c>
      <c r="B152" s="26">
        <v>46211.208333333343</v>
      </c>
      <c r="C152" s="27">
        <v>46211</v>
      </c>
      <c r="D152">
        <v>6</v>
      </c>
      <c r="E152" t="s">
        <v>3173</v>
      </c>
      <c r="F152">
        <v>2</v>
      </c>
      <c r="G152" t="b">
        <v>1</v>
      </c>
      <c r="H152" t="s">
        <v>3211</v>
      </c>
      <c r="I152">
        <v>0.59099999999999997</v>
      </c>
      <c r="J152" t="s">
        <v>3212</v>
      </c>
      <c r="K152" t="s">
        <v>3182</v>
      </c>
    </row>
    <row r="153" spans="1:11" x14ac:dyDescent="0.25">
      <c r="A153">
        <v>174</v>
      </c>
      <c r="B153" s="26">
        <v>46211.208333333343</v>
      </c>
      <c r="C153" s="27">
        <v>46211</v>
      </c>
      <c r="D153">
        <v>6</v>
      </c>
      <c r="E153" t="s">
        <v>3173</v>
      </c>
      <c r="F153">
        <v>2</v>
      </c>
      <c r="G153" t="b">
        <v>1</v>
      </c>
      <c r="H153" t="s">
        <v>3213</v>
      </c>
      <c r="I153">
        <v>444.98199</v>
      </c>
      <c r="J153" t="s">
        <v>3214</v>
      </c>
      <c r="K153" t="s">
        <v>3182</v>
      </c>
    </row>
    <row r="154" spans="1:11" x14ac:dyDescent="0.25">
      <c r="A154">
        <v>174</v>
      </c>
      <c r="B154" s="26">
        <v>46211.208333333343</v>
      </c>
      <c r="C154" s="27">
        <v>46211</v>
      </c>
      <c r="D154">
        <v>6</v>
      </c>
      <c r="E154" t="s">
        <v>3173</v>
      </c>
      <c r="F154">
        <v>2</v>
      </c>
      <c r="G154" t="b">
        <v>1</v>
      </c>
      <c r="H154" t="s">
        <v>3215</v>
      </c>
      <c r="I154">
        <v>209.15581</v>
      </c>
      <c r="J154" t="s">
        <v>3216</v>
      </c>
      <c r="K154" t="s">
        <v>3182</v>
      </c>
    </row>
    <row r="155" spans="1:11" x14ac:dyDescent="0.25">
      <c r="A155">
        <v>174</v>
      </c>
      <c r="B155" s="26">
        <v>46211.208333333343</v>
      </c>
      <c r="C155" s="27">
        <v>46211</v>
      </c>
      <c r="D155">
        <v>6</v>
      </c>
      <c r="E155" t="s">
        <v>3173</v>
      </c>
      <c r="F155">
        <v>2</v>
      </c>
      <c r="G155" t="b">
        <v>1</v>
      </c>
      <c r="H155" t="s">
        <v>3217</v>
      </c>
      <c r="I155">
        <v>1767.3755799999999</v>
      </c>
      <c r="J155" t="s">
        <v>197</v>
      </c>
      <c r="K155" t="s">
        <v>3182</v>
      </c>
    </row>
    <row r="156" spans="1:11" x14ac:dyDescent="0.25">
      <c r="A156">
        <v>174</v>
      </c>
      <c r="B156" s="26">
        <v>46211.208333333343</v>
      </c>
      <c r="C156" s="27">
        <v>46211</v>
      </c>
      <c r="D156">
        <v>6</v>
      </c>
      <c r="E156" t="s">
        <v>3173</v>
      </c>
      <c r="F156">
        <v>2</v>
      </c>
      <c r="G156" t="b">
        <v>1</v>
      </c>
      <c r="H156" t="s">
        <v>3218</v>
      </c>
      <c r="I156">
        <v>33.86712</v>
      </c>
      <c r="J156" t="s">
        <v>3219</v>
      </c>
      <c r="K156" t="s">
        <v>3182</v>
      </c>
    </row>
    <row r="157" spans="1:11" x14ac:dyDescent="0.25">
      <c r="A157">
        <v>174</v>
      </c>
      <c r="B157" s="26">
        <v>46211.208333333343</v>
      </c>
      <c r="C157" s="27">
        <v>46211</v>
      </c>
      <c r="D157">
        <v>6</v>
      </c>
      <c r="E157" t="s">
        <v>3173</v>
      </c>
      <c r="F157">
        <v>2</v>
      </c>
      <c r="G157" t="b">
        <v>1</v>
      </c>
      <c r="H157" t="s">
        <v>3220</v>
      </c>
      <c r="I157">
        <v>1259.4206300000001</v>
      </c>
      <c r="J157" t="s">
        <v>198</v>
      </c>
      <c r="K157" t="s">
        <v>3182</v>
      </c>
    </row>
    <row r="158" spans="1:11" x14ac:dyDescent="0.25">
      <c r="A158">
        <v>174</v>
      </c>
      <c r="B158" s="26">
        <v>46211.208333333343</v>
      </c>
      <c r="C158" s="27">
        <v>46211</v>
      </c>
      <c r="D158">
        <v>6</v>
      </c>
      <c r="E158" t="s">
        <v>3173</v>
      </c>
      <c r="F158">
        <v>2</v>
      </c>
      <c r="G158" t="b">
        <v>1</v>
      </c>
      <c r="H158" t="s">
        <v>3221</v>
      </c>
      <c r="I158">
        <v>527.57831999999996</v>
      </c>
      <c r="J158" t="s">
        <v>20</v>
      </c>
      <c r="K158" t="s">
        <v>3182</v>
      </c>
    </row>
    <row r="159" spans="1:11" x14ac:dyDescent="0.25">
      <c r="A159">
        <v>174</v>
      </c>
      <c r="B159" s="26">
        <v>46211.208333333343</v>
      </c>
      <c r="C159" s="27">
        <v>46211</v>
      </c>
      <c r="D159">
        <v>6</v>
      </c>
      <c r="E159" t="s">
        <v>3173</v>
      </c>
      <c r="F159">
        <v>2</v>
      </c>
      <c r="G159" t="b">
        <v>1</v>
      </c>
      <c r="H159" t="s">
        <v>3222</v>
      </c>
      <c r="I159">
        <v>10.360670000000001</v>
      </c>
      <c r="J159" t="s">
        <v>3223</v>
      </c>
      <c r="K159" t="s">
        <v>3182</v>
      </c>
    </row>
    <row r="160" spans="1:11" x14ac:dyDescent="0.25">
      <c r="A160">
        <v>174</v>
      </c>
      <c r="B160" s="26">
        <v>46211.208333333343</v>
      </c>
      <c r="C160" s="27">
        <v>46211</v>
      </c>
      <c r="D160">
        <v>6</v>
      </c>
      <c r="E160" t="s">
        <v>3173</v>
      </c>
      <c r="F160">
        <v>2</v>
      </c>
      <c r="G160" t="b">
        <v>1</v>
      </c>
      <c r="H160" t="s">
        <v>3224</v>
      </c>
      <c r="I160">
        <v>335.04428999999999</v>
      </c>
      <c r="J160" t="s">
        <v>3225</v>
      </c>
      <c r="K160" t="s">
        <v>3182</v>
      </c>
    </row>
    <row r="161" spans="1:11" x14ac:dyDescent="0.25">
      <c r="A161">
        <v>174</v>
      </c>
      <c r="B161" s="26">
        <v>46211.208333333343</v>
      </c>
      <c r="C161" s="27">
        <v>46211</v>
      </c>
      <c r="D161">
        <v>6</v>
      </c>
      <c r="E161" t="s">
        <v>3173</v>
      </c>
      <c r="F161">
        <v>2</v>
      </c>
      <c r="G161" t="b">
        <v>1</v>
      </c>
      <c r="H161" t="s">
        <v>3226</v>
      </c>
      <c r="I161">
        <v>1.1372199999999999</v>
      </c>
      <c r="J161" t="s">
        <v>3227</v>
      </c>
      <c r="K161" t="s">
        <v>3182</v>
      </c>
    </row>
    <row r="162" spans="1:11" x14ac:dyDescent="0.25">
      <c r="A162">
        <v>174</v>
      </c>
      <c r="B162" s="26">
        <v>46211.208333333343</v>
      </c>
      <c r="C162" s="27">
        <v>46211</v>
      </c>
      <c r="D162">
        <v>6</v>
      </c>
      <c r="E162" t="s">
        <v>3173</v>
      </c>
      <c r="F162">
        <v>2</v>
      </c>
      <c r="G162" t="b">
        <v>1</v>
      </c>
      <c r="H162" t="s">
        <v>3228</v>
      </c>
      <c r="I162">
        <v>102.7621</v>
      </c>
      <c r="J162" t="s">
        <v>3229</v>
      </c>
      <c r="K162" t="s">
        <v>3182</v>
      </c>
    </row>
    <row r="163" spans="1:11" x14ac:dyDescent="0.25">
      <c r="A163">
        <v>174</v>
      </c>
      <c r="B163" s="26">
        <v>46211.208333333343</v>
      </c>
      <c r="C163" s="27">
        <v>46211</v>
      </c>
      <c r="D163">
        <v>6</v>
      </c>
      <c r="E163" t="s">
        <v>3173</v>
      </c>
      <c r="F163">
        <v>2</v>
      </c>
      <c r="G163" t="b">
        <v>1</v>
      </c>
      <c r="H163" t="s">
        <v>3230</v>
      </c>
      <c r="I163">
        <v>1.7645500000000001</v>
      </c>
      <c r="J163" t="s">
        <v>3231</v>
      </c>
      <c r="K163" t="s">
        <v>3182</v>
      </c>
    </row>
    <row r="164" spans="1:11" x14ac:dyDescent="0.25">
      <c r="A164">
        <v>175</v>
      </c>
      <c r="B164" s="26">
        <v>46211.25</v>
      </c>
      <c r="C164" s="27">
        <v>46211</v>
      </c>
      <c r="D164">
        <v>7</v>
      </c>
      <c r="E164" t="s">
        <v>3173</v>
      </c>
      <c r="F164">
        <v>2</v>
      </c>
      <c r="G164" t="b">
        <v>1</v>
      </c>
      <c r="H164" t="s">
        <v>3180</v>
      </c>
      <c r="I164">
        <v>58.679080000000013</v>
      </c>
      <c r="J164" t="s">
        <v>3181</v>
      </c>
      <c r="K164" t="s">
        <v>3182</v>
      </c>
    </row>
    <row r="165" spans="1:11" x14ac:dyDescent="0.25">
      <c r="A165">
        <v>175</v>
      </c>
      <c r="B165" s="26">
        <v>46211.25</v>
      </c>
      <c r="C165" s="27">
        <v>46211</v>
      </c>
      <c r="D165">
        <v>7</v>
      </c>
      <c r="E165" t="s">
        <v>3173</v>
      </c>
      <c r="F165">
        <v>2</v>
      </c>
      <c r="G165" t="b">
        <v>1</v>
      </c>
      <c r="H165" t="s">
        <v>3183</v>
      </c>
      <c r="I165">
        <v>100.92279000000001</v>
      </c>
      <c r="J165" t="s">
        <v>3184</v>
      </c>
      <c r="K165" t="s">
        <v>3182</v>
      </c>
    </row>
    <row r="166" spans="1:11" x14ac:dyDescent="0.25">
      <c r="A166">
        <v>175</v>
      </c>
      <c r="B166" s="26">
        <v>46211.25</v>
      </c>
      <c r="C166" s="27">
        <v>46211</v>
      </c>
      <c r="D166">
        <v>7</v>
      </c>
      <c r="E166" t="s">
        <v>3173</v>
      </c>
      <c r="F166">
        <v>2</v>
      </c>
      <c r="G166" t="b">
        <v>1</v>
      </c>
      <c r="H166" t="s">
        <v>3185</v>
      </c>
      <c r="I166">
        <v>117.68046</v>
      </c>
      <c r="J166" t="s">
        <v>3186</v>
      </c>
      <c r="K166" t="s">
        <v>3182</v>
      </c>
    </row>
    <row r="167" spans="1:11" x14ac:dyDescent="0.25">
      <c r="A167">
        <v>175</v>
      </c>
      <c r="B167" s="26">
        <v>46211.25</v>
      </c>
      <c r="C167" s="27">
        <v>46211</v>
      </c>
      <c r="D167">
        <v>7</v>
      </c>
      <c r="E167" t="s">
        <v>3173</v>
      </c>
      <c r="F167">
        <v>2</v>
      </c>
      <c r="G167" t="b">
        <v>1</v>
      </c>
      <c r="H167" t="s">
        <v>3187</v>
      </c>
      <c r="I167">
        <v>24.976189999999999</v>
      </c>
      <c r="J167" t="s">
        <v>3188</v>
      </c>
      <c r="K167" t="s">
        <v>3182</v>
      </c>
    </row>
    <row r="168" spans="1:11" x14ac:dyDescent="0.25">
      <c r="A168">
        <v>175</v>
      </c>
      <c r="B168" s="26">
        <v>46211.25</v>
      </c>
      <c r="C168" s="27">
        <v>46211</v>
      </c>
      <c r="D168">
        <v>7</v>
      </c>
      <c r="E168" t="s">
        <v>3173</v>
      </c>
      <c r="F168">
        <v>2</v>
      </c>
      <c r="G168" t="b">
        <v>1</v>
      </c>
      <c r="H168" t="s">
        <v>3189</v>
      </c>
      <c r="I168">
        <v>209.07839999999999</v>
      </c>
      <c r="J168" t="s">
        <v>3190</v>
      </c>
      <c r="K168" t="s">
        <v>3182</v>
      </c>
    </row>
    <row r="169" spans="1:11" x14ac:dyDescent="0.25">
      <c r="A169">
        <v>175</v>
      </c>
      <c r="B169" s="26">
        <v>46211.25</v>
      </c>
      <c r="C169" s="27">
        <v>46211</v>
      </c>
      <c r="D169">
        <v>7</v>
      </c>
      <c r="E169" t="s">
        <v>3173</v>
      </c>
      <c r="F169">
        <v>2</v>
      </c>
      <c r="G169" t="b">
        <v>1</v>
      </c>
      <c r="H169" t="s">
        <v>3191</v>
      </c>
      <c r="I169">
        <v>1249.7126800000001</v>
      </c>
      <c r="J169" t="s">
        <v>3192</v>
      </c>
      <c r="K169" t="s">
        <v>3182</v>
      </c>
    </row>
    <row r="170" spans="1:11" x14ac:dyDescent="0.25">
      <c r="A170">
        <v>175</v>
      </c>
      <c r="B170" s="26">
        <v>46211.25</v>
      </c>
      <c r="C170" s="27">
        <v>46211</v>
      </c>
      <c r="D170">
        <v>7</v>
      </c>
      <c r="E170" t="s">
        <v>3173</v>
      </c>
      <c r="F170">
        <v>2</v>
      </c>
      <c r="G170" t="b">
        <v>1</v>
      </c>
      <c r="H170" t="s">
        <v>3193</v>
      </c>
      <c r="I170">
        <v>237.22753</v>
      </c>
      <c r="J170" t="s">
        <v>3194</v>
      </c>
      <c r="K170" t="s">
        <v>3182</v>
      </c>
    </row>
    <row r="171" spans="1:11" x14ac:dyDescent="0.25">
      <c r="A171">
        <v>175</v>
      </c>
      <c r="B171" s="26">
        <v>46211.25</v>
      </c>
      <c r="C171" s="27">
        <v>46211</v>
      </c>
      <c r="D171">
        <v>7</v>
      </c>
      <c r="E171" t="s">
        <v>3173</v>
      </c>
      <c r="F171">
        <v>2</v>
      </c>
      <c r="G171" t="b">
        <v>1</v>
      </c>
      <c r="H171" t="s">
        <v>3195</v>
      </c>
      <c r="I171">
        <v>30.892669999999999</v>
      </c>
      <c r="J171" t="s">
        <v>3196</v>
      </c>
      <c r="K171" t="s">
        <v>3182</v>
      </c>
    </row>
    <row r="172" spans="1:11" x14ac:dyDescent="0.25">
      <c r="A172">
        <v>175</v>
      </c>
      <c r="B172" s="26">
        <v>46211.25</v>
      </c>
      <c r="C172" s="27">
        <v>46211</v>
      </c>
      <c r="D172">
        <v>7</v>
      </c>
      <c r="E172" t="s">
        <v>3173</v>
      </c>
      <c r="F172">
        <v>2</v>
      </c>
      <c r="G172" t="b">
        <v>1</v>
      </c>
      <c r="H172" t="s">
        <v>3197</v>
      </c>
      <c r="I172">
        <v>1263.15103</v>
      </c>
      <c r="J172" t="s">
        <v>3198</v>
      </c>
      <c r="K172" t="s">
        <v>3182</v>
      </c>
    </row>
    <row r="173" spans="1:11" x14ac:dyDescent="0.25">
      <c r="A173">
        <v>175</v>
      </c>
      <c r="B173" s="26">
        <v>46211.25</v>
      </c>
      <c r="C173" s="27">
        <v>46211</v>
      </c>
      <c r="D173">
        <v>7</v>
      </c>
      <c r="E173" t="s">
        <v>3173</v>
      </c>
      <c r="F173">
        <v>2</v>
      </c>
      <c r="G173" t="b">
        <v>1</v>
      </c>
      <c r="H173" t="s">
        <v>3199</v>
      </c>
      <c r="I173">
        <v>7.8754799999999996</v>
      </c>
      <c r="J173" t="s">
        <v>3200</v>
      </c>
      <c r="K173" t="s">
        <v>3182</v>
      </c>
    </row>
    <row r="174" spans="1:11" x14ac:dyDescent="0.25">
      <c r="A174">
        <v>175</v>
      </c>
      <c r="B174" s="26">
        <v>46211.25</v>
      </c>
      <c r="C174" s="27">
        <v>46211</v>
      </c>
      <c r="D174">
        <v>7</v>
      </c>
      <c r="E174" t="s">
        <v>3173</v>
      </c>
      <c r="F174">
        <v>2</v>
      </c>
      <c r="G174" t="b">
        <v>1</v>
      </c>
      <c r="H174" t="s">
        <v>3201</v>
      </c>
      <c r="I174">
        <v>231.74959000000001</v>
      </c>
      <c r="J174" t="s">
        <v>3202</v>
      </c>
      <c r="K174" t="s">
        <v>3182</v>
      </c>
    </row>
    <row r="175" spans="1:11" x14ac:dyDescent="0.25">
      <c r="A175">
        <v>175</v>
      </c>
      <c r="B175" s="26">
        <v>46211.25</v>
      </c>
      <c r="C175" s="27">
        <v>46211</v>
      </c>
      <c r="D175">
        <v>7</v>
      </c>
      <c r="E175" t="s">
        <v>3173</v>
      </c>
      <c r="F175">
        <v>2</v>
      </c>
      <c r="G175" t="b">
        <v>1</v>
      </c>
      <c r="H175" t="s">
        <v>3203</v>
      </c>
      <c r="I175">
        <v>35.358640000000001</v>
      </c>
      <c r="J175" t="s">
        <v>3204</v>
      </c>
      <c r="K175" t="s">
        <v>3182</v>
      </c>
    </row>
    <row r="176" spans="1:11" x14ac:dyDescent="0.25">
      <c r="A176">
        <v>175</v>
      </c>
      <c r="B176" s="26">
        <v>46211.25</v>
      </c>
      <c r="C176" s="27">
        <v>46211</v>
      </c>
      <c r="D176">
        <v>7</v>
      </c>
      <c r="E176" t="s">
        <v>3173</v>
      </c>
      <c r="F176">
        <v>2</v>
      </c>
      <c r="G176" t="b">
        <v>1</v>
      </c>
      <c r="H176" t="s">
        <v>3205</v>
      </c>
      <c r="I176">
        <v>58.38852</v>
      </c>
      <c r="J176" t="s">
        <v>3206</v>
      </c>
      <c r="K176" t="s">
        <v>3182</v>
      </c>
    </row>
    <row r="177" spans="1:11" x14ac:dyDescent="0.25">
      <c r="A177">
        <v>175</v>
      </c>
      <c r="B177" s="26">
        <v>46211.25</v>
      </c>
      <c r="C177" s="27">
        <v>46211</v>
      </c>
      <c r="D177">
        <v>7</v>
      </c>
      <c r="E177" t="s">
        <v>3173</v>
      </c>
      <c r="F177">
        <v>2</v>
      </c>
      <c r="G177" t="b">
        <v>1</v>
      </c>
      <c r="H177" t="s">
        <v>3207</v>
      </c>
      <c r="I177">
        <v>105.77025</v>
      </c>
      <c r="J177" t="s">
        <v>3208</v>
      </c>
      <c r="K177" t="s">
        <v>3182</v>
      </c>
    </row>
    <row r="178" spans="1:11" x14ac:dyDescent="0.25">
      <c r="A178">
        <v>175</v>
      </c>
      <c r="B178" s="26">
        <v>46211.25</v>
      </c>
      <c r="C178" s="27">
        <v>46211</v>
      </c>
      <c r="D178">
        <v>7</v>
      </c>
      <c r="E178" t="s">
        <v>3173</v>
      </c>
      <c r="F178">
        <v>2</v>
      </c>
      <c r="G178" t="b">
        <v>1</v>
      </c>
      <c r="H178" t="s">
        <v>3209</v>
      </c>
      <c r="I178">
        <v>8.6560100000000002</v>
      </c>
      <c r="J178" t="s">
        <v>3210</v>
      </c>
      <c r="K178" t="s">
        <v>3182</v>
      </c>
    </row>
    <row r="179" spans="1:11" x14ac:dyDescent="0.25">
      <c r="A179">
        <v>175</v>
      </c>
      <c r="B179" s="26">
        <v>46211.25</v>
      </c>
      <c r="C179" s="27">
        <v>46211</v>
      </c>
      <c r="D179">
        <v>7</v>
      </c>
      <c r="E179" t="s">
        <v>3173</v>
      </c>
      <c r="F179">
        <v>2</v>
      </c>
      <c r="G179" t="b">
        <v>1</v>
      </c>
      <c r="H179" t="s">
        <v>3211</v>
      </c>
      <c r="I179">
        <v>0.624</v>
      </c>
      <c r="J179" t="s">
        <v>3212</v>
      </c>
      <c r="K179" t="s">
        <v>3182</v>
      </c>
    </row>
    <row r="180" spans="1:11" x14ac:dyDescent="0.25">
      <c r="A180">
        <v>175</v>
      </c>
      <c r="B180" s="26">
        <v>46211.25</v>
      </c>
      <c r="C180" s="27">
        <v>46211</v>
      </c>
      <c r="D180">
        <v>7</v>
      </c>
      <c r="E180" t="s">
        <v>3173</v>
      </c>
      <c r="F180">
        <v>2</v>
      </c>
      <c r="G180" t="b">
        <v>1</v>
      </c>
      <c r="H180" t="s">
        <v>3213</v>
      </c>
      <c r="I180">
        <v>465.82339999999999</v>
      </c>
      <c r="J180" t="s">
        <v>3214</v>
      </c>
      <c r="K180" t="s">
        <v>3182</v>
      </c>
    </row>
    <row r="181" spans="1:11" x14ac:dyDescent="0.25">
      <c r="A181">
        <v>175</v>
      </c>
      <c r="B181" s="26">
        <v>46211.25</v>
      </c>
      <c r="C181" s="27">
        <v>46211</v>
      </c>
      <c r="D181">
        <v>7</v>
      </c>
      <c r="E181" t="s">
        <v>3173</v>
      </c>
      <c r="F181">
        <v>2</v>
      </c>
      <c r="G181" t="b">
        <v>1</v>
      </c>
      <c r="H181" t="s">
        <v>3215</v>
      </c>
      <c r="I181">
        <v>213.50912</v>
      </c>
      <c r="J181" t="s">
        <v>3216</v>
      </c>
      <c r="K181" t="s">
        <v>3182</v>
      </c>
    </row>
    <row r="182" spans="1:11" x14ac:dyDescent="0.25">
      <c r="A182">
        <v>175</v>
      </c>
      <c r="B182" s="26">
        <v>46211.25</v>
      </c>
      <c r="C182" s="27">
        <v>46211</v>
      </c>
      <c r="D182">
        <v>7</v>
      </c>
      <c r="E182" t="s">
        <v>3173</v>
      </c>
      <c r="F182">
        <v>2</v>
      </c>
      <c r="G182" t="b">
        <v>1</v>
      </c>
      <c r="H182" t="s">
        <v>3217</v>
      </c>
      <c r="I182">
        <v>1892.9388300000001</v>
      </c>
      <c r="J182" t="s">
        <v>197</v>
      </c>
      <c r="K182" t="s">
        <v>3182</v>
      </c>
    </row>
    <row r="183" spans="1:11" x14ac:dyDescent="0.25">
      <c r="A183">
        <v>175</v>
      </c>
      <c r="B183" s="26">
        <v>46211.25</v>
      </c>
      <c r="C183" s="27">
        <v>46211</v>
      </c>
      <c r="D183">
        <v>7</v>
      </c>
      <c r="E183" t="s">
        <v>3173</v>
      </c>
      <c r="F183">
        <v>2</v>
      </c>
      <c r="G183" t="b">
        <v>1</v>
      </c>
      <c r="H183" t="s">
        <v>3218</v>
      </c>
      <c r="I183">
        <v>31.230129999999999</v>
      </c>
      <c r="J183" t="s">
        <v>3219</v>
      </c>
      <c r="K183" t="s">
        <v>3182</v>
      </c>
    </row>
    <row r="184" spans="1:11" x14ac:dyDescent="0.25">
      <c r="A184">
        <v>175</v>
      </c>
      <c r="B184" s="26">
        <v>46211.25</v>
      </c>
      <c r="C184" s="27">
        <v>46211</v>
      </c>
      <c r="D184">
        <v>7</v>
      </c>
      <c r="E184" t="s">
        <v>3173</v>
      </c>
      <c r="F184">
        <v>2</v>
      </c>
      <c r="G184" t="b">
        <v>1</v>
      </c>
      <c r="H184" t="s">
        <v>3220</v>
      </c>
      <c r="I184">
        <v>1351.7835399999999</v>
      </c>
      <c r="J184" t="s">
        <v>198</v>
      </c>
      <c r="K184" t="s">
        <v>3182</v>
      </c>
    </row>
    <row r="185" spans="1:11" x14ac:dyDescent="0.25">
      <c r="A185">
        <v>175</v>
      </c>
      <c r="B185" s="26">
        <v>46211.25</v>
      </c>
      <c r="C185" s="27">
        <v>46211</v>
      </c>
      <c r="D185">
        <v>7</v>
      </c>
      <c r="E185" t="s">
        <v>3173</v>
      </c>
      <c r="F185">
        <v>2</v>
      </c>
      <c r="G185" t="b">
        <v>1</v>
      </c>
      <c r="H185" t="s">
        <v>3221</v>
      </c>
      <c r="I185">
        <v>533.56652000000008</v>
      </c>
      <c r="J185" t="s">
        <v>20</v>
      </c>
      <c r="K185" t="s">
        <v>3182</v>
      </c>
    </row>
    <row r="186" spans="1:11" x14ac:dyDescent="0.25">
      <c r="A186">
        <v>175</v>
      </c>
      <c r="B186" s="26">
        <v>46211.25</v>
      </c>
      <c r="C186" s="27">
        <v>46211</v>
      </c>
      <c r="D186">
        <v>7</v>
      </c>
      <c r="E186" t="s">
        <v>3173</v>
      </c>
      <c r="F186">
        <v>2</v>
      </c>
      <c r="G186" t="b">
        <v>1</v>
      </c>
      <c r="H186" t="s">
        <v>3222</v>
      </c>
      <c r="I186">
        <v>11.432399999999999</v>
      </c>
      <c r="J186" t="s">
        <v>3223</v>
      </c>
      <c r="K186" t="s">
        <v>3182</v>
      </c>
    </row>
    <row r="187" spans="1:11" x14ac:dyDescent="0.25">
      <c r="A187">
        <v>175</v>
      </c>
      <c r="B187" s="26">
        <v>46211.25</v>
      </c>
      <c r="C187" s="27">
        <v>46211</v>
      </c>
      <c r="D187">
        <v>7</v>
      </c>
      <c r="E187" t="s">
        <v>3173</v>
      </c>
      <c r="F187">
        <v>2</v>
      </c>
      <c r="G187" t="b">
        <v>1</v>
      </c>
      <c r="H187" t="s">
        <v>3224</v>
      </c>
      <c r="I187">
        <v>347.96242999999998</v>
      </c>
      <c r="J187" t="s">
        <v>3225</v>
      </c>
      <c r="K187" t="s">
        <v>3182</v>
      </c>
    </row>
    <row r="188" spans="1:11" x14ac:dyDescent="0.25">
      <c r="A188">
        <v>175</v>
      </c>
      <c r="B188" s="26">
        <v>46211.25</v>
      </c>
      <c r="C188" s="27">
        <v>46211</v>
      </c>
      <c r="D188">
        <v>7</v>
      </c>
      <c r="E188" t="s">
        <v>3173</v>
      </c>
      <c r="F188">
        <v>2</v>
      </c>
      <c r="G188" t="b">
        <v>1</v>
      </c>
      <c r="H188" t="s">
        <v>3226</v>
      </c>
      <c r="I188">
        <v>1.3074300000000001</v>
      </c>
      <c r="J188" t="s">
        <v>3227</v>
      </c>
      <c r="K188" t="s">
        <v>3182</v>
      </c>
    </row>
    <row r="189" spans="1:11" x14ac:dyDescent="0.25">
      <c r="A189">
        <v>175</v>
      </c>
      <c r="B189" s="26">
        <v>46211.25</v>
      </c>
      <c r="C189" s="27">
        <v>46211</v>
      </c>
      <c r="D189">
        <v>7</v>
      </c>
      <c r="E189" t="s">
        <v>3173</v>
      </c>
      <c r="F189">
        <v>2</v>
      </c>
      <c r="G189" t="b">
        <v>1</v>
      </c>
      <c r="H189" t="s">
        <v>3228</v>
      </c>
      <c r="I189">
        <v>111.04701</v>
      </c>
      <c r="J189" t="s">
        <v>3229</v>
      </c>
      <c r="K189" t="s">
        <v>3182</v>
      </c>
    </row>
    <row r="190" spans="1:11" x14ac:dyDescent="0.25">
      <c r="A190">
        <v>175</v>
      </c>
      <c r="B190" s="26">
        <v>46211.25</v>
      </c>
      <c r="C190" s="27">
        <v>46211</v>
      </c>
      <c r="D190">
        <v>7</v>
      </c>
      <c r="E190" t="s">
        <v>3173</v>
      </c>
      <c r="F190">
        <v>2</v>
      </c>
      <c r="G190" t="b">
        <v>1</v>
      </c>
      <c r="H190" t="s">
        <v>3230</v>
      </c>
      <c r="I190">
        <v>1.91629</v>
      </c>
      <c r="J190" t="s">
        <v>3231</v>
      </c>
      <c r="K190" t="s">
        <v>3182</v>
      </c>
    </row>
    <row r="191" spans="1:11" x14ac:dyDescent="0.25">
      <c r="A191">
        <v>176</v>
      </c>
      <c r="B191" s="26">
        <v>46211.291666666657</v>
      </c>
      <c r="C191" s="27">
        <v>46211</v>
      </c>
      <c r="D191">
        <v>8</v>
      </c>
      <c r="E191" t="s">
        <v>3173</v>
      </c>
      <c r="F191">
        <v>2</v>
      </c>
      <c r="G191" t="b">
        <v>1</v>
      </c>
      <c r="H191" t="s">
        <v>3180</v>
      </c>
      <c r="I191">
        <v>65.082530000000006</v>
      </c>
      <c r="J191" t="s">
        <v>3181</v>
      </c>
      <c r="K191" t="s">
        <v>3182</v>
      </c>
    </row>
    <row r="192" spans="1:11" x14ac:dyDescent="0.25">
      <c r="A192">
        <v>176</v>
      </c>
      <c r="B192" s="26">
        <v>46211.291666666657</v>
      </c>
      <c r="C192" s="27">
        <v>46211</v>
      </c>
      <c r="D192">
        <v>8</v>
      </c>
      <c r="E192" t="s">
        <v>3173</v>
      </c>
      <c r="F192">
        <v>2</v>
      </c>
      <c r="G192" t="b">
        <v>1</v>
      </c>
      <c r="H192" t="s">
        <v>3183</v>
      </c>
      <c r="I192">
        <v>111.12085</v>
      </c>
      <c r="J192" t="s">
        <v>3184</v>
      </c>
      <c r="K192" t="s">
        <v>3182</v>
      </c>
    </row>
    <row r="193" spans="1:11" x14ac:dyDescent="0.25">
      <c r="A193">
        <v>176</v>
      </c>
      <c r="B193" s="26">
        <v>46211.291666666657</v>
      </c>
      <c r="C193" s="27">
        <v>46211</v>
      </c>
      <c r="D193">
        <v>8</v>
      </c>
      <c r="E193" t="s">
        <v>3173</v>
      </c>
      <c r="F193">
        <v>2</v>
      </c>
      <c r="G193" t="b">
        <v>1</v>
      </c>
      <c r="H193" t="s">
        <v>3185</v>
      </c>
      <c r="I193">
        <v>126.42648</v>
      </c>
      <c r="J193" t="s">
        <v>3186</v>
      </c>
      <c r="K193" t="s">
        <v>3182</v>
      </c>
    </row>
    <row r="194" spans="1:11" x14ac:dyDescent="0.25">
      <c r="A194">
        <v>176</v>
      </c>
      <c r="B194" s="26">
        <v>46211.291666666657</v>
      </c>
      <c r="C194" s="27">
        <v>46211</v>
      </c>
      <c r="D194">
        <v>8</v>
      </c>
      <c r="E194" t="s">
        <v>3173</v>
      </c>
      <c r="F194">
        <v>2</v>
      </c>
      <c r="G194" t="b">
        <v>1</v>
      </c>
      <c r="H194" t="s">
        <v>3187</v>
      </c>
      <c r="I194">
        <v>26.962859999999999</v>
      </c>
      <c r="J194" t="s">
        <v>3188</v>
      </c>
      <c r="K194" t="s">
        <v>3182</v>
      </c>
    </row>
    <row r="195" spans="1:11" x14ac:dyDescent="0.25">
      <c r="A195">
        <v>176</v>
      </c>
      <c r="B195" s="26">
        <v>46211.291666666657</v>
      </c>
      <c r="C195" s="27">
        <v>46211</v>
      </c>
      <c r="D195">
        <v>8</v>
      </c>
      <c r="E195" t="s">
        <v>3173</v>
      </c>
      <c r="F195">
        <v>2</v>
      </c>
      <c r="G195" t="b">
        <v>1</v>
      </c>
      <c r="H195" t="s">
        <v>3189</v>
      </c>
      <c r="I195">
        <v>215.56976</v>
      </c>
      <c r="J195" t="s">
        <v>3190</v>
      </c>
      <c r="K195" t="s">
        <v>3182</v>
      </c>
    </row>
    <row r="196" spans="1:11" x14ac:dyDescent="0.25">
      <c r="A196">
        <v>176</v>
      </c>
      <c r="B196" s="26">
        <v>46211.291666666657</v>
      </c>
      <c r="C196" s="27">
        <v>46211</v>
      </c>
      <c r="D196">
        <v>8</v>
      </c>
      <c r="E196" t="s">
        <v>3173</v>
      </c>
      <c r="F196">
        <v>2</v>
      </c>
      <c r="G196" t="b">
        <v>1</v>
      </c>
      <c r="H196" t="s">
        <v>3191</v>
      </c>
      <c r="I196">
        <v>1270.8488199999999</v>
      </c>
      <c r="J196" t="s">
        <v>3192</v>
      </c>
      <c r="K196" t="s">
        <v>3182</v>
      </c>
    </row>
    <row r="197" spans="1:11" x14ac:dyDescent="0.25">
      <c r="A197">
        <v>176</v>
      </c>
      <c r="B197" s="26">
        <v>46211.291666666657</v>
      </c>
      <c r="C197" s="27">
        <v>46211</v>
      </c>
      <c r="D197">
        <v>8</v>
      </c>
      <c r="E197" t="s">
        <v>3173</v>
      </c>
      <c r="F197">
        <v>2</v>
      </c>
      <c r="G197" t="b">
        <v>1</v>
      </c>
      <c r="H197" t="s">
        <v>3193</v>
      </c>
      <c r="I197">
        <v>257.19607999999999</v>
      </c>
      <c r="J197" t="s">
        <v>3194</v>
      </c>
      <c r="K197" t="s">
        <v>3182</v>
      </c>
    </row>
    <row r="198" spans="1:11" x14ac:dyDescent="0.25">
      <c r="A198">
        <v>176</v>
      </c>
      <c r="B198" s="26">
        <v>46211.291666666657</v>
      </c>
      <c r="C198" s="27">
        <v>46211</v>
      </c>
      <c r="D198">
        <v>8</v>
      </c>
      <c r="E198" t="s">
        <v>3173</v>
      </c>
      <c r="F198">
        <v>2</v>
      </c>
      <c r="G198" t="b">
        <v>1</v>
      </c>
      <c r="H198" t="s">
        <v>3195</v>
      </c>
      <c r="I198">
        <v>33.511710000000001</v>
      </c>
      <c r="J198" t="s">
        <v>3196</v>
      </c>
      <c r="K198" t="s">
        <v>3182</v>
      </c>
    </row>
    <row r="199" spans="1:11" x14ac:dyDescent="0.25">
      <c r="A199">
        <v>176</v>
      </c>
      <c r="B199" s="26">
        <v>46211.291666666657</v>
      </c>
      <c r="C199" s="27">
        <v>46211</v>
      </c>
      <c r="D199">
        <v>8</v>
      </c>
      <c r="E199" t="s">
        <v>3173</v>
      </c>
      <c r="F199">
        <v>2</v>
      </c>
      <c r="G199" t="b">
        <v>1</v>
      </c>
      <c r="H199" t="s">
        <v>3197</v>
      </c>
      <c r="I199">
        <v>1317.2830300000001</v>
      </c>
      <c r="J199" t="s">
        <v>3198</v>
      </c>
      <c r="K199" t="s">
        <v>3182</v>
      </c>
    </row>
    <row r="200" spans="1:11" x14ac:dyDescent="0.25">
      <c r="A200">
        <v>176</v>
      </c>
      <c r="B200" s="26">
        <v>46211.291666666657</v>
      </c>
      <c r="C200" s="27">
        <v>46211</v>
      </c>
      <c r="D200">
        <v>8</v>
      </c>
      <c r="E200" t="s">
        <v>3173</v>
      </c>
      <c r="F200">
        <v>2</v>
      </c>
      <c r="G200" t="b">
        <v>1</v>
      </c>
      <c r="H200" t="s">
        <v>3199</v>
      </c>
      <c r="I200">
        <v>8.9106299999999994</v>
      </c>
      <c r="J200" t="s">
        <v>3200</v>
      </c>
      <c r="K200" t="s">
        <v>3182</v>
      </c>
    </row>
    <row r="201" spans="1:11" x14ac:dyDescent="0.25">
      <c r="A201">
        <v>176</v>
      </c>
      <c r="B201" s="26">
        <v>46211.291666666657</v>
      </c>
      <c r="C201" s="27">
        <v>46211</v>
      </c>
      <c r="D201">
        <v>8</v>
      </c>
      <c r="E201" t="s">
        <v>3173</v>
      </c>
      <c r="F201">
        <v>2</v>
      </c>
      <c r="G201" t="b">
        <v>1</v>
      </c>
      <c r="H201" t="s">
        <v>3201</v>
      </c>
      <c r="I201">
        <v>234.49789000000001</v>
      </c>
      <c r="J201" t="s">
        <v>3202</v>
      </c>
      <c r="K201" t="s">
        <v>3182</v>
      </c>
    </row>
    <row r="202" spans="1:11" x14ac:dyDescent="0.25">
      <c r="A202">
        <v>176</v>
      </c>
      <c r="B202" s="26">
        <v>46211.291666666657</v>
      </c>
      <c r="C202" s="27">
        <v>46211</v>
      </c>
      <c r="D202">
        <v>8</v>
      </c>
      <c r="E202" t="s">
        <v>3173</v>
      </c>
      <c r="F202">
        <v>2</v>
      </c>
      <c r="G202" t="b">
        <v>1</v>
      </c>
      <c r="H202" t="s">
        <v>3203</v>
      </c>
      <c r="I202">
        <v>37.75468</v>
      </c>
      <c r="J202" t="s">
        <v>3204</v>
      </c>
      <c r="K202" t="s">
        <v>3182</v>
      </c>
    </row>
    <row r="203" spans="1:11" x14ac:dyDescent="0.25">
      <c r="A203">
        <v>176</v>
      </c>
      <c r="B203" s="26">
        <v>46211.291666666657</v>
      </c>
      <c r="C203" s="27">
        <v>46211</v>
      </c>
      <c r="D203">
        <v>8</v>
      </c>
      <c r="E203" t="s">
        <v>3173</v>
      </c>
      <c r="F203">
        <v>2</v>
      </c>
      <c r="G203" t="b">
        <v>1</v>
      </c>
      <c r="H203" t="s">
        <v>3205</v>
      </c>
      <c r="I203">
        <v>69.718490000000003</v>
      </c>
      <c r="J203" t="s">
        <v>3206</v>
      </c>
      <c r="K203" t="s">
        <v>3182</v>
      </c>
    </row>
    <row r="204" spans="1:11" x14ac:dyDescent="0.25">
      <c r="A204">
        <v>176</v>
      </c>
      <c r="B204" s="26">
        <v>46211.291666666657</v>
      </c>
      <c r="C204" s="27">
        <v>46211</v>
      </c>
      <c r="D204">
        <v>8</v>
      </c>
      <c r="E204" t="s">
        <v>3173</v>
      </c>
      <c r="F204">
        <v>2</v>
      </c>
      <c r="G204" t="b">
        <v>1</v>
      </c>
      <c r="H204" t="s">
        <v>3207</v>
      </c>
      <c r="I204">
        <v>116.75863</v>
      </c>
      <c r="J204" t="s">
        <v>3208</v>
      </c>
      <c r="K204" t="s">
        <v>3182</v>
      </c>
    </row>
    <row r="205" spans="1:11" x14ac:dyDescent="0.25">
      <c r="A205">
        <v>176</v>
      </c>
      <c r="B205" s="26">
        <v>46211.291666666657</v>
      </c>
      <c r="C205" s="27">
        <v>46211</v>
      </c>
      <c r="D205">
        <v>8</v>
      </c>
      <c r="E205" t="s">
        <v>3173</v>
      </c>
      <c r="F205">
        <v>2</v>
      </c>
      <c r="G205" t="b">
        <v>1</v>
      </c>
      <c r="H205" t="s">
        <v>3209</v>
      </c>
      <c r="I205">
        <v>9.4002700000000008</v>
      </c>
      <c r="J205" t="s">
        <v>3210</v>
      </c>
      <c r="K205" t="s">
        <v>3182</v>
      </c>
    </row>
    <row r="206" spans="1:11" x14ac:dyDescent="0.25">
      <c r="A206">
        <v>176</v>
      </c>
      <c r="B206" s="26">
        <v>46211.291666666657</v>
      </c>
      <c r="C206" s="27">
        <v>46211</v>
      </c>
      <c r="D206">
        <v>8</v>
      </c>
      <c r="E206" t="s">
        <v>3173</v>
      </c>
      <c r="F206">
        <v>2</v>
      </c>
      <c r="G206" t="b">
        <v>1</v>
      </c>
      <c r="H206" t="s">
        <v>3211</v>
      </c>
      <c r="I206">
        <v>0.63800000000000001</v>
      </c>
      <c r="J206" t="s">
        <v>3212</v>
      </c>
      <c r="K206" t="s">
        <v>3182</v>
      </c>
    </row>
    <row r="207" spans="1:11" x14ac:dyDescent="0.25">
      <c r="A207">
        <v>176</v>
      </c>
      <c r="B207" s="26">
        <v>46211.291666666657</v>
      </c>
      <c r="C207" s="27">
        <v>46211</v>
      </c>
      <c r="D207">
        <v>8</v>
      </c>
      <c r="E207" t="s">
        <v>3173</v>
      </c>
      <c r="F207">
        <v>2</v>
      </c>
      <c r="G207" t="b">
        <v>1</v>
      </c>
      <c r="H207" t="s">
        <v>3213</v>
      </c>
      <c r="I207">
        <v>516.05066999999997</v>
      </c>
      <c r="J207" t="s">
        <v>3214</v>
      </c>
      <c r="K207" t="s">
        <v>3182</v>
      </c>
    </row>
    <row r="208" spans="1:11" x14ac:dyDescent="0.25">
      <c r="A208">
        <v>176</v>
      </c>
      <c r="B208" s="26">
        <v>46211.291666666657</v>
      </c>
      <c r="C208" s="27">
        <v>46211</v>
      </c>
      <c r="D208">
        <v>8</v>
      </c>
      <c r="E208" t="s">
        <v>3173</v>
      </c>
      <c r="F208">
        <v>2</v>
      </c>
      <c r="G208" t="b">
        <v>1</v>
      </c>
      <c r="H208" t="s">
        <v>3215</v>
      </c>
      <c r="I208">
        <v>211.45302000000001</v>
      </c>
      <c r="J208" t="s">
        <v>3216</v>
      </c>
      <c r="K208" t="s">
        <v>3182</v>
      </c>
    </row>
    <row r="209" spans="1:11" x14ac:dyDescent="0.25">
      <c r="A209">
        <v>176</v>
      </c>
      <c r="B209" s="26">
        <v>46211.291666666657</v>
      </c>
      <c r="C209" s="27">
        <v>46211</v>
      </c>
      <c r="D209">
        <v>8</v>
      </c>
      <c r="E209" t="s">
        <v>3173</v>
      </c>
      <c r="F209">
        <v>2</v>
      </c>
      <c r="G209" t="b">
        <v>1</v>
      </c>
      <c r="H209" t="s">
        <v>3217</v>
      </c>
      <c r="I209">
        <v>2011.9540500000001</v>
      </c>
      <c r="J209" t="s">
        <v>197</v>
      </c>
      <c r="K209" t="s">
        <v>3182</v>
      </c>
    </row>
    <row r="210" spans="1:11" x14ac:dyDescent="0.25">
      <c r="A210">
        <v>176</v>
      </c>
      <c r="B210" s="26">
        <v>46211.291666666657</v>
      </c>
      <c r="C210" s="27">
        <v>46211</v>
      </c>
      <c r="D210">
        <v>8</v>
      </c>
      <c r="E210" t="s">
        <v>3173</v>
      </c>
      <c r="F210">
        <v>2</v>
      </c>
      <c r="G210" t="b">
        <v>1</v>
      </c>
      <c r="H210" t="s">
        <v>3218</v>
      </c>
      <c r="I210">
        <v>35.191859999999998</v>
      </c>
      <c r="J210" t="s">
        <v>3219</v>
      </c>
      <c r="K210" t="s">
        <v>3182</v>
      </c>
    </row>
    <row r="211" spans="1:11" x14ac:dyDescent="0.25">
      <c r="A211">
        <v>176</v>
      </c>
      <c r="B211" s="26">
        <v>46211.291666666657</v>
      </c>
      <c r="C211" s="27">
        <v>46211</v>
      </c>
      <c r="D211">
        <v>8</v>
      </c>
      <c r="E211" t="s">
        <v>3173</v>
      </c>
      <c r="F211">
        <v>2</v>
      </c>
      <c r="G211" t="b">
        <v>1</v>
      </c>
      <c r="H211" t="s">
        <v>3220</v>
      </c>
      <c r="I211">
        <v>1445.3991599999999</v>
      </c>
      <c r="J211" t="s">
        <v>198</v>
      </c>
      <c r="K211" t="s">
        <v>3182</v>
      </c>
    </row>
    <row r="212" spans="1:11" x14ac:dyDescent="0.25">
      <c r="A212">
        <v>176</v>
      </c>
      <c r="B212" s="26">
        <v>46211.291666666657</v>
      </c>
      <c r="C212" s="27">
        <v>46211</v>
      </c>
      <c r="D212">
        <v>8</v>
      </c>
      <c r="E212" t="s">
        <v>3173</v>
      </c>
      <c r="F212">
        <v>2</v>
      </c>
      <c r="G212" t="b">
        <v>1</v>
      </c>
      <c r="H212" t="s">
        <v>3221</v>
      </c>
      <c r="I212">
        <v>555.28234999999995</v>
      </c>
      <c r="J212" t="s">
        <v>20</v>
      </c>
      <c r="K212" t="s">
        <v>3182</v>
      </c>
    </row>
    <row r="213" spans="1:11" x14ac:dyDescent="0.25">
      <c r="A213">
        <v>176</v>
      </c>
      <c r="B213" s="26">
        <v>46211.291666666657</v>
      </c>
      <c r="C213" s="27">
        <v>46211</v>
      </c>
      <c r="D213">
        <v>8</v>
      </c>
      <c r="E213" t="s">
        <v>3173</v>
      </c>
      <c r="F213">
        <v>2</v>
      </c>
      <c r="G213" t="b">
        <v>1</v>
      </c>
      <c r="H213" t="s">
        <v>3222</v>
      </c>
      <c r="I213">
        <v>13.116989999999999</v>
      </c>
      <c r="J213" t="s">
        <v>3223</v>
      </c>
      <c r="K213" t="s">
        <v>3182</v>
      </c>
    </row>
    <row r="214" spans="1:11" x14ac:dyDescent="0.25">
      <c r="A214">
        <v>176</v>
      </c>
      <c r="B214" s="26">
        <v>46211.291666666657</v>
      </c>
      <c r="C214" s="27">
        <v>46211</v>
      </c>
      <c r="D214">
        <v>8</v>
      </c>
      <c r="E214" t="s">
        <v>3173</v>
      </c>
      <c r="F214">
        <v>2</v>
      </c>
      <c r="G214" t="b">
        <v>1</v>
      </c>
      <c r="H214" t="s">
        <v>3224</v>
      </c>
      <c r="I214">
        <v>378.82709999999997</v>
      </c>
      <c r="J214" t="s">
        <v>3225</v>
      </c>
      <c r="K214" t="s">
        <v>3182</v>
      </c>
    </row>
    <row r="215" spans="1:11" x14ac:dyDescent="0.25">
      <c r="A215">
        <v>176</v>
      </c>
      <c r="B215" s="26">
        <v>46211.291666666657</v>
      </c>
      <c r="C215" s="27">
        <v>46211</v>
      </c>
      <c r="D215">
        <v>8</v>
      </c>
      <c r="E215" t="s">
        <v>3173</v>
      </c>
      <c r="F215">
        <v>2</v>
      </c>
      <c r="G215" t="b">
        <v>1</v>
      </c>
      <c r="H215" t="s">
        <v>3226</v>
      </c>
      <c r="I215">
        <v>1.6036699999999999</v>
      </c>
      <c r="J215" t="s">
        <v>3227</v>
      </c>
      <c r="K215" t="s">
        <v>3182</v>
      </c>
    </row>
    <row r="216" spans="1:11" x14ac:dyDescent="0.25">
      <c r="A216">
        <v>176</v>
      </c>
      <c r="B216" s="26">
        <v>46211.291666666657</v>
      </c>
      <c r="C216" s="27">
        <v>46211</v>
      </c>
      <c r="D216">
        <v>8</v>
      </c>
      <c r="E216" t="s">
        <v>3173</v>
      </c>
      <c r="F216">
        <v>2</v>
      </c>
      <c r="G216" t="b">
        <v>1</v>
      </c>
      <c r="H216" t="s">
        <v>3228</v>
      </c>
      <c r="I216">
        <v>126.06422000000001</v>
      </c>
      <c r="J216" t="s">
        <v>3229</v>
      </c>
      <c r="K216" t="s">
        <v>3182</v>
      </c>
    </row>
    <row r="217" spans="1:11" x14ac:dyDescent="0.25">
      <c r="A217">
        <v>176</v>
      </c>
      <c r="B217" s="26">
        <v>46211.291666666657</v>
      </c>
      <c r="C217" s="27">
        <v>46211</v>
      </c>
      <c r="D217">
        <v>8</v>
      </c>
      <c r="E217" t="s">
        <v>3173</v>
      </c>
      <c r="F217">
        <v>2</v>
      </c>
      <c r="G217" t="b">
        <v>1</v>
      </c>
      <c r="H217" t="s">
        <v>3230</v>
      </c>
      <c r="I217">
        <v>1.9140600000000001</v>
      </c>
      <c r="J217" t="s">
        <v>3231</v>
      </c>
      <c r="K217" t="s">
        <v>3182</v>
      </c>
    </row>
    <row r="218" spans="1:11" x14ac:dyDescent="0.25">
      <c r="A218">
        <v>177</v>
      </c>
      <c r="B218" s="26">
        <v>46211.333333333343</v>
      </c>
      <c r="C218" s="27">
        <v>46211</v>
      </c>
      <c r="D218">
        <v>9</v>
      </c>
      <c r="E218" t="s">
        <v>3173</v>
      </c>
      <c r="F218">
        <v>2</v>
      </c>
      <c r="G218" t="b">
        <v>1</v>
      </c>
      <c r="H218" t="s">
        <v>3180</v>
      </c>
      <c r="I218">
        <v>71.325210000000013</v>
      </c>
      <c r="J218" t="s">
        <v>3181</v>
      </c>
      <c r="K218" t="s">
        <v>3182</v>
      </c>
    </row>
    <row r="219" spans="1:11" x14ac:dyDescent="0.25">
      <c r="A219">
        <v>177</v>
      </c>
      <c r="B219" s="26">
        <v>46211.333333333343</v>
      </c>
      <c r="C219" s="27">
        <v>46211</v>
      </c>
      <c r="D219">
        <v>9</v>
      </c>
      <c r="E219" t="s">
        <v>3173</v>
      </c>
      <c r="F219">
        <v>2</v>
      </c>
      <c r="G219" t="b">
        <v>1</v>
      </c>
      <c r="H219" t="s">
        <v>3183</v>
      </c>
      <c r="I219">
        <v>117.76533999999999</v>
      </c>
      <c r="J219" t="s">
        <v>3184</v>
      </c>
      <c r="K219" t="s">
        <v>3182</v>
      </c>
    </row>
    <row r="220" spans="1:11" x14ac:dyDescent="0.25">
      <c r="A220">
        <v>177</v>
      </c>
      <c r="B220" s="26">
        <v>46211.333333333343</v>
      </c>
      <c r="C220" s="27">
        <v>46211</v>
      </c>
      <c r="D220">
        <v>9</v>
      </c>
      <c r="E220" t="s">
        <v>3173</v>
      </c>
      <c r="F220">
        <v>2</v>
      </c>
      <c r="G220" t="b">
        <v>1</v>
      </c>
      <c r="H220" t="s">
        <v>3185</v>
      </c>
      <c r="I220">
        <v>128.08418</v>
      </c>
      <c r="J220" t="s">
        <v>3186</v>
      </c>
      <c r="K220" t="s">
        <v>3182</v>
      </c>
    </row>
    <row r="221" spans="1:11" x14ac:dyDescent="0.25">
      <c r="A221">
        <v>177</v>
      </c>
      <c r="B221" s="26">
        <v>46211.333333333343</v>
      </c>
      <c r="C221" s="27">
        <v>46211</v>
      </c>
      <c r="D221">
        <v>9</v>
      </c>
      <c r="E221" t="s">
        <v>3173</v>
      </c>
      <c r="F221">
        <v>2</v>
      </c>
      <c r="G221" t="b">
        <v>1</v>
      </c>
      <c r="H221" t="s">
        <v>3187</v>
      </c>
      <c r="I221">
        <v>28.752770000000002</v>
      </c>
      <c r="J221" t="s">
        <v>3188</v>
      </c>
      <c r="K221" t="s">
        <v>3182</v>
      </c>
    </row>
    <row r="222" spans="1:11" x14ac:dyDescent="0.25">
      <c r="A222">
        <v>177</v>
      </c>
      <c r="B222" s="26">
        <v>46211.333333333343</v>
      </c>
      <c r="C222" s="27">
        <v>46211</v>
      </c>
      <c r="D222">
        <v>9</v>
      </c>
      <c r="E222" t="s">
        <v>3173</v>
      </c>
      <c r="F222">
        <v>2</v>
      </c>
      <c r="G222" t="b">
        <v>1</v>
      </c>
      <c r="H222" t="s">
        <v>3189</v>
      </c>
      <c r="I222">
        <v>226.60115999999999</v>
      </c>
      <c r="J222" t="s">
        <v>3190</v>
      </c>
      <c r="K222" t="s">
        <v>3182</v>
      </c>
    </row>
    <row r="223" spans="1:11" x14ac:dyDescent="0.25">
      <c r="A223">
        <v>177</v>
      </c>
      <c r="B223" s="26">
        <v>46211.333333333343</v>
      </c>
      <c r="C223" s="27">
        <v>46211</v>
      </c>
      <c r="D223">
        <v>9</v>
      </c>
      <c r="E223" t="s">
        <v>3173</v>
      </c>
      <c r="F223">
        <v>2</v>
      </c>
      <c r="G223" t="b">
        <v>1</v>
      </c>
      <c r="H223" t="s">
        <v>3191</v>
      </c>
      <c r="I223">
        <v>1317.61895</v>
      </c>
      <c r="J223" t="s">
        <v>3192</v>
      </c>
      <c r="K223" t="s">
        <v>3182</v>
      </c>
    </row>
    <row r="224" spans="1:11" x14ac:dyDescent="0.25">
      <c r="A224">
        <v>177</v>
      </c>
      <c r="B224" s="26">
        <v>46211.333333333343</v>
      </c>
      <c r="C224" s="27">
        <v>46211</v>
      </c>
      <c r="D224">
        <v>9</v>
      </c>
      <c r="E224" t="s">
        <v>3173</v>
      </c>
      <c r="F224">
        <v>2</v>
      </c>
      <c r="G224" t="b">
        <v>1</v>
      </c>
      <c r="H224" t="s">
        <v>3193</v>
      </c>
      <c r="I224">
        <v>280.50713000000002</v>
      </c>
      <c r="J224" t="s">
        <v>3194</v>
      </c>
      <c r="K224" t="s">
        <v>3182</v>
      </c>
    </row>
    <row r="225" spans="1:11" x14ac:dyDescent="0.25">
      <c r="A225">
        <v>177</v>
      </c>
      <c r="B225" s="26">
        <v>46211.333333333343</v>
      </c>
      <c r="C225" s="27">
        <v>46211</v>
      </c>
      <c r="D225">
        <v>9</v>
      </c>
      <c r="E225" t="s">
        <v>3173</v>
      </c>
      <c r="F225">
        <v>2</v>
      </c>
      <c r="G225" t="b">
        <v>1</v>
      </c>
      <c r="H225" t="s">
        <v>3195</v>
      </c>
      <c r="I225">
        <v>36.134819999999998</v>
      </c>
      <c r="J225" t="s">
        <v>3196</v>
      </c>
      <c r="K225" t="s">
        <v>3182</v>
      </c>
    </row>
    <row r="226" spans="1:11" x14ac:dyDescent="0.25">
      <c r="A226">
        <v>177</v>
      </c>
      <c r="B226" s="26">
        <v>46211.333333333343</v>
      </c>
      <c r="C226" s="27">
        <v>46211</v>
      </c>
      <c r="D226">
        <v>9</v>
      </c>
      <c r="E226" t="s">
        <v>3173</v>
      </c>
      <c r="F226">
        <v>2</v>
      </c>
      <c r="G226" t="b">
        <v>1</v>
      </c>
      <c r="H226" t="s">
        <v>3197</v>
      </c>
      <c r="I226">
        <v>1379.4277099999999</v>
      </c>
      <c r="J226" t="s">
        <v>3198</v>
      </c>
      <c r="K226" t="s">
        <v>3182</v>
      </c>
    </row>
    <row r="227" spans="1:11" x14ac:dyDescent="0.25">
      <c r="A227">
        <v>177</v>
      </c>
      <c r="B227" s="26">
        <v>46211.333333333343</v>
      </c>
      <c r="C227" s="27">
        <v>46211</v>
      </c>
      <c r="D227">
        <v>9</v>
      </c>
      <c r="E227" t="s">
        <v>3173</v>
      </c>
      <c r="F227">
        <v>2</v>
      </c>
      <c r="G227" t="b">
        <v>1</v>
      </c>
      <c r="H227" t="s">
        <v>3199</v>
      </c>
      <c r="I227">
        <v>8.9116900000000001</v>
      </c>
      <c r="J227" t="s">
        <v>3200</v>
      </c>
      <c r="K227" t="s">
        <v>3182</v>
      </c>
    </row>
    <row r="228" spans="1:11" x14ac:dyDescent="0.25">
      <c r="A228">
        <v>177</v>
      </c>
      <c r="B228" s="26">
        <v>46211.333333333343</v>
      </c>
      <c r="C228" s="27">
        <v>46211</v>
      </c>
      <c r="D228">
        <v>9</v>
      </c>
      <c r="E228" t="s">
        <v>3173</v>
      </c>
      <c r="F228">
        <v>2</v>
      </c>
      <c r="G228" t="b">
        <v>1</v>
      </c>
      <c r="H228" t="s">
        <v>3201</v>
      </c>
      <c r="I228">
        <v>246.92981</v>
      </c>
      <c r="J228" t="s">
        <v>3202</v>
      </c>
      <c r="K228" t="s">
        <v>3182</v>
      </c>
    </row>
    <row r="229" spans="1:11" x14ac:dyDescent="0.25">
      <c r="A229">
        <v>177</v>
      </c>
      <c r="B229" s="26">
        <v>46211.333333333343</v>
      </c>
      <c r="C229" s="27">
        <v>46211</v>
      </c>
      <c r="D229">
        <v>9</v>
      </c>
      <c r="E229" t="s">
        <v>3173</v>
      </c>
      <c r="F229">
        <v>2</v>
      </c>
      <c r="G229" t="b">
        <v>1</v>
      </c>
      <c r="H229" t="s">
        <v>3203</v>
      </c>
      <c r="I229">
        <v>40.657530000000001</v>
      </c>
      <c r="J229" t="s">
        <v>3204</v>
      </c>
      <c r="K229" t="s">
        <v>3182</v>
      </c>
    </row>
    <row r="230" spans="1:11" x14ac:dyDescent="0.25">
      <c r="A230">
        <v>177</v>
      </c>
      <c r="B230" s="26">
        <v>46211.333333333343</v>
      </c>
      <c r="C230" s="27">
        <v>46211</v>
      </c>
      <c r="D230">
        <v>9</v>
      </c>
      <c r="E230" t="s">
        <v>3173</v>
      </c>
      <c r="F230">
        <v>2</v>
      </c>
      <c r="G230" t="b">
        <v>1</v>
      </c>
      <c r="H230" t="s">
        <v>3205</v>
      </c>
      <c r="I230">
        <v>75.498350000000002</v>
      </c>
      <c r="J230" t="s">
        <v>3206</v>
      </c>
      <c r="K230" t="s">
        <v>3182</v>
      </c>
    </row>
    <row r="231" spans="1:11" x14ac:dyDescent="0.25">
      <c r="A231">
        <v>177</v>
      </c>
      <c r="B231" s="26">
        <v>46211.333333333343</v>
      </c>
      <c r="C231" s="27">
        <v>46211</v>
      </c>
      <c r="D231">
        <v>9</v>
      </c>
      <c r="E231" t="s">
        <v>3173</v>
      </c>
      <c r="F231">
        <v>2</v>
      </c>
      <c r="G231" t="b">
        <v>1</v>
      </c>
      <c r="H231" t="s">
        <v>3207</v>
      </c>
      <c r="I231">
        <v>127.1426</v>
      </c>
      <c r="J231" t="s">
        <v>3208</v>
      </c>
      <c r="K231" t="s">
        <v>3182</v>
      </c>
    </row>
    <row r="232" spans="1:11" x14ac:dyDescent="0.25">
      <c r="A232">
        <v>177</v>
      </c>
      <c r="B232" s="26">
        <v>46211.333333333343</v>
      </c>
      <c r="C232" s="27">
        <v>46211</v>
      </c>
      <c r="D232">
        <v>9</v>
      </c>
      <c r="E232" t="s">
        <v>3173</v>
      </c>
      <c r="F232">
        <v>2</v>
      </c>
      <c r="G232" t="b">
        <v>1</v>
      </c>
      <c r="H232" t="s">
        <v>3209</v>
      </c>
      <c r="I232">
        <v>10.451930000000001</v>
      </c>
      <c r="J232" t="s">
        <v>3210</v>
      </c>
      <c r="K232" t="s">
        <v>3182</v>
      </c>
    </row>
    <row r="233" spans="1:11" x14ac:dyDescent="0.25">
      <c r="A233">
        <v>177</v>
      </c>
      <c r="B233" s="26">
        <v>46211.333333333343</v>
      </c>
      <c r="C233" s="27">
        <v>46211</v>
      </c>
      <c r="D233">
        <v>9</v>
      </c>
      <c r="E233" t="s">
        <v>3173</v>
      </c>
      <c r="F233">
        <v>2</v>
      </c>
      <c r="G233" t="b">
        <v>1</v>
      </c>
      <c r="H233" t="s">
        <v>3211</v>
      </c>
      <c r="I233">
        <v>0.69300000000000006</v>
      </c>
      <c r="J233" t="s">
        <v>3212</v>
      </c>
      <c r="K233" t="s">
        <v>3182</v>
      </c>
    </row>
    <row r="234" spans="1:11" x14ac:dyDescent="0.25">
      <c r="A234">
        <v>177</v>
      </c>
      <c r="B234" s="26">
        <v>46211.333333333343</v>
      </c>
      <c r="C234" s="27">
        <v>46211</v>
      </c>
      <c r="D234">
        <v>9</v>
      </c>
      <c r="E234" t="s">
        <v>3173</v>
      </c>
      <c r="F234">
        <v>2</v>
      </c>
      <c r="G234" t="b">
        <v>1</v>
      </c>
      <c r="H234" t="s">
        <v>3213</v>
      </c>
      <c r="I234">
        <v>572.17561000000001</v>
      </c>
      <c r="J234" t="s">
        <v>3214</v>
      </c>
      <c r="K234" t="s">
        <v>3182</v>
      </c>
    </row>
    <row r="235" spans="1:11" x14ac:dyDescent="0.25">
      <c r="A235">
        <v>177</v>
      </c>
      <c r="B235" s="26">
        <v>46211.333333333343</v>
      </c>
      <c r="C235" s="27">
        <v>46211</v>
      </c>
      <c r="D235">
        <v>9</v>
      </c>
      <c r="E235" t="s">
        <v>3173</v>
      </c>
      <c r="F235">
        <v>2</v>
      </c>
      <c r="G235" t="b">
        <v>1</v>
      </c>
      <c r="H235" t="s">
        <v>3215</v>
      </c>
      <c r="I235">
        <v>220.18834000000001</v>
      </c>
      <c r="J235" t="s">
        <v>3216</v>
      </c>
      <c r="K235" t="s">
        <v>3182</v>
      </c>
    </row>
    <row r="236" spans="1:11" x14ac:dyDescent="0.25">
      <c r="A236">
        <v>177</v>
      </c>
      <c r="B236" s="26">
        <v>46211.333333333343</v>
      </c>
      <c r="C236" s="27">
        <v>46211</v>
      </c>
      <c r="D236">
        <v>9</v>
      </c>
      <c r="E236" t="s">
        <v>3173</v>
      </c>
      <c r="F236">
        <v>2</v>
      </c>
      <c r="G236" t="b">
        <v>1</v>
      </c>
      <c r="H236" t="s">
        <v>3217</v>
      </c>
      <c r="I236">
        <v>2118.3468400000002</v>
      </c>
      <c r="J236" t="s">
        <v>197</v>
      </c>
      <c r="K236" t="s">
        <v>3182</v>
      </c>
    </row>
    <row r="237" spans="1:11" x14ac:dyDescent="0.25">
      <c r="A237">
        <v>177</v>
      </c>
      <c r="B237" s="26">
        <v>46211.333333333343</v>
      </c>
      <c r="C237" s="27">
        <v>46211</v>
      </c>
      <c r="D237">
        <v>9</v>
      </c>
      <c r="E237" t="s">
        <v>3173</v>
      </c>
      <c r="F237">
        <v>2</v>
      </c>
      <c r="G237" t="b">
        <v>1</v>
      </c>
      <c r="H237" t="s">
        <v>3218</v>
      </c>
      <c r="I237">
        <v>39.678460000000001</v>
      </c>
      <c r="J237" t="s">
        <v>3219</v>
      </c>
      <c r="K237" t="s">
        <v>3182</v>
      </c>
    </row>
    <row r="238" spans="1:11" x14ac:dyDescent="0.25">
      <c r="A238">
        <v>177</v>
      </c>
      <c r="B238" s="26">
        <v>46211.333333333343</v>
      </c>
      <c r="C238" s="27">
        <v>46211</v>
      </c>
      <c r="D238">
        <v>9</v>
      </c>
      <c r="E238" t="s">
        <v>3173</v>
      </c>
      <c r="F238">
        <v>2</v>
      </c>
      <c r="G238" t="b">
        <v>1</v>
      </c>
      <c r="H238" t="s">
        <v>3220</v>
      </c>
      <c r="I238">
        <v>1526.94487</v>
      </c>
      <c r="J238" t="s">
        <v>198</v>
      </c>
      <c r="K238" t="s">
        <v>3182</v>
      </c>
    </row>
    <row r="239" spans="1:11" x14ac:dyDescent="0.25">
      <c r="A239">
        <v>177</v>
      </c>
      <c r="B239" s="26">
        <v>46211.333333333343</v>
      </c>
      <c r="C239" s="27">
        <v>46211</v>
      </c>
      <c r="D239">
        <v>9</v>
      </c>
      <c r="E239" t="s">
        <v>3173</v>
      </c>
      <c r="F239">
        <v>2</v>
      </c>
      <c r="G239" t="b">
        <v>1</v>
      </c>
      <c r="H239" t="s">
        <v>3221</v>
      </c>
      <c r="I239">
        <v>569.50584000000003</v>
      </c>
      <c r="J239" t="s">
        <v>20</v>
      </c>
      <c r="K239" t="s">
        <v>3182</v>
      </c>
    </row>
    <row r="240" spans="1:11" x14ac:dyDescent="0.25">
      <c r="A240">
        <v>177</v>
      </c>
      <c r="B240" s="26">
        <v>46211.333333333343</v>
      </c>
      <c r="C240" s="27">
        <v>46211</v>
      </c>
      <c r="D240">
        <v>9</v>
      </c>
      <c r="E240" t="s">
        <v>3173</v>
      </c>
      <c r="F240">
        <v>2</v>
      </c>
      <c r="G240" t="b">
        <v>1</v>
      </c>
      <c r="H240" t="s">
        <v>3222</v>
      </c>
      <c r="I240">
        <v>14.457610000000001</v>
      </c>
      <c r="J240" t="s">
        <v>3223</v>
      </c>
      <c r="K240" t="s">
        <v>3182</v>
      </c>
    </row>
    <row r="241" spans="1:11" x14ac:dyDescent="0.25">
      <c r="A241">
        <v>177</v>
      </c>
      <c r="B241" s="26">
        <v>46211.333333333343</v>
      </c>
      <c r="C241" s="27">
        <v>46211</v>
      </c>
      <c r="D241">
        <v>9</v>
      </c>
      <c r="E241" t="s">
        <v>3173</v>
      </c>
      <c r="F241">
        <v>2</v>
      </c>
      <c r="G241" t="b">
        <v>1</v>
      </c>
      <c r="H241" t="s">
        <v>3224</v>
      </c>
      <c r="I241">
        <v>420.62788</v>
      </c>
      <c r="J241" t="s">
        <v>3225</v>
      </c>
      <c r="K241" t="s">
        <v>3182</v>
      </c>
    </row>
    <row r="242" spans="1:11" x14ac:dyDescent="0.25">
      <c r="A242">
        <v>177</v>
      </c>
      <c r="B242" s="26">
        <v>46211.333333333343</v>
      </c>
      <c r="C242" s="27">
        <v>46211</v>
      </c>
      <c r="D242">
        <v>9</v>
      </c>
      <c r="E242" t="s">
        <v>3173</v>
      </c>
      <c r="F242">
        <v>2</v>
      </c>
      <c r="G242" t="b">
        <v>1</v>
      </c>
      <c r="H242" t="s">
        <v>3226</v>
      </c>
      <c r="I242">
        <v>1.6671499999999999</v>
      </c>
      <c r="J242" t="s">
        <v>3227</v>
      </c>
      <c r="K242" t="s">
        <v>3182</v>
      </c>
    </row>
    <row r="243" spans="1:11" x14ac:dyDescent="0.25">
      <c r="A243">
        <v>177</v>
      </c>
      <c r="B243" s="26">
        <v>46211.333333333343</v>
      </c>
      <c r="C243" s="27">
        <v>46211</v>
      </c>
      <c r="D243">
        <v>9</v>
      </c>
      <c r="E243" t="s">
        <v>3173</v>
      </c>
      <c r="F243">
        <v>2</v>
      </c>
      <c r="G243" t="b">
        <v>1</v>
      </c>
      <c r="H243" t="s">
        <v>3228</v>
      </c>
      <c r="I243">
        <v>153.184</v>
      </c>
      <c r="J243" t="s">
        <v>3229</v>
      </c>
      <c r="K243" t="s">
        <v>3182</v>
      </c>
    </row>
    <row r="244" spans="1:11" x14ac:dyDescent="0.25">
      <c r="A244">
        <v>177</v>
      </c>
      <c r="B244" s="26">
        <v>46211.333333333343</v>
      </c>
      <c r="C244" s="27">
        <v>46211</v>
      </c>
      <c r="D244">
        <v>9</v>
      </c>
      <c r="E244" t="s">
        <v>3173</v>
      </c>
      <c r="F244">
        <v>2</v>
      </c>
      <c r="G244" t="b">
        <v>1</v>
      </c>
      <c r="H244" t="s">
        <v>3230</v>
      </c>
      <c r="I244">
        <v>1.91249</v>
      </c>
      <c r="J244" t="s">
        <v>3231</v>
      </c>
      <c r="K244" t="s">
        <v>3182</v>
      </c>
    </row>
    <row r="245" spans="1:11" x14ac:dyDescent="0.25">
      <c r="A245">
        <v>178</v>
      </c>
      <c r="B245" s="26">
        <v>46211.375</v>
      </c>
      <c r="C245" s="27">
        <v>46211</v>
      </c>
      <c r="D245">
        <v>10</v>
      </c>
      <c r="E245" t="s">
        <v>3173</v>
      </c>
      <c r="F245">
        <v>2</v>
      </c>
      <c r="G245" t="b">
        <v>1</v>
      </c>
      <c r="H245" t="s">
        <v>3180</v>
      </c>
      <c r="I245">
        <v>73.991590000000002</v>
      </c>
      <c r="J245" t="s">
        <v>3181</v>
      </c>
      <c r="K245" t="s">
        <v>3182</v>
      </c>
    </row>
    <row r="246" spans="1:11" x14ac:dyDescent="0.25">
      <c r="A246">
        <v>178</v>
      </c>
      <c r="B246" s="26">
        <v>46211.375</v>
      </c>
      <c r="C246" s="27">
        <v>46211</v>
      </c>
      <c r="D246">
        <v>10</v>
      </c>
      <c r="E246" t="s">
        <v>3173</v>
      </c>
      <c r="F246">
        <v>2</v>
      </c>
      <c r="G246" t="b">
        <v>1</v>
      </c>
      <c r="H246" t="s">
        <v>3183</v>
      </c>
      <c r="I246">
        <v>121.66244</v>
      </c>
      <c r="J246" t="s">
        <v>3184</v>
      </c>
      <c r="K246" t="s">
        <v>3182</v>
      </c>
    </row>
    <row r="247" spans="1:11" x14ac:dyDescent="0.25">
      <c r="A247">
        <v>178</v>
      </c>
      <c r="B247" s="26">
        <v>46211.375</v>
      </c>
      <c r="C247" s="27">
        <v>46211</v>
      </c>
      <c r="D247">
        <v>10</v>
      </c>
      <c r="E247" t="s">
        <v>3173</v>
      </c>
      <c r="F247">
        <v>2</v>
      </c>
      <c r="G247" t="b">
        <v>1</v>
      </c>
      <c r="H247" t="s">
        <v>3185</v>
      </c>
      <c r="I247">
        <v>129.74557999999999</v>
      </c>
      <c r="J247" t="s">
        <v>3186</v>
      </c>
      <c r="K247" t="s">
        <v>3182</v>
      </c>
    </row>
    <row r="248" spans="1:11" x14ac:dyDescent="0.25">
      <c r="A248">
        <v>178</v>
      </c>
      <c r="B248" s="26">
        <v>46211.375</v>
      </c>
      <c r="C248" s="27">
        <v>46211</v>
      </c>
      <c r="D248">
        <v>10</v>
      </c>
      <c r="E248" t="s">
        <v>3173</v>
      </c>
      <c r="F248">
        <v>2</v>
      </c>
      <c r="G248" t="b">
        <v>1</v>
      </c>
      <c r="H248" t="s">
        <v>3187</v>
      </c>
      <c r="I248">
        <v>29.624289999999998</v>
      </c>
      <c r="J248" t="s">
        <v>3188</v>
      </c>
      <c r="K248" t="s">
        <v>3182</v>
      </c>
    </row>
    <row r="249" spans="1:11" x14ac:dyDescent="0.25">
      <c r="A249">
        <v>178</v>
      </c>
      <c r="B249" s="26">
        <v>46211.375</v>
      </c>
      <c r="C249" s="27">
        <v>46211</v>
      </c>
      <c r="D249">
        <v>10</v>
      </c>
      <c r="E249" t="s">
        <v>3173</v>
      </c>
      <c r="F249">
        <v>2</v>
      </c>
      <c r="G249" t="b">
        <v>1</v>
      </c>
      <c r="H249" t="s">
        <v>3189</v>
      </c>
      <c r="I249">
        <v>235.82006999999999</v>
      </c>
      <c r="J249" t="s">
        <v>3190</v>
      </c>
      <c r="K249" t="s">
        <v>3182</v>
      </c>
    </row>
    <row r="250" spans="1:11" x14ac:dyDescent="0.25">
      <c r="A250">
        <v>178</v>
      </c>
      <c r="B250" s="26">
        <v>46211.375</v>
      </c>
      <c r="C250" s="27">
        <v>46211</v>
      </c>
      <c r="D250">
        <v>10</v>
      </c>
      <c r="E250" t="s">
        <v>3173</v>
      </c>
      <c r="F250">
        <v>2</v>
      </c>
      <c r="G250" t="b">
        <v>1</v>
      </c>
      <c r="H250" t="s">
        <v>3191</v>
      </c>
      <c r="I250">
        <v>1355.4316799999999</v>
      </c>
      <c r="J250" t="s">
        <v>3192</v>
      </c>
      <c r="K250" t="s">
        <v>3182</v>
      </c>
    </row>
    <row r="251" spans="1:11" x14ac:dyDescent="0.25">
      <c r="A251">
        <v>178</v>
      </c>
      <c r="B251" s="26">
        <v>46211.375</v>
      </c>
      <c r="C251" s="27">
        <v>46211</v>
      </c>
      <c r="D251">
        <v>10</v>
      </c>
      <c r="E251" t="s">
        <v>3173</v>
      </c>
      <c r="F251">
        <v>2</v>
      </c>
      <c r="G251" t="b">
        <v>1</v>
      </c>
      <c r="H251" t="s">
        <v>3193</v>
      </c>
      <c r="I251">
        <v>290.58346</v>
      </c>
      <c r="J251" t="s">
        <v>3194</v>
      </c>
      <c r="K251" t="s">
        <v>3182</v>
      </c>
    </row>
    <row r="252" spans="1:11" x14ac:dyDescent="0.25">
      <c r="A252">
        <v>178</v>
      </c>
      <c r="B252" s="26">
        <v>46211.375</v>
      </c>
      <c r="C252" s="27">
        <v>46211</v>
      </c>
      <c r="D252">
        <v>10</v>
      </c>
      <c r="E252" t="s">
        <v>3173</v>
      </c>
      <c r="F252">
        <v>2</v>
      </c>
      <c r="G252" t="b">
        <v>1</v>
      </c>
      <c r="H252" t="s">
        <v>3195</v>
      </c>
      <c r="I252">
        <v>37.518150000000013</v>
      </c>
      <c r="J252" t="s">
        <v>3196</v>
      </c>
      <c r="K252" t="s">
        <v>3182</v>
      </c>
    </row>
    <row r="253" spans="1:11" x14ac:dyDescent="0.25">
      <c r="A253">
        <v>178</v>
      </c>
      <c r="B253" s="26">
        <v>46211.375</v>
      </c>
      <c r="C253" s="27">
        <v>46211</v>
      </c>
      <c r="D253">
        <v>10</v>
      </c>
      <c r="E253" t="s">
        <v>3173</v>
      </c>
      <c r="F253">
        <v>2</v>
      </c>
      <c r="G253" t="b">
        <v>1</v>
      </c>
      <c r="H253" t="s">
        <v>3197</v>
      </c>
      <c r="I253">
        <v>1407.0311400000001</v>
      </c>
      <c r="J253" t="s">
        <v>3198</v>
      </c>
      <c r="K253" t="s">
        <v>3182</v>
      </c>
    </row>
    <row r="254" spans="1:11" x14ac:dyDescent="0.25">
      <c r="A254">
        <v>178</v>
      </c>
      <c r="B254" s="26">
        <v>46211.375</v>
      </c>
      <c r="C254" s="27">
        <v>46211</v>
      </c>
      <c r="D254">
        <v>10</v>
      </c>
      <c r="E254" t="s">
        <v>3173</v>
      </c>
      <c r="F254">
        <v>2</v>
      </c>
      <c r="G254" t="b">
        <v>1</v>
      </c>
      <c r="H254" t="s">
        <v>3199</v>
      </c>
      <c r="I254">
        <v>9.6534100000000009</v>
      </c>
      <c r="J254" t="s">
        <v>3200</v>
      </c>
      <c r="K254" t="s">
        <v>3182</v>
      </c>
    </row>
    <row r="255" spans="1:11" x14ac:dyDescent="0.25">
      <c r="A255">
        <v>178</v>
      </c>
      <c r="B255" s="26">
        <v>46211.375</v>
      </c>
      <c r="C255" s="27">
        <v>46211</v>
      </c>
      <c r="D255">
        <v>10</v>
      </c>
      <c r="E255" t="s">
        <v>3173</v>
      </c>
      <c r="F255">
        <v>2</v>
      </c>
      <c r="G255" t="b">
        <v>1</v>
      </c>
      <c r="H255" t="s">
        <v>3201</v>
      </c>
      <c r="I255">
        <v>242.87138999999999</v>
      </c>
      <c r="J255" t="s">
        <v>3202</v>
      </c>
      <c r="K255" t="s">
        <v>3182</v>
      </c>
    </row>
    <row r="256" spans="1:11" x14ac:dyDescent="0.25">
      <c r="A256">
        <v>178</v>
      </c>
      <c r="B256" s="26">
        <v>46211.375</v>
      </c>
      <c r="C256" s="27">
        <v>46211</v>
      </c>
      <c r="D256">
        <v>10</v>
      </c>
      <c r="E256" t="s">
        <v>3173</v>
      </c>
      <c r="F256">
        <v>2</v>
      </c>
      <c r="G256" t="b">
        <v>1</v>
      </c>
      <c r="H256" t="s">
        <v>3203</v>
      </c>
      <c r="I256">
        <v>41.826180000000001</v>
      </c>
      <c r="J256" t="s">
        <v>3204</v>
      </c>
      <c r="K256" t="s">
        <v>3182</v>
      </c>
    </row>
    <row r="257" spans="1:11" x14ac:dyDescent="0.25">
      <c r="A257">
        <v>178</v>
      </c>
      <c r="B257" s="26">
        <v>46211.375</v>
      </c>
      <c r="C257" s="27">
        <v>46211</v>
      </c>
      <c r="D257">
        <v>10</v>
      </c>
      <c r="E257" t="s">
        <v>3173</v>
      </c>
      <c r="F257">
        <v>2</v>
      </c>
      <c r="G257" t="b">
        <v>1</v>
      </c>
      <c r="H257" t="s">
        <v>3205</v>
      </c>
      <c r="I257">
        <v>80.64000999999999</v>
      </c>
      <c r="J257" t="s">
        <v>3206</v>
      </c>
      <c r="K257" t="s">
        <v>3182</v>
      </c>
    </row>
    <row r="258" spans="1:11" x14ac:dyDescent="0.25">
      <c r="A258">
        <v>178</v>
      </c>
      <c r="B258" s="26">
        <v>46211.375</v>
      </c>
      <c r="C258" s="27">
        <v>46211</v>
      </c>
      <c r="D258">
        <v>10</v>
      </c>
      <c r="E258" t="s">
        <v>3173</v>
      </c>
      <c r="F258">
        <v>2</v>
      </c>
      <c r="G258" t="b">
        <v>1</v>
      </c>
      <c r="H258" t="s">
        <v>3207</v>
      </c>
      <c r="I258">
        <v>135.70831999999999</v>
      </c>
      <c r="J258" t="s">
        <v>3208</v>
      </c>
      <c r="K258" t="s">
        <v>3182</v>
      </c>
    </row>
    <row r="259" spans="1:11" x14ac:dyDescent="0.25">
      <c r="A259">
        <v>178</v>
      </c>
      <c r="B259" s="26">
        <v>46211.375</v>
      </c>
      <c r="C259" s="27">
        <v>46211</v>
      </c>
      <c r="D259">
        <v>10</v>
      </c>
      <c r="E259" t="s">
        <v>3173</v>
      </c>
      <c r="F259">
        <v>2</v>
      </c>
      <c r="G259" t="b">
        <v>1</v>
      </c>
      <c r="H259" t="s">
        <v>3209</v>
      </c>
      <c r="I259">
        <v>11.22855</v>
      </c>
      <c r="J259" t="s">
        <v>3210</v>
      </c>
      <c r="K259" t="s">
        <v>3182</v>
      </c>
    </row>
    <row r="260" spans="1:11" x14ac:dyDescent="0.25">
      <c r="A260">
        <v>178</v>
      </c>
      <c r="B260" s="26">
        <v>46211.375</v>
      </c>
      <c r="C260" s="27">
        <v>46211</v>
      </c>
      <c r="D260">
        <v>10</v>
      </c>
      <c r="E260" t="s">
        <v>3173</v>
      </c>
      <c r="F260">
        <v>2</v>
      </c>
      <c r="G260" t="b">
        <v>1</v>
      </c>
      <c r="H260" t="s">
        <v>3211</v>
      </c>
      <c r="I260">
        <v>0.78500000000000003</v>
      </c>
      <c r="J260" t="s">
        <v>3212</v>
      </c>
      <c r="K260" t="s">
        <v>3182</v>
      </c>
    </row>
    <row r="261" spans="1:11" x14ac:dyDescent="0.25">
      <c r="A261">
        <v>178</v>
      </c>
      <c r="B261" s="26">
        <v>46211.375</v>
      </c>
      <c r="C261" s="27">
        <v>46211</v>
      </c>
      <c r="D261">
        <v>10</v>
      </c>
      <c r="E261" t="s">
        <v>3173</v>
      </c>
      <c r="F261">
        <v>2</v>
      </c>
      <c r="G261" t="b">
        <v>1</v>
      </c>
      <c r="H261" t="s">
        <v>3213</v>
      </c>
      <c r="I261">
        <v>614.41137000000003</v>
      </c>
      <c r="J261" t="s">
        <v>3214</v>
      </c>
      <c r="K261" t="s">
        <v>3182</v>
      </c>
    </row>
    <row r="262" spans="1:11" x14ac:dyDescent="0.25">
      <c r="A262">
        <v>178</v>
      </c>
      <c r="B262" s="26">
        <v>46211.375</v>
      </c>
      <c r="C262" s="27">
        <v>46211</v>
      </c>
      <c r="D262">
        <v>10</v>
      </c>
      <c r="E262" t="s">
        <v>3173</v>
      </c>
      <c r="F262">
        <v>2</v>
      </c>
      <c r="G262" t="b">
        <v>1</v>
      </c>
      <c r="H262" t="s">
        <v>3215</v>
      </c>
      <c r="I262">
        <v>214.34465</v>
      </c>
      <c r="J262" t="s">
        <v>3216</v>
      </c>
      <c r="K262" t="s">
        <v>3182</v>
      </c>
    </row>
    <row r="263" spans="1:11" x14ac:dyDescent="0.25">
      <c r="A263">
        <v>178</v>
      </c>
      <c r="B263" s="26">
        <v>46211.375</v>
      </c>
      <c r="C263" s="27">
        <v>46211</v>
      </c>
      <c r="D263">
        <v>10</v>
      </c>
      <c r="E263" t="s">
        <v>3173</v>
      </c>
      <c r="F263">
        <v>2</v>
      </c>
      <c r="G263" t="b">
        <v>1</v>
      </c>
      <c r="H263" t="s">
        <v>3217</v>
      </c>
      <c r="I263">
        <v>2227.2666100000001</v>
      </c>
      <c r="J263" t="s">
        <v>197</v>
      </c>
      <c r="K263" t="s">
        <v>3182</v>
      </c>
    </row>
    <row r="264" spans="1:11" x14ac:dyDescent="0.25">
      <c r="A264">
        <v>178</v>
      </c>
      <c r="B264" s="26">
        <v>46211.375</v>
      </c>
      <c r="C264" s="27">
        <v>46211</v>
      </c>
      <c r="D264">
        <v>10</v>
      </c>
      <c r="E264" t="s">
        <v>3173</v>
      </c>
      <c r="F264">
        <v>2</v>
      </c>
      <c r="G264" t="b">
        <v>1</v>
      </c>
      <c r="H264" t="s">
        <v>3218</v>
      </c>
      <c r="I264">
        <v>39.81232</v>
      </c>
      <c r="J264" t="s">
        <v>3219</v>
      </c>
      <c r="K264" t="s">
        <v>3182</v>
      </c>
    </row>
    <row r="265" spans="1:11" x14ac:dyDescent="0.25">
      <c r="A265">
        <v>178</v>
      </c>
      <c r="B265" s="26">
        <v>46211.375</v>
      </c>
      <c r="C265" s="27">
        <v>46211</v>
      </c>
      <c r="D265">
        <v>10</v>
      </c>
      <c r="E265" t="s">
        <v>3173</v>
      </c>
      <c r="F265">
        <v>2</v>
      </c>
      <c r="G265" t="b">
        <v>1</v>
      </c>
      <c r="H265" t="s">
        <v>3220</v>
      </c>
      <c r="I265">
        <v>1568.1614199999999</v>
      </c>
      <c r="J265" t="s">
        <v>198</v>
      </c>
      <c r="K265" t="s">
        <v>3182</v>
      </c>
    </row>
    <row r="266" spans="1:11" x14ac:dyDescent="0.25">
      <c r="A266">
        <v>178</v>
      </c>
      <c r="B266" s="26">
        <v>46211.375</v>
      </c>
      <c r="C266" s="27">
        <v>46211</v>
      </c>
      <c r="D266">
        <v>10</v>
      </c>
      <c r="E266" t="s">
        <v>3173</v>
      </c>
      <c r="F266">
        <v>2</v>
      </c>
      <c r="G266" t="b">
        <v>1</v>
      </c>
      <c r="H266" t="s">
        <v>3221</v>
      </c>
      <c r="I266">
        <v>583.12774999999999</v>
      </c>
      <c r="J266" t="s">
        <v>20</v>
      </c>
      <c r="K266" t="s">
        <v>3182</v>
      </c>
    </row>
    <row r="267" spans="1:11" x14ac:dyDescent="0.25">
      <c r="A267">
        <v>178</v>
      </c>
      <c r="B267" s="26">
        <v>46211.375</v>
      </c>
      <c r="C267" s="27">
        <v>46211</v>
      </c>
      <c r="D267">
        <v>10</v>
      </c>
      <c r="E267" t="s">
        <v>3173</v>
      </c>
      <c r="F267">
        <v>2</v>
      </c>
      <c r="G267" t="b">
        <v>1</v>
      </c>
      <c r="H267" t="s">
        <v>3222</v>
      </c>
      <c r="I267">
        <v>15.090730000000001</v>
      </c>
      <c r="J267" t="s">
        <v>3223</v>
      </c>
      <c r="K267" t="s">
        <v>3182</v>
      </c>
    </row>
    <row r="268" spans="1:11" x14ac:dyDescent="0.25">
      <c r="A268">
        <v>178</v>
      </c>
      <c r="B268" s="26">
        <v>46211.375</v>
      </c>
      <c r="C268" s="27">
        <v>46211</v>
      </c>
      <c r="D268">
        <v>10</v>
      </c>
      <c r="E268" t="s">
        <v>3173</v>
      </c>
      <c r="F268">
        <v>2</v>
      </c>
      <c r="G268" t="b">
        <v>1</v>
      </c>
      <c r="H268" t="s">
        <v>3224</v>
      </c>
      <c r="I268">
        <v>439.53483999999997</v>
      </c>
      <c r="J268" t="s">
        <v>3225</v>
      </c>
      <c r="K268" t="s">
        <v>3182</v>
      </c>
    </row>
    <row r="269" spans="1:11" x14ac:dyDescent="0.25">
      <c r="A269">
        <v>178</v>
      </c>
      <c r="B269" s="26">
        <v>46211.375</v>
      </c>
      <c r="C269" s="27">
        <v>46211</v>
      </c>
      <c r="D269">
        <v>10</v>
      </c>
      <c r="E269" t="s">
        <v>3173</v>
      </c>
      <c r="F269">
        <v>2</v>
      </c>
      <c r="G269" t="b">
        <v>1</v>
      </c>
      <c r="H269" t="s">
        <v>3226</v>
      </c>
      <c r="I269">
        <v>1.704</v>
      </c>
      <c r="J269" t="s">
        <v>3227</v>
      </c>
      <c r="K269" t="s">
        <v>3182</v>
      </c>
    </row>
    <row r="270" spans="1:11" x14ac:dyDescent="0.25">
      <c r="A270">
        <v>178</v>
      </c>
      <c r="B270" s="26">
        <v>46211.375</v>
      </c>
      <c r="C270" s="27">
        <v>46211</v>
      </c>
      <c r="D270">
        <v>10</v>
      </c>
      <c r="E270" t="s">
        <v>3173</v>
      </c>
      <c r="F270">
        <v>2</v>
      </c>
      <c r="G270" t="b">
        <v>1</v>
      </c>
      <c r="H270" t="s">
        <v>3228</v>
      </c>
      <c r="I270">
        <v>164.28529</v>
      </c>
      <c r="J270" t="s">
        <v>3229</v>
      </c>
      <c r="K270" t="s">
        <v>3182</v>
      </c>
    </row>
    <row r="271" spans="1:11" x14ac:dyDescent="0.25">
      <c r="A271">
        <v>178</v>
      </c>
      <c r="B271" s="26">
        <v>46211.375</v>
      </c>
      <c r="C271" s="27">
        <v>46211</v>
      </c>
      <c r="D271">
        <v>10</v>
      </c>
      <c r="E271" t="s">
        <v>3173</v>
      </c>
      <c r="F271">
        <v>2</v>
      </c>
      <c r="G271" t="b">
        <v>1</v>
      </c>
      <c r="H271" t="s">
        <v>3230</v>
      </c>
      <c r="I271">
        <v>1.8215600000000001</v>
      </c>
      <c r="J271" t="s">
        <v>3231</v>
      </c>
      <c r="K271" t="s">
        <v>3182</v>
      </c>
    </row>
    <row r="272" spans="1:11" x14ac:dyDescent="0.25">
      <c r="A272">
        <v>179</v>
      </c>
      <c r="B272" s="26">
        <v>46211.416666666657</v>
      </c>
      <c r="C272" s="27">
        <v>46211</v>
      </c>
      <c r="D272">
        <v>11</v>
      </c>
      <c r="E272" t="s">
        <v>3173</v>
      </c>
      <c r="F272">
        <v>2</v>
      </c>
      <c r="G272" t="b">
        <v>1</v>
      </c>
      <c r="H272" t="s">
        <v>3180</v>
      </c>
      <c r="I272">
        <v>78.937139999999999</v>
      </c>
      <c r="J272" t="s">
        <v>3181</v>
      </c>
      <c r="K272" t="s">
        <v>3182</v>
      </c>
    </row>
    <row r="273" spans="1:11" x14ac:dyDescent="0.25">
      <c r="A273">
        <v>179</v>
      </c>
      <c r="B273" s="26">
        <v>46211.416666666657</v>
      </c>
      <c r="C273" s="27">
        <v>46211</v>
      </c>
      <c r="D273">
        <v>11</v>
      </c>
      <c r="E273" t="s">
        <v>3173</v>
      </c>
      <c r="F273">
        <v>2</v>
      </c>
      <c r="G273" t="b">
        <v>1</v>
      </c>
      <c r="H273" t="s">
        <v>3183</v>
      </c>
      <c r="I273">
        <v>128.17918</v>
      </c>
      <c r="J273" t="s">
        <v>3184</v>
      </c>
      <c r="K273" t="s">
        <v>3182</v>
      </c>
    </row>
    <row r="274" spans="1:11" x14ac:dyDescent="0.25">
      <c r="A274">
        <v>179</v>
      </c>
      <c r="B274" s="26">
        <v>46211.416666666657</v>
      </c>
      <c r="C274" s="27">
        <v>46211</v>
      </c>
      <c r="D274">
        <v>11</v>
      </c>
      <c r="E274" t="s">
        <v>3173</v>
      </c>
      <c r="F274">
        <v>2</v>
      </c>
      <c r="G274" t="b">
        <v>1</v>
      </c>
      <c r="H274" t="s">
        <v>3185</v>
      </c>
      <c r="I274">
        <v>131.41113999999999</v>
      </c>
      <c r="J274" t="s">
        <v>3186</v>
      </c>
      <c r="K274" t="s">
        <v>3182</v>
      </c>
    </row>
    <row r="275" spans="1:11" x14ac:dyDescent="0.25">
      <c r="A275">
        <v>179</v>
      </c>
      <c r="B275" s="26">
        <v>46211.416666666657</v>
      </c>
      <c r="C275" s="27">
        <v>46211</v>
      </c>
      <c r="D275">
        <v>11</v>
      </c>
      <c r="E275" t="s">
        <v>3173</v>
      </c>
      <c r="F275">
        <v>2</v>
      </c>
      <c r="G275" t="b">
        <v>1</v>
      </c>
      <c r="H275" t="s">
        <v>3187</v>
      </c>
      <c r="I275">
        <v>31.644739999999999</v>
      </c>
      <c r="J275" t="s">
        <v>3188</v>
      </c>
      <c r="K275" t="s">
        <v>3182</v>
      </c>
    </row>
    <row r="276" spans="1:11" x14ac:dyDescent="0.25">
      <c r="A276">
        <v>179</v>
      </c>
      <c r="B276" s="26">
        <v>46211.416666666657</v>
      </c>
      <c r="C276" s="27">
        <v>46211</v>
      </c>
      <c r="D276">
        <v>11</v>
      </c>
      <c r="E276" t="s">
        <v>3173</v>
      </c>
      <c r="F276">
        <v>2</v>
      </c>
      <c r="G276" t="b">
        <v>1</v>
      </c>
      <c r="H276" t="s">
        <v>3189</v>
      </c>
      <c r="I276">
        <v>245.26774</v>
      </c>
      <c r="J276" t="s">
        <v>3190</v>
      </c>
      <c r="K276" t="s">
        <v>3182</v>
      </c>
    </row>
    <row r="277" spans="1:11" x14ac:dyDescent="0.25">
      <c r="A277">
        <v>179</v>
      </c>
      <c r="B277" s="26">
        <v>46211.416666666657</v>
      </c>
      <c r="C277" s="27">
        <v>46211</v>
      </c>
      <c r="D277">
        <v>11</v>
      </c>
      <c r="E277" t="s">
        <v>3173</v>
      </c>
      <c r="F277">
        <v>2</v>
      </c>
      <c r="G277" t="b">
        <v>1</v>
      </c>
      <c r="H277" t="s">
        <v>3191</v>
      </c>
      <c r="I277">
        <v>1397.5801300000001</v>
      </c>
      <c r="J277" t="s">
        <v>3192</v>
      </c>
      <c r="K277" t="s">
        <v>3182</v>
      </c>
    </row>
    <row r="278" spans="1:11" x14ac:dyDescent="0.25">
      <c r="A278">
        <v>179</v>
      </c>
      <c r="B278" s="26">
        <v>46211.416666666657</v>
      </c>
      <c r="C278" s="27">
        <v>46211</v>
      </c>
      <c r="D278">
        <v>11</v>
      </c>
      <c r="E278" t="s">
        <v>3173</v>
      </c>
      <c r="F278">
        <v>2</v>
      </c>
      <c r="G278" t="b">
        <v>1</v>
      </c>
      <c r="H278" t="s">
        <v>3193</v>
      </c>
      <c r="I278">
        <v>300.26692000000003</v>
      </c>
      <c r="J278" t="s">
        <v>3194</v>
      </c>
      <c r="K278" t="s">
        <v>3182</v>
      </c>
    </row>
    <row r="279" spans="1:11" x14ac:dyDescent="0.25">
      <c r="A279">
        <v>179</v>
      </c>
      <c r="B279" s="26">
        <v>46211.416666666657</v>
      </c>
      <c r="C279" s="27">
        <v>46211</v>
      </c>
      <c r="D279">
        <v>11</v>
      </c>
      <c r="E279" t="s">
        <v>3173</v>
      </c>
      <c r="F279">
        <v>2</v>
      </c>
      <c r="G279" t="b">
        <v>1</v>
      </c>
      <c r="H279" t="s">
        <v>3195</v>
      </c>
      <c r="I279">
        <v>39.281730000000003</v>
      </c>
      <c r="J279" t="s">
        <v>3196</v>
      </c>
      <c r="K279" t="s">
        <v>3182</v>
      </c>
    </row>
    <row r="280" spans="1:11" x14ac:dyDescent="0.25">
      <c r="A280">
        <v>179</v>
      </c>
      <c r="B280" s="26">
        <v>46211.416666666657</v>
      </c>
      <c r="C280" s="27">
        <v>46211</v>
      </c>
      <c r="D280">
        <v>11</v>
      </c>
      <c r="E280" t="s">
        <v>3173</v>
      </c>
      <c r="F280">
        <v>2</v>
      </c>
      <c r="G280" t="b">
        <v>1</v>
      </c>
      <c r="H280" t="s">
        <v>3197</v>
      </c>
      <c r="I280">
        <v>1446.2143100000001</v>
      </c>
      <c r="J280" t="s">
        <v>3198</v>
      </c>
      <c r="K280" t="s">
        <v>3182</v>
      </c>
    </row>
    <row r="281" spans="1:11" x14ac:dyDescent="0.25">
      <c r="A281">
        <v>179</v>
      </c>
      <c r="B281" s="26">
        <v>46211.416666666657</v>
      </c>
      <c r="C281" s="27">
        <v>46211</v>
      </c>
      <c r="D281">
        <v>11</v>
      </c>
      <c r="E281" t="s">
        <v>3173</v>
      </c>
      <c r="F281">
        <v>2</v>
      </c>
      <c r="G281" t="b">
        <v>1</v>
      </c>
      <c r="H281" t="s">
        <v>3199</v>
      </c>
      <c r="I281">
        <v>10.04796</v>
      </c>
      <c r="J281" t="s">
        <v>3200</v>
      </c>
      <c r="K281" t="s">
        <v>3182</v>
      </c>
    </row>
    <row r="282" spans="1:11" x14ac:dyDescent="0.25">
      <c r="A282">
        <v>179</v>
      </c>
      <c r="B282" s="26">
        <v>46211.416666666657</v>
      </c>
      <c r="C282" s="27">
        <v>46211</v>
      </c>
      <c r="D282">
        <v>11</v>
      </c>
      <c r="E282" t="s">
        <v>3173</v>
      </c>
      <c r="F282">
        <v>2</v>
      </c>
      <c r="G282" t="b">
        <v>1</v>
      </c>
      <c r="H282" t="s">
        <v>3201</v>
      </c>
      <c r="I282">
        <v>233.7938</v>
      </c>
      <c r="J282" t="s">
        <v>3202</v>
      </c>
      <c r="K282" t="s">
        <v>3182</v>
      </c>
    </row>
    <row r="283" spans="1:11" x14ac:dyDescent="0.25">
      <c r="A283">
        <v>179</v>
      </c>
      <c r="B283" s="26">
        <v>46211.416666666657</v>
      </c>
      <c r="C283" s="27">
        <v>46211</v>
      </c>
      <c r="D283">
        <v>11</v>
      </c>
      <c r="E283" t="s">
        <v>3173</v>
      </c>
      <c r="F283">
        <v>2</v>
      </c>
      <c r="G283" t="b">
        <v>1</v>
      </c>
      <c r="H283" t="s">
        <v>3203</v>
      </c>
      <c r="I283">
        <v>43.191719999999997</v>
      </c>
      <c r="J283" t="s">
        <v>3204</v>
      </c>
      <c r="K283" t="s">
        <v>3182</v>
      </c>
    </row>
    <row r="284" spans="1:11" x14ac:dyDescent="0.25">
      <c r="A284">
        <v>179</v>
      </c>
      <c r="B284" s="26">
        <v>46211.416666666657</v>
      </c>
      <c r="C284" s="27">
        <v>46211</v>
      </c>
      <c r="D284">
        <v>11</v>
      </c>
      <c r="E284" t="s">
        <v>3173</v>
      </c>
      <c r="F284">
        <v>2</v>
      </c>
      <c r="G284" t="b">
        <v>1</v>
      </c>
      <c r="H284" t="s">
        <v>3205</v>
      </c>
      <c r="I284">
        <v>85.964789999999994</v>
      </c>
      <c r="J284" t="s">
        <v>3206</v>
      </c>
      <c r="K284" t="s">
        <v>3182</v>
      </c>
    </row>
    <row r="285" spans="1:11" x14ac:dyDescent="0.25">
      <c r="A285">
        <v>179</v>
      </c>
      <c r="B285" s="26">
        <v>46211.416666666657</v>
      </c>
      <c r="C285" s="27">
        <v>46211</v>
      </c>
      <c r="D285">
        <v>11</v>
      </c>
      <c r="E285" t="s">
        <v>3173</v>
      </c>
      <c r="F285">
        <v>2</v>
      </c>
      <c r="G285" t="b">
        <v>1</v>
      </c>
      <c r="H285" t="s">
        <v>3207</v>
      </c>
      <c r="I285">
        <v>144.87564</v>
      </c>
      <c r="J285" t="s">
        <v>3208</v>
      </c>
      <c r="K285" t="s">
        <v>3182</v>
      </c>
    </row>
    <row r="286" spans="1:11" x14ac:dyDescent="0.25">
      <c r="A286">
        <v>179</v>
      </c>
      <c r="B286" s="26">
        <v>46211.416666666657</v>
      </c>
      <c r="C286" s="27">
        <v>46211</v>
      </c>
      <c r="D286">
        <v>11</v>
      </c>
      <c r="E286" t="s">
        <v>3173</v>
      </c>
      <c r="F286">
        <v>2</v>
      </c>
      <c r="G286" t="b">
        <v>1</v>
      </c>
      <c r="H286" t="s">
        <v>3209</v>
      </c>
      <c r="I286">
        <v>11.519780000000001</v>
      </c>
      <c r="J286" t="s">
        <v>3210</v>
      </c>
      <c r="K286" t="s">
        <v>3182</v>
      </c>
    </row>
    <row r="287" spans="1:11" x14ac:dyDescent="0.25">
      <c r="A287">
        <v>179</v>
      </c>
      <c r="B287" s="26">
        <v>46211.416666666657</v>
      </c>
      <c r="C287" s="27">
        <v>46211</v>
      </c>
      <c r="D287">
        <v>11</v>
      </c>
      <c r="E287" t="s">
        <v>3173</v>
      </c>
      <c r="F287">
        <v>2</v>
      </c>
      <c r="G287" t="b">
        <v>1</v>
      </c>
      <c r="H287" t="s">
        <v>3211</v>
      </c>
      <c r="I287">
        <v>0.93200000000000005</v>
      </c>
      <c r="J287" t="s">
        <v>3212</v>
      </c>
      <c r="K287" t="s">
        <v>3182</v>
      </c>
    </row>
    <row r="288" spans="1:11" x14ac:dyDescent="0.25">
      <c r="A288">
        <v>179</v>
      </c>
      <c r="B288" s="26">
        <v>46211.416666666657</v>
      </c>
      <c r="C288" s="27">
        <v>46211</v>
      </c>
      <c r="D288">
        <v>11</v>
      </c>
      <c r="E288" t="s">
        <v>3173</v>
      </c>
      <c r="F288">
        <v>2</v>
      </c>
      <c r="G288" t="b">
        <v>1</v>
      </c>
      <c r="H288" t="s">
        <v>3213</v>
      </c>
      <c r="I288">
        <v>654.98761000000002</v>
      </c>
      <c r="J288" t="s">
        <v>3214</v>
      </c>
      <c r="K288" t="s">
        <v>3182</v>
      </c>
    </row>
    <row r="289" spans="1:11" x14ac:dyDescent="0.25">
      <c r="A289">
        <v>179</v>
      </c>
      <c r="B289" s="26">
        <v>46211.416666666657</v>
      </c>
      <c r="C289" s="27">
        <v>46211</v>
      </c>
      <c r="D289">
        <v>11</v>
      </c>
      <c r="E289" t="s">
        <v>3173</v>
      </c>
      <c r="F289">
        <v>2</v>
      </c>
      <c r="G289" t="b">
        <v>1</v>
      </c>
      <c r="H289" t="s">
        <v>3215</v>
      </c>
      <c r="I289">
        <v>225.34199000000001</v>
      </c>
      <c r="J289" t="s">
        <v>3216</v>
      </c>
      <c r="K289" t="s">
        <v>3182</v>
      </c>
    </row>
    <row r="290" spans="1:11" x14ac:dyDescent="0.25">
      <c r="A290">
        <v>179</v>
      </c>
      <c r="B290" s="26">
        <v>46211.416666666657</v>
      </c>
      <c r="C290" s="27">
        <v>46211</v>
      </c>
      <c r="D290">
        <v>11</v>
      </c>
      <c r="E290" t="s">
        <v>3173</v>
      </c>
      <c r="F290">
        <v>2</v>
      </c>
      <c r="G290" t="b">
        <v>1</v>
      </c>
      <c r="H290" t="s">
        <v>3217</v>
      </c>
      <c r="I290">
        <v>2311.8920699999999</v>
      </c>
      <c r="J290" t="s">
        <v>197</v>
      </c>
      <c r="K290" t="s">
        <v>3182</v>
      </c>
    </row>
    <row r="291" spans="1:11" x14ac:dyDescent="0.25">
      <c r="A291">
        <v>179</v>
      </c>
      <c r="B291" s="26">
        <v>46211.416666666657</v>
      </c>
      <c r="C291" s="27">
        <v>46211</v>
      </c>
      <c r="D291">
        <v>11</v>
      </c>
      <c r="E291" t="s">
        <v>3173</v>
      </c>
      <c r="F291">
        <v>2</v>
      </c>
      <c r="G291" t="b">
        <v>1</v>
      </c>
      <c r="H291" t="s">
        <v>3218</v>
      </c>
      <c r="I291">
        <v>43.098489999999998</v>
      </c>
      <c r="J291" t="s">
        <v>3219</v>
      </c>
      <c r="K291" t="s">
        <v>3182</v>
      </c>
    </row>
    <row r="292" spans="1:11" x14ac:dyDescent="0.25">
      <c r="A292">
        <v>179</v>
      </c>
      <c r="B292" s="26">
        <v>46211.416666666657</v>
      </c>
      <c r="C292" s="27">
        <v>46211</v>
      </c>
      <c r="D292">
        <v>11</v>
      </c>
      <c r="E292" t="s">
        <v>3173</v>
      </c>
      <c r="F292">
        <v>2</v>
      </c>
      <c r="G292" t="b">
        <v>1</v>
      </c>
      <c r="H292" t="s">
        <v>3220</v>
      </c>
      <c r="I292">
        <v>1635.4088099999999</v>
      </c>
      <c r="J292" t="s">
        <v>198</v>
      </c>
      <c r="K292" t="s">
        <v>3182</v>
      </c>
    </row>
    <row r="293" spans="1:11" x14ac:dyDescent="0.25">
      <c r="A293">
        <v>179</v>
      </c>
      <c r="B293" s="26">
        <v>46211.416666666657</v>
      </c>
      <c r="C293" s="27">
        <v>46211</v>
      </c>
      <c r="D293">
        <v>11</v>
      </c>
      <c r="E293" t="s">
        <v>3173</v>
      </c>
      <c r="F293">
        <v>2</v>
      </c>
      <c r="G293" t="b">
        <v>1</v>
      </c>
      <c r="H293" t="s">
        <v>3221</v>
      </c>
      <c r="I293">
        <v>602.70743999999991</v>
      </c>
      <c r="J293" t="s">
        <v>20</v>
      </c>
      <c r="K293" t="s">
        <v>3182</v>
      </c>
    </row>
    <row r="294" spans="1:11" x14ac:dyDescent="0.25">
      <c r="A294">
        <v>179</v>
      </c>
      <c r="B294" s="26">
        <v>46211.416666666657</v>
      </c>
      <c r="C294" s="27">
        <v>46211</v>
      </c>
      <c r="D294">
        <v>11</v>
      </c>
      <c r="E294" t="s">
        <v>3173</v>
      </c>
      <c r="F294">
        <v>2</v>
      </c>
      <c r="G294" t="b">
        <v>1</v>
      </c>
      <c r="H294" t="s">
        <v>3222</v>
      </c>
      <c r="I294">
        <v>15.445830000000001</v>
      </c>
      <c r="J294" t="s">
        <v>3223</v>
      </c>
      <c r="K294" t="s">
        <v>3182</v>
      </c>
    </row>
    <row r="295" spans="1:11" x14ac:dyDescent="0.25">
      <c r="A295">
        <v>179</v>
      </c>
      <c r="B295" s="26">
        <v>46211.416666666657</v>
      </c>
      <c r="C295" s="27">
        <v>46211</v>
      </c>
      <c r="D295">
        <v>11</v>
      </c>
      <c r="E295" t="s">
        <v>3173</v>
      </c>
      <c r="F295">
        <v>2</v>
      </c>
      <c r="G295" t="b">
        <v>1</v>
      </c>
      <c r="H295" t="s">
        <v>3224</v>
      </c>
      <c r="I295">
        <v>461.66501</v>
      </c>
      <c r="J295" t="s">
        <v>3225</v>
      </c>
      <c r="K295" t="s">
        <v>3182</v>
      </c>
    </row>
    <row r="296" spans="1:11" x14ac:dyDescent="0.25">
      <c r="A296">
        <v>179</v>
      </c>
      <c r="B296" s="26">
        <v>46211.416666666657</v>
      </c>
      <c r="C296" s="27">
        <v>46211</v>
      </c>
      <c r="D296">
        <v>11</v>
      </c>
      <c r="E296" t="s">
        <v>3173</v>
      </c>
      <c r="F296">
        <v>2</v>
      </c>
      <c r="G296" t="b">
        <v>1</v>
      </c>
      <c r="H296" t="s">
        <v>3226</v>
      </c>
      <c r="I296">
        <v>1.79434</v>
      </c>
      <c r="J296" t="s">
        <v>3227</v>
      </c>
      <c r="K296" t="s">
        <v>3182</v>
      </c>
    </row>
    <row r="297" spans="1:11" x14ac:dyDescent="0.25">
      <c r="A297">
        <v>179</v>
      </c>
      <c r="B297" s="26">
        <v>46211.416666666657</v>
      </c>
      <c r="C297" s="27">
        <v>46211</v>
      </c>
      <c r="D297">
        <v>11</v>
      </c>
      <c r="E297" t="s">
        <v>3173</v>
      </c>
      <c r="F297">
        <v>2</v>
      </c>
      <c r="G297" t="b">
        <v>1</v>
      </c>
      <c r="H297" t="s">
        <v>3228</v>
      </c>
      <c r="I297">
        <v>175.10325</v>
      </c>
      <c r="J297" t="s">
        <v>3229</v>
      </c>
      <c r="K297" t="s">
        <v>3182</v>
      </c>
    </row>
    <row r="298" spans="1:11" x14ac:dyDescent="0.25">
      <c r="A298">
        <v>179</v>
      </c>
      <c r="B298" s="26">
        <v>46211.416666666657</v>
      </c>
      <c r="C298" s="27">
        <v>46211</v>
      </c>
      <c r="D298">
        <v>11</v>
      </c>
      <c r="E298" t="s">
        <v>3173</v>
      </c>
      <c r="F298">
        <v>2</v>
      </c>
      <c r="G298" t="b">
        <v>1</v>
      </c>
      <c r="H298" t="s">
        <v>3230</v>
      </c>
      <c r="I298">
        <v>1.7529999999999999</v>
      </c>
      <c r="J298" t="s">
        <v>3231</v>
      </c>
      <c r="K298" t="s">
        <v>3182</v>
      </c>
    </row>
    <row r="299" spans="1:11" x14ac:dyDescent="0.25">
      <c r="A299">
        <v>180</v>
      </c>
      <c r="B299" s="26">
        <v>46211.458333333343</v>
      </c>
      <c r="C299" s="27">
        <v>46211</v>
      </c>
      <c r="D299">
        <v>12</v>
      </c>
      <c r="E299" t="s">
        <v>3173</v>
      </c>
      <c r="F299">
        <v>2</v>
      </c>
      <c r="G299" t="b">
        <v>1</v>
      </c>
      <c r="H299" t="s">
        <v>3180</v>
      </c>
      <c r="I299">
        <v>76.613169999999997</v>
      </c>
      <c r="J299" t="s">
        <v>3181</v>
      </c>
      <c r="K299" t="s">
        <v>3182</v>
      </c>
    </row>
    <row r="300" spans="1:11" x14ac:dyDescent="0.25">
      <c r="A300">
        <v>180</v>
      </c>
      <c r="B300" s="26">
        <v>46211.458333333343</v>
      </c>
      <c r="C300" s="27">
        <v>46211</v>
      </c>
      <c r="D300">
        <v>12</v>
      </c>
      <c r="E300" t="s">
        <v>3173</v>
      </c>
      <c r="F300">
        <v>2</v>
      </c>
      <c r="G300" t="b">
        <v>1</v>
      </c>
      <c r="H300" t="s">
        <v>3183</v>
      </c>
      <c r="I300">
        <v>133.32359</v>
      </c>
      <c r="J300" t="s">
        <v>3184</v>
      </c>
      <c r="K300" t="s">
        <v>3182</v>
      </c>
    </row>
    <row r="301" spans="1:11" x14ac:dyDescent="0.25">
      <c r="A301">
        <v>180</v>
      </c>
      <c r="B301" s="26">
        <v>46211.458333333343</v>
      </c>
      <c r="C301" s="27">
        <v>46211</v>
      </c>
      <c r="D301">
        <v>12</v>
      </c>
      <c r="E301" t="s">
        <v>3173</v>
      </c>
      <c r="F301">
        <v>2</v>
      </c>
      <c r="G301" t="b">
        <v>1</v>
      </c>
      <c r="H301" t="s">
        <v>3185</v>
      </c>
      <c r="I301">
        <v>136.91658000000001</v>
      </c>
      <c r="J301" t="s">
        <v>3186</v>
      </c>
      <c r="K301" t="s">
        <v>3182</v>
      </c>
    </row>
    <row r="302" spans="1:11" x14ac:dyDescent="0.25">
      <c r="A302">
        <v>180</v>
      </c>
      <c r="B302" s="26">
        <v>46211.458333333343</v>
      </c>
      <c r="C302" s="27">
        <v>46211</v>
      </c>
      <c r="D302">
        <v>12</v>
      </c>
      <c r="E302" t="s">
        <v>3173</v>
      </c>
      <c r="F302">
        <v>2</v>
      </c>
      <c r="G302" t="b">
        <v>1</v>
      </c>
      <c r="H302" t="s">
        <v>3187</v>
      </c>
      <c r="I302">
        <v>33.816989999999997</v>
      </c>
      <c r="J302" t="s">
        <v>3188</v>
      </c>
      <c r="K302" t="s">
        <v>3182</v>
      </c>
    </row>
    <row r="303" spans="1:11" x14ac:dyDescent="0.25">
      <c r="A303">
        <v>180</v>
      </c>
      <c r="B303" s="26">
        <v>46211.458333333343</v>
      </c>
      <c r="C303" s="27">
        <v>46211</v>
      </c>
      <c r="D303">
        <v>12</v>
      </c>
      <c r="E303" t="s">
        <v>3173</v>
      </c>
      <c r="F303">
        <v>2</v>
      </c>
      <c r="G303" t="b">
        <v>1</v>
      </c>
      <c r="H303" t="s">
        <v>3189</v>
      </c>
      <c r="I303">
        <v>253.66351</v>
      </c>
      <c r="J303" t="s">
        <v>3190</v>
      </c>
      <c r="K303" t="s">
        <v>3182</v>
      </c>
    </row>
    <row r="304" spans="1:11" x14ac:dyDescent="0.25">
      <c r="A304">
        <v>180</v>
      </c>
      <c r="B304" s="26">
        <v>46211.458333333343</v>
      </c>
      <c r="C304" s="27">
        <v>46211</v>
      </c>
      <c r="D304">
        <v>12</v>
      </c>
      <c r="E304" t="s">
        <v>3173</v>
      </c>
      <c r="F304">
        <v>2</v>
      </c>
      <c r="G304" t="b">
        <v>1</v>
      </c>
      <c r="H304" t="s">
        <v>3191</v>
      </c>
      <c r="I304">
        <v>1453.93676</v>
      </c>
      <c r="J304" t="s">
        <v>3192</v>
      </c>
      <c r="K304" t="s">
        <v>3182</v>
      </c>
    </row>
    <row r="305" spans="1:11" x14ac:dyDescent="0.25">
      <c r="A305">
        <v>180</v>
      </c>
      <c r="B305" s="26">
        <v>46211.458333333343</v>
      </c>
      <c r="C305" s="27">
        <v>46211</v>
      </c>
      <c r="D305">
        <v>12</v>
      </c>
      <c r="E305" t="s">
        <v>3173</v>
      </c>
      <c r="F305">
        <v>2</v>
      </c>
      <c r="G305" t="b">
        <v>1</v>
      </c>
      <c r="H305" t="s">
        <v>3193</v>
      </c>
      <c r="I305">
        <v>305.12410999999997</v>
      </c>
      <c r="J305" t="s">
        <v>3194</v>
      </c>
      <c r="K305" t="s">
        <v>3182</v>
      </c>
    </row>
    <row r="306" spans="1:11" x14ac:dyDescent="0.25">
      <c r="A306">
        <v>180</v>
      </c>
      <c r="B306" s="26">
        <v>46211.458333333343</v>
      </c>
      <c r="C306" s="27">
        <v>46211</v>
      </c>
      <c r="D306">
        <v>12</v>
      </c>
      <c r="E306" t="s">
        <v>3173</v>
      </c>
      <c r="F306">
        <v>2</v>
      </c>
      <c r="G306" t="b">
        <v>1</v>
      </c>
      <c r="H306" t="s">
        <v>3195</v>
      </c>
      <c r="I306">
        <v>41.694459999999999</v>
      </c>
      <c r="J306" t="s">
        <v>3196</v>
      </c>
      <c r="K306" t="s">
        <v>3182</v>
      </c>
    </row>
    <row r="307" spans="1:11" x14ac:dyDescent="0.25">
      <c r="A307">
        <v>180</v>
      </c>
      <c r="B307" s="26">
        <v>46211.458333333343</v>
      </c>
      <c r="C307" s="27">
        <v>46211</v>
      </c>
      <c r="D307">
        <v>12</v>
      </c>
      <c r="E307" t="s">
        <v>3173</v>
      </c>
      <c r="F307">
        <v>2</v>
      </c>
      <c r="G307" t="b">
        <v>1</v>
      </c>
      <c r="H307" t="s">
        <v>3197</v>
      </c>
      <c r="I307">
        <v>1488.2977800000001</v>
      </c>
      <c r="J307" t="s">
        <v>3198</v>
      </c>
      <c r="K307" t="s">
        <v>3182</v>
      </c>
    </row>
    <row r="308" spans="1:11" x14ac:dyDescent="0.25">
      <c r="A308">
        <v>180</v>
      </c>
      <c r="B308" s="26">
        <v>46211.458333333343</v>
      </c>
      <c r="C308" s="27">
        <v>46211</v>
      </c>
      <c r="D308">
        <v>12</v>
      </c>
      <c r="E308" t="s">
        <v>3173</v>
      </c>
      <c r="F308">
        <v>2</v>
      </c>
      <c r="G308" t="b">
        <v>1</v>
      </c>
      <c r="H308" t="s">
        <v>3199</v>
      </c>
      <c r="I308">
        <v>10.14165</v>
      </c>
      <c r="J308" t="s">
        <v>3200</v>
      </c>
      <c r="K308" t="s">
        <v>3182</v>
      </c>
    </row>
    <row r="309" spans="1:11" x14ac:dyDescent="0.25">
      <c r="A309">
        <v>180</v>
      </c>
      <c r="B309" s="26">
        <v>46211.458333333343</v>
      </c>
      <c r="C309" s="27">
        <v>46211</v>
      </c>
      <c r="D309">
        <v>12</v>
      </c>
      <c r="E309" t="s">
        <v>3173</v>
      </c>
      <c r="F309">
        <v>2</v>
      </c>
      <c r="G309" t="b">
        <v>1</v>
      </c>
      <c r="H309" t="s">
        <v>3201</v>
      </c>
      <c r="I309">
        <v>228.95453000000001</v>
      </c>
      <c r="J309" t="s">
        <v>3202</v>
      </c>
      <c r="K309" t="s">
        <v>3182</v>
      </c>
    </row>
    <row r="310" spans="1:11" x14ac:dyDescent="0.25">
      <c r="A310">
        <v>180</v>
      </c>
      <c r="B310" s="26">
        <v>46211.458333333343</v>
      </c>
      <c r="C310" s="27">
        <v>46211</v>
      </c>
      <c r="D310">
        <v>12</v>
      </c>
      <c r="E310" t="s">
        <v>3173</v>
      </c>
      <c r="F310">
        <v>2</v>
      </c>
      <c r="G310" t="b">
        <v>1</v>
      </c>
      <c r="H310" t="s">
        <v>3203</v>
      </c>
      <c r="I310">
        <v>44.989069999999998</v>
      </c>
      <c r="J310" t="s">
        <v>3204</v>
      </c>
      <c r="K310" t="s">
        <v>3182</v>
      </c>
    </row>
    <row r="311" spans="1:11" x14ac:dyDescent="0.25">
      <c r="A311">
        <v>180</v>
      </c>
      <c r="B311" s="26">
        <v>46211.458333333343</v>
      </c>
      <c r="C311" s="27">
        <v>46211</v>
      </c>
      <c r="D311">
        <v>12</v>
      </c>
      <c r="E311" t="s">
        <v>3173</v>
      </c>
      <c r="F311">
        <v>2</v>
      </c>
      <c r="G311" t="b">
        <v>1</v>
      </c>
      <c r="H311" t="s">
        <v>3205</v>
      </c>
      <c r="I311">
        <v>90.450289999999995</v>
      </c>
      <c r="J311" t="s">
        <v>3206</v>
      </c>
      <c r="K311" t="s">
        <v>3182</v>
      </c>
    </row>
    <row r="312" spans="1:11" x14ac:dyDescent="0.25">
      <c r="A312">
        <v>180</v>
      </c>
      <c r="B312" s="26">
        <v>46211.458333333343</v>
      </c>
      <c r="C312" s="27">
        <v>46211</v>
      </c>
      <c r="D312">
        <v>12</v>
      </c>
      <c r="E312" t="s">
        <v>3173</v>
      </c>
      <c r="F312">
        <v>2</v>
      </c>
      <c r="G312" t="b">
        <v>1</v>
      </c>
      <c r="H312" t="s">
        <v>3207</v>
      </c>
      <c r="I312">
        <v>150.62948</v>
      </c>
      <c r="J312" t="s">
        <v>3208</v>
      </c>
      <c r="K312" t="s">
        <v>3182</v>
      </c>
    </row>
    <row r="313" spans="1:11" x14ac:dyDescent="0.25">
      <c r="A313">
        <v>180</v>
      </c>
      <c r="B313" s="26">
        <v>46211.458333333343</v>
      </c>
      <c r="C313" s="27">
        <v>46211</v>
      </c>
      <c r="D313">
        <v>12</v>
      </c>
      <c r="E313" t="s">
        <v>3173</v>
      </c>
      <c r="F313">
        <v>2</v>
      </c>
      <c r="G313" t="b">
        <v>1</v>
      </c>
      <c r="H313" t="s">
        <v>3209</v>
      </c>
      <c r="I313">
        <v>11.37416</v>
      </c>
      <c r="J313" t="s">
        <v>3210</v>
      </c>
      <c r="K313" t="s">
        <v>3182</v>
      </c>
    </row>
    <row r="314" spans="1:11" x14ac:dyDescent="0.25">
      <c r="A314">
        <v>180</v>
      </c>
      <c r="B314" s="26">
        <v>46211.458333333343</v>
      </c>
      <c r="C314" s="27">
        <v>46211</v>
      </c>
      <c r="D314">
        <v>12</v>
      </c>
      <c r="E314" t="s">
        <v>3173</v>
      </c>
      <c r="F314">
        <v>2</v>
      </c>
      <c r="G314" t="b">
        <v>1</v>
      </c>
      <c r="H314" t="s">
        <v>3211</v>
      </c>
      <c r="I314">
        <v>1.0429999999999999</v>
      </c>
      <c r="J314" t="s">
        <v>3212</v>
      </c>
      <c r="K314" t="s">
        <v>3182</v>
      </c>
    </row>
    <row r="315" spans="1:11" x14ac:dyDescent="0.25">
      <c r="A315">
        <v>180</v>
      </c>
      <c r="B315" s="26">
        <v>46211.458333333343</v>
      </c>
      <c r="C315" s="27">
        <v>46211</v>
      </c>
      <c r="D315">
        <v>12</v>
      </c>
      <c r="E315" t="s">
        <v>3173</v>
      </c>
      <c r="F315">
        <v>2</v>
      </c>
      <c r="G315" t="b">
        <v>1</v>
      </c>
      <c r="H315" t="s">
        <v>3213</v>
      </c>
      <c r="I315">
        <v>683.49205000000006</v>
      </c>
      <c r="J315" t="s">
        <v>3214</v>
      </c>
      <c r="K315" t="s">
        <v>3182</v>
      </c>
    </row>
    <row r="316" spans="1:11" x14ac:dyDescent="0.25">
      <c r="A316">
        <v>180</v>
      </c>
      <c r="B316" s="26">
        <v>46211.458333333343</v>
      </c>
      <c r="C316" s="27">
        <v>46211</v>
      </c>
      <c r="D316">
        <v>12</v>
      </c>
      <c r="E316" t="s">
        <v>3173</v>
      </c>
      <c r="F316">
        <v>2</v>
      </c>
      <c r="G316" t="b">
        <v>1</v>
      </c>
      <c r="H316" t="s">
        <v>3215</v>
      </c>
      <c r="I316">
        <v>234.80680000000001</v>
      </c>
      <c r="J316" t="s">
        <v>3216</v>
      </c>
      <c r="K316" t="s">
        <v>3182</v>
      </c>
    </row>
    <row r="317" spans="1:11" x14ac:dyDescent="0.25">
      <c r="A317">
        <v>180</v>
      </c>
      <c r="B317" s="26">
        <v>46211.458333333343</v>
      </c>
      <c r="C317" s="27">
        <v>46211</v>
      </c>
      <c r="D317">
        <v>12</v>
      </c>
      <c r="E317" t="s">
        <v>3173</v>
      </c>
      <c r="F317">
        <v>2</v>
      </c>
      <c r="G317" t="b">
        <v>1</v>
      </c>
      <c r="H317" t="s">
        <v>3217</v>
      </c>
      <c r="I317">
        <v>2367.62979</v>
      </c>
      <c r="J317" t="s">
        <v>197</v>
      </c>
      <c r="K317" t="s">
        <v>3182</v>
      </c>
    </row>
    <row r="318" spans="1:11" x14ac:dyDescent="0.25">
      <c r="A318">
        <v>180</v>
      </c>
      <c r="B318" s="26">
        <v>46211.458333333343</v>
      </c>
      <c r="C318" s="27">
        <v>46211</v>
      </c>
      <c r="D318">
        <v>12</v>
      </c>
      <c r="E318" t="s">
        <v>3173</v>
      </c>
      <c r="F318">
        <v>2</v>
      </c>
      <c r="G318" t="b">
        <v>1</v>
      </c>
      <c r="H318" t="s">
        <v>3218</v>
      </c>
      <c r="I318">
        <v>45.432760000000002</v>
      </c>
      <c r="J318" t="s">
        <v>3219</v>
      </c>
      <c r="K318" t="s">
        <v>3182</v>
      </c>
    </row>
    <row r="319" spans="1:11" x14ac:dyDescent="0.25">
      <c r="A319">
        <v>180</v>
      </c>
      <c r="B319" s="26">
        <v>46211.458333333343</v>
      </c>
      <c r="C319" s="27">
        <v>46211</v>
      </c>
      <c r="D319">
        <v>12</v>
      </c>
      <c r="E319" t="s">
        <v>3173</v>
      </c>
      <c r="F319">
        <v>2</v>
      </c>
      <c r="G319" t="b">
        <v>1</v>
      </c>
      <c r="H319" t="s">
        <v>3220</v>
      </c>
      <c r="I319">
        <v>1698.1990599999999</v>
      </c>
      <c r="J319" t="s">
        <v>198</v>
      </c>
      <c r="K319" t="s">
        <v>3182</v>
      </c>
    </row>
    <row r="320" spans="1:11" x14ac:dyDescent="0.25">
      <c r="A320">
        <v>180</v>
      </c>
      <c r="B320" s="26">
        <v>46211.458333333343</v>
      </c>
      <c r="C320" s="27">
        <v>46211</v>
      </c>
      <c r="D320">
        <v>12</v>
      </c>
      <c r="E320" t="s">
        <v>3173</v>
      </c>
      <c r="F320">
        <v>2</v>
      </c>
      <c r="G320" t="b">
        <v>1</v>
      </c>
      <c r="H320" t="s">
        <v>3221</v>
      </c>
      <c r="I320">
        <v>625.02945999999997</v>
      </c>
      <c r="J320" t="s">
        <v>20</v>
      </c>
      <c r="K320" t="s">
        <v>3182</v>
      </c>
    </row>
    <row r="321" spans="1:11" x14ac:dyDescent="0.25">
      <c r="A321">
        <v>180</v>
      </c>
      <c r="B321" s="26">
        <v>46211.458333333343</v>
      </c>
      <c r="C321" s="27">
        <v>46211</v>
      </c>
      <c r="D321">
        <v>12</v>
      </c>
      <c r="E321" t="s">
        <v>3173</v>
      </c>
      <c r="F321">
        <v>2</v>
      </c>
      <c r="G321" t="b">
        <v>1</v>
      </c>
      <c r="H321" t="s">
        <v>3222</v>
      </c>
      <c r="I321">
        <v>15.68468</v>
      </c>
      <c r="J321" t="s">
        <v>3223</v>
      </c>
      <c r="K321" t="s">
        <v>3182</v>
      </c>
    </row>
    <row r="322" spans="1:11" x14ac:dyDescent="0.25">
      <c r="A322">
        <v>180</v>
      </c>
      <c r="B322" s="26">
        <v>46211.458333333343</v>
      </c>
      <c r="C322" s="27">
        <v>46211</v>
      </c>
      <c r="D322">
        <v>12</v>
      </c>
      <c r="E322" t="s">
        <v>3173</v>
      </c>
      <c r="F322">
        <v>2</v>
      </c>
      <c r="G322" t="b">
        <v>1</v>
      </c>
      <c r="H322" t="s">
        <v>3224</v>
      </c>
      <c r="I322">
        <v>480.26224000000002</v>
      </c>
      <c r="J322" t="s">
        <v>3225</v>
      </c>
      <c r="K322" t="s">
        <v>3182</v>
      </c>
    </row>
    <row r="323" spans="1:11" x14ac:dyDescent="0.25">
      <c r="A323">
        <v>180</v>
      </c>
      <c r="B323" s="26">
        <v>46211.458333333343</v>
      </c>
      <c r="C323" s="27">
        <v>46211</v>
      </c>
      <c r="D323">
        <v>12</v>
      </c>
      <c r="E323" t="s">
        <v>3173</v>
      </c>
      <c r="F323">
        <v>2</v>
      </c>
      <c r="G323" t="b">
        <v>1</v>
      </c>
      <c r="H323" t="s">
        <v>3226</v>
      </c>
      <c r="I323">
        <v>1.8701399999999999</v>
      </c>
      <c r="J323" t="s">
        <v>3227</v>
      </c>
      <c r="K323" t="s">
        <v>3182</v>
      </c>
    </row>
    <row r="324" spans="1:11" x14ac:dyDescent="0.25">
      <c r="A324">
        <v>180</v>
      </c>
      <c r="B324" s="26">
        <v>46211.458333333343</v>
      </c>
      <c r="C324" s="27">
        <v>46211</v>
      </c>
      <c r="D324">
        <v>12</v>
      </c>
      <c r="E324" t="s">
        <v>3173</v>
      </c>
      <c r="F324">
        <v>2</v>
      </c>
      <c r="G324" t="b">
        <v>1</v>
      </c>
      <c r="H324" t="s">
        <v>3228</v>
      </c>
      <c r="I324">
        <v>183.35740999999999</v>
      </c>
      <c r="J324" t="s">
        <v>3229</v>
      </c>
      <c r="K324" t="s">
        <v>3182</v>
      </c>
    </row>
    <row r="325" spans="1:11" x14ac:dyDescent="0.25">
      <c r="A325">
        <v>180</v>
      </c>
      <c r="B325" s="26">
        <v>46211.458333333343</v>
      </c>
      <c r="C325" s="27">
        <v>46211</v>
      </c>
      <c r="D325">
        <v>12</v>
      </c>
      <c r="E325" t="s">
        <v>3173</v>
      </c>
      <c r="F325">
        <v>2</v>
      </c>
      <c r="G325" t="b">
        <v>1</v>
      </c>
      <c r="H325" t="s">
        <v>3230</v>
      </c>
      <c r="I325">
        <v>1.7028000000000001</v>
      </c>
      <c r="J325" t="s">
        <v>3231</v>
      </c>
      <c r="K325" t="s">
        <v>3182</v>
      </c>
    </row>
    <row r="326" spans="1:11" x14ac:dyDescent="0.25">
      <c r="A326">
        <v>181</v>
      </c>
      <c r="B326" s="26">
        <v>46211.5</v>
      </c>
      <c r="C326" s="27">
        <v>46211</v>
      </c>
      <c r="D326">
        <v>13</v>
      </c>
      <c r="E326" t="s">
        <v>3173</v>
      </c>
      <c r="F326">
        <v>2</v>
      </c>
      <c r="G326" t="b">
        <v>1</v>
      </c>
      <c r="H326" t="s">
        <v>3180</v>
      </c>
      <c r="I326">
        <v>73.389039999999994</v>
      </c>
      <c r="J326" t="s">
        <v>3181</v>
      </c>
      <c r="K326" t="s">
        <v>3182</v>
      </c>
    </row>
    <row r="327" spans="1:11" x14ac:dyDescent="0.25">
      <c r="A327">
        <v>181</v>
      </c>
      <c r="B327" s="26">
        <v>46211.5</v>
      </c>
      <c r="C327" s="27">
        <v>46211</v>
      </c>
      <c r="D327">
        <v>13</v>
      </c>
      <c r="E327" t="s">
        <v>3173</v>
      </c>
      <c r="F327">
        <v>2</v>
      </c>
      <c r="G327" t="b">
        <v>1</v>
      </c>
      <c r="H327" t="s">
        <v>3183</v>
      </c>
      <c r="I327">
        <v>127.83705999999999</v>
      </c>
      <c r="J327" t="s">
        <v>3184</v>
      </c>
      <c r="K327" t="s">
        <v>3182</v>
      </c>
    </row>
    <row r="328" spans="1:11" x14ac:dyDescent="0.25">
      <c r="A328">
        <v>181</v>
      </c>
      <c r="B328" s="26">
        <v>46211.5</v>
      </c>
      <c r="C328" s="27">
        <v>46211</v>
      </c>
      <c r="D328">
        <v>13</v>
      </c>
      <c r="E328" t="s">
        <v>3173</v>
      </c>
      <c r="F328">
        <v>2</v>
      </c>
      <c r="G328" t="b">
        <v>1</v>
      </c>
      <c r="H328" t="s">
        <v>3185</v>
      </c>
      <c r="I328">
        <v>135.57854</v>
      </c>
      <c r="J328" t="s">
        <v>3186</v>
      </c>
      <c r="K328" t="s">
        <v>3182</v>
      </c>
    </row>
    <row r="329" spans="1:11" x14ac:dyDescent="0.25">
      <c r="A329">
        <v>181</v>
      </c>
      <c r="B329" s="26">
        <v>46211.5</v>
      </c>
      <c r="C329" s="27">
        <v>46211</v>
      </c>
      <c r="D329">
        <v>13</v>
      </c>
      <c r="E329" t="s">
        <v>3173</v>
      </c>
      <c r="F329">
        <v>2</v>
      </c>
      <c r="G329" t="b">
        <v>1</v>
      </c>
      <c r="H329" t="s">
        <v>3187</v>
      </c>
      <c r="I329">
        <v>32.398710000000001</v>
      </c>
      <c r="J329" t="s">
        <v>3188</v>
      </c>
      <c r="K329" t="s">
        <v>3182</v>
      </c>
    </row>
    <row r="330" spans="1:11" x14ac:dyDescent="0.25">
      <c r="A330">
        <v>181</v>
      </c>
      <c r="B330" s="26">
        <v>46211.5</v>
      </c>
      <c r="C330" s="27">
        <v>46211</v>
      </c>
      <c r="D330">
        <v>13</v>
      </c>
      <c r="E330" t="s">
        <v>3173</v>
      </c>
      <c r="F330">
        <v>2</v>
      </c>
      <c r="G330" t="b">
        <v>1</v>
      </c>
      <c r="H330" t="s">
        <v>3189</v>
      </c>
      <c r="I330">
        <v>254.65662</v>
      </c>
      <c r="J330" t="s">
        <v>3190</v>
      </c>
      <c r="K330" t="s">
        <v>3182</v>
      </c>
    </row>
    <row r="331" spans="1:11" x14ac:dyDescent="0.25">
      <c r="A331">
        <v>181</v>
      </c>
      <c r="B331" s="26">
        <v>46211.5</v>
      </c>
      <c r="C331" s="27">
        <v>46211</v>
      </c>
      <c r="D331">
        <v>13</v>
      </c>
      <c r="E331" t="s">
        <v>3173</v>
      </c>
      <c r="F331">
        <v>2</v>
      </c>
      <c r="G331" t="b">
        <v>1</v>
      </c>
      <c r="H331" t="s">
        <v>3191</v>
      </c>
      <c r="I331">
        <v>1495.2837</v>
      </c>
      <c r="J331" t="s">
        <v>3192</v>
      </c>
      <c r="K331" t="s">
        <v>3182</v>
      </c>
    </row>
    <row r="332" spans="1:11" x14ac:dyDescent="0.25">
      <c r="A332">
        <v>181</v>
      </c>
      <c r="B332" s="26">
        <v>46211.5</v>
      </c>
      <c r="C332" s="27">
        <v>46211</v>
      </c>
      <c r="D332">
        <v>13</v>
      </c>
      <c r="E332" t="s">
        <v>3173</v>
      </c>
      <c r="F332">
        <v>2</v>
      </c>
      <c r="G332" t="b">
        <v>1</v>
      </c>
      <c r="H332" t="s">
        <v>3193</v>
      </c>
      <c r="I332">
        <v>290.81389000000001</v>
      </c>
      <c r="J332" t="s">
        <v>3194</v>
      </c>
      <c r="K332" t="s">
        <v>3182</v>
      </c>
    </row>
    <row r="333" spans="1:11" x14ac:dyDescent="0.25">
      <c r="A333">
        <v>181</v>
      </c>
      <c r="B333" s="26">
        <v>46211.5</v>
      </c>
      <c r="C333" s="27">
        <v>46211</v>
      </c>
      <c r="D333">
        <v>13</v>
      </c>
      <c r="E333" t="s">
        <v>3173</v>
      </c>
      <c r="F333">
        <v>2</v>
      </c>
      <c r="G333" t="b">
        <v>1</v>
      </c>
      <c r="H333" t="s">
        <v>3195</v>
      </c>
      <c r="I333">
        <v>39.771150000000013</v>
      </c>
      <c r="J333" t="s">
        <v>3196</v>
      </c>
      <c r="K333" t="s">
        <v>3182</v>
      </c>
    </row>
    <row r="334" spans="1:11" x14ac:dyDescent="0.25">
      <c r="A334">
        <v>181</v>
      </c>
      <c r="B334" s="26">
        <v>46211.5</v>
      </c>
      <c r="C334" s="27">
        <v>46211</v>
      </c>
      <c r="D334">
        <v>13</v>
      </c>
      <c r="E334" t="s">
        <v>3173</v>
      </c>
      <c r="F334">
        <v>2</v>
      </c>
      <c r="G334" t="b">
        <v>1</v>
      </c>
      <c r="H334" t="s">
        <v>3197</v>
      </c>
      <c r="I334">
        <v>1520.0555999999999</v>
      </c>
      <c r="J334" t="s">
        <v>3198</v>
      </c>
      <c r="K334" t="s">
        <v>3182</v>
      </c>
    </row>
    <row r="335" spans="1:11" x14ac:dyDescent="0.25">
      <c r="A335">
        <v>181</v>
      </c>
      <c r="B335" s="26">
        <v>46211.5</v>
      </c>
      <c r="C335" s="27">
        <v>46211</v>
      </c>
      <c r="D335">
        <v>13</v>
      </c>
      <c r="E335" t="s">
        <v>3173</v>
      </c>
      <c r="F335">
        <v>2</v>
      </c>
      <c r="G335" t="b">
        <v>1</v>
      </c>
      <c r="H335" t="s">
        <v>3199</v>
      </c>
      <c r="I335">
        <v>9.6816499999999994</v>
      </c>
      <c r="J335" t="s">
        <v>3200</v>
      </c>
      <c r="K335" t="s">
        <v>3182</v>
      </c>
    </row>
    <row r="336" spans="1:11" x14ac:dyDescent="0.25">
      <c r="A336">
        <v>181</v>
      </c>
      <c r="B336" s="26">
        <v>46211.5</v>
      </c>
      <c r="C336" s="27">
        <v>46211</v>
      </c>
      <c r="D336">
        <v>13</v>
      </c>
      <c r="E336" t="s">
        <v>3173</v>
      </c>
      <c r="F336">
        <v>2</v>
      </c>
      <c r="G336" t="b">
        <v>1</v>
      </c>
      <c r="H336" t="s">
        <v>3201</v>
      </c>
      <c r="I336">
        <v>227.03467000000001</v>
      </c>
      <c r="J336" t="s">
        <v>3202</v>
      </c>
      <c r="K336" t="s">
        <v>3182</v>
      </c>
    </row>
    <row r="337" spans="1:11" x14ac:dyDescent="0.25">
      <c r="A337">
        <v>181</v>
      </c>
      <c r="B337" s="26">
        <v>46211.5</v>
      </c>
      <c r="C337" s="27">
        <v>46211</v>
      </c>
      <c r="D337">
        <v>13</v>
      </c>
      <c r="E337" t="s">
        <v>3173</v>
      </c>
      <c r="F337">
        <v>2</v>
      </c>
      <c r="G337" t="b">
        <v>1</v>
      </c>
      <c r="H337" t="s">
        <v>3203</v>
      </c>
      <c r="I337">
        <v>44.907200000000003</v>
      </c>
      <c r="J337" t="s">
        <v>3204</v>
      </c>
      <c r="K337" t="s">
        <v>3182</v>
      </c>
    </row>
    <row r="338" spans="1:11" x14ac:dyDescent="0.25">
      <c r="A338">
        <v>181</v>
      </c>
      <c r="B338" s="26">
        <v>46211.5</v>
      </c>
      <c r="C338" s="27">
        <v>46211</v>
      </c>
      <c r="D338">
        <v>13</v>
      </c>
      <c r="E338" t="s">
        <v>3173</v>
      </c>
      <c r="F338">
        <v>2</v>
      </c>
      <c r="G338" t="b">
        <v>1</v>
      </c>
      <c r="H338" t="s">
        <v>3205</v>
      </c>
      <c r="I338">
        <v>88.711759999999998</v>
      </c>
      <c r="J338" t="s">
        <v>3206</v>
      </c>
      <c r="K338" t="s">
        <v>3182</v>
      </c>
    </row>
    <row r="339" spans="1:11" x14ac:dyDescent="0.25">
      <c r="A339">
        <v>181</v>
      </c>
      <c r="B339" s="26">
        <v>46211.5</v>
      </c>
      <c r="C339" s="27">
        <v>46211</v>
      </c>
      <c r="D339">
        <v>13</v>
      </c>
      <c r="E339" t="s">
        <v>3173</v>
      </c>
      <c r="F339">
        <v>2</v>
      </c>
      <c r="G339" t="b">
        <v>1</v>
      </c>
      <c r="H339" t="s">
        <v>3207</v>
      </c>
      <c r="I339">
        <v>148.11717999999999</v>
      </c>
      <c r="J339" t="s">
        <v>3208</v>
      </c>
      <c r="K339" t="s">
        <v>3182</v>
      </c>
    </row>
    <row r="340" spans="1:11" x14ac:dyDescent="0.25">
      <c r="A340">
        <v>181</v>
      </c>
      <c r="B340" s="26">
        <v>46211.5</v>
      </c>
      <c r="C340" s="27">
        <v>46211</v>
      </c>
      <c r="D340">
        <v>13</v>
      </c>
      <c r="E340" t="s">
        <v>3173</v>
      </c>
      <c r="F340">
        <v>2</v>
      </c>
      <c r="G340" t="b">
        <v>1</v>
      </c>
      <c r="H340" t="s">
        <v>3209</v>
      </c>
      <c r="I340">
        <v>11.37416</v>
      </c>
      <c r="J340" t="s">
        <v>3210</v>
      </c>
      <c r="K340" t="s">
        <v>3182</v>
      </c>
    </row>
    <row r="341" spans="1:11" x14ac:dyDescent="0.25">
      <c r="A341">
        <v>181</v>
      </c>
      <c r="B341" s="26">
        <v>46211.5</v>
      </c>
      <c r="C341" s="27">
        <v>46211</v>
      </c>
      <c r="D341">
        <v>13</v>
      </c>
      <c r="E341" t="s">
        <v>3173</v>
      </c>
      <c r="F341">
        <v>2</v>
      </c>
      <c r="G341" t="b">
        <v>1</v>
      </c>
      <c r="H341" t="s">
        <v>3211</v>
      </c>
      <c r="I341">
        <v>0.86199999999999999</v>
      </c>
      <c r="J341" t="s">
        <v>3212</v>
      </c>
      <c r="K341" t="s">
        <v>3182</v>
      </c>
    </row>
    <row r="342" spans="1:11" x14ac:dyDescent="0.25">
      <c r="A342">
        <v>181</v>
      </c>
      <c r="B342" s="26">
        <v>46211.5</v>
      </c>
      <c r="C342" s="27">
        <v>46211</v>
      </c>
      <c r="D342">
        <v>13</v>
      </c>
      <c r="E342" t="s">
        <v>3173</v>
      </c>
      <c r="F342">
        <v>2</v>
      </c>
      <c r="G342" t="b">
        <v>1</v>
      </c>
      <c r="H342" t="s">
        <v>3213</v>
      </c>
      <c r="I342">
        <v>691.50417000000004</v>
      </c>
      <c r="J342" t="s">
        <v>3214</v>
      </c>
      <c r="K342" t="s">
        <v>3182</v>
      </c>
    </row>
    <row r="343" spans="1:11" x14ac:dyDescent="0.25">
      <c r="A343">
        <v>181</v>
      </c>
      <c r="B343" s="26">
        <v>46211.5</v>
      </c>
      <c r="C343" s="27">
        <v>46211</v>
      </c>
      <c r="D343">
        <v>13</v>
      </c>
      <c r="E343" t="s">
        <v>3173</v>
      </c>
      <c r="F343">
        <v>2</v>
      </c>
      <c r="G343" t="b">
        <v>1</v>
      </c>
      <c r="H343" t="s">
        <v>3215</v>
      </c>
      <c r="I343">
        <v>257.51762000000002</v>
      </c>
      <c r="J343" t="s">
        <v>3216</v>
      </c>
      <c r="K343" t="s">
        <v>3182</v>
      </c>
    </row>
    <row r="344" spans="1:11" x14ac:dyDescent="0.25">
      <c r="A344">
        <v>181</v>
      </c>
      <c r="B344" s="26">
        <v>46211.5</v>
      </c>
      <c r="C344" s="27">
        <v>46211</v>
      </c>
      <c r="D344">
        <v>13</v>
      </c>
      <c r="E344" t="s">
        <v>3173</v>
      </c>
      <c r="F344">
        <v>2</v>
      </c>
      <c r="G344" t="b">
        <v>1</v>
      </c>
      <c r="H344" t="s">
        <v>3217</v>
      </c>
      <c r="I344">
        <v>2355.44839</v>
      </c>
      <c r="J344" t="s">
        <v>197</v>
      </c>
      <c r="K344" t="s">
        <v>3182</v>
      </c>
    </row>
    <row r="345" spans="1:11" x14ac:dyDescent="0.25">
      <c r="A345">
        <v>181</v>
      </c>
      <c r="B345" s="26">
        <v>46211.5</v>
      </c>
      <c r="C345" s="27">
        <v>46211</v>
      </c>
      <c r="D345">
        <v>13</v>
      </c>
      <c r="E345" t="s">
        <v>3173</v>
      </c>
      <c r="F345">
        <v>2</v>
      </c>
      <c r="G345" t="b">
        <v>1</v>
      </c>
      <c r="H345" t="s">
        <v>3218</v>
      </c>
      <c r="I345">
        <v>43.721580000000003</v>
      </c>
      <c r="J345" t="s">
        <v>3219</v>
      </c>
      <c r="K345" t="s">
        <v>3182</v>
      </c>
    </row>
    <row r="346" spans="1:11" x14ac:dyDescent="0.25">
      <c r="A346">
        <v>181</v>
      </c>
      <c r="B346" s="26">
        <v>46211.5</v>
      </c>
      <c r="C346" s="27">
        <v>46211</v>
      </c>
      <c r="D346">
        <v>13</v>
      </c>
      <c r="E346" t="s">
        <v>3173</v>
      </c>
      <c r="F346">
        <v>2</v>
      </c>
      <c r="G346" t="b">
        <v>1</v>
      </c>
      <c r="H346" t="s">
        <v>3220</v>
      </c>
      <c r="I346">
        <v>1721.0643500000001</v>
      </c>
      <c r="J346" t="s">
        <v>198</v>
      </c>
      <c r="K346" t="s">
        <v>3182</v>
      </c>
    </row>
    <row r="347" spans="1:11" x14ac:dyDescent="0.25">
      <c r="A347">
        <v>181</v>
      </c>
      <c r="B347" s="26">
        <v>46211.5</v>
      </c>
      <c r="C347" s="27">
        <v>46211</v>
      </c>
      <c r="D347">
        <v>13</v>
      </c>
      <c r="E347" t="s">
        <v>3173</v>
      </c>
      <c r="F347">
        <v>2</v>
      </c>
      <c r="G347" t="b">
        <v>1</v>
      </c>
      <c r="H347" t="s">
        <v>3221</v>
      </c>
      <c r="I347">
        <v>613.47874999999999</v>
      </c>
      <c r="J347" t="s">
        <v>20</v>
      </c>
      <c r="K347" t="s">
        <v>3182</v>
      </c>
    </row>
    <row r="348" spans="1:11" x14ac:dyDescent="0.25">
      <c r="A348">
        <v>181</v>
      </c>
      <c r="B348" s="26">
        <v>46211.5</v>
      </c>
      <c r="C348" s="27">
        <v>46211</v>
      </c>
      <c r="D348">
        <v>13</v>
      </c>
      <c r="E348" t="s">
        <v>3173</v>
      </c>
      <c r="F348">
        <v>2</v>
      </c>
      <c r="G348" t="b">
        <v>1</v>
      </c>
      <c r="H348" t="s">
        <v>3222</v>
      </c>
      <c r="I348">
        <v>14.657360000000001</v>
      </c>
      <c r="J348" t="s">
        <v>3223</v>
      </c>
      <c r="K348" t="s">
        <v>3182</v>
      </c>
    </row>
    <row r="349" spans="1:11" x14ac:dyDescent="0.25">
      <c r="A349">
        <v>181</v>
      </c>
      <c r="B349" s="26">
        <v>46211.5</v>
      </c>
      <c r="C349" s="27">
        <v>46211</v>
      </c>
      <c r="D349">
        <v>13</v>
      </c>
      <c r="E349" t="s">
        <v>3173</v>
      </c>
      <c r="F349">
        <v>2</v>
      </c>
      <c r="G349" t="b">
        <v>1</v>
      </c>
      <c r="H349" t="s">
        <v>3224</v>
      </c>
      <c r="I349">
        <v>468.29390999999998</v>
      </c>
      <c r="J349" t="s">
        <v>3225</v>
      </c>
      <c r="K349" t="s">
        <v>3182</v>
      </c>
    </row>
    <row r="350" spans="1:11" x14ac:dyDescent="0.25">
      <c r="A350">
        <v>181</v>
      </c>
      <c r="B350" s="26">
        <v>46211.5</v>
      </c>
      <c r="C350" s="27">
        <v>46211</v>
      </c>
      <c r="D350">
        <v>13</v>
      </c>
      <c r="E350" t="s">
        <v>3173</v>
      </c>
      <c r="F350">
        <v>2</v>
      </c>
      <c r="G350" t="b">
        <v>1</v>
      </c>
      <c r="H350" t="s">
        <v>3226</v>
      </c>
      <c r="I350">
        <v>1.86982</v>
      </c>
      <c r="J350" t="s">
        <v>3227</v>
      </c>
      <c r="K350" t="s">
        <v>3182</v>
      </c>
    </row>
    <row r="351" spans="1:11" x14ac:dyDescent="0.25">
      <c r="A351">
        <v>181</v>
      </c>
      <c r="B351" s="26">
        <v>46211.5</v>
      </c>
      <c r="C351" s="27">
        <v>46211</v>
      </c>
      <c r="D351">
        <v>13</v>
      </c>
      <c r="E351" t="s">
        <v>3173</v>
      </c>
      <c r="F351">
        <v>2</v>
      </c>
      <c r="G351" t="b">
        <v>1</v>
      </c>
      <c r="H351" t="s">
        <v>3228</v>
      </c>
      <c r="I351">
        <v>173.70746</v>
      </c>
      <c r="J351" t="s">
        <v>3229</v>
      </c>
      <c r="K351" t="s">
        <v>3182</v>
      </c>
    </row>
    <row r="352" spans="1:11" x14ac:dyDescent="0.25">
      <c r="A352">
        <v>181</v>
      </c>
      <c r="B352" s="26">
        <v>46211.5</v>
      </c>
      <c r="C352" s="27">
        <v>46211</v>
      </c>
      <c r="D352">
        <v>13</v>
      </c>
      <c r="E352" t="s">
        <v>3173</v>
      </c>
      <c r="F352">
        <v>2</v>
      </c>
      <c r="G352" t="b">
        <v>1</v>
      </c>
      <c r="H352" t="s">
        <v>3230</v>
      </c>
      <c r="I352">
        <v>1.6649</v>
      </c>
      <c r="J352" t="s">
        <v>3231</v>
      </c>
      <c r="K352" t="s">
        <v>3182</v>
      </c>
    </row>
    <row r="353" spans="1:11" x14ac:dyDescent="0.25">
      <c r="A353">
        <v>182</v>
      </c>
      <c r="B353" s="26">
        <v>46211.541666666657</v>
      </c>
      <c r="C353" s="27">
        <v>46211</v>
      </c>
      <c r="D353">
        <v>14</v>
      </c>
      <c r="E353" t="s">
        <v>3173</v>
      </c>
      <c r="F353">
        <v>2</v>
      </c>
      <c r="G353" t="b">
        <v>1</v>
      </c>
      <c r="H353" t="s">
        <v>3180</v>
      </c>
      <c r="I353">
        <v>84.245550000000009</v>
      </c>
      <c r="J353" t="s">
        <v>3181</v>
      </c>
      <c r="K353" t="s">
        <v>3182</v>
      </c>
    </row>
    <row r="354" spans="1:11" x14ac:dyDescent="0.25">
      <c r="A354">
        <v>182</v>
      </c>
      <c r="B354" s="26">
        <v>46211.541666666657</v>
      </c>
      <c r="C354" s="27">
        <v>46211</v>
      </c>
      <c r="D354">
        <v>14</v>
      </c>
      <c r="E354" t="s">
        <v>3173</v>
      </c>
      <c r="F354">
        <v>2</v>
      </c>
      <c r="G354" t="b">
        <v>1</v>
      </c>
      <c r="H354" t="s">
        <v>3183</v>
      </c>
      <c r="I354">
        <v>124.68821</v>
      </c>
      <c r="J354" t="s">
        <v>3184</v>
      </c>
      <c r="K354" t="s">
        <v>3182</v>
      </c>
    </row>
    <row r="355" spans="1:11" x14ac:dyDescent="0.25">
      <c r="A355">
        <v>182</v>
      </c>
      <c r="B355" s="26">
        <v>46211.541666666657</v>
      </c>
      <c r="C355" s="27">
        <v>46211</v>
      </c>
      <c r="D355">
        <v>14</v>
      </c>
      <c r="E355" t="s">
        <v>3173</v>
      </c>
      <c r="F355">
        <v>2</v>
      </c>
      <c r="G355" t="b">
        <v>1</v>
      </c>
      <c r="H355" t="s">
        <v>3185</v>
      </c>
      <c r="I355">
        <v>133.48907</v>
      </c>
      <c r="J355" t="s">
        <v>3186</v>
      </c>
      <c r="K355" t="s">
        <v>3182</v>
      </c>
    </row>
    <row r="356" spans="1:11" x14ac:dyDescent="0.25">
      <c r="A356">
        <v>182</v>
      </c>
      <c r="B356" s="26">
        <v>46211.541666666657</v>
      </c>
      <c r="C356" s="27">
        <v>46211</v>
      </c>
      <c r="D356">
        <v>14</v>
      </c>
      <c r="E356" t="s">
        <v>3173</v>
      </c>
      <c r="F356">
        <v>2</v>
      </c>
      <c r="G356" t="b">
        <v>1</v>
      </c>
      <c r="H356" t="s">
        <v>3187</v>
      </c>
      <c r="I356">
        <v>32.652259999999998</v>
      </c>
      <c r="J356" t="s">
        <v>3188</v>
      </c>
      <c r="K356" t="s">
        <v>3182</v>
      </c>
    </row>
    <row r="357" spans="1:11" x14ac:dyDescent="0.25">
      <c r="A357">
        <v>182</v>
      </c>
      <c r="B357" s="26">
        <v>46211.541666666657</v>
      </c>
      <c r="C357" s="27">
        <v>46211</v>
      </c>
      <c r="D357">
        <v>14</v>
      </c>
      <c r="E357" t="s">
        <v>3173</v>
      </c>
      <c r="F357">
        <v>2</v>
      </c>
      <c r="G357" t="b">
        <v>1</v>
      </c>
      <c r="H357" t="s">
        <v>3189</v>
      </c>
      <c r="I357">
        <v>252.10073</v>
      </c>
      <c r="J357" t="s">
        <v>3190</v>
      </c>
      <c r="K357" t="s">
        <v>3182</v>
      </c>
    </row>
    <row r="358" spans="1:11" x14ac:dyDescent="0.25">
      <c r="A358">
        <v>182</v>
      </c>
      <c r="B358" s="26">
        <v>46211.541666666657</v>
      </c>
      <c r="C358" s="27">
        <v>46211</v>
      </c>
      <c r="D358">
        <v>14</v>
      </c>
      <c r="E358" t="s">
        <v>3173</v>
      </c>
      <c r="F358">
        <v>2</v>
      </c>
      <c r="G358" t="b">
        <v>1</v>
      </c>
      <c r="H358" t="s">
        <v>3191</v>
      </c>
      <c r="I358">
        <v>1575.9473599999999</v>
      </c>
      <c r="J358" t="s">
        <v>3192</v>
      </c>
      <c r="K358" t="s">
        <v>3182</v>
      </c>
    </row>
    <row r="359" spans="1:11" x14ac:dyDescent="0.25">
      <c r="A359">
        <v>182</v>
      </c>
      <c r="B359" s="26">
        <v>46211.541666666657</v>
      </c>
      <c r="C359" s="27">
        <v>46211</v>
      </c>
      <c r="D359">
        <v>14</v>
      </c>
      <c r="E359" t="s">
        <v>3173</v>
      </c>
      <c r="F359">
        <v>2</v>
      </c>
      <c r="G359" t="b">
        <v>1</v>
      </c>
      <c r="H359" t="s">
        <v>3193</v>
      </c>
      <c r="I359">
        <v>312.40427</v>
      </c>
      <c r="J359" t="s">
        <v>3194</v>
      </c>
      <c r="K359" t="s">
        <v>3182</v>
      </c>
    </row>
    <row r="360" spans="1:11" x14ac:dyDescent="0.25">
      <c r="A360">
        <v>182</v>
      </c>
      <c r="B360" s="26">
        <v>46211.541666666657</v>
      </c>
      <c r="C360" s="27">
        <v>46211</v>
      </c>
      <c r="D360">
        <v>14</v>
      </c>
      <c r="E360" t="s">
        <v>3173</v>
      </c>
      <c r="F360">
        <v>2</v>
      </c>
      <c r="G360" t="b">
        <v>1</v>
      </c>
      <c r="H360" t="s">
        <v>3195</v>
      </c>
      <c r="I360">
        <v>38.462629999999997</v>
      </c>
      <c r="J360" t="s">
        <v>3196</v>
      </c>
      <c r="K360" t="s">
        <v>3182</v>
      </c>
    </row>
    <row r="361" spans="1:11" x14ac:dyDescent="0.25">
      <c r="A361">
        <v>182</v>
      </c>
      <c r="B361" s="26">
        <v>46211.541666666657</v>
      </c>
      <c r="C361" s="27">
        <v>46211</v>
      </c>
      <c r="D361">
        <v>14</v>
      </c>
      <c r="E361" t="s">
        <v>3173</v>
      </c>
      <c r="F361">
        <v>2</v>
      </c>
      <c r="G361" t="b">
        <v>1</v>
      </c>
      <c r="H361" t="s">
        <v>3197</v>
      </c>
      <c r="I361">
        <v>1583.91389</v>
      </c>
      <c r="J361" t="s">
        <v>3198</v>
      </c>
      <c r="K361" t="s">
        <v>3182</v>
      </c>
    </row>
    <row r="362" spans="1:11" x14ac:dyDescent="0.25">
      <c r="A362">
        <v>182</v>
      </c>
      <c r="B362" s="26">
        <v>46211.541666666657</v>
      </c>
      <c r="C362" s="27">
        <v>46211</v>
      </c>
      <c r="D362">
        <v>14</v>
      </c>
      <c r="E362" t="s">
        <v>3173</v>
      </c>
      <c r="F362">
        <v>2</v>
      </c>
      <c r="G362" t="b">
        <v>1</v>
      </c>
      <c r="H362" t="s">
        <v>3199</v>
      </c>
      <c r="I362">
        <v>9.4917700000000007</v>
      </c>
      <c r="J362" t="s">
        <v>3200</v>
      </c>
      <c r="K362" t="s">
        <v>3182</v>
      </c>
    </row>
    <row r="363" spans="1:11" x14ac:dyDescent="0.25">
      <c r="A363">
        <v>182</v>
      </c>
      <c r="B363" s="26">
        <v>46211.541666666657</v>
      </c>
      <c r="C363" s="27">
        <v>46211</v>
      </c>
      <c r="D363">
        <v>14</v>
      </c>
      <c r="E363" t="s">
        <v>3173</v>
      </c>
      <c r="F363">
        <v>2</v>
      </c>
      <c r="G363" t="b">
        <v>1</v>
      </c>
      <c r="H363" t="s">
        <v>3201</v>
      </c>
      <c r="I363">
        <v>227.93152000000001</v>
      </c>
      <c r="J363" t="s">
        <v>3202</v>
      </c>
      <c r="K363" t="s">
        <v>3182</v>
      </c>
    </row>
    <row r="364" spans="1:11" x14ac:dyDescent="0.25">
      <c r="A364">
        <v>182</v>
      </c>
      <c r="B364" s="26">
        <v>46211.541666666657</v>
      </c>
      <c r="C364" s="27">
        <v>46211</v>
      </c>
      <c r="D364">
        <v>14</v>
      </c>
      <c r="E364" t="s">
        <v>3173</v>
      </c>
      <c r="F364">
        <v>2</v>
      </c>
      <c r="G364" t="b">
        <v>1</v>
      </c>
      <c r="H364" t="s">
        <v>3203</v>
      </c>
      <c r="I364">
        <v>45.325660000000013</v>
      </c>
      <c r="J364" t="s">
        <v>3204</v>
      </c>
      <c r="K364" t="s">
        <v>3182</v>
      </c>
    </row>
    <row r="365" spans="1:11" x14ac:dyDescent="0.25">
      <c r="A365">
        <v>182</v>
      </c>
      <c r="B365" s="26">
        <v>46211.541666666657</v>
      </c>
      <c r="C365" s="27">
        <v>46211</v>
      </c>
      <c r="D365">
        <v>14</v>
      </c>
      <c r="E365" t="s">
        <v>3173</v>
      </c>
      <c r="F365">
        <v>2</v>
      </c>
      <c r="G365" t="b">
        <v>1</v>
      </c>
      <c r="H365" t="s">
        <v>3205</v>
      </c>
      <c r="I365">
        <v>88.131219999999999</v>
      </c>
      <c r="J365" t="s">
        <v>3206</v>
      </c>
      <c r="K365" t="s">
        <v>3182</v>
      </c>
    </row>
    <row r="366" spans="1:11" x14ac:dyDescent="0.25">
      <c r="A366">
        <v>182</v>
      </c>
      <c r="B366" s="26">
        <v>46211.541666666657</v>
      </c>
      <c r="C366" s="27">
        <v>46211</v>
      </c>
      <c r="D366">
        <v>14</v>
      </c>
      <c r="E366" t="s">
        <v>3173</v>
      </c>
      <c r="F366">
        <v>2</v>
      </c>
      <c r="G366" t="b">
        <v>1</v>
      </c>
      <c r="H366" t="s">
        <v>3207</v>
      </c>
      <c r="I366">
        <v>150.52884</v>
      </c>
      <c r="J366" t="s">
        <v>3208</v>
      </c>
      <c r="K366" t="s">
        <v>3182</v>
      </c>
    </row>
    <row r="367" spans="1:11" x14ac:dyDescent="0.25">
      <c r="A367">
        <v>182</v>
      </c>
      <c r="B367" s="26">
        <v>46211.541666666657</v>
      </c>
      <c r="C367" s="27">
        <v>46211</v>
      </c>
      <c r="D367">
        <v>14</v>
      </c>
      <c r="E367" t="s">
        <v>3173</v>
      </c>
      <c r="F367">
        <v>2</v>
      </c>
      <c r="G367" t="b">
        <v>1</v>
      </c>
      <c r="H367" t="s">
        <v>3209</v>
      </c>
      <c r="I367">
        <v>11.697749999999999</v>
      </c>
      <c r="J367" t="s">
        <v>3210</v>
      </c>
      <c r="K367" t="s">
        <v>3182</v>
      </c>
    </row>
    <row r="368" spans="1:11" x14ac:dyDescent="0.25">
      <c r="A368">
        <v>182</v>
      </c>
      <c r="B368" s="26">
        <v>46211.541666666657</v>
      </c>
      <c r="C368" s="27">
        <v>46211</v>
      </c>
      <c r="D368">
        <v>14</v>
      </c>
      <c r="E368" t="s">
        <v>3173</v>
      </c>
      <c r="F368">
        <v>2</v>
      </c>
      <c r="G368" t="b">
        <v>1</v>
      </c>
      <c r="H368" t="s">
        <v>3211</v>
      </c>
      <c r="I368">
        <v>0.80100000000000005</v>
      </c>
      <c r="J368" t="s">
        <v>3212</v>
      </c>
      <c r="K368" t="s">
        <v>3182</v>
      </c>
    </row>
    <row r="369" spans="1:11" x14ac:dyDescent="0.25">
      <c r="A369">
        <v>182</v>
      </c>
      <c r="B369" s="26">
        <v>46211.541666666657</v>
      </c>
      <c r="C369" s="27">
        <v>46211</v>
      </c>
      <c r="D369">
        <v>14</v>
      </c>
      <c r="E369" t="s">
        <v>3173</v>
      </c>
      <c r="F369">
        <v>2</v>
      </c>
      <c r="G369" t="b">
        <v>1</v>
      </c>
      <c r="H369" t="s">
        <v>3213</v>
      </c>
      <c r="I369">
        <v>703.68928000000005</v>
      </c>
      <c r="J369" t="s">
        <v>3214</v>
      </c>
      <c r="K369" t="s">
        <v>3182</v>
      </c>
    </row>
    <row r="370" spans="1:11" x14ac:dyDescent="0.25">
      <c r="A370">
        <v>182</v>
      </c>
      <c r="B370" s="26">
        <v>46211.541666666657</v>
      </c>
      <c r="C370" s="27">
        <v>46211</v>
      </c>
      <c r="D370">
        <v>14</v>
      </c>
      <c r="E370" t="s">
        <v>3173</v>
      </c>
      <c r="F370">
        <v>2</v>
      </c>
      <c r="G370" t="b">
        <v>1</v>
      </c>
      <c r="H370" t="s">
        <v>3215</v>
      </c>
      <c r="I370">
        <v>236.45785000000001</v>
      </c>
      <c r="J370" t="s">
        <v>3216</v>
      </c>
      <c r="K370" t="s">
        <v>3182</v>
      </c>
    </row>
    <row r="371" spans="1:11" x14ac:dyDescent="0.25">
      <c r="A371">
        <v>182</v>
      </c>
      <c r="B371" s="26">
        <v>46211.541666666657</v>
      </c>
      <c r="C371" s="27">
        <v>46211</v>
      </c>
      <c r="D371">
        <v>14</v>
      </c>
      <c r="E371" t="s">
        <v>3173</v>
      </c>
      <c r="F371">
        <v>2</v>
      </c>
      <c r="G371" t="b">
        <v>1</v>
      </c>
      <c r="H371" t="s">
        <v>3217</v>
      </c>
      <c r="I371">
        <v>2311.66662</v>
      </c>
      <c r="J371" t="s">
        <v>197</v>
      </c>
      <c r="K371" t="s">
        <v>3182</v>
      </c>
    </row>
    <row r="372" spans="1:11" x14ac:dyDescent="0.25">
      <c r="A372">
        <v>182</v>
      </c>
      <c r="B372" s="26">
        <v>46211.541666666657</v>
      </c>
      <c r="C372" s="27">
        <v>46211</v>
      </c>
      <c r="D372">
        <v>14</v>
      </c>
      <c r="E372" t="s">
        <v>3173</v>
      </c>
      <c r="F372">
        <v>2</v>
      </c>
      <c r="G372" t="b">
        <v>1</v>
      </c>
      <c r="H372" t="s">
        <v>3218</v>
      </c>
      <c r="I372">
        <v>46.816220000000001</v>
      </c>
      <c r="J372" t="s">
        <v>3219</v>
      </c>
      <c r="K372" t="s">
        <v>3182</v>
      </c>
    </row>
    <row r="373" spans="1:11" x14ac:dyDescent="0.25">
      <c r="A373">
        <v>182</v>
      </c>
      <c r="B373" s="26">
        <v>46211.541666666657</v>
      </c>
      <c r="C373" s="27">
        <v>46211</v>
      </c>
      <c r="D373">
        <v>14</v>
      </c>
      <c r="E373" t="s">
        <v>3173</v>
      </c>
      <c r="F373">
        <v>2</v>
      </c>
      <c r="G373" t="b">
        <v>1</v>
      </c>
      <c r="H373" t="s">
        <v>3220</v>
      </c>
      <c r="I373">
        <v>1708.4381699999999</v>
      </c>
      <c r="J373" t="s">
        <v>198</v>
      </c>
      <c r="K373" t="s">
        <v>3182</v>
      </c>
    </row>
    <row r="374" spans="1:11" x14ac:dyDescent="0.25">
      <c r="A374">
        <v>182</v>
      </c>
      <c r="B374" s="26">
        <v>46211.541666666657</v>
      </c>
      <c r="C374" s="27">
        <v>46211</v>
      </c>
      <c r="D374">
        <v>14</v>
      </c>
      <c r="E374" t="s">
        <v>3173</v>
      </c>
      <c r="F374">
        <v>2</v>
      </c>
      <c r="G374" t="b">
        <v>1</v>
      </c>
      <c r="H374" t="s">
        <v>3221</v>
      </c>
      <c r="I374">
        <v>623.54031000000009</v>
      </c>
      <c r="J374" t="s">
        <v>20</v>
      </c>
      <c r="K374" t="s">
        <v>3182</v>
      </c>
    </row>
    <row r="375" spans="1:11" x14ac:dyDescent="0.25">
      <c r="A375">
        <v>182</v>
      </c>
      <c r="B375" s="26">
        <v>46211.541666666657</v>
      </c>
      <c r="C375" s="27">
        <v>46211</v>
      </c>
      <c r="D375">
        <v>14</v>
      </c>
      <c r="E375" t="s">
        <v>3173</v>
      </c>
      <c r="F375">
        <v>2</v>
      </c>
      <c r="G375" t="b">
        <v>1</v>
      </c>
      <c r="H375" t="s">
        <v>3222</v>
      </c>
      <c r="I375">
        <v>14.566789999999999</v>
      </c>
      <c r="J375" t="s">
        <v>3223</v>
      </c>
      <c r="K375" t="s">
        <v>3182</v>
      </c>
    </row>
    <row r="376" spans="1:11" x14ac:dyDescent="0.25">
      <c r="A376">
        <v>182</v>
      </c>
      <c r="B376" s="26">
        <v>46211.541666666657</v>
      </c>
      <c r="C376" s="27">
        <v>46211</v>
      </c>
      <c r="D376">
        <v>14</v>
      </c>
      <c r="E376" t="s">
        <v>3173</v>
      </c>
      <c r="F376">
        <v>2</v>
      </c>
      <c r="G376" t="b">
        <v>1</v>
      </c>
      <c r="H376" t="s">
        <v>3224</v>
      </c>
      <c r="I376">
        <v>484.70436999999998</v>
      </c>
      <c r="J376" t="s">
        <v>3225</v>
      </c>
      <c r="K376" t="s">
        <v>3182</v>
      </c>
    </row>
    <row r="377" spans="1:11" x14ac:dyDescent="0.25">
      <c r="A377">
        <v>182</v>
      </c>
      <c r="B377" s="26">
        <v>46211.541666666657</v>
      </c>
      <c r="C377" s="27">
        <v>46211</v>
      </c>
      <c r="D377">
        <v>14</v>
      </c>
      <c r="E377" t="s">
        <v>3173</v>
      </c>
      <c r="F377">
        <v>2</v>
      </c>
      <c r="G377" t="b">
        <v>1</v>
      </c>
      <c r="H377" t="s">
        <v>3226</v>
      </c>
      <c r="I377">
        <v>1.7931600000000001</v>
      </c>
      <c r="J377" t="s">
        <v>3227</v>
      </c>
      <c r="K377" t="s">
        <v>3182</v>
      </c>
    </row>
    <row r="378" spans="1:11" x14ac:dyDescent="0.25">
      <c r="A378">
        <v>182</v>
      </c>
      <c r="B378" s="26">
        <v>46211.541666666657</v>
      </c>
      <c r="C378" s="27">
        <v>46211</v>
      </c>
      <c r="D378">
        <v>14</v>
      </c>
      <c r="E378" t="s">
        <v>3173</v>
      </c>
      <c r="F378">
        <v>2</v>
      </c>
      <c r="G378" t="b">
        <v>1</v>
      </c>
      <c r="H378" t="s">
        <v>3228</v>
      </c>
      <c r="I378">
        <v>176.65868</v>
      </c>
      <c r="J378" t="s">
        <v>3229</v>
      </c>
      <c r="K378" t="s">
        <v>3182</v>
      </c>
    </row>
    <row r="379" spans="1:11" x14ac:dyDescent="0.25">
      <c r="A379">
        <v>182</v>
      </c>
      <c r="B379" s="26">
        <v>46211.541666666657</v>
      </c>
      <c r="C379" s="27">
        <v>46211</v>
      </c>
      <c r="D379">
        <v>14</v>
      </c>
      <c r="E379" t="s">
        <v>3173</v>
      </c>
      <c r="F379">
        <v>2</v>
      </c>
      <c r="G379" t="b">
        <v>1</v>
      </c>
      <c r="H379" t="s">
        <v>3230</v>
      </c>
      <c r="I379">
        <v>1.75257</v>
      </c>
      <c r="J379" t="s">
        <v>3231</v>
      </c>
      <c r="K379" t="s">
        <v>3182</v>
      </c>
    </row>
    <row r="380" spans="1:11" x14ac:dyDescent="0.25">
      <c r="A380">
        <v>183</v>
      </c>
      <c r="B380" s="26">
        <v>46211.583333333343</v>
      </c>
      <c r="C380" s="27">
        <v>46211</v>
      </c>
      <c r="D380">
        <v>15</v>
      </c>
      <c r="E380" t="s">
        <v>3173</v>
      </c>
      <c r="F380">
        <v>2</v>
      </c>
      <c r="G380" t="b">
        <v>1</v>
      </c>
      <c r="H380" t="s">
        <v>3180</v>
      </c>
      <c r="I380">
        <v>90.776979999999995</v>
      </c>
      <c r="J380" t="s">
        <v>3181</v>
      </c>
      <c r="K380" t="s">
        <v>3182</v>
      </c>
    </row>
    <row r="381" spans="1:11" x14ac:dyDescent="0.25">
      <c r="A381">
        <v>183</v>
      </c>
      <c r="B381" s="26">
        <v>46211.583333333343</v>
      </c>
      <c r="C381" s="27">
        <v>46211</v>
      </c>
      <c r="D381">
        <v>15</v>
      </c>
      <c r="E381" t="s">
        <v>3173</v>
      </c>
      <c r="F381">
        <v>2</v>
      </c>
      <c r="G381" t="b">
        <v>1</v>
      </c>
      <c r="H381" t="s">
        <v>3183</v>
      </c>
      <c r="I381">
        <v>128.09448</v>
      </c>
      <c r="J381" t="s">
        <v>3184</v>
      </c>
      <c r="K381" t="s">
        <v>3182</v>
      </c>
    </row>
    <row r="382" spans="1:11" x14ac:dyDescent="0.25">
      <c r="A382">
        <v>183</v>
      </c>
      <c r="B382" s="26">
        <v>46211.583333333343</v>
      </c>
      <c r="C382" s="27">
        <v>46211</v>
      </c>
      <c r="D382">
        <v>15</v>
      </c>
      <c r="E382" t="s">
        <v>3173</v>
      </c>
      <c r="F382">
        <v>2</v>
      </c>
      <c r="G382" t="b">
        <v>1</v>
      </c>
      <c r="H382" t="s">
        <v>3185</v>
      </c>
      <c r="I382">
        <v>139.79082</v>
      </c>
      <c r="J382" t="s">
        <v>3186</v>
      </c>
      <c r="K382" t="s">
        <v>3182</v>
      </c>
    </row>
    <row r="383" spans="1:11" x14ac:dyDescent="0.25">
      <c r="A383">
        <v>183</v>
      </c>
      <c r="B383" s="26">
        <v>46211.583333333343</v>
      </c>
      <c r="C383" s="27">
        <v>46211</v>
      </c>
      <c r="D383">
        <v>15</v>
      </c>
      <c r="E383" t="s">
        <v>3173</v>
      </c>
      <c r="F383">
        <v>2</v>
      </c>
      <c r="G383" t="b">
        <v>1</v>
      </c>
      <c r="H383" t="s">
        <v>3187</v>
      </c>
      <c r="I383">
        <v>34.915979999999998</v>
      </c>
      <c r="J383" t="s">
        <v>3188</v>
      </c>
      <c r="K383" t="s">
        <v>3182</v>
      </c>
    </row>
    <row r="384" spans="1:11" x14ac:dyDescent="0.25">
      <c r="A384">
        <v>183</v>
      </c>
      <c r="B384" s="26">
        <v>46211.583333333343</v>
      </c>
      <c r="C384" s="27">
        <v>46211</v>
      </c>
      <c r="D384">
        <v>15</v>
      </c>
      <c r="E384" t="s">
        <v>3173</v>
      </c>
      <c r="F384">
        <v>2</v>
      </c>
      <c r="G384" t="b">
        <v>1</v>
      </c>
      <c r="H384" t="s">
        <v>3189</v>
      </c>
      <c r="I384">
        <v>248.69281000000001</v>
      </c>
      <c r="J384" t="s">
        <v>3190</v>
      </c>
      <c r="K384" t="s">
        <v>3182</v>
      </c>
    </row>
    <row r="385" spans="1:11" x14ac:dyDescent="0.25">
      <c r="A385">
        <v>183</v>
      </c>
      <c r="B385" s="26">
        <v>46211.583333333343</v>
      </c>
      <c r="C385" s="27">
        <v>46211</v>
      </c>
      <c r="D385">
        <v>15</v>
      </c>
      <c r="E385" t="s">
        <v>3173</v>
      </c>
      <c r="F385">
        <v>2</v>
      </c>
      <c r="G385" t="b">
        <v>1</v>
      </c>
      <c r="H385" t="s">
        <v>3191</v>
      </c>
      <c r="I385">
        <v>1625.63348</v>
      </c>
      <c r="J385" t="s">
        <v>3192</v>
      </c>
      <c r="K385" t="s">
        <v>3182</v>
      </c>
    </row>
    <row r="386" spans="1:11" x14ac:dyDescent="0.25">
      <c r="A386">
        <v>183</v>
      </c>
      <c r="B386" s="26">
        <v>46211.583333333343</v>
      </c>
      <c r="C386" s="27">
        <v>46211</v>
      </c>
      <c r="D386">
        <v>15</v>
      </c>
      <c r="E386" t="s">
        <v>3173</v>
      </c>
      <c r="F386">
        <v>2</v>
      </c>
      <c r="G386" t="b">
        <v>1</v>
      </c>
      <c r="H386" t="s">
        <v>3193</v>
      </c>
      <c r="I386">
        <v>334.70049999999998</v>
      </c>
      <c r="J386" t="s">
        <v>3194</v>
      </c>
      <c r="K386" t="s">
        <v>3182</v>
      </c>
    </row>
    <row r="387" spans="1:11" x14ac:dyDescent="0.25">
      <c r="A387">
        <v>183</v>
      </c>
      <c r="B387" s="26">
        <v>46211.583333333343</v>
      </c>
      <c r="C387" s="27">
        <v>46211</v>
      </c>
      <c r="D387">
        <v>15</v>
      </c>
      <c r="E387" t="s">
        <v>3173</v>
      </c>
      <c r="F387">
        <v>2</v>
      </c>
      <c r="G387" t="b">
        <v>1</v>
      </c>
      <c r="H387" t="s">
        <v>3195</v>
      </c>
      <c r="I387">
        <v>40.511339999999997</v>
      </c>
      <c r="J387" t="s">
        <v>3196</v>
      </c>
      <c r="K387" t="s">
        <v>3182</v>
      </c>
    </row>
    <row r="388" spans="1:11" x14ac:dyDescent="0.25">
      <c r="A388">
        <v>183</v>
      </c>
      <c r="B388" s="26">
        <v>46211.583333333343</v>
      </c>
      <c r="C388" s="27">
        <v>46211</v>
      </c>
      <c r="D388">
        <v>15</v>
      </c>
      <c r="E388" t="s">
        <v>3173</v>
      </c>
      <c r="F388">
        <v>2</v>
      </c>
      <c r="G388" t="b">
        <v>1</v>
      </c>
      <c r="H388" t="s">
        <v>3197</v>
      </c>
      <c r="I388">
        <v>1622.80072</v>
      </c>
      <c r="J388" t="s">
        <v>3198</v>
      </c>
      <c r="K388" t="s">
        <v>3182</v>
      </c>
    </row>
    <row r="389" spans="1:11" x14ac:dyDescent="0.25">
      <c r="A389">
        <v>183</v>
      </c>
      <c r="B389" s="26">
        <v>46211.583333333343</v>
      </c>
      <c r="C389" s="27">
        <v>46211</v>
      </c>
      <c r="D389">
        <v>15</v>
      </c>
      <c r="E389" t="s">
        <v>3173</v>
      </c>
      <c r="F389">
        <v>2</v>
      </c>
      <c r="G389" t="b">
        <v>1</v>
      </c>
      <c r="H389" t="s">
        <v>3199</v>
      </c>
      <c r="I389">
        <v>9.4897299999999998</v>
      </c>
      <c r="J389" t="s">
        <v>3200</v>
      </c>
      <c r="K389" t="s">
        <v>3182</v>
      </c>
    </row>
    <row r="390" spans="1:11" x14ac:dyDescent="0.25">
      <c r="A390">
        <v>183</v>
      </c>
      <c r="B390" s="26">
        <v>46211.583333333343</v>
      </c>
      <c r="C390" s="27">
        <v>46211</v>
      </c>
      <c r="D390">
        <v>15</v>
      </c>
      <c r="E390" t="s">
        <v>3173</v>
      </c>
      <c r="F390">
        <v>2</v>
      </c>
      <c r="G390" t="b">
        <v>1</v>
      </c>
      <c r="H390" t="s">
        <v>3201</v>
      </c>
      <c r="I390">
        <v>229.61868999999999</v>
      </c>
      <c r="J390" t="s">
        <v>3202</v>
      </c>
      <c r="K390" t="s">
        <v>3182</v>
      </c>
    </row>
    <row r="391" spans="1:11" x14ac:dyDescent="0.25">
      <c r="A391">
        <v>183</v>
      </c>
      <c r="B391" s="26">
        <v>46211.583333333343</v>
      </c>
      <c r="C391" s="27">
        <v>46211</v>
      </c>
      <c r="D391">
        <v>15</v>
      </c>
      <c r="E391" t="s">
        <v>3173</v>
      </c>
      <c r="F391">
        <v>2</v>
      </c>
      <c r="G391" t="b">
        <v>1</v>
      </c>
      <c r="H391" t="s">
        <v>3203</v>
      </c>
      <c r="I391">
        <v>45.156149999999997</v>
      </c>
      <c r="J391" t="s">
        <v>3204</v>
      </c>
      <c r="K391" t="s">
        <v>3182</v>
      </c>
    </row>
    <row r="392" spans="1:11" x14ac:dyDescent="0.25">
      <c r="A392">
        <v>183</v>
      </c>
      <c r="B392" s="26">
        <v>46211.583333333343</v>
      </c>
      <c r="C392" s="27">
        <v>46211</v>
      </c>
      <c r="D392">
        <v>15</v>
      </c>
      <c r="E392" t="s">
        <v>3173</v>
      </c>
      <c r="F392">
        <v>2</v>
      </c>
      <c r="G392" t="b">
        <v>1</v>
      </c>
      <c r="H392" t="s">
        <v>3205</v>
      </c>
      <c r="I392">
        <v>89.302800000000005</v>
      </c>
      <c r="J392" t="s">
        <v>3206</v>
      </c>
      <c r="K392" t="s">
        <v>3182</v>
      </c>
    </row>
    <row r="393" spans="1:11" x14ac:dyDescent="0.25">
      <c r="A393">
        <v>183</v>
      </c>
      <c r="B393" s="26">
        <v>46211.583333333343</v>
      </c>
      <c r="C393" s="27">
        <v>46211</v>
      </c>
      <c r="D393">
        <v>15</v>
      </c>
      <c r="E393" t="s">
        <v>3173</v>
      </c>
      <c r="F393">
        <v>2</v>
      </c>
      <c r="G393" t="b">
        <v>1</v>
      </c>
      <c r="H393" t="s">
        <v>3207</v>
      </c>
      <c r="I393">
        <v>155.06527</v>
      </c>
      <c r="J393" t="s">
        <v>3208</v>
      </c>
      <c r="K393" t="s">
        <v>3182</v>
      </c>
    </row>
    <row r="394" spans="1:11" x14ac:dyDescent="0.25">
      <c r="A394">
        <v>183</v>
      </c>
      <c r="B394" s="26">
        <v>46211.583333333343</v>
      </c>
      <c r="C394" s="27">
        <v>46211</v>
      </c>
      <c r="D394">
        <v>15</v>
      </c>
      <c r="E394" t="s">
        <v>3173</v>
      </c>
      <c r="F394">
        <v>2</v>
      </c>
      <c r="G394" t="b">
        <v>1</v>
      </c>
      <c r="H394" t="s">
        <v>3209</v>
      </c>
      <c r="I394">
        <v>12.296390000000001</v>
      </c>
      <c r="J394" t="s">
        <v>3210</v>
      </c>
      <c r="K394" t="s">
        <v>3182</v>
      </c>
    </row>
    <row r="395" spans="1:11" x14ac:dyDescent="0.25">
      <c r="A395">
        <v>183</v>
      </c>
      <c r="B395" s="26">
        <v>46211.583333333343</v>
      </c>
      <c r="C395" s="27">
        <v>46211</v>
      </c>
      <c r="D395">
        <v>15</v>
      </c>
      <c r="E395" t="s">
        <v>3173</v>
      </c>
      <c r="F395">
        <v>2</v>
      </c>
      <c r="G395" t="b">
        <v>1</v>
      </c>
      <c r="H395" t="s">
        <v>3211</v>
      </c>
      <c r="I395">
        <v>0.79500000000000004</v>
      </c>
      <c r="J395" t="s">
        <v>3212</v>
      </c>
      <c r="K395" t="s">
        <v>3182</v>
      </c>
    </row>
    <row r="396" spans="1:11" x14ac:dyDescent="0.25">
      <c r="A396">
        <v>183</v>
      </c>
      <c r="B396" s="26">
        <v>46211.583333333343</v>
      </c>
      <c r="C396" s="27">
        <v>46211</v>
      </c>
      <c r="D396">
        <v>15</v>
      </c>
      <c r="E396" t="s">
        <v>3173</v>
      </c>
      <c r="F396">
        <v>2</v>
      </c>
      <c r="G396" t="b">
        <v>1</v>
      </c>
      <c r="H396" t="s">
        <v>3213</v>
      </c>
      <c r="I396">
        <v>716.61125000000004</v>
      </c>
      <c r="J396" t="s">
        <v>3214</v>
      </c>
      <c r="K396" t="s">
        <v>3182</v>
      </c>
    </row>
    <row r="397" spans="1:11" x14ac:dyDescent="0.25">
      <c r="A397">
        <v>183</v>
      </c>
      <c r="B397" s="26">
        <v>46211.583333333343</v>
      </c>
      <c r="C397" s="27">
        <v>46211</v>
      </c>
      <c r="D397">
        <v>15</v>
      </c>
      <c r="E397" t="s">
        <v>3173</v>
      </c>
      <c r="F397">
        <v>2</v>
      </c>
      <c r="G397" t="b">
        <v>1</v>
      </c>
      <c r="H397" t="s">
        <v>3215</v>
      </c>
      <c r="I397">
        <v>242.11148</v>
      </c>
      <c r="J397" t="s">
        <v>3216</v>
      </c>
      <c r="K397" t="s">
        <v>3182</v>
      </c>
    </row>
    <row r="398" spans="1:11" x14ac:dyDescent="0.25">
      <c r="A398">
        <v>183</v>
      </c>
      <c r="B398" s="26">
        <v>46211.583333333343</v>
      </c>
      <c r="C398" s="27">
        <v>46211</v>
      </c>
      <c r="D398">
        <v>15</v>
      </c>
      <c r="E398" t="s">
        <v>3173</v>
      </c>
      <c r="F398">
        <v>2</v>
      </c>
      <c r="G398" t="b">
        <v>1</v>
      </c>
      <c r="H398" t="s">
        <v>3217</v>
      </c>
      <c r="I398">
        <v>2380.5038500000001</v>
      </c>
      <c r="J398" t="s">
        <v>197</v>
      </c>
      <c r="K398" t="s">
        <v>3182</v>
      </c>
    </row>
    <row r="399" spans="1:11" x14ac:dyDescent="0.25">
      <c r="A399">
        <v>183</v>
      </c>
      <c r="B399" s="26">
        <v>46211.583333333343</v>
      </c>
      <c r="C399" s="27">
        <v>46211</v>
      </c>
      <c r="D399">
        <v>15</v>
      </c>
      <c r="E399" t="s">
        <v>3173</v>
      </c>
      <c r="F399">
        <v>2</v>
      </c>
      <c r="G399" t="b">
        <v>1</v>
      </c>
      <c r="H399" t="s">
        <v>3218</v>
      </c>
      <c r="I399">
        <v>51.642730000000007</v>
      </c>
      <c r="J399" t="s">
        <v>3219</v>
      </c>
      <c r="K399" t="s">
        <v>3182</v>
      </c>
    </row>
    <row r="400" spans="1:11" x14ac:dyDescent="0.25">
      <c r="A400">
        <v>183</v>
      </c>
      <c r="B400" s="26">
        <v>46211.583333333343</v>
      </c>
      <c r="C400" s="27">
        <v>46211</v>
      </c>
      <c r="D400">
        <v>15</v>
      </c>
      <c r="E400" t="s">
        <v>3173</v>
      </c>
      <c r="F400">
        <v>2</v>
      </c>
      <c r="G400" t="b">
        <v>1</v>
      </c>
      <c r="H400" t="s">
        <v>3220</v>
      </c>
      <c r="I400">
        <v>1724.3379199999999</v>
      </c>
      <c r="J400" t="s">
        <v>198</v>
      </c>
      <c r="K400" t="s">
        <v>3182</v>
      </c>
    </row>
    <row r="401" spans="1:11" x14ac:dyDescent="0.25">
      <c r="A401">
        <v>183</v>
      </c>
      <c r="B401" s="26">
        <v>46211.583333333343</v>
      </c>
      <c r="C401" s="27">
        <v>46211</v>
      </c>
      <c r="D401">
        <v>15</v>
      </c>
      <c r="E401" t="s">
        <v>3173</v>
      </c>
      <c r="F401">
        <v>2</v>
      </c>
      <c r="G401" t="b">
        <v>1</v>
      </c>
      <c r="H401" t="s">
        <v>3221</v>
      </c>
      <c r="I401">
        <v>647.21546999999998</v>
      </c>
      <c r="J401" t="s">
        <v>20</v>
      </c>
      <c r="K401" t="s">
        <v>3182</v>
      </c>
    </row>
    <row r="402" spans="1:11" x14ac:dyDescent="0.25">
      <c r="A402">
        <v>183</v>
      </c>
      <c r="B402" s="26">
        <v>46211.583333333343</v>
      </c>
      <c r="C402" s="27">
        <v>46211</v>
      </c>
      <c r="D402">
        <v>15</v>
      </c>
      <c r="E402" t="s">
        <v>3173</v>
      </c>
      <c r="F402">
        <v>2</v>
      </c>
      <c r="G402" t="b">
        <v>1</v>
      </c>
      <c r="H402" t="s">
        <v>3222</v>
      </c>
      <c r="I402">
        <v>15.12477</v>
      </c>
      <c r="J402" t="s">
        <v>3223</v>
      </c>
      <c r="K402" t="s">
        <v>3182</v>
      </c>
    </row>
    <row r="403" spans="1:11" x14ac:dyDescent="0.25">
      <c r="A403">
        <v>183</v>
      </c>
      <c r="B403" s="26">
        <v>46211.583333333343</v>
      </c>
      <c r="C403" s="27">
        <v>46211</v>
      </c>
      <c r="D403">
        <v>15</v>
      </c>
      <c r="E403" t="s">
        <v>3173</v>
      </c>
      <c r="F403">
        <v>2</v>
      </c>
      <c r="G403" t="b">
        <v>1</v>
      </c>
      <c r="H403" t="s">
        <v>3224</v>
      </c>
      <c r="I403">
        <v>509.31482</v>
      </c>
      <c r="J403" t="s">
        <v>3225</v>
      </c>
      <c r="K403" t="s">
        <v>3182</v>
      </c>
    </row>
    <row r="404" spans="1:11" x14ac:dyDescent="0.25">
      <c r="A404">
        <v>183</v>
      </c>
      <c r="B404" s="26">
        <v>46211.583333333343</v>
      </c>
      <c r="C404" s="27">
        <v>46211</v>
      </c>
      <c r="D404">
        <v>15</v>
      </c>
      <c r="E404" t="s">
        <v>3173</v>
      </c>
      <c r="F404">
        <v>2</v>
      </c>
      <c r="G404" t="b">
        <v>1</v>
      </c>
      <c r="H404" t="s">
        <v>3226</v>
      </c>
      <c r="I404">
        <v>1.81735</v>
      </c>
      <c r="J404" t="s">
        <v>3227</v>
      </c>
      <c r="K404" t="s">
        <v>3182</v>
      </c>
    </row>
    <row r="405" spans="1:11" x14ac:dyDescent="0.25">
      <c r="A405">
        <v>183</v>
      </c>
      <c r="B405" s="26">
        <v>46211.583333333343</v>
      </c>
      <c r="C405" s="27">
        <v>46211</v>
      </c>
      <c r="D405">
        <v>15</v>
      </c>
      <c r="E405" t="s">
        <v>3173</v>
      </c>
      <c r="F405">
        <v>2</v>
      </c>
      <c r="G405" t="b">
        <v>1</v>
      </c>
      <c r="H405" t="s">
        <v>3228</v>
      </c>
      <c r="I405">
        <v>188.37638999999999</v>
      </c>
      <c r="J405" t="s">
        <v>3229</v>
      </c>
      <c r="K405" t="s">
        <v>3182</v>
      </c>
    </row>
    <row r="406" spans="1:11" x14ac:dyDescent="0.25">
      <c r="A406">
        <v>183</v>
      </c>
      <c r="B406" s="26">
        <v>46211.583333333343</v>
      </c>
      <c r="C406" s="27">
        <v>46211</v>
      </c>
      <c r="D406">
        <v>15</v>
      </c>
      <c r="E406" t="s">
        <v>3173</v>
      </c>
      <c r="F406">
        <v>2</v>
      </c>
      <c r="G406" t="b">
        <v>1</v>
      </c>
      <c r="H406" t="s">
        <v>3230</v>
      </c>
      <c r="I406">
        <v>2.12385</v>
      </c>
      <c r="J406" t="s">
        <v>3231</v>
      </c>
      <c r="K406" t="s">
        <v>3182</v>
      </c>
    </row>
    <row r="407" spans="1:11" x14ac:dyDescent="0.25">
      <c r="A407">
        <v>184</v>
      </c>
      <c r="B407" s="26">
        <v>46211.625</v>
      </c>
      <c r="C407" s="27">
        <v>46211</v>
      </c>
      <c r="D407">
        <v>16</v>
      </c>
      <c r="E407" t="s">
        <v>3173</v>
      </c>
      <c r="F407">
        <v>2</v>
      </c>
      <c r="G407" t="b">
        <v>1</v>
      </c>
      <c r="H407" t="s">
        <v>3180</v>
      </c>
      <c r="I407">
        <v>91.605670000000003</v>
      </c>
      <c r="J407" t="s">
        <v>3181</v>
      </c>
      <c r="K407" t="s">
        <v>3182</v>
      </c>
    </row>
    <row r="408" spans="1:11" x14ac:dyDescent="0.25">
      <c r="A408">
        <v>184</v>
      </c>
      <c r="B408" s="26">
        <v>46211.625</v>
      </c>
      <c r="C408" s="27">
        <v>46211</v>
      </c>
      <c r="D408">
        <v>16</v>
      </c>
      <c r="E408" t="s">
        <v>3173</v>
      </c>
      <c r="F408">
        <v>2</v>
      </c>
      <c r="G408" t="b">
        <v>1</v>
      </c>
      <c r="H408" t="s">
        <v>3183</v>
      </c>
      <c r="I408">
        <v>129.19272000000001</v>
      </c>
      <c r="J408" t="s">
        <v>3184</v>
      </c>
      <c r="K408" t="s">
        <v>3182</v>
      </c>
    </row>
    <row r="409" spans="1:11" x14ac:dyDescent="0.25">
      <c r="A409">
        <v>184</v>
      </c>
      <c r="B409" s="26">
        <v>46211.625</v>
      </c>
      <c r="C409" s="27">
        <v>46211</v>
      </c>
      <c r="D409">
        <v>16</v>
      </c>
      <c r="E409" t="s">
        <v>3173</v>
      </c>
      <c r="F409">
        <v>2</v>
      </c>
      <c r="G409" t="b">
        <v>1</v>
      </c>
      <c r="H409" t="s">
        <v>3185</v>
      </c>
      <c r="I409">
        <v>141.23276000000001</v>
      </c>
      <c r="J409" t="s">
        <v>3186</v>
      </c>
      <c r="K409" t="s">
        <v>3182</v>
      </c>
    </row>
    <row r="410" spans="1:11" x14ac:dyDescent="0.25">
      <c r="A410">
        <v>184</v>
      </c>
      <c r="B410" s="26">
        <v>46211.625</v>
      </c>
      <c r="C410" s="27">
        <v>46211</v>
      </c>
      <c r="D410">
        <v>16</v>
      </c>
      <c r="E410" t="s">
        <v>3173</v>
      </c>
      <c r="F410">
        <v>2</v>
      </c>
      <c r="G410" t="b">
        <v>1</v>
      </c>
      <c r="H410" t="s">
        <v>3187</v>
      </c>
      <c r="I410">
        <v>36.008400000000002</v>
      </c>
      <c r="J410" t="s">
        <v>3188</v>
      </c>
      <c r="K410" t="s">
        <v>3182</v>
      </c>
    </row>
    <row r="411" spans="1:11" x14ac:dyDescent="0.25">
      <c r="A411">
        <v>184</v>
      </c>
      <c r="B411" s="26">
        <v>46211.625</v>
      </c>
      <c r="C411" s="27">
        <v>46211</v>
      </c>
      <c r="D411">
        <v>16</v>
      </c>
      <c r="E411" t="s">
        <v>3173</v>
      </c>
      <c r="F411">
        <v>2</v>
      </c>
      <c r="G411" t="b">
        <v>1</v>
      </c>
      <c r="H411" t="s">
        <v>3189</v>
      </c>
      <c r="I411">
        <v>251.01981000000001</v>
      </c>
      <c r="J411" t="s">
        <v>3190</v>
      </c>
      <c r="K411" t="s">
        <v>3182</v>
      </c>
    </row>
    <row r="412" spans="1:11" x14ac:dyDescent="0.25">
      <c r="A412">
        <v>184</v>
      </c>
      <c r="B412" s="26">
        <v>46211.625</v>
      </c>
      <c r="C412" s="27">
        <v>46211</v>
      </c>
      <c r="D412">
        <v>16</v>
      </c>
      <c r="E412" t="s">
        <v>3173</v>
      </c>
      <c r="F412">
        <v>2</v>
      </c>
      <c r="G412" t="b">
        <v>1</v>
      </c>
      <c r="H412" t="s">
        <v>3191</v>
      </c>
      <c r="I412">
        <v>1628.4678699999999</v>
      </c>
      <c r="J412" t="s">
        <v>3192</v>
      </c>
      <c r="K412" t="s">
        <v>3182</v>
      </c>
    </row>
    <row r="413" spans="1:11" x14ac:dyDescent="0.25">
      <c r="A413">
        <v>184</v>
      </c>
      <c r="B413" s="26">
        <v>46211.625</v>
      </c>
      <c r="C413" s="27">
        <v>46211</v>
      </c>
      <c r="D413">
        <v>16</v>
      </c>
      <c r="E413" t="s">
        <v>3173</v>
      </c>
      <c r="F413">
        <v>2</v>
      </c>
      <c r="G413" t="b">
        <v>1</v>
      </c>
      <c r="H413" t="s">
        <v>3193</v>
      </c>
      <c r="I413">
        <v>336.93027000000001</v>
      </c>
      <c r="J413" t="s">
        <v>3194</v>
      </c>
      <c r="K413" t="s">
        <v>3182</v>
      </c>
    </row>
    <row r="414" spans="1:11" x14ac:dyDescent="0.25">
      <c r="A414">
        <v>184</v>
      </c>
      <c r="B414" s="26">
        <v>46211.625</v>
      </c>
      <c r="C414" s="27">
        <v>46211</v>
      </c>
      <c r="D414">
        <v>16</v>
      </c>
      <c r="E414" t="s">
        <v>3173</v>
      </c>
      <c r="F414">
        <v>2</v>
      </c>
      <c r="G414" t="b">
        <v>1</v>
      </c>
      <c r="H414" t="s">
        <v>3195</v>
      </c>
      <c r="I414">
        <v>41.095840000000003</v>
      </c>
      <c r="J414" t="s">
        <v>3196</v>
      </c>
      <c r="K414" t="s">
        <v>3182</v>
      </c>
    </row>
    <row r="415" spans="1:11" x14ac:dyDescent="0.25">
      <c r="A415">
        <v>184</v>
      </c>
      <c r="B415" s="26">
        <v>46211.625</v>
      </c>
      <c r="C415" s="27">
        <v>46211</v>
      </c>
      <c r="D415">
        <v>16</v>
      </c>
      <c r="E415" t="s">
        <v>3173</v>
      </c>
      <c r="F415">
        <v>2</v>
      </c>
      <c r="G415" t="b">
        <v>1</v>
      </c>
      <c r="H415" t="s">
        <v>3197</v>
      </c>
      <c r="I415">
        <v>1618.6842999999999</v>
      </c>
      <c r="J415" t="s">
        <v>3198</v>
      </c>
      <c r="K415" t="s">
        <v>3182</v>
      </c>
    </row>
    <row r="416" spans="1:11" x14ac:dyDescent="0.25">
      <c r="A416">
        <v>184</v>
      </c>
      <c r="B416" s="26">
        <v>46211.625</v>
      </c>
      <c r="C416" s="27">
        <v>46211</v>
      </c>
      <c r="D416">
        <v>16</v>
      </c>
      <c r="E416" t="s">
        <v>3173</v>
      </c>
      <c r="F416">
        <v>2</v>
      </c>
      <c r="G416" t="b">
        <v>1</v>
      </c>
      <c r="H416" t="s">
        <v>3199</v>
      </c>
      <c r="I416">
        <v>11.017160000000001</v>
      </c>
      <c r="J416" t="s">
        <v>3200</v>
      </c>
      <c r="K416" t="s">
        <v>3182</v>
      </c>
    </row>
    <row r="417" spans="1:11" x14ac:dyDescent="0.25">
      <c r="A417">
        <v>184</v>
      </c>
      <c r="B417" s="26">
        <v>46211.625</v>
      </c>
      <c r="C417" s="27">
        <v>46211</v>
      </c>
      <c r="D417">
        <v>16</v>
      </c>
      <c r="E417" t="s">
        <v>3173</v>
      </c>
      <c r="F417">
        <v>2</v>
      </c>
      <c r="G417" t="b">
        <v>1</v>
      </c>
      <c r="H417" t="s">
        <v>3201</v>
      </c>
      <c r="I417">
        <v>223.63597999999999</v>
      </c>
      <c r="J417" t="s">
        <v>3202</v>
      </c>
      <c r="K417" t="s">
        <v>3182</v>
      </c>
    </row>
    <row r="418" spans="1:11" x14ac:dyDescent="0.25">
      <c r="A418">
        <v>184</v>
      </c>
      <c r="B418" s="26">
        <v>46211.625</v>
      </c>
      <c r="C418" s="27">
        <v>46211</v>
      </c>
      <c r="D418">
        <v>16</v>
      </c>
      <c r="E418" t="s">
        <v>3173</v>
      </c>
      <c r="F418">
        <v>2</v>
      </c>
      <c r="G418" t="b">
        <v>1</v>
      </c>
      <c r="H418" t="s">
        <v>3203</v>
      </c>
      <c r="I418">
        <v>45.035449999999997</v>
      </c>
      <c r="J418" t="s">
        <v>3204</v>
      </c>
      <c r="K418" t="s">
        <v>3182</v>
      </c>
    </row>
    <row r="419" spans="1:11" x14ac:dyDescent="0.25">
      <c r="A419">
        <v>184</v>
      </c>
      <c r="B419" s="26">
        <v>46211.625</v>
      </c>
      <c r="C419" s="27">
        <v>46211</v>
      </c>
      <c r="D419">
        <v>16</v>
      </c>
      <c r="E419" t="s">
        <v>3173</v>
      </c>
      <c r="F419">
        <v>2</v>
      </c>
      <c r="G419" t="b">
        <v>1</v>
      </c>
      <c r="H419" t="s">
        <v>3205</v>
      </c>
      <c r="I419">
        <v>89.846299999999999</v>
      </c>
      <c r="J419" t="s">
        <v>3206</v>
      </c>
      <c r="K419" t="s">
        <v>3182</v>
      </c>
    </row>
    <row r="420" spans="1:11" x14ac:dyDescent="0.25">
      <c r="A420">
        <v>184</v>
      </c>
      <c r="B420" s="26">
        <v>46211.625</v>
      </c>
      <c r="C420" s="27">
        <v>46211</v>
      </c>
      <c r="D420">
        <v>16</v>
      </c>
      <c r="E420" t="s">
        <v>3173</v>
      </c>
      <c r="F420">
        <v>2</v>
      </c>
      <c r="G420" t="b">
        <v>1</v>
      </c>
      <c r="H420" t="s">
        <v>3207</v>
      </c>
      <c r="I420">
        <v>156.17975999999999</v>
      </c>
      <c r="J420" t="s">
        <v>3208</v>
      </c>
      <c r="K420" t="s">
        <v>3182</v>
      </c>
    </row>
    <row r="421" spans="1:11" x14ac:dyDescent="0.25">
      <c r="A421">
        <v>184</v>
      </c>
      <c r="B421" s="26">
        <v>46211.625</v>
      </c>
      <c r="C421" s="27">
        <v>46211</v>
      </c>
      <c r="D421">
        <v>16</v>
      </c>
      <c r="E421" t="s">
        <v>3173</v>
      </c>
      <c r="F421">
        <v>2</v>
      </c>
      <c r="G421" t="b">
        <v>1</v>
      </c>
      <c r="H421" t="s">
        <v>3209</v>
      </c>
      <c r="I421">
        <v>12.312569999999999</v>
      </c>
      <c r="J421" t="s">
        <v>3210</v>
      </c>
      <c r="K421" t="s">
        <v>3182</v>
      </c>
    </row>
    <row r="422" spans="1:11" x14ac:dyDescent="0.25">
      <c r="A422">
        <v>184</v>
      </c>
      <c r="B422" s="26">
        <v>46211.625</v>
      </c>
      <c r="C422" s="27">
        <v>46211</v>
      </c>
      <c r="D422">
        <v>16</v>
      </c>
      <c r="E422" t="s">
        <v>3173</v>
      </c>
      <c r="F422">
        <v>2</v>
      </c>
      <c r="G422" t="b">
        <v>1</v>
      </c>
      <c r="H422" t="s">
        <v>3211</v>
      </c>
      <c r="I422">
        <v>0.81900000000000006</v>
      </c>
      <c r="J422" t="s">
        <v>3212</v>
      </c>
      <c r="K422" t="s">
        <v>3182</v>
      </c>
    </row>
    <row r="423" spans="1:11" x14ac:dyDescent="0.25">
      <c r="A423">
        <v>184</v>
      </c>
      <c r="B423" s="26">
        <v>46211.625</v>
      </c>
      <c r="C423" s="27">
        <v>46211</v>
      </c>
      <c r="D423">
        <v>16</v>
      </c>
      <c r="E423" t="s">
        <v>3173</v>
      </c>
      <c r="F423">
        <v>2</v>
      </c>
      <c r="G423" t="b">
        <v>1</v>
      </c>
      <c r="H423" t="s">
        <v>3213</v>
      </c>
      <c r="I423">
        <v>715.09497999999996</v>
      </c>
      <c r="J423" t="s">
        <v>3214</v>
      </c>
      <c r="K423" t="s">
        <v>3182</v>
      </c>
    </row>
    <row r="424" spans="1:11" x14ac:dyDescent="0.25">
      <c r="A424">
        <v>184</v>
      </c>
      <c r="B424" s="26">
        <v>46211.625</v>
      </c>
      <c r="C424" s="27">
        <v>46211</v>
      </c>
      <c r="D424">
        <v>16</v>
      </c>
      <c r="E424" t="s">
        <v>3173</v>
      </c>
      <c r="F424">
        <v>2</v>
      </c>
      <c r="G424" t="b">
        <v>1</v>
      </c>
      <c r="H424" t="s">
        <v>3215</v>
      </c>
      <c r="I424">
        <v>253.56406999999999</v>
      </c>
      <c r="J424" t="s">
        <v>3216</v>
      </c>
      <c r="K424" t="s">
        <v>3182</v>
      </c>
    </row>
    <row r="425" spans="1:11" x14ac:dyDescent="0.25">
      <c r="A425">
        <v>184</v>
      </c>
      <c r="B425" s="26">
        <v>46211.625</v>
      </c>
      <c r="C425" s="27">
        <v>46211</v>
      </c>
      <c r="D425">
        <v>16</v>
      </c>
      <c r="E425" t="s">
        <v>3173</v>
      </c>
      <c r="F425">
        <v>2</v>
      </c>
      <c r="G425" t="b">
        <v>1</v>
      </c>
      <c r="H425" t="s">
        <v>3217</v>
      </c>
      <c r="I425">
        <v>2289.1235099999999</v>
      </c>
      <c r="J425" t="s">
        <v>197</v>
      </c>
      <c r="K425" t="s">
        <v>3182</v>
      </c>
    </row>
    <row r="426" spans="1:11" x14ac:dyDescent="0.25">
      <c r="A426">
        <v>184</v>
      </c>
      <c r="B426" s="26">
        <v>46211.625</v>
      </c>
      <c r="C426" s="27">
        <v>46211</v>
      </c>
      <c r="D426">
        <v>16</v>
      </c>
      <c r="E426" t="s">
        <v>3173</v>
      </c>
      <c r="F426">
        <v>2</v>
      </c>
      <c r="G426" t="b">
        <v>1</v>
      </c>
      <c r="H426" t="s">
        <v>3218</v>
      </c>
      <c r="I426">
        <v>49.812890000000003</v>
      </c>
      <c r="J426" t="s">
        <v>3219</v>
      </c>
      <c r="K426" t="s">
        <v>3182</v>
      </c>
    </row>
    <row r="427" spans="1:11" x14ac:dyDescent="0.25">
      <c r="A427">
        <v>184</v>
      </c>
      <c r="B427" s="26">
        <v>46211.625</v>
      </c>
      <c r="C427" s="27">
        <v>46211</v>
      </c>
      <c r="D427">
        <v>16</v>
      </c>
      <c r="E427" t="s">
        <v>3173</v>
      </c>
      <c r="F427">
        <v>2</v>
      </c>
      <c r="G427" t="b">
        <v>1</v>
      </c>
      <c r="H427" t="s">
        <v>3220</v>
      </c>
      <c r="I427">
        <v>1731.6055100000001</v>
      </c>
      <c r="J427" t="s">
        <v>198</v>
      </c>
      <c r="K427" t="s">
        <v>3182</v>
      </c>
    </row>
    <row r="428" spans="1:11" x14ac:dyDescent="0.25">
      <c r="A428">
        <v>184</v>
      </c>
      <c r="B428" s="26">
        <v>46211.625</v>
      </c>
      <c r="C428" s="27">
        <v>46211</v>
      </c>
      <c r="D428">
        <v>16</v>
      </c>
      <c r="E428" t="s">
        <v>3173</v>
      </c>
      <c r="F428">
        <v>2</v>
      </c>
      <c r="G428" t="b">
        <v>1</v>
      </c>
      <c r="H428" t="s">
        <v>3221</v>
      </c>
      <c r="I428">
        <v>674.79627000000005</v>
      </c>
      <c r="J428" t="s">
        <v>20</v>
      </c>
      <c r="K428" t="s">
        <v>3182</v>
      </c>
    </row>
    <row r="429" spans="1:11" x14ac:dyDescent="0.25">
      <c r="A429">
        <v>184</v>
      </c>
      <c r="B429" s="26">
        <v>46211.625</v>
      </c>
      <c r="C429" s="27">
        <v>46211</v>
      </c>
      <c r="D429">
        <v>16</v>
      </c>
      <c r="E429" t="s">
        <v>3173</v>
      </c>
      <c r="F429">
        <v>2</v>
      </c>
      <c r="G429" t="b">
        <v>1</v>
      </c>
      <c r="H429" t="s">
        <v>3222</v>
      </c>
      <c r="I429">
        <v>15.32044</v>
      </c>
      <c r="J429" t="s">
        <v>3223</v>
      </c>
      <c r="K429" t="s">
        <v>3182</v>
      </c>
    </row>
    <row r="430" spans="1:11" x14ac:dyDescent="0.25">
      <c r="A430">
        <v>184</v>
      </c>
      <c r="B430" s="26">
        <v>46211.625</v>
      </c>
      <c r="C430" s="27">
        <v>46211</v>
      </c>
      <c r="D430">
        <v>16</v>
      </c>
      <c r="E430" t="s">
        <v>3173</v>
      </c>
      <c r="F430">
        <v>2</v>
      </c>
      <c r="G430" t="b">
        <v>1</v>
      </c>
      <c r="H430" t="s">
        <v>3224</v>
      </c>
      <c r="I430">
        <v>512.78653999999995</v>
      </c>
      <c r="J430" t="s">
        <v>3225</v>
      </c>
      <c r="K430" t="s">
        <v>3182</v>
      </c>
    </row>
    <row r="431" spans="1:11" x14ac:dyDescent="0.25">
      <c r="A431">
        <v>184</v>
      </c>
      <c r="B431" s="26">
        <v>46211.625</v>
      </c>
      <c r="C431" s="27">
        <v>46211</v>
      </c>
      <c r="D431">
        <v>16</v>
      </c>
      <c r="E431" t="s">
        <v>3173</v>
      </c>
      <c r="F431">
        <v>2</v>
      </c>
      <c r="G431" t="b">
        <v>1</v>
      </c>
      <c r="H431" t="s">
        <v>3226</v>
      </c>
      <c r="I431">
        <v>1.76539</v>
      </c>
      <c r="J431" t="s">
        <v>3227</v>
      </c>
      <c r="K431" t="s">
        <v>3182</v>
      </c>
    </row>
    <row r="432" spans="1:11" x14ac:dyDescent="0.25">
      <c r="A432">
        <v>184</v>
      </c>
      <c r="B432" s="26">
        <v>46211.625</v>
      </c>
      <c r="C432" s="27">
        <v>46211</v>
      </c>
      <c r="D432">
        <v>16</v>
      </c>
      <c r="E432" t="s">
        <v>3173</v>
      </c>
      <c r="F432">
        <v>2</v>
      </c>
      <c r="G432" t="b">
        <v>1</v>
      </c>
      <c r="H432" t="s">
        <v>3228</v>
      </c>
      <c r="I432">
        <v>177.70859999999999</v>
      </c>
      <c r="J432" t="s">
        <v>3229</v>
      </c>
      <c r="K432" t="s">
        <v>3182</v>
      </c>
    </row>
    <row r="433" spans="1:11" x14ac:dyDescent="0.25">
      <c r="A433">
        <v>184</v>
      </c>
      <c r="B433" s="26">
        <v>46211.625</v>
      </c>
      <c r="C433" s="27">
        <v>46211</v>
      </c>
      <c r="D433">
        <v>16</v>
      </c>
      <c r="E433" t="s">
        <v>3173</v>
      </c>
      <c r="F433">
        <v>2</v>
      </c>
      <c r="G433" t="b">
        <v>1</v>
      </c>
      <c r="H433" t="s">
        <v>3230</v>
      </c>
      <c r="I433">
        <v>2.2779600000000002</v>
      </c>
      <c r="J433" t="s">
        <v>3231</v>
      </c>
      <c r="K433" t="s">
        <v>3182</v>
      </c>
    </row>
    <row r="434" spans="1:11" x14ac:dyDescent="0.25">
      <c r="A434">
        <v>185</v>
      </c>
      <c r="B434" s="26">
        <v>46211.666666666657</v>
      </c>
      <c r="C434" s="27">
        <v>46211</v>
      </c>
      <c r="D434">
        <v>17</v>
      </c>
      <c r="E434" t="s">
        <v>3173</v>
      </c>
      <c r="F434">
        <v>2</v>
      </c>
      <c r="G434" t="b">
        <v>1</v>
      </c>
      <c r="H434" t="s">
        <v>3180</v>
      </c>
      <c r="I434">
        <v>88.58417</v>
      </c>
      <c r="J434" t="s">
        <v>3181</v>
      </c>
      <c r="K434" t="s">
        <v>3182</v>
      </c>
    </row>
    <row r="435" spans="1:11" x14ac:dyDescent="0.25">
      <c r="A435">
        <v>185</v>
      </c>
      <c r="B435" s="26">
        <v>46211.666666666657</v>
      </c>
      <c r="C435" s="27">
        <v>46211</v>
      </c>
      <c r="D435">
        <v>17</v>
      </c>
      <c r="E435" t="s">
        <v>3173</v>
      </c>
      <c r="F435">
        <v>2</v>
      </c>
      <c r="G435" t="b">
        <v>1</v>
      </c>
      <c r="H435" t="s">
        <v>3183</v>
      </c>
      <c r="I435">
        <v>131.37799000000001</v>
      </c>
      <c r="J435" t="s">
        <v>3184</v>
      </c>
      <c r="K435" t="s">
        <v>3182</v>
      </c>
    </row>
    <row r="436" spans="1:11" x14ac:dyDescent="0.25">
      <c r="A436">
        <v>185</v>
      </c>
      <c r="B436" s="26">
        <v>46211.666666666657</v>
      </c>
      <c r="C436" s="27">
        <v>46211</v>
      </c>
      <c r="D436">
        <v>17</v>
      </c>
      <c r="E436" t="s">
        <v>3173</v>
      </c>
      <c r="F436">
        <v>2</v>
      </c>
      <c r="G436" t="b">
        <v>1</v>
      </c>
      <c r="H436" t="s">
        <v>3185</v>
      </c>
      <c r="I436">
        <v>143.93970999999999</v>
      </c>
      <c r="J436" t="s">
        <v>3186</v>
      </c>
      <c r="K436" t="s">
        <v>3182</v>
      </c>
    </row>
    <row r="437" spans="1:11" x14ac:dyDescent="0.25">
      <c r="A437">
        <v>185</v>
      </c>
      <c r="B437" s="26">
        <v>46211.666666666657</v>
      </c>
      <c r="C437" s="27">
        <v>46211</v>
      </c>
      <c r="D437">
        <v>17</v>
      </c>
      <c r="E437" t="s">
        <v>3173</v>
      </c>
      <c r="F437">
        <v>2</v>
      </c>
      <c r="G437" t="b">
        <v>1</v>
      </c>
      <c r="H437" t="s">
        <v>3187</v>
      </c>
      <c r="I437">
        <v>36.233609999999999</v>
      </c>
      <c r="J437" t="s">
        <v>3188</v>
      </c>
      <c r="K437" t="s">
        <v>3182</v>
      </c>
    </row>
    <row r="438" spans="1:11" x14ac:dyDescent="0.25">
      <c r="A438">
        <v>185</v>
      </c>
      <c r="B438" s="26">
        <v>46211.666666666657</v>
      </c>
      <c r="C438" s="27">
        <v>46211</v>
      </c>
      <c r="D438">
        <v>17</v>
      </c>
      <c r="E438" t="s">
        <v>3173</v>
      </c>
      <c r="F438">
        <v>2</v>
      </c>
      <c r="G438" t="b">
        <v>1</v>
      </c>
      <c r="H438" t="s">
        <v>3189</v>
      </c>
      <c r="I438">
        <v>246.62745000000001</v>
      </c>
      <c r="J438" t="s">
        <v>3190</v>
      </c>
      <c r="K438" t="s">
        <v>3182</v>
      </c>
    </row>
    <row r="439" spans="1:11" x14ac:dyDescent="0.25">
      <c r="A439">
        <v>185</v>
      </c>
      <c r="B439" s="26">
        <v>46211.666666666657</v>
      </c>
      <c r="C439" s="27">
        <v>46211</v>
      </c>
      <c r="D439">
        <v>17</v>
      </c>
      <c r="E439" t="s">
        <v>3173</v>
      </c>
      <c r="F439">
        <v>2</v>
      </c>
      <c r="G439" t="b">
        <v>1</v>
      </c>
      <c r="H439" t="s">
        <v>3191</v>
      </c>
      <c r="I439">
        <v>1583.62508</v>
      </c>
      <c r="J439" t="s">
        <v>3192</v>
      </c>
      <c r="K439" t="s">
        <v>3182</v>
      </c>
    </row>
    <row r="440" spans="1:11" x14ac:dyDescent="0.25">
      <c r="A440">
        <v>185</v>
      </c>
      <c r="B440" s="26">
        <v>46211.666666666657</v>
      </c>
      <c r="C440" s="27">
        <v>46211</v>
      </c>
      <c r="D440">
        <v>17</v>
      </c>
      <c r="E440" t="s">
        <v>3173</v>
      </c>
      <c r="F440">
        <v>2</v>
      </c>
      <c r="G440" t="b">
        <v>1</v>
      </c>
      <c r="H440" t="s">
        <v>3193</v>
      </c>
      <c r="I440">
        <v>331.90541000000002</v>
      </c>
      <c r="J440" t="s">
        <v>3194</v>
      </c>
      <c r="K440" t="s">
        <v>3182</v>
      </c>
    </row>
    <row r="441" spans="1:11" x14ac:dyDescent="0.25">
      <c r="A441">
        <v>185</v>
      </c>
      <c r="B441" s="26">
        <v>46211.666666666657</v>
      </c>
      <c r="C441" s="27">
        <v>46211</v>
      </c>
      <c r="D441">
        <v>17</v>
      </c>
      <c r="E441" t="s">
        <v>3173</v>
      </c>
      <c r="F441">
        <v>2</v>
      </c>
      <c r="G441" t="b">
        <v>1</v>
      </c>
      <c r="H441" t="s">
        <v>3195</v>
      </c>
      <c r="I441">
        <v>41.478080000000013</v>
      </c>
      <c r="J441" t="s">
        <v>3196</v>
      </c>
      <c r="K441" t="s">
        <v>3182</v>
      </c>
    </row>
    <row r="442" spans="1:11" x14ac:dyDescent="0.25">
      <c r="A442">
        <v>185</v>
      </c>
      <c r="B442" s="26">
        <v>46211.666666666657</v>
      </c>
      <c r="C442" s="27">
        <v>46211</v>
      </c>
      <c r="D442">
        <v>17</v>
      </c>
      <c r="E442" t="s">
        <v>3173</v>
      </c>
      <c r="F442">
        <v>2</v>
      </c>
      <c r="G442" t="b">
        <v>1</v>
      </c>
      <c r="H442" t="s">
        <v>3197</v>
      </c>
      <c r="I442">
        <v>1573.29306</v>
      </c>
      <c r="J442" t="s">
        <v>3198</v>
      </c>
      <c r="K442" t="s">
        <v>3182</v>
      </c>
    </row>
    <row r="443" spans="1:11" x14ac:dyDescent="0.25">
      <c r="A443">
        <v>185</v>
      </c>
      <c r="B443" s="26">
        <v>46211.666666666657</v>
      </c>
      <c r="C443" s="27">
        <v>46211</v>
      </c>
      <c r="D443">
        <v>17</v>
      </c>
      <c r="E443" t="s">
        <v>3173</v>
      </c>
      <c r="F443">
        <v>2</v>
      </c>
      <c r="G443" t="b">
        <v>1</v>
      </c>
      <c r="H443" t="s">
        <v>3199</v>
      </c>
      <c r="I443">
        <v>11.562609999999999</v>
      </c>
      <c r="J443" t="s">
        <v>3200</v>
      </c>
      <c r="K443" t="s">
        <v>3182</v>
      </c>
    </row>
    <row r="444" spans="1:11" x14ac:dyDescent="0.25">
      <c r="A444">
        <v>185</v>
      </c>
      <c r="B444" s="26">
        <v>46211.666666666657</v>
      </c>
      <c r="C444" s="27">
        <v>46211</v>
      </c>
      <c r="D444">
        <v>17</v>
      </c>
      <c r="E444" t="s">
        <v>3173</v>
      </c>
      <c r="F444">
        <v>2</v>
      </c>
      <c r="G444" t="b">
        <v>1</v>
      </c>
      <c r="H444" t="s">
        <v>3201</v>
      </c>
      <c r="I444">
        <v>235.81810999999999</v>
      </c>
      <c r="J444" t="s">
        <v>3202</v>
      </c>
      <c r="K444" t="s">
        <v>3182</v>
      </c>
    </row>
    <row r="445" spans="1:11" x14ac:dyDescent="0.25">
      <c r="A445">
        <v>185</v>
      </c>
      <c r="B445" s="26">
        <v>46211.666666666657</v>
      </c>
      <c r="C445" s="27">
        <v>46211</v>
      </c>
      <c r="D445">
        <v>17</v>
      </c>
      <c r="E445" t="s">
        <v>3173</v>
      </c>
      <c r="F445">
        <v>2</v>
      </c>
      <c r="G445" t="b">
        <v>1</v>
      </c>
      <c r="H445" t="s">
        <v>3203</v>
      </c>
      <c r="I445">
        <v>44.85378</v>
      </c>
      <c r="J445" t="s">
        <v>3204</v>
      </c>
      <c r="K445" t="s">
        <v>3182</v>
      </c>
    </row>
    <row r="446" spans="1:11" x14ac:dyDescent="0.25">
      <c r="A446">
        <v>185</v>
      </c>
      <c r="B446" s="26">
        <v>46211.666666666657</v>
      </c>
      <c r="C446" s="27">
        <v>46211</v>
      </c>
      <c r="D446">
        <v>17</v>
      </c>
      <c r="E446" t="s">
        <v>3173</v>
      </c>
      <c r="F446">
        <v>2</v>
      </c>
      <c r="G446" t="b">
        <v>1</v>
      </c>
      <c r="H446" t="s">
        <v>3205</v>
      </c>
      <c r="I446">
        <v>89.543800000000005</v>
      </c>
      <c r="J446" t="s">
        <v>3206</v>
      </c>
      <c r="K446" t="s">
        <v>3182</v>
      </c>
    </row>
    <row r="447" spans="1:11" x14ac:dyDescent="0.25">
      <c r="A447">
        <v>185</v>
      </c>
      <c r="B447" s="26">
        <v>46211.666666666657</v>
      </c>
      <c r="C447" s="27">
        <v>46211</v>
      </c>
      <c r="D447">
        <v>17</v>
      </c>
      <c r="E447" t="s">
        <v>3173</v>
      </c>
      <c r="F447">
        <v>2</v>
      </c>
      <c r="G447" t="b">
        <v>1</v>
      </c>
      <c r="H447" t="s">
        <v>3207</v>
      </c>
      <c r="I447">
        <v>153.73663999999999</v>
      </c>
      <c r="J447" t="s">
        <v>3208</v>
      </c>
      <c r="K447" t="s">
        <v>3182</v>
      </c>
    </row>
    <row r="448" spans="1:11" x14ac:dyDescent="0.25">
      <c r="A448">
        <v>185</v>
      </c>
      <c r="B448" s="26">
        <v>46211.666666666657</v>
      </c>
      <c r="C448" s="27">
        <v>46211</v>
      </c>
      <c r="D448">
        <v>17</v>
      </c>
      <c r="E448" t="s">
        <v>3173</v>
      </c>
      <c r="F448">
        <v>2</v>
      </c>
      <c r="G448" t="b">
        <v>1</v>
      </c>
      <c r="H448" t="s">
        <v>3209</v>
      </c>
      <c r="I448">
        <v>12.16696</v>
      </c>
      <c r="J448" t="s">
        <v>3210</v>
      </c>
      <c r="K448" t="s">
        <v>3182</v>
      </c>
    </row>
    <row r="449" spans="1:11" x14ac:dyDescent="0.25">
      <c r="A449">
        <v>185</v>
      </c>
      <c r="B449" s="26">
        <v>46211.666666666657</v>
      </c>
      <c r="C449" s="27">
        <v>46211</v>
      </c>
      <c r="D449">
        <v>17</v>
      </c>
      <c r="E449" t="s">
        <v>3173</v>
      </c>
      <c r="F449">
        <v>2</v>
      </c>
      <c r="G449" t="b">
        <v>1</v>
      </c>
      <c r="H449" t="s">
        <v>3211</v>
      </c>
      <c r="I449">
        <v>0.82600000000000007</v>
      </c>
      <c r="J449" t="s">
        <v>3212</v>
      </c>
      <c r="K449" t="s">
        <v>3182</v>
      </c>
    </row>
    <row r="450" spans="1:11" x14ac:dyDescent="0.25">
      <c r="A450">
        <v>185</v>
      </c>
      <c r="B450" s="26">
        <v>46211.666666666657</v>
      </c>
      <c r="C450" s="27">
        <v>46211</v>
      </c>
      <c r="D450">
        <v>17</v>
      </c>
      <c r="E450" t="s">
        <v>3173</v>
      </c>
      <c r="F450">
        <v>2</v>
      </c>
      <c r="G450" t="b">
        <v>1</v>
      </c>
      <c r="H450" t="s">
        <v>3213</v>
      </c>
      <c r="I450">
        <v>691.69504000000006</v>
      </c>
      <c r="J450" t="s">
        <v>3214</v>
      </c>
      <c r="K450" t="s">
        <v>3182</v>
      </c>
    </row>
    <row r="451" spans="1:11" x14ac:dyDescent="0.25">
      <c r="A451">
        <v>185</v>
      </c>
      <c r="B451" s="26">
        <v>46211.666666666657</v>
      </c>
      <c r="C451" s="27">
        <v>46211</v>
      </c>
      <c r="D451">
        <v>17</v>
      </c>
      <c r="E451" t="s">
        <v>3173</v>
      </c>
      <c r="F451">
        <v>2</v>
      </c>
      <c r="G451" t="b">
        <v>1</v>
      </c>
      <c r="H451" t="s">
        <v>3215</v>
      </c>
      <c r="I451">
        <v>257.50015000000002</v>
      </c>
      <c r="J451" t="s">
        <v>3216</v>
      </c>
      <c r="K451" t="s">
        <v>3182</v>
      </c>
    </row>
    <row r="452" spans="1:11" x14ac:dyDescent="0.25">
      <c r="A452">
        <v>185</v>
      </c>
      <c r="B452" s="26">
        <v>46211.666666666657</v>
      </c>
      <c r="C452" s="27">
        <v>46211</v>
      </c>
      <c r="D452">
        <v>17</v>
      </c>
      <c r="E452" t="s">
        <v>3173</v>
      </c>
      <c r="F452">
        <v>2</v>
      </c>
      <c r="G452" t="b">
        <v>1</v>
      </c>
      <c r="H452" t="s">
        <v>3217</v>
      </c>
      <c r="I452">
        <v>2246.41095</v>
      </c>
      <c r="J452" t="s">
        <v>197</v>
      </c>
      <c r="K452" t="s">
        <v>3182</v>
      </c>
    </row>
    <row r="453" spans="1:11" x14ac:dyDescent="0.25">
      <c r="A453">
        <v>185</v>
      </c>
      <c r="B453" s="26">
        <v>46211.666666666657</v>
      </c>
      <c r="C453" s="27">
        <v>46211</v>
      </c>
      <c r="D453">
        <v>17</v>
      </c>
      <c r="E453" t="s">
        <v>3173</v>
      </c>
      <c r="F453">
        <v>2</v>
      </c>
      <c r="G453" t="b">
        <v>1</v>
      </c>
      <c r="H453" t="s">
        <v>3218</v>
      </c>
      <c r="I453">
        <v>46.403709999999997</v>
      </c>
      <c r="J453" t="s">
        <v>3219</v>
      </c>
      <c r="K453" t="s">
        <v>3182</v>
      </c>
    </row>
    <row r="454" spans="1:11" x14ac:dyDescent="0.25">
      <c r="A454">
        <v>185</v>
      </c>
      <c r="B454" s="26">
        <v>46211.666666666657</v>
      </c>
      <c r="C454" s="27">
        <v>46211</v>
      </c>
      <c r="D454">
        <v>17</v>
      </c>
      <c r="E454" t="s">
        <v>3173</v>
      </c>
      <c r="F454">
        <v>2</v>
      </c>
      <c r="G454" t="b">
        <v>1</v>
      </c>
      <c r="H454" t="s">
        <v>3220</v>
      </c>
      <c r="I454">
        <v>1699.2810999999999</v>
      </c>
      <c r="J454" t="s">
        <v>198</v>
      </c>
      <c r="K454" t="s">
        <v>3182</v>
      </c>
    </row>
    <row r="455" spans="1:11" x14ac:dyDescent="0.25">
      <c r="A455">
        <v>185</v>
      </c>
      <c r="B455" s="26">
        <v>46211.666666666657</v>
      </c>
      <c r="C455" s="27">
        <v>46211</v>
      </c>
      <c r="D455">
        <v>17</v>
      </c>
      <c r="E455" t="s">
        <v>3173</v>
      </c>
      <c r="F455">
        <v>2</v>
      </c>
      <c r="G455" t="b">
        <v>1</v>
      </c>
      <c r="H455" t="s">
        <v>3221</v>
      </c>
      <c r="I455">
        <v>681.12198000000001</v>
      </c>
      <c r="J455" t="s">
        <v>20</v>
      </c>
      <c r="K455" t="s">
        <v>3182</v>
      </c>
    </row>
    <row r="456" spans="1:11" x14ac:dyDescent="0.25">
      <c r="A456">
        <v>185</v>
      </c>
      <c r="B456" s="26">
        <v>46211.666666666657</v>
      </c>
      <c r="C456" s="27">
        <v>46211</v>
      </c>
      <c r="D456">
        <v>17</v>
      </c>
      <c r="E456" t="s">
        <v>3173</v>
      </c>
      <c r="F456">
        <v>2</v>
      </c>
      <c r="G456" t="b">
        <v>1</v>
      </c>
      <c r="H456" t="s">
        <v>3222</v>
      </c>
      <c r="I456">
        <v>16.062380000000001</v>
      </c>
      <c r="J456" t="s">
        <v>3223</v>
      </c>
      <c r="K456" t="s">
        <v>3182</v>
      </c>
    </row>
    <row r="457" spans="1:11" x14ac:dyDescent="0.25">
      <c r="A457">
        <v>185</v>
      </c>
      <c r="B457" s="26">
        <v>46211.666666666657</v>
      </c>
      <c r="C457" s="27">
        <v>46211</v>
      </c>
      <c r="D457">
        <v>17</v>
      </c>
      <c r="E457" t="s">
        <v>3173</v>
      </c>
      <c r="F457">
        <v>2</v>
      </c>
      <c r="G457" t="b">
        <v>1</v>
      </c>
      <c r="H457" t="s">
        <v>3224</v>
      </c>
      <c r="I457">
        <v>504.24443000000002</v>
      </c>
      <c r="J457" t="s">
        <v>3225</v>
      </c>
      <c r="K457" t="s">
        <v>3182</v>
      </c>
    </row>
    <row r="458" spans="1:11" x14ac:dyDescent="0.25">
      <c r="A458">
        <v>185</v>
      </c>
      <c r="B458" s="26">
        <v>46211.666666666657</v>
      </c>
      <c r="C458" s="27">
        <v>46211</v>
      </c>
      <c r="D458">
        <v>17</v>
      </c>
      <c r="E458" t="s">
        <v>3173</v>
      </c>
      <c r="F458">
        <v>2</v>
      </c>
      <c r="G458" t="b">
        <v>1</v>
      </c>
      <c r="H458" t="s">
        <v>3226</v>
      </c>
      <c r="I458">
        <v>1.83623</v>
      </c>
      <c r="J458" t="s">
        <v>3227</v>
      </c>
      <c r="K458" t="s">
        <v>3182</v>
      </c>
    </row>
    <row r="459" spans="1:11" x14ac:dyDescent="0.25">
      <c r="A459">
        <v>185</v>
      </c>
      <c r="B459" s="26">
        <v>46211.666666666657</v>
      </c>
      <c r="C459" s="27">
        <v>46211</v>
      </c>
      <c r="D459">
        <v>17</v>
      </c>
      <c r="E459" t="s">
        <v>3173</v>
      </c>
      <c r="F459">
        <v>2</v>
      </c>
      <c r="G459" t="b">
        <v>1</v>
      </c>
      <c r="H459" t="s">
        <v>3228</v>
      </c>
      <c r="I459">
        <v>176.02318</v>
      </c>
      <c r="J459" t="s">
        <v>3229</v>
      </c>
      <c r="K459" t="s">
        <v>3182</v>
      </c>
    </row>
    <row r="460" spans="1:11" x14ac:dyDescent="0.25">
      <c r="A460">
        <v>185</v>
      </c>
      <c r="B460" s="26">
        <v>46211.666666666657</v>
      </c>
      <c r="C460" s="27">
        <v>46211</v>
      </c>
      <c r="D460">
        <v>17</v>
      </c>
      <c r="E460" t="s">
        <v>3173</v>
      </c>
      <c r="F460">
        <v>2</v>
      </c>
      <c r="G460" t="b">
        <v>1</v>
      </c>
      <c r="H460" t="s">
        <v>3230</v>
      </c>
      <c r="I460">
        <v>2.4460600000000001</v>
      </c>
      <c r="J460" t="s">
        <v>3231</v>
      </c>
      <c r="K460" t="s">
        <v>3182</v>
      </c>
    </row>
    <row r="461" spans="1:11" x14ac:dyDescent="0.25">
      <c r="A461">
        <v>186</v>
      </c>
      <c r="B461" s="26">
        <v>46211.708333333343</v>
      </c>
      <c r="C461" s="27">
        <v>46211</v>
      </c>
      <c r="D461">
        <v>18</v>
      </c>
      <c r="E461" t="s">
        <v>3173</v>
      </c>
      <c r="F461">
        <v>2</v>
      </c>
      <c r="G461" t="b">
        <v>1</v>
      </c>
      <c r="H461" t="s">
        <v>3180</v>
      </c>
      <c r="I461">
        <v>86.196339999999992</v>
      </c>
      <c r="J461" t="s">
        <v>3181</v>
      </c>
      <c r="K461" t="s">
        <v>3182</v>
      </c>
    </row>
    <row r="462" spans="1:11" x14ac:dyDescent="0.25">
      <c r="A462">
        <v>186</v>
      </c>
      <c r="B462" s="26">
        <v>46211.708333333343</v>
      </c>
      <c r="C462" s="27">
        <v>46211</v>
      </c>
      <c r="D462">
        <v>18</v>
      </c>
      <c r="E462" t="s">
        <v>3173</v>
      </c>
      <c r="F462">
        <v>2</v>
      </c>
      <c r="G462" t="b">
        <v>1</v>
      </c>
      <c r="H462" t="s">
        <v>3183</v>
      </c>
      <c r="I462">
        <v>133.65809999999999</v>
      </c>
      <c r="J462" t="s">
        <v>3184</v>
      </c>
      <c r="K462" t="s">
        <v>3182</v>
      </c>
    </row>
    <row r="463" spans="1:11" x14ac:dyDescent="0.25">
      <c r="A463">
        <v>186</v>
      </c>
      <c r="B463" s="26">
        <v>46211.708333333343</v>
      </c>
      <c r="C463" s="27">
        <v>46211</v>
      </c>
      <c r="D463">
        <v>18</v>
      </c>
      <c r="E463" t="s">
        <v>3173</v>
      </c>
      <c r="F463">
        <v>2</v>
      </c>
      <c r="G463" t="b">
        <v>1</v>
      </c>
      <c r="H463" t="s">
        <v>3185</v>
      </c>
      <c r="I463">
        <v>149.14643000000001</v>
      </c>
      <c r="J463" t="s">
        <v>3186</v>
      </c>
      <c r="K463" t="s">
        <v>3182</v>
      </c>
    </row>
    <row r="464" spans="1:11" x14ac:dyDescent="0.25">
      <c r="A464">
        <v>186</v>
      </c>
      <c r="B464" s="26">
        <v>46211.708333333343</v>
      </c>
      <c r="C464" s="27">
        <v>46211</v>
      </c>
      <c r="D464">
        <v>18</v>
      </c>
      <c r="E464" t="s">
        <v>3173</v>
      </c>
      <c r="F464">
        <v>2</v>
      </c>
      <c r="G464" t="b">
        <v>1</v>
      </c>
      <c r="H464" t="s">
        <v>3187</v>
      </c>
      <c r="I464">
        <v>35.605429999999998</v>
      </c>
      <c r="J464" t="s">
        <v>3188</v>
      </c>
      <c r="K464" t="s">
        <v>3182</v>
      </c>
    </row>
    <row r="465" spans="1:11" x14ac:dyDescent="0.25">
      <c r="A465">
        <v>186</v>
      </c>
      <c r="B465" s="26">
        <v>46211.708333333343</v>
      </c>
      <c r="C465" s="27">
        <v>46211</v>
      </c>
      <c r="D465">
        <v>18</v>
      </c>
      <c r="E465" t="s">
        <v>3173</v>
      </c>
      <c r="F465">
        <v>2</v>
      </c>
      <c r="G465" t="b">
        <v>1</v>
      </c>
      <c r="H465" t="s">
        <v>3189</v>
      </c>
      <c r="I465">
        <v>240.44615999999999</v>
      </c>
      <c r="J465" t="s">
        <v>3190</v>
      </c>
      <c r="K465" t="s">
        <v>3182</v>
      </c>
    </row>
    <row r="466" spans="1:11" x14ac:dyDescent="0.25">
      <c r="A466">
        <v>186</v>
      </c>
      <c r="B466" s="26">
        <v>46211.708333333343</v>
      </c>
      <c r="C466" s="27">
        <v>46211</v>
      </c>
      <c r="D466">
        <v>18</v>
      </c>
      <c r="E466" t="s">
        <v>3173</v>
      </c>
      <c r="F466">
        <v>2</v>
      </c>
      <c r="G466" t="b">
        <v>1</v>
      </c>
      <c r="H466" t="s">
        <v>3191</v>
      </c>
      <c r="I466">
        <v>1505.52422</v>
      </c>
      <c r="J466" t="s">
        <v>3192</v>
      </c>
      <c r="K466" t="s">
        <v>3182</v>
      </c>
    </row>
    <row r="467" spans="1:11" x14ac:dyDescent="0.25">
      <c r="A467">
        <v>186</v>
      </c>
      <c r="B467" s="26">
        <v>46211.708333333343</v>
      </c>
      <c r="C467" s="27">
        <v>46211</v>
      </c>
      <c r="D467">
        <v>18</v>
      </c>
      <c r="E467" t="s">
        <v>3173</v>
      </c>
      <c r="F467">
        <v>2</v>
      </c>
      <c r="G467" t="b">
        <v>1</v>
      </c>
      <c r="H467" t="s">
        <v>3193</v>
      </c>
      <c r="I467">
        <v>321.82796000000002</v>
      </c>
      <c r="J467" t="s">
        <v>3194</v>
      </c>
      <c r="K467" t="s">
        <v>3182</v>
      </c>
    </row>
    <row r="468" spans="1:11" x14ac:dyDescent="0.25">
      <c r="A468">
        <v>186</v>
      </c>
      <c r="B468" s="26">
        <v>46211.708333333343</v>
      </c>
      <c r="C468" s="27">
        <v>46211</v>
      </c>
      <c r="D468">
        <v>18</v>
      </c>
      <c r="E468" t="s">
        <v>3173</v>
      </c>
      <c r="F468">
        <v>2</v>
      </c>
      <c r="G468" t="b">
        <v>1</v>
      </c>
      <c r="H468" t="s">
        <v>3195</v>
      </c>
      <c r="I468">
        <v>42.09695</v>
      </c>
      <c r="J468" t="s">
        <v>3196</v>
      </c>
      <c r="K468" t="s">
        <v>3182</v>
      </c>
    </row>
    <row r="469" spans="1:11" x14ac:dyDescent="0.25">
      <c r="A469">
        <v>186</v>
      </c>
      <c r="B469" s="26">
        <v>46211.708333333343</v>
      </c>
      <c r="C469" s="27">
        <v>46211</v>
      </c>
      <c r="D469">
        <v>18</v>
      </c>
      <c r="E469" t="s">
        <v>3173</v>
      </c>
      <c r="F469">
        <v>2</v>
      </c>
      <c r="G469" t="b">
        <v>1</v>
      </c>
      <c r="H469" t="s">
        <v>3197</v>
      </c>
      <c r="I469">
        <v>1493.2329299999999</v>
      </c>
      <c r="J469" t="s">
        <v>3198</v>
      </c>
      <c r="K469" t="s">
        <v>3182</v>
      </c>
    </row>
    <row r="470" spans="1:11" x14ac:dyDescent="0.25">
      <c r="A470">
        <v>186</v>
      </c>
      <c r="B470" s="26">
        <v>46211.708333333343</v>
      </c>
      <c r="C470" s="27">
        <v>46211</v>
      </c>
      <c r="D470">
        <v>18</v>
      </c>
      <c r="E470" t="s">
        <v>3173</v>
      </c>
      <c r="F470">
        <v>2</v>
      </c>
      <c r="G470" t="b">
        <v>1</v>
      </c>
      <c r="H470" t="s">
        <v>3199</v>
      </c>
      <c r="I470">
        <v>11.67787</v>
      </c>
      <c r="J470" t="s">
        <v>3200</v>
      </c>
      <c r="K470" t="s">
        <v>3182</v>
      </c>
    </row>
    <row r="471" spans="1:11" x14ac:dyDescent="0.25">
      <c r="A471">
        <v>186</v>
      </c>
      <c r="B471" s="26">
        <v>46211.708333333343</v>
      </c>
      <c r="C471" s="27">
        <v>46211</v>
      </c>
      <c r="D471">
        <v>18</v>
      </c>
      <c r="E471" t="s">
        <v>3173</v>
      </c>
      <c r="F471">
        <v>2</v>
      </c>
      <c r="G471" t="b">
        <v>1</v>
      </c>
      <c r="H471" t="s">
        <v>3201</v>
      </c>
      <c r="I471">
        <v>243.42268000000001</v>
      </c>
      <c r="J471" t="s">
        <v>3202</v>
      </c>
      <c r="K471" t="s">
        <v>3182</v>
      </c>
    </row>
    <row r="472" spans="1:11" x14ac:dyDescent="0.25">
      <c r="A472">
        <v>186</v>
      </c>
      <c r="B472" s="26">
        <v>46211.708333333343</v>
      </c>
      <c r="C472" s="27">
        <v>46211</v>
      </c>
      <c r="D472">
        <v>18</v>
      </c>
      <c r="E472" t="s">
        <v>3173</v>
      </c>
      <c r="F472">
        <v>2</v>
      </c>
      <c r="G472" t="b">
        <v>1</v>
      </c>
      <c r="H472" t="s">
        <v>3203</v>
      </c>
      <c r="I472">
        <v>43.975340000000003</v>
      </c>
      <c r="J472" t="s">
        <v>3204</v>
      </c>
      <c r="K472" t="s">
        <v>3182</v>
      </c>
    </row>
    <row r="473" spans="1:11" x14ac:dyDescent="0.25">
      <c r="A473">
        <v>186</v>
      </c>
      <c r="B473" s="26">
        <v>46211.708333333343</v>
      </c>
      <c r="C473" s="27">
        <v>46211</v>
      </c>
      <c r="D473">
        <v>18</v>
      </c>
      <c r="E473" t="s">
        <v>3173</v>
      </c>
      <c r="F473">
        <v>2</v>
      </c>
      <c r="G473" t="b">
        <v>1</v>
      </c>
      <c r="H473" t="s">
        <v>3205</v>
      </c>
      <c r="I473">
        <v>86.454720000000009</v>
      </c>
      <c r="J473" t="s">
        <v>3206</v>
      </c>
      <c r="K473" t="s">
        <v>3182</v>
      </c>
    </row>
    <row r="474" spans="1:11" x14ac:dyDescent="0.25">
      <c r="A474">
        <v>186</v>
      </c>
      <c r="B474" s="26">
        <v>46211.708333333343</v>
      </c>
      <c r="C474" s="27">
        <v>46211</v>
      </c>
      <c r="D474">
        <v>18</v>
      </c>
      <c r="E474" t="s">
        <v>3173</v>
      </c>
      <c r="F474">
        <v>2</v>
      </c>
      <c r="G474" t="b">
        <v>1</v>
      </c>
      <c r="H474" t="s">
        <v>3207</v>
      </c>
      <c r="I474">
        <v>148.69669999999999</v>
      </c>
      <c r="J474" t="s">
        <v>3208</v>
      </c>
      <c r="K474" t="s">
        <v>3182</v>
      </c>
    </row>
    <row r="475" spans="1:11" x14ac:dyDescent="0.25">
      <c r="A475">
        <v>186</v>
      </c>
      <c r="B475" s="26">
        <v>46211.708333333343</v>
      </c>
      <c r="C475" s="27">
        <v>46211</v>
      </c>
      <c r="D475">
        <v>18</v>
      </c>
      <c r="E475" t="s">
        <v>3173</v>
      </c>
      <c r="F475">
        <v>2</v>
      </c>
      <c r="G475" t="b">
        <v>1</v>
      </c>
      <c r="H475" t="s">
        <v>3209</v>
      </c>
      <c r="I475">
        <v>11.76247</v>
      </c>
      <c r="J475" t="s">
        <v>3210</v>
      </c>
      <c r="K475" t="s">
        <v>3182</v>
      </c>
    </row>
    <row r="476" spans="1:11" x14ac:dyDescent="0.25">
      <c r="A476">
        <v>186</v>
      </c>
      <c r="B476" s="26">
        <v>46211.708333333343</v>
      </c>
      <c r="C476" s="27">
        <v>46211</v>
      </c>
      <c r="D476">
        <v>18</v>
      </c>
      <c r="E476" t="s">
        <v>3173</v>
      </c>
      <c r="F476">
        <v>2</v>
      </c>
      <c r="G476" t="b">
        <v>1</v>
      </c>
      <c r="H476" t="s">
        <v>3211</v>
      </c>
      <c r="I476">
        <v>0.83899999999999997</v>
      </c>
      <c r="J476" t="s">
        <v>3212</v>
      </c>
      <c r="K476" t="s">
        <v>3182</v>
      </c>
    </row>
    <row r="477" spans="1:11" x14ac:dyDescent="0.25">
      <c r="A477">
        <v>186</v>
      </c>
      <c r="B477" s="26">
        <v>46211.708333333343</v>
      </c>
      <c r="C477" s="27">
        <v>46211</v>
      </c>
      <c r="D477">
        <v>18</v>
      </c>
      <c r="E477" t="s">
        <v>3173</v>
      </c>
      <c r="F477">
        <v>2</v>
      </c>
      <c r="G477" t="b">
        <v>1</v>
      </c>
      <c r="H477" t="s">
        <v>3213</v>
      </c>
      <c r="I477">
        <v>647.95570999999995</v>
      </c>
      <c r="J477" t="s">
        <v>3214</v>
      </c>
      <c r="K477" t="s">
        <v>3182</v>
      </c>
    </row>
    <row r="478" spans="1:11" x14ac:dyDescent="0.25">
      <c r="A478">
        <v>186</v>
      </c>
      <c r="B478" s="26">
        <v>46211.708333333343</v>
      </c>
      <c r="C478" s="27">
        <v>46211</v>
      </c>
      <c r="D478">
        <v>18</v>
      </c>
      <c r="E478" t="s">
        <v>3173</v>
      </c>
      <c r="F478">
        <v>2</v>
      </c>
      <c r="G478" t="b">
        <v>1</v>
      </c>
      <c r="H478" t="s">
        <v>3215</v>
      </c>
      <c r="I478">
        <v>265.66653000000002</v>
      </c>
      <c r="J478" t="s">
        <v>3216</v>
      </c>
      <c r="K478" t="s">
        <v>3182</v>
      </c>
    </row>
    <row r="479" spans="1:11" x14ac:dyDescent="0.25">
      <c r="A479">
        <v>186</v>
      </c>
      <c r="B479" s="26">
        <v>46211.708333333343</v>
      </c>
      <c r="C479" s="27">
        <v>46211</v>
      </c>
      <c r="D479">
        <v>18</v>
      </c>
      <c r="E479" t="s">
        <v>3173</v>
      </c>
      <c r="F479">
        <v>2</v>
      </c>
      <c r="G479" t="b">
        <v>1</v>
      </c>
      <c r="H479" t="s">
        <v>3217</v>
      </c>
      <c r="I479">
        <v>2217.67173</v>
      </c>
      <c r="J479" t="s">
        <v>197</v>
      </c>
      <c r="K479" t="s">
        <v>3182</v>
      </c>
    </row>
    <row r="480" spans="1:11" x14ac:dyDescent="0.25">
      <c r="A480">
        <v>186</v>
      </c>
      <c r="B480" s="26">
        <v>46211.708333333343</v>
      </c>
      <c r="C480" s="27">
        <v>46211</v>
      </c>
      <c r="D480">
        <v>18</v>
      </c>
      <c r="E480" t="s">
        <v>3173</v>
      </c>
      <c r="F480">
        <v>2</v>
      </c>
      <c r="G480" t="b">
        <v>1</v>
      </c>
      <c r="H480" t="s">
        <v>3218</v>
      </c>
      <c r="I480">
        <v>43.95308</v>
      </c>
      <c r="J480" t="s">
        <v>3219</v>
      </c>
      <c r="K480" t="s">
        <v>3182</v>
      </c>
    </row>
    <row r="481" spans="1:11" x14ac:dyDescent="0.25">
      <c r="A481">
        <v>186</v>
      </c>
      <c r="B481" s="26">
        <v>46211.708333333343</v>
      </c>
      <c r="C481" s="27">
        <v>46211</v>
      </c>
      <c r="D481">
        <v>18</v>
      </c>
      <c r="E481" t="s">
        <v>3173</v>
      </c>
      <c r="F481">
        <v>2</v>
      </c>
      <c r="G481" t="b">
        <v>1</v>
      </c>
      <c r="H481" t="s">
        <v>3220</v>
      </c>
      <c r="I481">
        <v>1629.9676099999999</v>
      </c>
      <c r="J481" t="s">
        <v>198</v>
      </c>
      <c r="K481" t="s">
        <v>3182</v>
      </c>
    </row>
    <row r="482" spans="1:11" x14ac:dyDescent="0.25">
      <c r="A482">
        <v>186</v>
      </c>
      <c r="B482" s="26">
        <v>46211.708333333343</v>
      </c>
      <c r="C482" s="27">
        <v>46211</v>
      </c>
      <c r="D482">
        <v>18</v>
      </c>
      <c r="E482" t="s">
        <v>3173</v>
      </c>
      <c r="F482">
        <v>2</v>
      </c>
      <c r="G482" t="b">
        <v>1</v>
      </c>
      <c r="H482" t="s">
        <v>3221</v>
      </c>
      <c r="I482">
        <v>689.07406000000003</v>
      </c>
      <c r="J482" t="s">
        <v>20</v>
      </c>
      <c r="K482" t="s">
        <v>3182</v>
      </c>
    </row>
    <row r="483" spans="1:11" x14ac:dyDescent="0.25">
      <c r="A483">
        <v>186</v>
      </c>
      <c r="B483" s="26">
        <v>46211.708333333343</v>
      </c>
      <c r="C483" s="27">
        <v>46211</v>
      </c>
      <c r="D483">
        <v>18</v>
      </c>
      <c r="E483" t="s">
        <v>3173</v>
      </c>
      <c r="F483">
        <v>2</v>
      </c>
      <c r="G483" t="b">
        <v>1</v>
      </c>
      <c r="H483" t="s">
        <v>3222</v>
      </c>
      <c r="I483">
        <v>16.429539999999999</v>
      </c>
      <c r="J483" t="s">
        <v>3223</v>
      </c>
      <c r="K483" t="s">
        <v>3182</v>
      </c>
    </row>
    <row r="484" spans="1:11" x14ac:dyDescent="0.25">
      <c r="A484">
        <v>186</v>
      </c>
      <c r="B484" s="26">
        <v>46211.708333333343</v>
      </c>
      <c r="C484" s="27">
        <v>46211</v>
      </c>
      <c r="D484">
        <v>18</v>
      </c>
      <c r="E484" t="s">
        <v>3173</v>
      </c>
      <c r="F484">
        <v>2</v>
      </c>
      <c r="G484" t="b">
        <v>1</v>
      </c>
      <c r="H484" t="s">
        <v>3224</v>
      </c>
      <c r="I484">
        <v>481.31580000000002</v>
      </c>
      <c r="J484" t="s">
        <v>3225</v>
      </c>
      <c r="K484" t="s">
        <v>3182</v>
      </c>
    </row>
    <row r="485" spans="1:11" x14ac:dyDescent="0.25">
      <c r="A485">
        <v>186</v>
      </c>
      <c r="B485" s="26">
        <v>46211.708333333343</v>
      </c>
      <c r="C485" s="27">
        <v>46211</v>
      </c>
      <c r="D485">
        <v>18</v>
      </c>
      <c r="E485" t="s">
        <v>3173</v>
      </c>
      <c r="F485">
        <v>2</v>
      </c>
      <c r="G485" t="b">
        <v>1</v>
      </c>
      <c r="H485" t="s">
        <v>3226</v>
      </c>
      <c r="I485">
        <v>1.9673700000000001</v>
      </c>
      <c r="J485" t="s">
        <v>3227</v>
      </c>
      <c r="K485" t="s">
        <v>3182</v>
      </c>
    </row>
    <row r="486" spans="1:11" x14ac:dyDescent="0.25">
      <c r="A486">
        <v>186</v>
      </c>
      <c r="B486" s="26">
        <v>46211.708333333343</v>
      </c>
      <c r="C486" s="27">
        <v>46211</v>
      </c>
      <c r="D486">
        <v>18</v>
      </c>
      <c r="E486" t="s">
        <v>3173</v>
      </c>
      <c r="F486">
        <v>2</v>
      </c>
      <c r="G486" t="b">
        <v>1</v>
      </c>
      <c r="H486" t="s">
        <v>3228</v>
      </c>
      <c r="I486">
        <v>175.69856999999999</v>
      </c>
      <c r="J486" t="s">
        <v>3229</v>
      </c>
      <c r="K486" t="s">
        <v>3182</v>
      </c>
    </row>
    <row r="487" spans="1:11" x14ac:dyDescent="0.25">
      <c r="A487">
        <v>186</v>
      </c>
      <c r="B487" s="26">
        <v>46211.708333333343</v>
      </c>
      <c r="C487" s="27">
        <v>46211</v>
      </c>
      <c r="D487">
        <v>18</v>
      </c>
      <c r="E487" t="s">
        <v>3173</v>
      </c>
      <c r="F487">
        <v>2</v>
      </c>
      <c r="G487" t="b">
        <v>1</v>
      </c>
      <c r="H487" t="s">
        <v>3230</v>
      </c>
      <c r="I487">
        <v>2.23671</v>
      </c>
      <c r="J487" t="s">
        <v>3231</v>
      </c>
      <c r="K487" t="s">
        <v>3182</v>
      </c>
    </row>
    <row r="488" spans="1:11" x14ac:dyDescent="0.25">
      <c r="A488">
        <v>187</v>
      </c>
      <c r="B488" s="26">
        <v>46211.75</v>
      </c>
      <c r="C488" s="27">
        <v>46211</v>
      </c>
      <c r="D488">
        <v>19</v>
      </c>
      <c r="E488" t="s">
        <v>3173</v>
      </c>
      <c r="F488">
        <v>2</v>
      </c>
      <c r="G488" t="b">
        <v>1</v>
      </c>
      <c r="H488" t="s">
        <v>3180</v>
      </c>
      <c r="I488">
        <v>91.961619999999996</v>
      </c>
      <c r="J488" t="s">
        <v>3181</v>
      </c>
      <c r="K488" t="s">
        <v>3182</v>
      </c>
    </row>
    <row r="489" spans="1:11" x14ac:dyDescent="0.25">
      <c r="A489">
        <v>187</v>
      </c>
      <c r="B489" s="26">
        <v>46211.75</v>
      </c>
      <c r="C489" s="27">
        <v>46211</v>
      </c>
      <c r="D489">
        <v>19</v>
      </c>
      <c r="E489" t="s">
        <v>3173</v>
      </c>
      <c r="F489">
        <v>2</v>
      </c>
      <c r="G489" t="b">
        <v>1</v>
      </c>
      <c r="H489" t="s">
        <v>3183</v>
      </c>
      <c r="I489">
        <v>147.97594000000001</v>
      </c>
      <c r="J489" t="s">
        <v>3184</v>
      </c>
      <c r="K489" t="s">
        <v>3182</v>
      </c>
    </row>
    <row r="490" spans="1:11" x14ac:dyDescent="0.25">
      <c r="A490">
        <v>187</v>
      </c>
      <c r="B490" s="26">
        <v>46211.75</v>
      </c>
      <c r="C490" s="27">
        <v>46211</v>
      </c>
      <c r="D490">
        <v>19</v>
      </c>
      <c r="E490" t="s">
        <v>3173</v>
      </c>
      <c r="F490">
        <v>2</v>
      </c>
      <c r="G490" t="b">
        <v>1</v>
      </c>
      <c r="H490" t="s">
        <v>3185</v>
      </c>
      <c r="I490">
        <v>165.51437999999999</v>
      </c>
      <c r="J490" t="s">
        <v>3186</v>
      </c>
      <c r="K490" t="s">
        <v>3182</v>
      </c>
    </row>
    <row r="491" spans="1:11" x14ac:dyDescent="0.25">
      <c r="A491">
        <v>187</v>
      </c>
      <c r="B491" s="26">
        <v>46211.75</v>
      </c>
      <c r="C491" s="27">
        <v>46211</v>
      </c>
      <c r="D491">
        <v>19</v>
      </c>
      <c r="E491" t="s">
        <v>3173</v>
      </c>
      <c r="F491">
        <v>2</v>
      </c>
      <c r="G491" t="b">
        <v>1</v>
      </c>
      <c r="H491" t="s">
        <v>3187</v>
      </c>
      <c r="I491">
        <v>37.139650000000003</v>
      </c>
      <c r="J491" t="s">
        <v>3188</v>
      </c>
      <c r="K491" t="s">
        <v>3182</v>
      </c>
    </row>
    <row r="492" spans="1:11" x14ac:dyDescent="0.25">
      <c r="A492">
        <v>187</v>
      </c>
      <c r="B492" s="26">
        <v>46211.75</v>
      </c>
      <c r="C492" s="27">
        <v>46211</v>
      </c>
      <c r="D492">
        <v>19</v>
      </c>
      <c r="E492" t="s">
        <v>3173</v>
      </c>
      <c r="F492">
        <v>2</v>
      </c>
      <c r="G492" t="b">
        <v>1</v>
      </c>
      <c r="H492" t="s">
        <v>3189</v>
      </c>
      <c r="I492">
        <v>261.58589999999998</v>
      </c>
      <c r="J492" t="s">
        <v>3190</v>
      </c>
      <c r="K492" t="s">
        <v>3182</v>
      </c>
    </row>
    <row r="493" spans="1:11" x14ac:dyDescent="0.25">
      <c r="A493">
        <v>187</v>
      </c>
      <c r="B493" s="26">
        <v>46211.75</v>
      </c>
      <c r="C493" s="27">
        <v>46211</v>
      </c>
      <c r="D493">
        <v>19</v>
      </c>
      <c r="E493" t="s">
        <v>3173</v>
      </c>
      <c r="F493">
        <v>2</v>
      </c>
      <c r="G493" t="b">
        <v>1</v>
      </c>
      <c r="H493" t="s">
        <v>3191</v>
      </c>
      <c r="I493">
        <v>1510.02955</v>
      </c>
      <c r="J493" t="s">
        <v>3192</v>
      </c>
      <c r="K493" t="s">
        <v>3182</v>
      </c>
    </row>
    <row r="494" spans="1:11" x14ac:dyDescent="0.25">
      <c r="A494">
        <v>187</v>
      </c>
      <c r="B494" s="26">
        <v>46211.75</v>
      </c>
      <c r="C494" s="27">
        <v>46211</v>
      </c>
      <c r="D494">
        <v>19</v>
      </c>
      <c r="E494" t="s">
        <v>3173</v>
      </c>
      <c r="F494">
        <v>2</v>
      </c>
      <c r="G494" t="b">
        <v>1</v>
      </c>
      <c r="H494" t="s">
        <v>3193</v>
      </c>
      <c r="I494">
        <v>322.54968000000002</v>
      </c>
      <c r="J494" t="s">
        <v>3194</v>
      </c>
      <c r="K494" t="s">
        <v>3182</v>
      </c>
    </row>
    <row r="495" spans="1:11" x14ac:dyDescent="0.25">
      <c r="A495">
        <v>187</v>
      </c>
      <c r="B495" s="26">
        <v>46211.75</v>
      </c>
      <c r="C495" s="27">
        <v>46211</v>
      </c>
      <c r="D495">
        <v>19</v>
      </c>
      <c r="E495" t="s">
        <v>3173</v>
      </c>
      <c r="F495">
        <v>2</v>
      </c>
      <c r="G495" t="b">
        <v>1</v>
      </c>
      <c r="H495" t="s">
        <v>3195</v>
      </c>
      <c r="I495">
        <v>46.052819999999997</v>
      </c>
      <c r="J495" t="s">
        <v>3196</v>
      </c>
      <c r="K495" t="s">
        <v>3182</v>
      </c>
    </row>
    <row r="496" spans="1:11" x14ac:dyDescent="0.25">
      <c r="A496">
        <v>187</v>
      </c>
      <c r="B496" s="26">
        <v>46211.75</v>
      </c>
      <c r="C496" s="27">
        <v>46211</v>
      </c>
      <c r="D496">
        <v>19</v>
      </c>
      <c r="E496" t="s">
        <v>3173</v>
      </c>
      <c r="F496">
        <v>2</v>
      </c>
      <c r="G496" t="b">
        <v>1</v>
      </c>
      <c r="H496" t="s">
        <v>3197</v>
      </c>
      <c r="I496">
        <v>1512.1063200000001</v>
      </c>
      <c r="J496" t="s">
        <v>3198</v>
      </c>
      <c r="K496" t="s">
        <v>3182</v>
      </c>
    </row>
    <row r="497" spans="1:11" x14ac:dyDescent="0.25">
      <c r="A497">
        <v>187</v>
      </c>
      <c r="B497" s="26">
        <v>46211.75</v>
      </c>
      <c r="C497" s="27">
        <v>46211</v>
      </c>
      <c r="D497">
        <v>19</v>
      </c>
      <c r="E497" t="s">
        <v>3173</v>
      </c>
      <c r="F497">
        <v>2</v>
      </c>
      <c r="G497" t="b">
        <v>1</v>
      </c>
      <c r="H497" t="s">
        <v>3199</v>
      </c>
      <c r="I497">
        <v>13.20712</v>
      </c>
      <c r="J497" t="s">
        <v>3200</v>
      </c>
      <c r="K497" t="s">
        <v>3182</v>
      </c>
    </row>
    <row r="498" spans="1:11" x14ac:dyDescent="0.25">
      <c r="A498">
        <v>187</v>
      </c>
      <c r="B498" s="26">
        <v>46211.75</v>
      </c>
      <c r="C498" s="27">
        <v>46211</v>
      </c>
      <c r="D498">
        <v>19</v>
      </c>
      <c r="E498" t="s">
        <v>3173</v>
      </c>
      <c r="F498">
        <v>2</v>
      </c>
      <c r="G498" t="b">
        <v>1</v>
      </c>
      <c r="H498" t="s">
        <v>3201</v>
      </c>
      <c r="I498">
        <v>257.44247999999999</v>
      </c>
      <c r="J498" t="s">
        <v>3202</v>
      </c>
      <c r="K498" t="s">
        <v>3182</v>
      </c>
    </row>
    <row r="499" spans="1:11" x14ac:dyDescent="0.25">
      <c r="A499">
        <v>187</v>
      </c>
      <c r="B499" s="26">
        <v>46211.75</v>
      </c>
      <c r="C499" s="27">
        <v>46211</v>
      </c>
      <c r="D499">
        <v>19</v>
      </c>
      <c r="E499" t="s">
        <v>3173</v>
      </c>
      <c r="F499">
        <v>2</v>
      </c>
      <c r="G499" t="b">
        <v>1</v>
      </c>
      <c r="H499" t="s">
        <v>3203</v>
      </c>
      <c r="I499">
        <v>45.233870000000003</v>
      </c>
      <c r="J499" t="s">
        <v>3204</v>
      </c>
      <c r="K499" t="s">
        <v>3182</v>
      </c>
    </row>
    <row r="500" spans="1:11" x14ac:dyDescent="0.25">
      <c r="A500">
        <v>187</v>
      </c>
      <c r="B500" s="26">
        <v>46211.75</v>
      </c>
      <c r="C500" s="27">
        <v>46211</v>
      </c>
      <c r="D500">
        <v>19</v>
      </c>
      <c r="E500" t="s">
        <v>3173</v>
      </c>
      <c r="F500">
        <v>2</v>
      </c>
      <c r="G500" t="b">
        <v>1</v>
      </c>
      <c r="H500" t="s">
        <v>3205</v>
      </c>
      <c r="I500">
        <v>91.980539999999991</v>
      </c>
      <c r="J500" t="s">
        <v>3206</v>
      </c>
      <c r="K500" t="s">
        <v>3182</v>
      </c>
    </row>
    <row r="501" spans="1:11" x14ac:dyDescent="0.25">
      <c r="A501">
        <v>187</v>
      </c>
      <c r="B501" s="26">
        <v>46211.75</v>
      </c>
      <c r="C501" s="27">
        <v>46211</v>
      </c>
      <c r="D501">
        <v>19</v>
      </c>
      <c r="E501" t="s">
        <v>3173</v>
      </c>
      <c r="F501">
        <v>2</v>
      </c>
      <c r="G501" t="b">
        <v>1</v>
      </c>
      <c r="H501" t="s">
        <v>3207</v>
      </c>
      <c r="I501">
        <v>154.01392000000001</v>
      </c>
      <c r="J501" t="s">
        <v>3208</v>
      </c>
      <c r="K501" t="s">
        <v>3182</v>
      </c>
    </row>
    <row r="502" spans="1:11" x14ac:dyDescent="0.25">
      <c r="A502">
        <v>187</v>
      </c>
      <c r="B502" s="26">
        <v>46211.75</v>
      </c>
      <c r="C502" s="27">
        <v>46211</v>
      </c>
      <c r="D502">
        <v>19</v>
      </c>
      <c r="E502" t="s">
        <v>3173</v>
      </c>
      <c r="F502">
        <v>2</v>
      </c>
      <c r="G502" t="b">
        <v>1</v>
      </c>
      <c r="H502" t="s">
        <v>3209</v>
      </c>
      <c r="I502">
        <v>12.555260000000001</v>
      </c>
      <c r="J502" t="s">
        <v>3210</v>
      </c>
      <c r="K502" t="s">
        <v>3182</v>
      </c>
    </row>
    <row r="503" spans="1:11" x14ac:dyDescent="0.25">
      <c r="A503">
        <v>187</v>
      </c>
      <c r="B503" s="26">
        <v>46211.75</v>
      </c>
      <c r="C503" s="27">
        <v>46211</v>
      </c>
      <c r="D503">
        <v>19</v>
      </c>
      <c r="E503" t="s">
        <v>3173</v>
      </c>
      <c r="F503">
        <v>2</v>
      </c>
      <c r="G503" t="b">
        <v>1</v>
      </c>
      <c r="H503" t="s">
        <v>3211</v>
      </c>
      <c r="I503">
        <v>0.97799999999999998</v>
      </c>
      <c r="J503" t="s">
        <v>3212</v>
      </c>
      <c r="K503" t="s">
        <v>3182</v>
      </c>
    </row>
    <row r="504" spans="1:11" x14ac:dyDescent="0.25">
      <c r="A504">
        <v>187</v>
      </c>
      <c r="B504" s="26">
        <v>46211.75</v>
      </c>
      <c r="C504" s="27">
        <v>46211</v>
      </c>
      <c r="D504">
        <v>19</v>
      </c>
      <c r="E504" t="s">
        <v>3173</v>
      </c>
      <c r="F504">
        <v>2</v>
      </c>
      <c r="G504" t="b">
        <v>1</v>
      </c>
      <c r="H504" t="s">
        <v>3213</v>
      </c>
      <c r="I504">
        <v>640.33166000000006</v>
      </c>
      <c r="J504" t="s">
        <v>3214</v>
      </c>
      <c r="K504" t="s">
        <v>3182</v>
      </c>
    </row>
    <row r="505" spans="1:11" x14ac:dyDescent="0.25">
      <c r="A505">
        <v>187</v>
      </c>
      <c r="B505" s="26">
        <v>46211.75</v>
      </c>
      <c r="C505" s="27">
        <v>46211</v>
      </c>
      <c r="D505">
        <v>19</v>
      </c>
      <c r="E505" t="s">
        <v>3173</v>
      </c>
      <c r="F505">
        <v>2</v>
      </c>
      <c r="G505" t="b">
        <v>1</v>
      </c>
      <c r="H505" t="s">
        <v>3215</v>
      </c>
      <c r="I505">
        <v>280.40829000000002</v>
      </c>
      <c r="J505" t="s">
        <v>3216</v>
      </c>
      <c r="K505" t="s">
        <v>3182</v>
      </c>
    </row>
    <row r="506" spans="1:11" x14ac:dyDescent="0.25">
      <c r="A506">
        <v>187</v>
      </c>
      <c r="B506" s="26">
        <v>46211.75</v>
      </c>
      <c r="C506" s="27">
        <v>46211</v>
      </c>
      <c r="D506">
        <v>19</v>
      </c>
      <c r="E506" t="s">
        <v>3173</v>
      </c>
      <c r="F506">
        <v>2</v>
      </c>
      <c r="G506" t="b">
        <v>1</v>
      </c>
      <c r="H506" t="s">
        <v>3217</v>
      </c>
      <c r="I506">
        <v>2335.2760499999999</v>
      </c>
      <c r="J506" t="s">
        <v>197</v>
      </c>
      <c r="K506" t="s">
        <v>3182</v>
      </c>
    </row>
    <row r="507" spans="1:11" x14ac:dyDescent="0.25">
      <c r="A507">
        <v>187</v>
      </c>
      <c r="B507" s="26">
        <v>46211.75</v>
      </c>
      <c r="C507" s="27">
        <v>46211</v>
      </c>
      <c r="D507">
        <v>19</v>
      </c>
      <c r="E507" t="s">
        <v>3173</v>
      </c>
      <c r="F507">
        <v>2</v>
      </c>
      <c r="G507" t="b">
        <v>1</v>
      </c>
      <c r="H507" t="s">
        <v>3218</v>
      </c>
      <c r="I507">
        <v>46.55556</v>
      </c>
      <c r="J507" t="s">
        <v>3219</v>
      </c>
      <c r="K507" t="s">
        <v>3182</v>
      </c>
    </row>
    <row r="508" spans="1:11" x14ac:dyDescent="0.25">
      <c r="A508">
        <v>187</v>
      </c>
      <c r="B508" s="26">
        <v>46211.75</v>
      </c>
      <c r="C508" s="27">
        <v>46211</v>
      </c>
      <c r="D508">
        <v>19</v>
      </c>
      <c r="E508" t="s">
        <v>3173</v>
      </c>
      <c r="F508">
        <v>2</v>
      </c>
      <c r="G508" t="b">
        <v>1</v>
      </c>
      <c r="H508" t="s">
        <v>3220</v>
      </c>
      <c r="I508">
        <v>1672.9591800000001</v>
      </c>
      <c r="J508" t="s">
        <v>198</v>
      </c>
      <c r="K508" t="s">
        <v>3182</v>
      </c>
    </row>
    <row r="509" spans="1:11" x14ac:dyDescent="0.25">
      <c r="A509">
        <v>187</v>
      </c>
      <c r="B509" s="26">
        <v>46211.75</v>
      </c>
      <c r="C509" s="27">
        <v>46211</v>
      </c>
      <c r="D509">
        <v>19</v>
      </c>
      <c r="E509" t="s">
        <v>3173</v>
      </c>
      <c r="F509">
        <v>2</v>
      </c>
      <c r="G509" t="b">
        <v>1</v>
      </c>
      <c r="H509" t="s">
        <v>3221</v>
      </c>
      <c r="I509">
        <v>727.06110000000001</v>
      </c>
      <c r="J509" t="s">
        <v>20</v>
      </c>
      <c r="K509" t="s">
        <v>3182</v>
      </c>
    </row>
    <row r="510" spans="1:11" x14ac:dyDescent="0.25">
      <c r="A510">
        <v>187</v>
      </c>
      <c r="B510" s="26">
        <v>46211.75</v>
      </c>
      <c r="C510" s="27">
        <v>46211</v>
      </c>
      <c r="D510">
        <v>19</v>
      </c>
      <c r="E510" t="s">
        <v>3173</v>
      </c>
      <c r="F510">
        <v>2</v>
      </c>
      <c r="G510" t="b">
        <v>1</v>
      </c>
      <c r="H510" t="s">
        <v>3222</v>
      </c>
      <c r="I510">
        <v>18.09008</v>
      </c>
      <c r="J510" t="s">
        <v>3223</v>
      </c>
      <c r="K510" t="s">
        <v>3182</v>
      </c>
    </row>
    <row r="511" spans="1:11" x14ac:dyDescent="0.25">
      <c r="A511">
        <v>187</v>
      </c>
      <c r="B511" s="26">
        <v>46211.75</v>
      </c>
      <c r="C511" s="27">
        <v>46211</v>
      </c>
      <c r="D511">
        <v>19</v>
      </c>
      <c r="E511" t="s">
        <v>3173</v>
      </c>
      <c r="F511">
        <v>2</v>
      </c>
      <c r="G511" t="b">
        <v>1</v>
      </c>
      <c r="H511" t="s">
        <v>3224</v>
      </c>
      <c r="I511">
        <v>489.23782999999997</v>
      </c>
      <c r="J511" t="s">
        <v>3225</v>
      </c>
      <c r="K511" t="s">
        <v>3182</v>
      </c>
    </row>
    <row r="512" spans="1:11" x14ac:dyDescent="0.25">
      <c r="A512">
        <v>187</v>
      </c>
      <c r="B512" s="26">
        <v>46211.75</v>
      </c>
      <c r="C512" s="27">
        <v>46211</v>
      </c>
      <c r="D512">
        <v>19</v>
      </c>
      <c r="E512" t="s">
        <v>3173</v>
      </c>
      <c r="F512">
        <v>2</v>
      </c>
      <c r="G512" t="b">
        <v>1</v>
      </c>
      <c r="H512" t="s">
        <v>3226</v>
      </c>
      <c r="I512">
        <v>2.3633700000000002</v>
      </c>
      <c r="J512" t="s">
        <v>3227</v>
      </c>
      <c r="K512" t="s">
        <v>3182</v>
      </c>
    </row>
    <row r="513" spans="1:11" x14ac:dyDescent="0.25">
      <c r="A513">
        <v>187</v>
      </c>
      <c r="B513" s="26">
        <v>46211.75</v>
      </c>
      <c r="C513" s="27">
        <v>46211</v>
      </c>
      <c r="D513">
        <v>19</v>
      </c>
      <c r="E513" t="s">
        <v>3173</v>
      </c>
      <c r="F513">
        <v>2</v>
      </c>
      <c r="G513" t="b">
        <v>1</v>
      </c>
      <c r="H513" t="s">
        <v>3228</v>
      </c>
      <c r="I513">
        <v>189.61781999999999</v>
      </c>
      <c r="J513" t="s">
        <v>3229</v>
      </c>
      <c r="K513" t="s">
        <v>3182</v>
      </c>
    </row>
    <row r="514" spans="1:11" x14ac:dyDescent="0.25">
      <c r="A514">
        <v>187</v>
      </c>
      <c r="B514" s="26">
        <v>46211.75</v>
      </c>
      <c r="C514" s="27">
        <v>46211</v>
      </c>
      <c r="D514">
        <v>19</v>
      </c>
      <c r="E514" t="s">
        <v>3173</v>
      </c>
      <c r="F514">
        <v>2</v>
      </c>
      <c r="G514" t="b">
        <v>1</v>
      </c>
      <c r="H514" t="s">
        <v>3230</v>
      </c>
      <c r="I514">
        <v>2.7215600000000002</v>
      </c>
      <c r="J514" t="s">
        <v>3231</v>
      </c>
      <c r="K514" t="s">
        <v>3182</v>
      </c>
    </row>
    <row r="515" spans="1:11" x14ac:dyDescent="0.25">
      <c r="A515">
        <v>188</v>
      </c>
      <c r="B515" s="26">
        <v>46211.791666666657</v>
      </c>
      <c r="C515" s="27">
        <v>46211</v>
      </c>
      <c r="D515">
        <v>20</v>
      </c>
      <c r="E515" t="s">
        <v>3173</v>
      </c>
      <c r="F515">
        <v>2</v>
      </c>
      <c r="G515" t="b">
        <v>1</v>
      </c>
      <c r="H515" t="s">
        <v>3180</v>
      </c>
      <c r="I515">
        <v>94.674770000000009</v>
      </c>
      <c r="J515" t="s">
        <v>3181</v>
      </c>
      <c r="K515" t="s">
        <v>3182</v>
      </c>
    </row>
    <row r="516" spans="1:11" x14ac:dyDescent="0.25">
      <c r="A516">
        <v>188</v>
      </c>
      <c r="B516" s="26">
        <v>46211.791666666657</v>
      </c>
      <c r="C516" s="27">
        <v>46211</v>
      </c>
      <c r="D516">
        <v>20</v>
      </c>
      <c r="E516" t="s">
        <v>3173</v>
      </c>
      <c r="F516">
        <v>2</v>
      </c>
      <c r="G516" t="b">
        <v>1</v>
      </c>
      <c r="H516" t="s">
        <v>3183</v>
      </c>
      <c r="I516">
        <v>146.69647000000001</v>
      </c>
      <c r="J516" t="s">
        <v>3184</v>
      </c>
      <c r="K516" t="s">
        <v>3182</v>
      </c>
    </row>
    <row r="517" spans="1:11" x14ac:dyDescent="0.25">
      <c r="A517">
        <v>188</v>
      </c>
      <c r="B517" s="26">
        <v>46211.791666666657</v>
      </c>
      <c r="C517" s="27">
        <v>46211</v>
      </c>
      <c r="D517">
        <v>20</v>
      </c>
      <c r="E517" t="s">
        <v>3173</v>
      </c>
      <c r="F517">
        <v>2</v>
      </c>
      <c r="G517" t="b">
        <v>1</v>
      </c>
      <c r="H517" t="s">
        <v>3185</v>
      </c>
      <c r="I517">
        <v>169.98298</v>
      </c>
      <c r="J517" t="s">
        <v>3186</v>
      </c>
      <c r="K517" t="s">
        <v>3182</v>
      </c>
    </row>
    <row r="518" spans="1:11" x14ac:dyDescent="0.25">
      <c r="A518">
        <v>188</v>
      </c>
      <c r="B518" s="26">
        <v>46211.791666666657</v>
      </c>
      <c r="C518" s="27">
        <v>46211</v>
      </c>
      <c r="D518">
        <v>20</v>
      </c>
      <c r="E518" t="s">
        <v>3173</v>
      </c>
      <c r="F518">
        <v>2</v>
      </c>
      <c r="G518" t="b">
        <v>1</v>
      </c>
      <c r="H518" t="s">
        <v>3187</v>
      </c>
      <c r="I518">
        <v>37.182850000000002</v>
      </c>
      <c r="J518" t="s">
        <v>3188</v>
      </c>
      <c r="K518" t="s">
        <v>3182</v>
      </c>
    </row>
    <row r="519" spans="1:11" x14ac:dyDescent="0.25">
      <c r="A519">
        <v>188</v>
      </c>
      <c r="B519" s="26">
        <v>46211.791666666657</v>
      </c>
      <c r="C519" s="27">
        <v>46211</v>
      </c>
      <c r="D519">
        <v>20</v>
      </c>
      <c r="E519" t="s">
        <v>3173</v>
      </c>
      <c r="F519">
        <v>2</v>
      </c>
      <c r="G519" t="b">
        <v>1</v>
      </c>
      <c r="H519" t="s">
        <v>3189</v>
      </c>
      <c r="I519">
        <v>270.17556999999999</v>
      </c>
      <c r="J519" t="s">
        <v>3190</v>
      </c>
      <c r="K519" t="s">
        <v>3182</v>
      </c>
    </row>
    <row r="520" spans="1:11" x14ac:dyDescent="0.25">
      <c r="A520">
        <v>188</v>
      </c>
      <c r="B520" s="26">
        <v>46211.791666666657</v>
      </c>
      <c r="C520" s="27">
        <v>46211</v>
      </c>
      <c r="D520">
        <v>20</v>
      </c>
      <c r="E520" t="s">
        <v>3173</v>
      </c>
      <c r="F520">
        <v>2</v>
      </c>
      <c r="G520" t="b">
        <v>1</v>
      </c>
      <c r="H520" t="s">
        <v>3191</v>
      </c>
      <c r="I520">
        <v>1603.5749499999999</v>
      </c>
      <c r="J520" t="s">
        <v>3192</v>
      </c>
      <c r="K520" t="s">
        <v>3182</v>
      </c>
    </row>
    <row r="521" spans="1:11" x14ac:dyDescent="0.25">
      <c r="A521">
        <v>188</v>
      </c>
      <c r="B521" s="26">
        <v>46211.791666666657</v>
      </c>
      <c r="C521" s="27">
        <v>46211</v>
      </c>
      <c r="D521">
        <v>20</v>
      </c>
      <c r="E521" t="s">
        <v>3173</v>
      </c>
      <c r="F521">
        <v>2</v>
      </c>
      <c r="G521" t="b">
        <v>1</v>
      </c>
      <c r="H521" t="s">
        <v>3193</v>
      </c>
      <c r="I521">
        <v>323.74831</v>
      </c>
      <c r="J521" t="s">
        <v>3194</v>
      </c>
      <c r="K521" t="s">
        <v>3182</v>
      </c>
    </row>
    <row r="522" spans="1:11" x14ac:dyDescent="0.25">
      <c r="A522">
        <v>188</v>
      </c>
      <c r="B522" s="26">
        <v>46211.791666666657</v>
      </c>
      <c r="C522" s="27">
        <v>46211</v>
      </c>
      <c r="D522">
        <v>20</v>
      </c>
      <c r="E522" t="s">
        <v>3173</v>
      </c>
      <c r="F522">
        <v>2</v>
      </c>
      <c r="G522" t="b">
        <v>1</v>
      </c>
      <c r="H522" t="s">
        <v>3195</v>
      </c>
      <c r="I522">
        <v>46.981119999999997</v>
      </c>
      <c r="J522" t="s">
        <v>3196</v>
      </c>
      <c r="K522" t="s">
        <v>3182</v>
      </c>
    </row>
    <row r="523" spans="1:11" x14ac:dyDescent="0.25">
      <c r="A523">
        <v>188</v>
      </c>
      <c r="B523" s="26">
        <v>46211.791666666657</v>
      </c>
      <c r="C523" s="27">
        <v>46211</v>
      </c>
      <c r="D523">
        <v>20</v>
      </c>
      <c r="E523" t="s">
        <v>3173</v>
      </c>
      <c r="F523">
        <v>2</v>
      </c>
      <c r="G523" t="b">
        <v>1</v>
      </c>
      <c r="H523" t="s">
        <v>3197</v>
      </c>
      <c r="I523">
        <v>1584.9540099999999</v>
      </c>
      <c r="J523" t="s">
        <v>3198</v>
      </c>
      <c r="K523" t="s">
        <v>3182</v>
      </c>
    </row>
    <row r="524" spans="1:11" x14ac:dyDescent="0.25">
      <c r="A524">
        <v>188</v>
      </c>
      <c r="B524" s="26">
        <v>46211.791666666657</v>
      </c>
      <c r="C524" s="27">
        <v>46211</v>
      </c>
      <c r="D524">
        <v>20</v>
      </c>
      <c r="E524" t="s">
        <v>3173</v>
      </c>
      <c r="F524">
        <v>2</v>
      </c>
      <c r="G524" t="b">
        <v>1</v>
      </c>
      <c r="H524" t="s">
        <v>3199</v>
      </c>
      <c r="I524">
        <v>13.400969999999999</v>
      </c>
      <c r="J524" t="s">
        <v>3200</v>
      </c>
      <c r="K524" t="s">
        <v>3182</v>
      </c>
    </row>
    <row r="525" spans="1:11" x14ac:dyDescent="0.25">
      <c r="A525">
        <v>188</v>
      </c>
      <c r="B525" s="26">
        <v>46211.791666666657</v>
      </c>
      <c r="C525" s="27">
        <v>46211</v>
      </c>
      <c r="D525">
        <v>20</v>
      </c>
      <c r="E525" t="s">
        <v>3173</v>
      </c>
      <c r="F525">
        <v>2</v>
      </c>
      <c r="G525" t="b">
        <v>1</v>
      </c>
      <c r="H525" t="s">
        <v>3201</v>
      </c>
      <c r="I525">
        <v>265.36754999999999</v>
      </c>
      <c r="J525" t="s">
        <v>3202</v>
      </c>
      <c r="K525" t="s">
        <v>3182</v>
      </c>
    </row>
    <row r="526" spans="1:11" x14ac:dyDescent="0.25">
      <c r="A526">
        <v>188</v>
      </c>
      <c r="B526" s="26">
        <v>46211.791666666657</v>
      </c>
      <c r="C526" s="27">
        <v>46211</v>
      </c>
      <c r="D526">
        <v>20</v>
      </c>
      <c r="E526" t="s">
        <v>3173</v>
      </c>
      <c r="F526">
        <v>2</v>
      </c>
      <c r="G526" t="b">
        <v>1</v>
      </c>
      <c r="H526" t="s">
        <v>3203</v>
      </c>
      <c r="I526">
        <v>46.353099999999998</v>
      </c>
      <c r="J526" t="s">
        <v>3204</v>
      </c>
      <c r="K526" t="s">
        <v>3182</v>
      </c>
    </row>
    <row r="527" spans="1:11" x14ac:dyDescent="0.25">
      <c r="A527">
        <v>188</v>
      </c>
      <c r="B527" s="26">
        <v>46211.791666666657</v>
      </c>
      <c r="C527" s="27">
        <v>46211</v>
      </c>
      <c r="D527">
        <v>20</v>
      </c>
      <c r="E527" t="s">
        <v>3173</v>
      </c>
      <c r="F527">
        <v>2</v>
      </c>
      <c r="G527" t="b">
        <v>1</v>
      </c>
      <c r="H527" t="s">
        <v>3205</v>
      </c>
      <c r="I527">
        <v>94.875199999999992</v>
      </c>
      <c r="J527" t="s">
        <v>3206</v>
      </c>
      <c r="K527" t="s">
        <v>3182</v>
      </c>
    </row>
    <row r="528" spans="1:11" x14ac:dyDescent="0.25">
      <c r="A528">
        <v>188</v>
      </c>
      <c r="B528" s="26">
        <v>46211.791666666657</v>
      </c>
      <c r="C528" s="27">
        <v>46211</v>
      </c>
      <c r="D528">
        <v>20</v>
      </c>
      <c r="E528" t="s">
        <v>3173</v>
      </c>
      <c r="F528">
        <v>2</v>
      </c>
      <c r="G528" t="b">
        <v>1</v>
      </c>
      <c r="H528" t="s">
        <v>3207</v>
      </c>
      <c r="I528">
        <v>154.37441999999999</v>
      </c>
      <c r="J528" t="s">
        <v>3208</v>
      </c>
      <c r="K528" t="s">
        <v>3182</v>
      </c>
    </row>
    <row r="529" spans="1:11" x14ac:dyDescent="0.25">
      <c r="A529">
        <v>188</v>
      </c>
      <c r="B529" s="26">
        <v>46211.791666666657</v>
      </c>
      <c r="C529" s="27">
        <v>46211</v>
      </c>
      <c r="D529">
        <v>20</v>
      </c>
      <c r="E529" t="s">
        <v>3173</v>
      </c>
      <c r="F529">
        <v>2</v>
      </c>
      <c r="G529" t="b">
        <v>1</v>
      </c>
      <c r="H529" t="s">
        <v>3209</v>
      </c>
      <c r="I529">
        <v>12.61998</v>
      </c>
      <c r="J529" t="s">
        <v>3210</v>
      </c>
      <c r="K529" t="s">
        <v>3182</v>
      </c>
    </row>
    <row r="530" spans="1:11" x14ac:dyDescent="0.25">
      <c r="A530">
        <v>188</v>
      </c>
      <c r="B530" s="26">
        <v>46211.791666666657</v>
      </c>
      <c r="C530" s="27">
        <v>46211</v>
      </c>
      <c r="D530">
        <v>20</v>
      </c>
      <c r="E530" t="s">
        <v>3173</v>
      </c>
      <c r="F530">
        <v>2</v>
      </c>
      <c r="G530" t="b">
        <v>1</v>
      </c>
      <c r="H530" t="s">
        <v>3211</v>
      </c>
      <c r="I530">
        <v>0.995</v>
      </c>
      <c r="J530" t="s">
        <v>3212</v>
      </c>
      <c r="K530" t="s">
        <v>3182</v>
      </c>
    </row>
    <row r="531" spans="1:11" x14ac:dyDescent="0.25">
      <c r="A531">
        <v>188</v>
      </c>
      <c r="B531" s="26">
        <v>46211.791666666657</v>
      </c>
      <c r="C531" s="27">
        <v>46211</v>
      </c>
      <c r="D531">
        <v>20</v>
      </c>
      <c r="E531" t="s">
        <v>3173</v>
      </c>
      <c r="F531">
        <v>2</v>
      </c>
      <c r="G531" t="b">
        <v>1</v>
      </c>
      <c r="H531" t="s">
        <v>3213</v>
      </c>
      <c r="I531">
        <v>635.44988999999998</v>
      </c>
      <c r="J531" t="s">
        <v>3214</v>
      </c>
      <c r="K531" t="s">
        <v>3182</v>
      </c>
    </row>
    <row r="532" spans="1:11" x14ac:dyDescent="0.25">
      <c r="A532">
        <v>188</v>
      </c>
      <c r="B532" s="26">
        <v>46211.791666666657</v>
      </c>
      <c r="C532" s="27">
        <v>46211</v>
      </c>
      <c r="D532">
        <v>20</v>
      </c>
      <c r="E532" t="s">
        <v>3173</v>
      </c>
      <c r="F532">
        <v>2</v>
      </c>
      <c r="G532" t="b">
        <v>1</v>
      </c>
      <c r="H532" t="s">
        <v>3215</v>
      </c>
      <c r="I532">
        <v>284.14722</v>
      </c>
      <c r="J532" t="s">
        <v>3216</v>
      </c>
      <c r="K532" t="s">
        <v>3182</v>
      </c>
    </row>
    <row r="533" spans="1:11" x14ac:dyDescent="0.25">
      <c r="A533">
        <v>188</v>
      </c>
      <c r="B533" s="26">
        <v>46211.791666666657</v>
      </c>
      <c r="C533" s="27">
        <v>46211</v>
      </c>
      <c r="D533">
        <v>20</v>
      </c>
      <c r="E533" t="s">
        <v>3173</v>
      </c>
      <c r="F533">
        <v>2</v>
      </c>
      <c r="G533" t="b">
        <v>1</v>
      </c>
      <c r="H533" t="s">
        <v>3217</v>
      </c>
      <c r="I533">
        <v>2358.4423400000001</v>
      </c>
      <c r="J533" t="s">
        <v>197</v>
      </c>
      <c r="K533" t="s">
        <v>3182</v>
      </c>
    </row>
    <row r="534" spans="1:11" x14ac:dyDescent="0.25">
      <c r="A534">
        <v>188</v>
      </c>
      <c r="B534" s="26">
        <v>46211.791666666657</v>
      </c>
      <c r="C534" s="27">
        <v>46211</v>
      </c>
      <c r="D534">
        <v>20</v>
      </c>
      <c r="E534" t="s">
        <v>3173</v>
      </c>
      <c r="F534">
        <v>2</v>
      </c>
      <c r="G534" t="b">
        <v>1</v>
      </c>
      <c r="H534" t="s">
        <v>3218</v>
      </c>
      <c r="I534">
        <v>46.462300000000013</v>
      </c>
      <c r="J534" t="s">
        <v>3219</v>
      </c>
      <c r="K534" t="s">
        <v>3182</v>
      </c>
    </row>
    <row r="535" spans="1:11" x14ac:dyDescent="0.25">
      <c r="A535">
        <v>188</v>
      </c>
      <c r="B535" s="26">
        <v>46211.791666666657</v>
      </c>
      <c r="C535" s="27">
        <v>46211</v>
      </c>
      <c r="D535">
        <v>20</v>
      </c>
      <c r="E535" t="s">
        <v>3173</v>
      </c>
      <c r="F535">
        <v>2</v>
      </c>
      <c r="G535" t="b">
        <v>1</v>
      </c>
      <c r="H535" t="s">
        <v>3220</v>
      </c>
      <c r="I535">
        <v>1709.2622100000001</v>
      </c>
      <c r="J535" t="s">
        <v>198</v>
      </c>
      <c r="K535" t="s">
        <v>3182</v>
      </c>
    </row>
    <row r="536" spans="1:11" x14ac:dyDescent="0.25">
      <c r="A536">
        <v>188</v>
      </c>
      <c r="B536" s="26">
        <v>46211.791666666657</v>
      </c>
      <c r="C536" s="27">
        <v>46211</v>
      </c>
      <c r="D536">
        <v>20</v>
      </c>
      <c r="E536" t="s">
        <v>3173</v>
      </c>
      <c r="F536">
        <v>2</v>
      </c>
      <c r="G536" t="b">
        <v>1</v>
      </c>
      <c r="H536" t="s">
        <v>3221</v>
      </c>
      <c r="I536">
        <v>737.08855000000005</v>
      </c>
      <c r="J536" t="s">
        <v>20</v>
      </c>
      <c r="K536" t="s">
        <v>3182</v>
      </c>
    </row>
    <row r="537" spans="1:11" x14ac:dyDescent="0.25">
      <c r="A537">
        <v>188</v>
      </c>
      <c r="B537" s="26">
        <v>46211.791666666657</v>
      </c>
      <c r="C537" s="27">
        <v>46211</v>
      </c>
      <c r="D537">
        <v>20</v>
      </c>
      <c r="E537" t="s">
        <v>3173</v>
      </c>
      <c r="F537">
        <v>2</v>
      </c>
      <c r="G537" t="b">
        <v>1</v>
      </c>
      <c r="H537" t="s">
        <v>3222</v>
      </c>
      <c r="I537">
        <v>18.307860000000002</v>
      </c>
      <c r="J537" t="s">
        <v>3223</v>
      </c>
      <c r="K537" t="s">
        <v>3182</v>
      </c>
    </row>
    <row r="538" spans="1:11" x14ac:dyDescent="0.25">
      <c r="A538">
        <v>188</v>
      </c>
      <c r="B538" s="26">
        <v>46211.791666666657</v>
      </c>
      <c r="C538" s="27">
        <v>46211</v>
      </c>
      <c r="D538">
        <v>20</v>
      </c>
      <c r="E538" t="s">
        <v>3173</v>
      </c>
      <c r="F538">
        <v>2</v>
      </c>
      <c r="G538" t="b">
        <v>1</v>
      </c>
      <c r="H538" t="s">
        <v>3224</v>
      </c>
      <c r="I538">
        <v>498.19513000000001</v>
      </c>
      <c r="J538" t="s">
        <v>3225</v>
      </c>
      <c r="K538" t="s">
        <v>3182</v>
      </c>
    </row>
    <row r="539" spans="1:11" x14ac:dyDescent="0.25">
      <c r="A539">
        <v>188</v>
      </c>
      <c r="B539" s="26">
        <v>46211.791666666657</v>
      </c>
      <c r="C539" s="27">
        <v>46211</v>
      </c>
      <c r="D539">
        <v>20</v>
      </c>
      <c r="E539" t="s">
        <v>3173</v>
      </c>
      <c r="F539">
        <v>2</v>
      </c>
      <c r="G539" t="b">
        <v>1</v>
      </c>
      <c r="H539" t="s">
        <v>3226</v>
      </c>
      <c r="I539">
        <v>2.5905499999999999</v>
      </c>
      <c r="J539" t="s">
        <v>3227</v>
      </c>
      <c r="K539" t="s">
        <v>3182</v>
      </c>
    </row>
    <row r="540" spans="1:11" x14ac:dyDescent="0.25">
      <c r="A540">
        <v>188</v>
      </c>
      <c r="B540" s="26">
        <v>46211.791666666657</v>
      </c>
      <c r="C540" s="27">
        <v>46211</v>
      </c>
      <c r="D540">
        <v>20</v>
      </c>
      <c r="E540" t="s">
        <v>3173</v>
      </c>
      <c r="F540">
        <v>2</v>
      </c>
      <c r="G540" t="b">
        <v>1</v>
      </c>
      <c r="H540" t="s">
        <v>3228</v>
      </c>
      <c r="I540">
        <v>195.15844999999999</v>
      </c>
      <c r="J540" t="s">
        <v>3229</v>
      </c>
      <c r="K540" t="s">
        <v>3182</v>
      </c>
    </row>
    <row r="541" spans="1:11" x14ac:dyDescent="0.25">
      <c r="A541">
        <v>188</v>
      </c>
      <c r="B541" s="26">
        <v>46211.791666666657</v>
      </c>
      <c r="C541" s="27">
        <v>46211</v>
      </c>
      <c r="D541">
        <v>20</v>
      </c>
      <c r="E541" t="s">
        <v>3173</v>
      </c>
      <c r="F541">
        <v>2</v>
      </c>
      <c r="G541" t="b">
        <v>1</v>
      </c>
      <c r="H541" t="s">
        <v>3230</v>
      </c>
      <c r="I541">
        <v>2.6781199999999998</v>
      </c>
      <c r="J541" t="s">
        <v>3231</v>
      </c>
      <c r="K541" t="s">
        <v>3182</v>
      </c>
    </row>
    <row r="542" spans="1:11" x14ac:dyDescent="0.25">
      <c r="A542">
        <v>189</v>
      </c>
      <c r="B542" s="26">
        <v>46211.833333333343</v>
      </c>
      <c r="C542" s="27">
        <v>46211</v>
      </c>
      <c r="D542">
        <v>21</v>
      </c>
      <c r="E542" t="s">
        <v>3173</v>
      </c>
      <c r="F542">
        <v>2</v>
      </c>
      <c r="G542" t="b">
        <v>1</v>
      </c>
      <c r="H542" t="s">
        <v>3180</v>
      </c>
      <c r="I542">
        <v>82.721429999999998</v>
      </c>
      <c r="J542" t="s">
        <v>3181</v>
      </c>
      <c r="K542" t="s">
        <v>3182</v>
      </c>
    </row>
    <row r="543" spans="1:11" x14ac:dyDescent="0.25">
      <c r="A543">
        <v>189</v>
      </c>
      <c r="B543" s="26">
        <v>46211.833333333343</v>
      </c>
      <c r="C543" s="27">
        <v>46211</v>
      </c>
      <c r="D543">
        <v>21</v>
      </c>
      <c r="E543" t="s">
        <v>3173</v>
      </c>
      <c r="F543">
        <v>2</v>
      </c>
      <c r="G543" t="b">
        <v>1</v>
      </c>
      <c r="H543" t="s">
        <v>3183</v>
      </c>
      <c r="I543">
        <v>133.56682000000001</v>
      </c>
      <c r="J543" t="s">
        <v>3184</v>
      </c>
      <c r="K543" t="s">
        <v>3182</v>
      </c>
    </row>
    <row r="544" spans="1:11" x14ac:dyDescent="0.25">
      <c r="A544">
        <v>189</v>
      </c>
      <c r="B544" s="26">
        <v>46211.833333333343</v>
      </c>
      <c r="C544" s="27">
        <v>46211</v>
      </c>
      <c r="D544">
        <v>21</v>
      </c>
      <c r="E544" t="s">
        <v>3173</v>
      </c>
      <c r="F544">
        <v>2</v>
      </c>
      <c r="G544" t="b">
        <v>1</v>
      </c>
      <c r="H544" t="s">
        <v>3185</v>
      </c>
      <c r="I544">
        <v>161.44199</v>
      </c>
      <c r="J544" t="s">
        <v>3186</v>
      </c>
      <c r="K544" t="s">
        <v>3182</v>
      </c>
    </row>
    <row r="545" spans="1:11" x14ac:dyDescent="0.25">
      <c r="A545">
        <v>189</v>
      </c>
      <c r="B545" s="26">
        <v>46211.833333333343</v>
      </c>
      <c r="C545" s="27">
        <v>46211</v>
      </c>
      <c r="D545">
        <v>21</v>
      </c>
      <c r="E545" t="s">
        <v>3173</v>
      </c>
      <c r="F545">
        <v>2</v>
      </c>
      <c r="G545" t="b">
        <v>1</v>
      </c>
      <c r="H545" t="s">
        <v>3187</v>
      </c>
      <c r="I545">
        <v>36.154290000000003</v>
      </c>
      <c r="J545" t="s">
        <v>3188</v>
      </c>
      <c r="K545" t="s">
        <v>3182</v>
      </c>
    </row>
    <row r="546" spans="1:11" x14ac:dyDescent="0.25">
      <c r="A546">
        <v>189</v>
      </c>
      <c r="B546" s="26">
        <v>46211.833333333343</v>
      </c>
      <c r="C546" s="27">
        <v>46211</v>
      </c>
      <c r="D546">
        <v>21</v>
      </c>
      <c r="E546" t="s">
        <v>3173</v>
      </c>
      <c r="F546">
        <v>2</v>
      </c>
      <c r="G546" t="b">
        <v>1</v>
      </c>
      <c r="H546" t="s">
        <v>3189</v>
      </c>
      <c r="I546">
        <v>259.73712999999998</v>
      </c>
      <c r="J546" t="s">
        <v>3190</v>
      </c>
      <c r="K546" t="s">
        <v>3182</v>
      </c>
    </row>
    <row r="547" spans="1:11" x14ac:dyDescent="0.25">
      <c r="A547">
        <v>189</v>
      </c>
      <c r="B547" s="26">
        <v>46211.833333333343</v>
      </c>
      <c r="C547" s="27">
        <v>46211</v>
      </c>
      <c r="D547">
        <v>21</v>
      </c>
      <c r="E547" t="s">
        <v>3173</v>
      </c>
      <c r="F547">
        <v>2</v>
      </c>
      <c r="G547" t="b">
        <v>1</v>
      </c>
      <c r="H547" t="s">
        <v>3191</v>
      </c>
      <c r="I547">
        <v>1647.5668700000001</v>
      </c>
      <c r="J547" t="s">
        <v>3192</v>
      </c>
      <c r="K547" t="s">
        <v>3182</v>
      </c>
    </row>
    <row r="548" spans="1:11" x14ac:dyDescent="0.25">
      <c r="A548">
        <v>189</v>
      </c>
      <c r="B548" s="26">
        <v>46211.833333333343</v>
      </c>
      <c r="C548" s="27">
        <v>46211</v>
      </c>
      <c r="D548">
        <v>21</v>
      </c>
      <c r="E548" t="s">
        <v>3173</v>
      </c>
      <c r="F548">
        <v>2</v>
      </c>
      <c r="G548" t="b">
        <v>1</v>
      </c>
      <c r="H548" t="s">
        <v>3193</v>
      </c>
      <c r="I548">
        <v>323.22715000000011</v>
      </c>
      <c r="J548" t="s">
        <v>3194</v>
      </c>
      <c r="K548" t="s">
        <v>3182</v>
      </c>
    </row>
    <row r="549" spans="1:11" x14ac:dyDescent="0.25">
      <c r="A549">
        <v>189</v>
      </c>
      <c r="B549" s="26">
        <v>46211.833333333343</v>
      </c>
      <c r="C549" s="27">
        <v>46211</v>
      </c>
      <c r="D549">
        <v>21</v>
      </c>
      <c r="E549" t="s">
        <v>3173</v>
      </c>
      <c r="F549">
        <v>2</v>
      </c>
      <c r="G549" t="b">
        <v>1</v>
      </c>
      <c r="H549" t="s">
        <v>3195</v>
      </c>
      <c r="I549">
        <v>42.964570000000002</v>
      </c>
      <c r="J549" t="s">
        <v>3196</v>
      </c>
      <c r="K549" t="s">
        <v>3182</v>
      </c>
    </row>
    <row r="550" spans="1:11" x14ac:dyDescent="0.25">
      <c r="A550">
        <v>189</v>
      </c>
      <c r="B550" s="26">
        <v>46211.833333333343</v>
      </c>
      <c r="C550" s="27">
        <v>46211</v>
      </c>
      <c r="D550">
        <v>21</v>
      </c>
      <c r="E550" t="s">
        <v>3173</v>
      </c>
      <c r="F550">
        <v>2</v>
      </c>
      <c r="G550" t="b">
        <v>1</v>
      </c>
      <c r="H550" t="s">
        <v>3197</v>
      </c>
      <c r="I550">
        <v>1621.4731300000001</v>
      </c>
      <c r="J550" t="s">
        <v>3198</v>
      </c>
      <c r="K550" t="s">
        <v>3182</v>
      </c>
    </row>
    <row r="551" spans="1:11" x14ac:dyDescent="0.25">
      <c r="A551">
        <v>189</v>
      </c>
      <c r="B551" s="26">
        <v>46211.833333333343</v>
      </c>
      <c r="C551" s="27">
        <v>46211</v>
      </c>
      <c r="D551">
        <v>21</v>
      </c>
      <c r="E551" t="s">
        <v>3173</v>
      </c>
      <c r="F551">
        <v>2</v>
      </c>
      <c r="G551" t="b">
        <v>1</v>
      </c>
      <c r="H551" t="s">
        <v>3199</v>
      </c>
      <c r="I551">
        <v>12.41323</v>
      </c>
      <c r="J551" t="s">
        <v>3200</v>
      </c>
      <c r="K551" t="s">
        <v>3182</v>
      </c>
    </row>
    <row r="552" spans="1:11" x14ac:dyDescent="0.25">
      <c r="A552">
        <v>189</v>
      </c>
      <c r="B552" s="26">
        <v>46211.833333333343</v>
      </c>
      <c r="C552" s="27">
        <v>46211</v>
      </c>
      <c r="D552">
        <v>21</v>
      </c>
      <c r="E552" t="s">
        <v>3173</v>
      </c>
      <c r="F552">
        <v>2</v>
      </c>
      <c r="G552" t="b">
        <v>1</v>
      </c>
      <c r="H552" t="s">
        <v>3201</v>
      </c>
      <c r="I552">
        <v>253.88256000000001</v>
      </c>
      <c r="J552" t="s">
        <v>3202</v>
      </c>
      <c r="K552" t="s">
        <v>3182</v>
      </c>
    </row>
    <row r="553" spans="1:11" x14ac:dyDescent="0.25">
      <c r="A553">
        <v>189</v>
      </c>
      <c r="B553" s="26">
        <v>46211.833333333343</v>
      </c>
      <c r="C553" s="27">
        <v>46211</v>
      </c>
      <c r="D553">
        <v>21</v>
      </c>
      <c r="E553" t="s">
        <v>3173</v>
      </c>
      <c r="F553">
        <v>2</v>
      </c>
      <c r="G553" t="b">
        <v>1</v>
      </c>
      <c r="H553" t="s">
        <v>3203</v>
      </c>
      <c r="I553">
        <v>45.844459999999998</v>
      </c>
      <c r="J553" t="s">
        <v>3204</v>
      </c>
      <c r="K553" t="s">
        <v>3182</v>
      </c>
    </row>
    <row r="554" spans="1:11" x14ac:dyDescent="0.25">
      <c r="A554">
        <v>189</v>
      </c>
      <c r="B554" s="26">
        <v>46211.833333333343</v>
      </c>
      <c r="C554" s="27">
        <v>46211</v>
      </c>
      <c r="D554">
        <v>21</v>
      </c>
      <c r="E554" t="s">
        <v>3173</v>
      </c>
      <c r="F554">
        <v>2</v>
      </c>
      <c r="G554" t="b">
        <v>1</v>
      </c>
      <c r="H554" t="s">
        <v>3205</v>
      </c>
      <c r="I554">
        <v>89.976339999999993</v>
      </c>
      <c r="J554" t="s">
        <v>3206</v>
      </c>
      <c r="K554" t="s">
        <v>3182</v>
      </c>
    </row>
    <row r="555" spans="1:11" x14ac:dyDescent="0.25">
      <c r="A555">
        <v>189</v>
      </c>
      <c r="B555" s="26">
        <v>46211.833333333343</v>
      </c>
      <c r="C555" s="27">
        <v>46211</v>
      </c>
      <c r="D555">
        <v>21</v>
      </c>
      <c r="E555" t="s">
        <v>3173</v>
      </c>
      <c r="F555">
        <v>2</v>
      </c>
      <c r="G555" t="b">
        <v>1</v>
      </c>
      <c r="H555" t="s">
        <v>3207</v>
      </c>
      <c r="I555">
        <v>145.30203</v>
      </c>
      <c r="J555" t="s">
        <v>3208</v>
      </c>
      <c r="K555" t="s">
        <v>3182</v>
      </c>
    </row>
    <row r="556" spans="1:11" x14ac:dyDescent="0.25">
      <c r="A556">
        <v>189</v>
      </c>
      <c r="B556" s="26">
        <v>46211.833333333343</v>
      </c>
      <c r="C556" s="27">
        <v>46211</v>
      </c>
      <c r="D556">
        <v>21</v>
      </c>
      <c r="E556" t="s">
        <v>3173</v>
      </c>
      <c r="F556">
        <v>2</v>
      </c>
      <c r="G556" t="b">
        <v>1</v>
      </c>
      <c r="H556" t="s">
        <v>3209</v>
      </c>
      <c r="I556">
        <v>11.98898</v>
      </c>
      <c r="J556" t="s">
        <v>3210</v>
      </c>
      <c r="K556" t="s">
        <v>3182</v>
      </c>
    </row>
    <row r="557" spans="1:11" x14ac:dyDescent="0.25">
      <c r="A557">
        <v>189</v>
      </c>
      <c r="B557" s="26">
        <v>46211.833333333343</v>
      </c>
      <c r="C557" s="27">
        <v>46211</v>
      </c>
      <c r="D557">
        <v>21</v>
      </c>
      <c r="E557" t="s">
        <v>3173</v>
      </c>
      <c r="F557">
        <v>2</v>
      </c>
      <c r="G557" t="b">
        <v>1</v>
      </c>
      <c r="H557" t="s">
        <v>3211</v>
      </c>
      <c r="I557">
        <v>0.92900000000000005</v>
      </c>
      <c r="J557" t="s">
        <v>3212</v>
      </c>
      <c r="K557" t="s">
        <v>3182</v>
      </c>
    </row>
    <row r="558" spans="1:11" x14ac:dyDescent="0.25">
      <c r="A558">
        <v>189</v>
      </c>
      <c r="B558" s="26">
        <v>46211.833333333343</v>
      </c>
      <c r="C558" s="27">
        <v>46211</v>
      </c>
      <c r="D558">
        <v>21</v>
      </c>
      <c r="E558" t="s">
        <v>3173</v>
      </c>
      <c r="F558">
        <v>2</v>
      </c>
      <c r="G558" t="b">
        <v>1</v>
      </c>
      <c r="H558" t="s">
        <v>3213</v>
      </c>
      <c r="I558">
        <v>600.18315000000007</v>
      </c>
      <c r="J558" t="s">
        <v>3214</v>
      </c>
      <c r="K558" t="s">
        <v>3182</v>
      </c>
    </row>
    <row r="559" spans="1:11" x14ac:dyDescent="0.25">
      <c r="A559">
        <v>189</v>
      </c>
      <c r="B559" s="26">
        <v>46211.833333333343</v>
      </c>
      <c r="C559" s="27">
        <v>46211</v>
      </c>
      <c r="D559">
        <v>21</v>
      </c>
      <c r="E559" t="s">
        <v>3173</v>
      </c>
      <c r="F559">
        <v>2</v>
      </c>
      <c r="G559" t="b">
        <v>1</v>
      </c>
      <c r="H559" t="s">
        <v>3215</v>
      </c>
      <c r="I559">
        <v>277.67687999999998</v>
      </c>
      <c r="J559" t="s">
        <v>3216</v>
      </c>
      <c r="K559" t="s">
        <v>3182</v>
      </c>
    </row>
    <row r="560" spans="1:11" x14ac:dyDescent="0.25">
      <c r="A560">
        <v>189</v>
      </c>
      <c r="B560" s="26">
        <v>46211.833333333343</v>
      </c>
      <c r="C560" s="27">
        <v>46211</v>
      </c>
      <c r="D560">
        <v>21</v>
      </c>
      <c r="E560" t="s">
        <v>3173</v>
      </c>
      <c r="F560">
        <v>2</v>
      </c>
      <c r="G560" t="b">
        <v>1</v>
      </c>
      <c r="H560" t="s">
        <v>3217</v>
      </c>
      <c r="I560">
        <v>2250.7748299999998</v>
      </c>
      <c r="J560" t="s">
        <v>197</v>
      </c>
      <c r="K560" t="s">
        <v>3182</v>
      </c>
    </row>
    <row r="561" spans="1:11" x14ac:dyDescent="0.25">
      <c r="A561">
        <v>189</v>
      </c>
      <c r="B561" s="26">
        <v>46211.833333333343</v>
      </c>
      <c r="C561" s="27">
        <v>46211</v>
      </c>
      <c r="D561">
        <v>21</v>
      </c>
      <c r="E561" t="s">
        <v>3173</v>
      </c>
      <c r="F561">
        <v>2</v>
      </c>
      <c r="G561" t="b">
        <v>1</v>
      </c>
      <c r="H561" t="s">
        <v>3218</v>
      </c>
      <c r="I561">
        <v>46.795000000000002</v>
      </c>
      <c r="J561" t="s">
        <v>3219</v>
      </c>
      <c r="K561" t="s">
        <v>3182</v>
      </c>
    </row>
    <row r="562" spans="1:11" x14ac:dyDescent="0.25">
      <c r="A562">
        <v>189</v>
      </c>
      <c r="B562" s="26">
        <v>46211.833333333343</v>
      </c>
      <c r="C562" s="27">
        <v>46211</v>
      </c>
      <c r="D562">
        <v>21</v>
      </c>
      <c r="E562" t="s">
        <v>3173</v>
      </c>
      <c r="F562">
        <v>2</v>
      </c>
      <c r="G562" t="b">
        <v>1</v>
      </c>
      <c r="H562" t="s">
        <v>3220</v>
      </c>
      <c r="I562">
        <v>1642.1567399999999</v>
      </c>
      <c r="J562" t="s">
        <v>198</v>
      </c>
      <c r="K562" t="s">
        <v>3182</v>
      </c>
    </row>
    <row r="563" spans="1:11" x14ac:dyDescent="0.25">
      <c r="A563">
        <v>189</v>
      </c>
      <c r="B563" s="26">
        <v>46211.833333333343</v>
      </c>
      <c r="C563" s="27">
        <v>46211</v>
      </c>
      <c r="D563">
        <v>21</v>
      </c>
      <c r="E563" t="s">
        <v>3173</v>
      </c>
      <c r="F563">
        <v>2</v>
      </c>
      <c r="G563" t="b">
        <v>1</v>
      </c>
      <c r="H563" t="s">
        <v>3221</v>
      </c>
      <c r="I563">
        <v>713.34303</v>
      </c>
      <c r="J563" t="s">
        <v>20</v>
      </c>
      <c r="K563" t="s">
        <v>3182</v>
      </c>
    </row>
    <row r="564" spans="1:11" x14ac:dyDescent="0.25">
      <c r="A564">
        <v>189</v>
      </c>
      <c r="B564" s="26">
        <v>46211.833333333343</v>
      </c>
      <c r="C564" s="27">
        <v>46211</v>
      </c>
      <c r="D564">
        <v>21</v>
      </c>
      <c r="E564" t="s">
        <v>3173</v>
      </c>
      <c r="F564">
        <v>2</v>
      </c>
      <c r="G564" t="b">
        <v>1</v>
      </c>
      <c r="H564" t="s">
        <v>3222</v>
      </c>
      <c r="I564">
        <v>17.234690000000001</v>
      </c>
      <c r="J564" t="s">
        <v>3223</v>
      </c>
      <c r="K564" t="s">
        <v>3182</v>
      </c>
    </row>
    <row r="565" spans="1:11" x14ac:dyDescent="0.25">
      <c r="A565">
        <v>189</v>
      </c>
      <c r="B565" s="26">
        <v>46211.833333333343</v>
      </c>
      <c r="C565" s="27">
        <v>46211</v>
      </c>
      <c r="D565">
        <v>21</v>
      </c>
      <c r="E565" t="s">
        <v>3173</v>
      </c>
      <c r="F565">
        <v>2</v>
      </c>
      <c r="G565" t="b">
        <v>1</v>
      </c>
      <c r="H565" t="s">
        <v>3224</v>
      </c>
      <c r="I565">
        <v>486.12833999999998</v>
      </c>
      <c r="J565" t="s">
        <v>3225</v>
      </c>
      <c r="K565" t="s">
        <v>3182</v>
      </c>
    </row>
    <row r="566" spans="1:11" x14ac:dyDescent="0.25">
      <c r="A566">
        <v>189</v>
      </c>
      <c r="B566" s="26">
        <v>46211.833333333343</v>
      </c>
      <c r="C566" s="27">
        <v>46211</v>
      </c>
      <c r="D566">
        <v>21</v>
      </c>
      <c r="E566" t="s">
        <v>3173</v>
      </c>
      <c r="F566">
        <v>2</v>
      </c>
      <c r="G566" t="b">
        <v>1</v>
      </c>
      <c r="H566" t="s">
        <v>3226</v>
      </c>
      <c r="I566">
        <v>2.3595899999999999</v>
      </c>
      <c r="J566" t="s">
        <v>3227</v>
      </c>
      <c r="K566" t="s">
        <v>3182</v>
      </c>
    </row>
    <row r="567" spans="1:11" x14ac:dyDescent="0.25">
      <c r="A567">
        <v>189</v>
      </c>
      <c r="B567" s="26">
        <v>46211.833333333343</v>
      </c>
      <c r="C567" s="27">
        <v>46211</v>
      </c>
      <c r="D567">
        <v>21</v>
      </c>
      <c r="E567" t="s">
        <v>3173</v>
      </c>
      <c r="F567">
        <v>2</v>
      </c>
      <c r="G567" t="b">
        <v>1</v>
      </c>
      <c r="H567" t="s">
        <v>3228</v>
      </c>
      <c r="I567">
        <v>176.39896999999999</v>
      </c>
      <c r="J567" t="s">
        <v>3229</v>
      </c>
      <c r="K567" t="s">
        <v>3182</v>
      </c>
    </row>
    <row r="568" spans="1:11" x14ac:dyDescent="0.25">
      <c r="A568">
        <v>189</v>
      </c>
      <c r="B568" s="26">
        <v>46211.833333333343</v>
      </c>
      <c r="C568" s="27">
        <v>46211</v>
      </c>
      <c r="D568">
        <v>21</v>
      </c>
      <c r="E568" t="s">
        <v>3173</v>
      </c>
      <c r="F568">
        <v>2</v>
      </c>
      <c r="G568" t="b">
        <v>1</v>
      </c>
      <c r="H568" t="s">
        <v>3230</v>
      </c>
      <c r="I568">
        <v>2.7511899999999998</v>
      </c>
      <c r="J568" t="s">
        <v>3231</v>
      </c>
      <c r="K568" t="s">
        <v>3182</v>
      </c>
    </row>
    <row r="569" spans="1:11" x14ac:dyDescent="0.25">
      <c r="A569">
        <v>190</v>
      </c>
      <c r="B569" s="26">
        <v>46211.875</v>
      </c>
      <c r="C569" s="27">
        <v>46211</v>
      </c>
      <c r="D569">
        <v>22</v>
      </c>
      <c r="E569" t="s">
        <v>3173</v>
      </c>
      <c r="F569">
        <v>2</v>
      </c>
      <c r="G569" t="b">
        <v>1</v>
      </c>
      <c r="H569" t="s">
        <v>3180</v>
      </c>
      <c r="I569">
        <v>78.600639999999999</v>
      </c>
      <c r="J569" t="s">
        <v>3181</v>
      </c>
      <c r="K569" t="s">
        <v>3182</v>
      </c>
    </row>
    <row r="570" spans="1:11" x14ac:dyDescent="0.25">
      <c r="A570">
        <v>190</v>
      </c>
      <c r="B570" s="26">
        <v>46211.875</v>
      </c>
      <c r="C570" s="27">
        <v>46211</v>
      </c>
      <c r="D570">
        <v>22</v>
      </c>
      <c r="E570" t="s">
        <v>3173</v>
      </c>
      <c r="F570">
        <v>2</v>
      </c>
      <c r="G570" t="b">
        <v>1</v>
      </c>
      <c r="H570" t="s">
        <v>3183</v>
      </c>
      <c r="I570">
        <v>118.93514999999999</v>
      </c>
      <c r="J570" t="s">
        <v>3184</v>
      </c>
      <c r="K570" t="s">
        <v>3182</v>
      </c>
    </row>
    <row r="571" spans="1:11" x14ac:dyDescent="0.25">
      <c r="A571">
        <v>190</v>
      </c>
      <c r="B571" s="26">
        <v>46211.875</v>
      </c>
      <c r="C571" s="27">
        <v>46211</v>
      </c>
      <c r="D571">
        <v>22</v>
      </c>
      <c r="E571" t="s">
        <v>3173</v>
      </c>
      <c r="F571">
        <v>2</v>
      </c>
      <c r="G571" t="b">
        <v>1</v>
      </c>
      <c r="H571" t="s">
        <v>3185</v>
      </c>
      <c r="I571">
        <v>147.81393</v>
      </c>
      <c r="J571" t="s">
        <v>3186</v>
      </c>
      <c r="K571" t="s">
        <v>3182</v>
      </c>
    </row>
    <row r="572" spans="1:11" x14ac:dyDescent="0.25">
      <c r="A572">
        <v>190</v>
      </c>
      <c r="B572" s="26">
        <v>46211.875</v>
      </c>
      <c r="C572" s="27">
        <v>46211</v>
      </c>
      <c r="D572">
        <v>22</v>
      </c>
      <c r="E572" t="s">
        <v>3173</v>
      </c>
      <c r="F572">
        <v>2</v>
      </c>
      <c r="G572" t="b">
        <v>1</v>
      </c>
      <c r="H572" t="s">
        <v>3187</v>
      </c>
      <c r="I572">
        <v>34.257730000000002</v>
      </c>
      <c r="J572" t="s">
        <v>3188</v>
      </c>
      <c r="K572" t="s">
        <v>3182</v>
      </c>
    </row>
    <row r="573" spans="1:11" x14ac:dyDescent="0.25">
      <c r="A573">
        <v>190</v>
      </c>
      <c r="B573" s="26">
        <v>46211.875</v>
      </c>
      <c r="C573" s="27">
        <v>46211</v>
      </c>
      <c r="D573">
        <v>22</v>
      </c>
      <c r="E573" t="s">
        <v>3173</v>
      </c>
      <c r="F573">
        <v>2</v>
      </c>
      <c r="G573" t="b">
        <v>1</v>
      </c>
      <c r="H573" t="s">
        <v>3189</v>
      </c>
      <c r="I573">
        <v>246.00574</v>
      </c>
      <c r="J573" t="s">
        <v>3190</v>
      </c>
      <c r="K573" t="s">
        <v>3182</v>
      </c>
    </row>
    <row r="574" spans="1:11" x14ac:dyDescent="0.25">
      <c r="A574">
        <v>190</v>
      </c>
      <c r="B574" s="26">
        <v>46211.875</v>
      </c>
      <c r="C574" s="27">
        <v>46211</v>
      </c>
      <c r="D574">
        <v>22</v>
      </c>
      <c r="E574" t="s">
        <v>3173</v>
      </c>
      <c r="F574">
        <v>2</v>
      </c>
      <c r="G574" t="b">
        <v>1</v>
      </c>
      <c r="H574" t="s">
        <v>3191</v>
      </c>
      <c r="I574">
        <v>1686.7990600000001</v>
      </c>
      <c r="J574" t="s">
        <v>3192</v>
      </c>
      <c r="K574" t="s">
        <v>3182</v>
      </c>
    </row>
    <row r="575" spans="1:11" x14ac:dyDescent="0.25">
      <c r="A575">
        <v>190</v>
      </c>
      <c r="B575" s="26">
        <v>46211.875</v>
      </c>
      <c r="C575" s="27">
        <v>46211</v>
      </c>
      <c r="D575">
        <v>22</v>
      </c>
      <c r="E575" t="s">
        <v>3173</v>
      </c>
      <c r="F575">
        <v>2</v>
      </c>
      <c r="G575" t="b">
        <v>1</v>
      </c>
      <c r="H575" t="s">
        <v>3193</v>
      </c>
      <c r="I575">
        <v>319.96345000000002</v>
      </c>
      <c r="J575" t="s">
        <v>3194</v>
      </c>
      <c r="K575" t="s">
        <v>3182</v>
      </c>
    </row>
    <row r="576" spans="1:11" x14ac:dyDescent="0.25">
      <c r="A576">
        <v>190</v>
      </c>
      <c r="B576" s="26">
        <v>46211.875</v>
      </c>
      <c r="C576" s="27">
        <v>46211</v>
      </c>
      <c r="D576">
        <v>22</v>
      </c>
      <c r="E576" t="s">
        <v>3173</v>
      </c>
      <c r="F576">
        <v>2</v>
      </c>
      <c r="G576" t="b">
        <v>1</v>
      </c>
      <c r="H576" t="s">
        <v>3195</v>
      </c>
      <c r="I576">
        <v>38.179490000000001</v>
      </c>
      <c r="J576" t="s">
        <v>3196</v>
      </c>
      <c r="K576" t="s">
        <v>3182</v>
      </c>
    </row>
    <row r="577" spans="1:11" x14ac:dyDescent="0.25">
      <c r="A577">
        <v>190</v>
      </c>
      <c r="B577" s="26">
        <v>46211.875</v>
      </c>
      <c r="C577" s="27">
        <v>46211</v>
      </c>
      <c r="D577">
        <v>22</v>
      </c>
      <c r="E577" t="s">
        <v>3173</v>
      </c>
      <c r="F577">
        <v>2</v>
      </c>
      <c r="G577" t="b">
        <v>1</v>
      </c>
      <c r="H577" t="s">
        <v>3197</v>
      </c>
      <c r="I577">
        <v>1641.1931999999999</v>
      </c>
      <c r="J577" t="s">
        <v>3198</v>
      </c>
      <c r="K577" t="s">
        <v>3182</v>
      </c>
    </row>
    <row r="578" spans="1:11" x14ac:dyDescent="0.25">
      <c r="A578">
        <v>190</v>
      </c>
      <c r="B578" s="26">
        <v>46211.875</v>
      </c>
      <c r="C578" s="27">
        <v>46211</v>
      </c>
      <c r="D578">
        <v>22</v>
      </c>
      <c r="E578" t="s">
        <v>3173</v>
      </c>
      <c r="F578">
        <v>2</v>
      </c>
      <c r="G578" t="b">
        <v>1</v>
      </c>
      <c r="H578" t="s">
        <v>3199</v>
      </c>
      <c r="I578">
        <v>11.16938</v>
      </c>
      <c r="J578" t="s">
        <v>3200</v>
      </c>
      <c r="K578" t="s">
        <v>3182</v>
      </c>
    </row>
    <row r="579" spans="1:11" x14ac:dyDescent="0.25">
      <c r="A579">
        <v>190</v>
      </c>
      <c r="B579" s="26">
        <v>46211.875</v>
      </c>
      <c r="C579" s="27">
        <v>46211</v>
      </c>
      <c r="D579">
        <v>22</v>
      </c>
      <c r="E579" t="s">
        <v>3173</v>
      </c>
      <c r="F579">
        <v>2</v>
      </c>
      <c r="G579" t="b">
        <v>1</v>
      </c>
      <c r="H579" t="s">
        <v>3201</v>
      </c>
      <c r="I579">
        <v>235.01378</v>
      </c>
      <c r="J579" t="s">
        <v>3202</v>
      </c>
      <c r="K579" t="s">
        <v>3182</v>
      </c>
    </row>
    <row r="580" spans="1:11" x14ac:dyDescent="0.25">
      <c r="A580">
        <v>190</v>
      </c>
      <c r="B580" s="26">
        <v>46211.875</v>
      </c>
      <c r="C580" s="27">
        <v>46211</v>
      </c>
      <c r="D580">
        <v>22</v>
      </c>
      <c r="E580" t="s">
        <v>3173</v>
      </c>
      <c r="F580">
        <v>2</v>
      </c>
      <c r="G580" t="b">
        <v>1</v>
      </c>
      <c r="H580" t="s">
        <v>3203</v>
      </c>
      <c r="I580">
        <v>43.775689999999997</v>
      </c>
      <c r="J580" t="s">
        <v>3204</v>
      </c>
      <c r="K580" t="s">
        <v>3182</v>
      </c>
    </row>
    <row r="581" spans="1:11" x14ac:dyDescent="0.25">
      <c r="A581">
        <v>190</v>
      </c>
      <c r="B581" s="26">
        <v>46211.875</v>
      </c>
      <c r="C581" s="27">
        <v>46211</v>
      </c>
      <c r="D581">
        <v>22</v>
      </c>
      <c r="E581" t="s">
        <v>3173</v>
      </c>
      <c r="F581">
        <v>2</v>
      </c>
      <c r="G581" t="b">
        <v>1</v>
      </c>
      <c r="H581" t="s">
        <v>3205</v>
      </c>
      <c r="I581">
        <v>82.25278999999999</v>
      </c>
      <c r="J581" t="s">
        <v>3206</v>
      </c>
      <c r="K581" t="s">
        <v>3182</v>
      </c>
    </row>
    <row r="582" spans="1:11" x14ac:dyDescent="0.25">
      <c r="A582">
        <v>190</v>
      </c>
      <c r="B582" s="26">
        <v>46211.875</v>
      </c>
      <c r="C582" s="27">
        <v>46211</v>
      </c>
      <c r="D582">
        <v>22</v>
      </c>
      <c r="E582" t="s">
        <v>3173</v>
      </c>
      <c r="F582">
        <v>2</v>
      </c>
      <c r="G582" t="b">
        <v>1</v>
      </c>
      <c r="H582" t="s">
        <v>3207</v>
      </c>
      <c r="I582">
        <v>134.41329999999999</v>
      </c>
      <c r="J582" t="s">
        <v>3208</v>
      </c>
      <c r="K582" t="s">
        <v>3182</v>
      </c>
    </row>
    <row r="583" spans="1:11" x14ac:dyDescent="0.25">
      <c r="A583">
        <v>190</v>
      </c>
      <c r="B583" s="26">
        <v>46211.875</v>
      </c>
      <c r="C583" s="27">
        <v>46211</v>
      </c>
      <c r="D583">
        <v>22</v>
      </c>
      <c r="E583" t="s">
        <v>3173</v>
      </c>
      <c r="F583">
        <v>2</v>
      </c>
      <c r="G583" t="b">
        <v>1</v>
      </c>
      <c r="H583" t="s">
        <v>3209</v>
      </c>
      <c r="I583">
        <v>11.13147</v>
      </c>
      <c r="J583" t="s">
        <v>3210</v>
      </c>
      <c r="K583" t="s">
        <v>3182</v>
      </c>
    </row>
    <row r="584" spans="1:11" x14ac:dyDescent="0.25">
      <c r="A584">
        <v>190</v>
      </c>
      <c r="B584" s="26">
        <v>46211.875</v>
      </c>
      <c r="C584" s="27">
        <v>46211</v>
      </c>
      <c r="D584">
        <v>22</v>
      </c>
      <c r="E584" t="s">
        <v>3173</v>
      </c>
      <c r="F584">
        <v>2</v>
      </c>
      <c r="G584" t="b">
        <v>1</v>
      </c>
      <c r="H584" t="s">
        <v>3211</v>
      </c>
      <c r="I584">
        <v>0.83299999999999996</v>
      </c>
      <c r="J584" t="s">
        <v>3212</v>
      </c>
      <c r="K584" t="s">
        <v>3182</v>
      </c>
    </row>
    <row r="585" spans="1:11" x14ac:dyDescent="0.25">
      <c r="A585">
        <v>190</v>
      </c>
      <c r="B585" s="26">
        <v>46211.875</v>
      </c>
      <c r="C585" s="27">
        <v>46211</v>
      </c>
      <c r="D585">
        <v>22</v>
      </c>
      <c r="E585" t="s">
        <v>3173</v>
      </c>
      <c r="F585">
        <v>2</v>
      </c>
      <c r="G585" t="b">
        <v>1</v>
      </c>
      <c r="H585" t="s">
        <v>3213</v>
      </c>
      <c r="I585">
        <v>571.97427000000005</v>
      </c>
      <c r="J585" t="s">
        <v>3214</v>
      </c>
      <c r="K585" t="s">
        <v>3182</v>
      </c>
    </row>
    <row r="586" spans="1:11" x14ac:dyDescent="0.25">
      <c r="A586">
        <v>190</v>
      </c>
      <c r="B586" s="26">
        <v>46211.875</v>
      </c>
      <c r="C586" s="27">
        <v>46211</v>
      </c>
      <c r="D586">
        <v>22</v>
      </c>
      <c r="E586" t="s">
        <v>3173</v>
      </c>
      <c r="F586">
        <v>2</v>
      </c>
      <c r="G586" t="b">
        <v>1</v>
      </c>
      <c r="H586" t="s">
        <v>3215</v>
      </c>
      <c r="I586">
        <v>263.59586999999999</v>
      </c>
      <c r="J586" t="s">
        <v>3216</v>
      </c>
      <c r="K586" t="s">
        <v>3182</v>
      </c>
    </row>
    <row r="587" spans="1:11" x14ac:dyDescent="0.25">
      <c r="A587">
        <v>190</v>
      </c>
      <c r="B587" s="26">
        <v>46211.875</v>
      </c>
      <c r="C587" s="27">
        <v>46211</v>
      </c>
      <c r="D587">
        <v>22</v>
      </c>
      <c r="E587" t="s">
        <v>3173</v>
      </c>
      <c r="F587">
        <v>2</v>
      </c>
      <c r="G587" t="b">
        <v>1</v>
      </c>
      <c r="H587" t="s">
        <v>3217</v>
      </c>
      <c r="I587">
        <v>2064.3271</v>
      </c>
      <c r="J587" t="s">
        <v>197</v>
      </c>
      <c r="K587" t="s">
        <v>3182</v>
      </c>
    </row>
    <row r="588" spans="1:11" x14ac:dyDescent="0.25">
      <c r="A588">
        <v>190</v>
      </c>
      <c r="B588" s="26">
        <v>46211.875</v>
      </c>
      <c r="C588" s="27">
        <v>46211</v>
      </c>
      <c r="D588">
        <v>22</v>
      </c>
      <c r="E588" t="s">
        <v>3173</v>
      </c>
      <c r="F588">
        <v>2</v>
      </c>
      <c r="G588" t="b">
        <v>1</v>
      </c>
      <c r="H588" t="s">
        <v>3218</v>
      </c>
      <c r="I588">
        <v>44.914990000000003</v>
      </c>
      <c r="J588" t="s">
        <v>3219</v>
      </c>
      <c r="K588" t="s">
        <v>3182</v>
      </c>
    </row>
    <row r="589" spans="1:11" x14ac:dyDescent="0.25">
      <c r="A589">
        <v>190</v>
      </c>
      <c r="B589" s="26">
        <v>46211.875</v>
      </c>
      <c r="C589" s="27">
        <v>46211</v>
      </c>
      <c r="D589">
        <v>22</v>
      </c>
      <c r="E589" t="s">
        <v>3173</v>
      </c>
      <c r="F589">
        <v>2</v>
      </c>
      <c r="G589" t="b">
        <v>1</v>
      </c>
      <c r="H589" t="s">
        <v>3220</v>
      </c>
      <c r="I589">
        <v>1530.0950700000001</v>
      </c>
      <c r="J589" t="s">
        <v>198</v>
      </c>
      <c r="K589" t="s">
        <v>3182</v>
      </c>
    </row>
    <row r="590" spans="1:11" x14ac:dyDescent="0.25">
      <c r="A590">
        <v>190</v>
      </c>
      <c r="B590" s="26">
        <v>46211.875</v>
      </c>
      <c r="C590" s="27">
        <v>46211</v>
      </c>
      <c r="D590">
        <v>22</v>
      </c>
      <c r="E590" t="s">
        <v>3173</v>
      </c>
      <c r="F590">
        <v>2</v>
      </c>
      <c r="G590" t="b">
        <v>1</v>
      </c>
      <c r="H590" t="s">
        <v>3221</v>
      </c>
      <c r="I590">
        <v>681.53327999999999</v>
      </c>
      <c r="J590" t="s">
        <v>20</v>
      </c>
      <c r="K590" t="s">
        <v>3182</v>
      </c>
    </row>
    <row r="591" spans="1:11" x14ac:dyDescent="0.25">
      <c r="A591">
        <v>190</v>
      </c>
      <c r="B591" s="26">
        <v>46211.875</v>
      </c>
      <c r="C591" s="27">
        <v>46211</v>
      </c>
      <c r="D591">
        <v>22</v>
      </c>
      <c r="E591" t="s">
        <v>3173</v>
      </c>
      <c r="F591">
        <v>2</v>
      </c>
      <c r="G591" t="b">
        <v>1</v>
      </c>
      <c r="H591" t="s">
        <v>3222</v>
      </c>
      <c r="I591">
        <v>15.974600000000001</v>
      </c>
      <c r="J591" t="s">
        <v>3223</v>
      </c>
      <c r="K591" t="s">
        <v>3182</v>
      </c>
    </row>
    <row r="592" spans="1:11" x14ac:dyDescent="0.25">
      <c r="A592">
        <v>190</v>
      </c>
      <c r="B592" s="26">
        <v>46211.875</v>
      </c>
      <c r="C592" s="27">
        <v>46211</v>
      </c>
      <c r="D592">
        <v>22</v>
      </c>
      <c r="E592" t="s">
        <v>3173</v>
      </c>
      <c r="F592">
        <v>2</v>
      </c>
      <c r="G592" t="b">
        <v>1</v>
      </c>
      <c r="H592" t="s">
        <v>3224</v>
      </c>
      <c r="I592">
        <v>463.41511000000003</v>
      </c>
      <c r="J592" t="s">
        <v>3225</v>
      </c>
      <c r="K592" t="s">
        <v>3182</v>
      </c>
    </row>
    <row r="593" spans="1:11" x14ac:dyDescent="0.25">
      <c r="A593">
        <v>190</v>
      </c>
      <c r="B593" s="26">
        <v>46211.875</v>
      </c>
      <c r="C593" s="27">
        <v>46211</v>
      </c>
      <c r="D593">
        <v>22</v>
      </c>
      <c r="E593" t="s">
        <v>3173</v>
      </c>
      <c r="F593">
        <v>2</v>
      </c>
      <c r="G593" t="b">
        <v>1</v>
      </c>
      <c r="H593" t="s">
        <v>3226</v>
      </c>
      <c r="I593">
        <v>2.08988</v>
      </c>
      <c r="J593" t="s">
        <v>3227</v>
      </c>
      <c r="K593" t="s">
        <v>3182</v>
      </c>
    </row>
    <row r="594" spans="1:11" x14ac:dyDescent="0.25">
      <c r="A594">
        <v>190</v>
      </c>
      <c r="B594" s="26">
        <v>46211.875</v>
      </c>
      <c r="C594" s="27">
        <v>46211</v>
      </c>
      <c r="D594">
        <v>22</v>
      </c>
      <c r="E594" t="s">
        <v>3173</v>
      </c>
      <c r="F594">
        <v>2</v>
      </c>
      <c r="G594" t="b">
        <v>1</v>
      </c>
      <c r="H594" t="s">
        <v>3228</v>
      </c>
      <c r="I594">
        <v>169.90866</v>
      </c>
      <c r="J594" t="s">
        <v>3229</v>
      </c>
      <c r="K594" t="s">
        <v>3182</v>
      </c>
    </row>
    <row r="595" spans="1:11" x14ac:dyDescent="0.25">
      <c r="A595">
        <v>190</v>
      </c>
      <c r="B595" s="26">
        <v>46211.875</v>
      </c>
      <c r="C595" s="27">
        <v>46211</v>
      </c>
      <c r="D595">
        <v>22</v>
      </c>
      <c r="E595" t="s">
        <v>3173</v>
      </c>
      <c r="F595">
        <v>2</v>
      </c>
      <c r="G595" t="b">
        <v>1</v>
      </c>
      <c r="H595" t="s">
        <v>3230</v>
      </c>
      <c r="I595">
        <v>2.8172999999999999</v>
      </c>
      <c r="J595" t="s">
        <v>3231</v>
      </c>
      <c r="K595" t="s">
        <v>3182</v>
      </c>
    </row>
    <row r="596" spans="1:11" x14ac:dyDescent="0.25">
      <c r="A596">
        <v>191</v>
      </c>
      <c r="B596" s="26">
        <v>46211.916666666657</v>
      </c>
      <c r="C596" s="27">
        <v>46211</v>
      </c>
      <c r="D596">
        <v>23</v>
      </c>
      <c r="E596" t="s">
        <v>3173</v>
      </c>
      <c r="F596">
        <v>2</v>
      </c>
      <c r="G596" t="b">
        <v>1</v>
      </c>
      <c r="H596" t="s">
        <v>3180</v>
      </c>
      <c r="I596">
        <v>73.329429999999988</v>
      </c>
      <c r="J596" t="s">
        <v>3181</v>
      </c>
      <c r="K596" t="s">
        <v>3182</v>
      </c>
    </row>
    <row r="597" spans="1:11" x14ac:dyDescent="0.25">
      <c r="A597">
        <v>191</v>
      </c>
      <c r="B597" s="26">
        <v>46211.916666666657</v>
      </c>
      <c r="C597" s="27">
        <v>46211</v>
      </c>
      <c r="D597">
        <v>23</v>
      </c>
      <c r="E597" t="s">
        <v>3173</v>
      </c>
      <c r="F597">
        <v>2</v>
      </c>
      <c r="G597" t="b">
        <v>1</v>
      </c>
      <c r="H597" t="s">
        <v>3183</v>
      </c>
      <c r="I597">
        <v>101.78775</v>
      </c>
      <c r="J597" t="s">
        <v>3184</v>
      </c>
      <c r="K597" t="s">
        <v>3182</v>
      </c>
    </row>
    <row r="598" spans="1:11" x14ac:dyDescent="0.25">
      <c r="A598">
        <v>191</v>
      </c>
      <c r="B598" s="26">
        <v>46211.916666666657</v>
      </c>
      <c r="C598" s="27">
        <v>46211</v>
      </c>
      <c r="D598">
        <v>23</v>
      </c>
      <c r="E598" t="s">
        <v>3173</v>
      </c>
      <c r="F598">
        <v>2</v>
      </c>
      <c r="G598" t="b">
        <v>1</v>
      </c>
      <c r="H598" t="s">
        <v>3185</v>
      </c>
      <c r="I598">
        <v>130.80735000000001</v>
      </c>
      <c r="J598" t="s">
        <v>3186</v>
      </c>
      <c r="K598" t="s">
        <v>3182</v>
      </c>
    </row>
    <row r="599" spans="1:11" x14ac:dyDescent="0.25">
      <c r="A599">
        <v>191</v>
      </c>
      <c r="B599" s="26">
        <v>46211.916666666657</v>
      </c>
      <c r="C599" s="27">
        <v>46211</v>
      </c>
      <c r="D599">
        <v>23</v>
      </c>
      <c r="E599" t="s">
        <v>3173</v>
      </c>
      <c r="F599">
        <v>2</v>
      </c>
      <c r="G599" t="b">
        <v>1</v>
      </c>
      <c r="H599" t="s">
        <v>3187</v>
      </c>
      <c r="I599">
        <v>31.654589999999999</v>
      </c>
      <c r="J599" t="s">
        <v>3188</v>
      </c>
      <c r="K599" t="s">
        <v>3182</v>
      </c>
    </row>
    <row r="600" spans="1:11" x14ac:dyDescent="0.25">
      <c r="A600">
        <v>191</v>
      </c>
      <c r="B600" s="26">
        <v>46211.916666666657</v>
      </c>
      <c r="C600" s="27">
        <v>46211</v>
      </c>
      <c r="D600">
        <v>23</v>
      </c>
      <c r="E600" t="s">
        <v>3173</v>
      </c>
      <c r="F600">
        <v>2</v>
      </c>
      <c r="G600" t="b">
        <v>1</v>
      </c>
      <c r="H600" t="s">
        <v>3189</v>
      </c>
      <c r="I600">
        <v>217.83496</v>
      </c>
      <c r="J600" t="s">
        <v>3190</v>
      </c>
      <c r="K600" t="s">
        <v>3182</v>
      </c>
    </row>
    <row r="601" spans="1:11" x14ac:dyDescent="0.25">
      <c r="A601">
        <v>191</v>
      </c>
      <c r="B601" s="26">
        <v>46211.916666666657</v>
      </c>
      <c r="C601" s="27">
        <v>46211</v>
      </c>
      <c r="D601">
        <v>23</v>
      </c>
      <c r="E601" t="s">
        <v>3173</v>
      </c>
      <c r="F601">
        <v>2</v>
      </c>
      <c r="G601" t="b">
        <v>1</v>
      </c>
      <c r="H601" t="s">
        <v>3191</v>
      </c>
      <c r="I601">
        <v>1667.3262199999999</v>
      </c>
      <c r="J601" t="s">
        <v>3192</v>
      </c>
      <c r="K601" t="s">
        <v>3182</v>
      </c>
    </row>
    <row r="602" spans="1:11" x14ac:dyDescent="0.25">
      <c r="A602">
        <v>191</v>
      </c>
      <c r="B602" s="26">
        <v>46211.916666666657</v>
      </c>
      <c r="C602" s="27">
        <v>46211</v>
      </c>
      <c r="D602">
        <v>23</v>
      </c>
      <c r="E602" t="s">
        <v>3173</v>
      </c>
      <c r="F602">
        <v>2</v>
      </c>
      <c r="G602" t="b">
        <v>1</v>
      </c>
      <c r="H602" t="s">
        <v>3193</v>
      </c>
      <c r="I602">
        <v>306.66851000000003</v>
      </c>
      <c r="J602" t="s">
        <v>3194</v>
      </c>
      <c r="K602" t="s">
        <v>3182</v>
      </c>
    </row>
    <row r="603" spans="1:11" x14ac:dyDescent="0.25">
      <c r="A603">
        <v>191</v>
      </c>
      <c r="B603" s="26">
        <v>46211.916666666657</v>
      </c>
      <c r="C603" s="27">
        <v>46211</v>
      </c>
      <c r="D603">
        <v>23</v>
      </c>
      <c r="E603" t="s">
        <v>3173</v>
      </c>
      <c r="F603">
        <v>2</v>
      </c>
      <c r="G603" t="b">
        <v>1</v>
      </c>
      <c r="H603" t="s">
        <v>3195</v>
      </c>
      <c r="I603">
        <v>33.560250000000003</v>
      </c>
      <c r="J603" t="s">
        <v>3196</v>
      </c>
      <c r="K603" t="s">
        <v>3182</v>
      </c>
    </row>
    <row r="604" spans="1:11" x14ac:dyDescent="0.25">
      <c r="A604">
        <v>191</v>
      </c>
      <c r="B604" s="26">
        <v>46211.916666666657</v>
      </c>
      <c r="C604" s="27">
        <v>46211</v>
      </c>
      <c r="D604">
        <v>23</v>
      </c>
      <c r="E604" t="s">
        <v>3173</v>
      </c>
      <c r="F604">
        <v>2</v>
      </c>
      <c r="G604" t="b">
        <v>1</v>
      </c>
      <c r="H604" t="s">
        <v>3197</v>
      </c>
      <c r="I604">
        <v>1646.2662700000001</v>
      </c>
      <c r="J604" t="s">
        <v>3198</v>
      </c>
      <c r="K604" t="s">
        <v>3182</v>
      </c>
    </row>
    <row r="605" spans="1:11" x14ac:dyDescent="0.25">
      <c r="A605">
        <v>191</v>
      </c>
      <c r="B605" s="26">
        <v>46211.916666666657</v>
      </c>
      <c r="C605" s="27">
        <v>46211</v>
      </c>
      <c r="D605">
        <v>23</v>
      </c>
      <c r="E605" t="s">
        <v>3173</v>
      </c>
      <c r="F605">
        <v>2</v>
      </c>
      <c r="G605" t="b">
        <v>1</v>
      </c>
      <c r="H605" t="s">
        <v>3199</v>
      </c>
      <c r="I605">
        <v>9.6286900000000006</v>
      </c>
      <c r="J605" t="s">
        <v>3200</v>
      </c>
      <c r="K605" t="s">
        <v>3182</v>
      </c>
    </row>
    <row r="606" spans="1:11" x14ac:dyDescent="0.25">
      <c r="A606">
        <v>191</v>
      </c>
      <c r="B606" s="26">
        <v>46211.916666666657</v>
      </c>
      <c r="C606" s="27">
        <v>46211</v>
      </c>
      <c r="D606">
        <v>23</v>
      </c>
      <c r="E606" t="s">
        <v>3173</v>
      </c>
      <c r="F606">
        <v>2</v>
      </c>
      <c r="G606" t="b">
        <v>1</v>
      </c>
      <c r="H606" t="s">
        <v>3201</v>
      </c>
      <c r="I606">
        <v>225.25002000000001</v>
      </c>
      <c r="J606" t="s">
        <v>3202</v>
      </c>
      <c r="K606" t="s">
        <v>3182</v>
      </c>
    </row>
    <row r="607" spans="1:11" x14ac:dyDescent="0.25">
      <c r="A607">
        <v>191</v>
      </c>
      <c r="B607" s="26">
        <v>46211.916666666657</v>
      </c>
      <c r="C607" s="27">
        <v>46211</v>
      </c>
      <c r="D607">
        <v>23</v>
      </c>
      <c r="E607" t="s">
        <v>3173</v>
      </c>
      <c r="F607">
        <v>2</v>
      </c>
      <c r="G607" t="b">
        <v>1</v>
      </c>
      <c r="H607" t="s">
        <v>3203</v>
      </c>
      <c r="I607">
        <v>40.93092</v>
      </c>
      <c r="J607" t="s">
        <v>3204</v>
      </c>
      <c r="K607" t="s">
        <v>3182</v>
      </c>
    </row>
    <row r="608" spans="1:11" x14ac:dyDescent="0.25">
      <c r="A608">
        <v>191</v>
      </c>
      <c r="B608" s="26">
        <v>46211.916666666657</v>
      </c>
      <c r="C608" s="27">
        <v>46211</v>
      </c>
      <c r="D608">
        <v>23</v>
      </c>
      <c r="E608" t="s">
        <v>3173</v>
      </c>
      <c r="F608">
        <v>2</v>
      </c>
      <c r="G608" t="b">
        <v>1</v>
      </c>
      <c r="H608" t="s">
        <v>3205</v>
      </c>
      <c r="I608">
        <v>71.849070000000012</v>
      </c>
      <c r="J608" t="s">
        <v>3206</v>
      </c>
      <c r="K608" t="s">
        <v>3182</v>
      </c>
    </row>
    <row r="609" spans="1:11" x14ac:dyDescent="0.25">
      <c r="A609">
        <v>191</v>
      </c>
      <c r="B609" s="26">
        <v>46211.916666666657</v>
      </c>
      <c r="C609" s="27">
        <v>46211</v>
      </c>
      <c r="D609">
        <v>23</v>
      </c>
      <c r="E609" t="s">
        <v>3173</v>
      </c>
      <c r="F609">
        <v>2</v>
      </c>
      <c r="G609" t="b">
        <v>1</v>
      </c>
      <c r="H609" t="s">
        <v>3207</v>
      </c>
      <c r="I609">
        <v>122.08403</v>
      </c>
      <c r="J609" t="s">
        <v>3208</v>
      </c>
      <c r="K609" t="s">
        <v>3182</v>
      </c>
    </row>
    <row r="610" spans="1:11" x14ac:dyDescent="0.25">
      <c r="A610">
        <v>191</v>
      </c>
      <c r="B610" s="26">
        <v>46211.916666666657</v>
      </c>
      <c r="C610" s="27">
        <v>46211</v>
      </c>
      <c r="D610">
        <v>23</v>
      </c>
      <c r="E610" t="s">
        <v>3173</v>
      </c>
      <c r="F610">
        <v>2</v>
      </c>
      <c r="G610" t="b">
        <v>1</v>
      </c>
      <c r="H610" t="s">
        <v>3209</v>
      </c>
      <c r="I610">
        <v>10.12834</v>
      </c>
      <c r="J610" t="s">
        <v>3210</v>
      </c>
      <c r="K610" t="s">
        <v>3182</v>
      </c>
    </row>
    <row r="611" spans="1:11" x14ac:dyDescent="0.25">
      <c r="A611">
        <v>191</v>
      </c>
      <c r="B611" s="26">
        <v>46211.916666666657</v>
      </c>
      <c r="C611" s="27">
        <v>46211</v>
      </c>
      <c r="D611">
        <v>23</v>
      </c>
      <c r="E611" t="s">
        <v>3173</v>
      </c>
      <c r="F611">
        <v>2</v>
      </c>
      <c r="G611" t="b">
        <v>1</v>
      </c>
      <c r="H611" t="s">
        <v>3211</v>
      </c>
      <c r="I611">
        <v>0.73099999999999998</v>
      </c>
      <c r="J611" t="s">
        <v>3212</v>
      </c>
      <c r="K611" t="s">
        <v>3182</v>
      </c>
    </row>
    <row r="612" spans="1:11" x14ac:dyDescent="0.25">
      <c r="A612">
        <v>191</v>
      </c>
      <c r="B612" s="26">
        <v>46211.916666666657</v>
      </c>
      <c r="C612" s="27">
        <v>46211</v>
      </c>
      <c r="D612">
        <v>23</v>
      </c>
      <c r="E612" t="s">
        <v>3173</v>
      </c>
      <c r="F612">
        <v>2</v>
      </c>
      <c r="G612" t="b">
        <v>1</v>
      </c>
      <c r="H612" t="s">
        <v>3213</v>
      </c>
      <c r="I612">
        <v>535.77028000000007</v>
      </c>
      <c r="J612" t="s">
        <v>3214</v>
      </c>
      <c r="K612" t="s">
        <v>3182</v>
      </c>
    </row>
    <row r="613" spans="1:11" x14ac:dyDescent="0.25">
      <c r="A613">
        <v>191</v>
      </c>
      <c r="B613" s="26">
        <v>46211.916666666657</v>
      </c>
      <c r="C613" s="27">
        <v>46211</v>
      </c>
      <c r="D613">
        <v>23</v>
      </c>
      <c r="E613" t="s">
        <v>3173</v>
      </c>
      <c r="F613">
        <v>2</v>
      </c>
      <c r="G613" t="b">
        <v>1</v>
      </c>
      <c r="H613" t="s">
        <v>3215</v>
      </c>
      <c r="I613">
        <v>246.27235999999999</v>
      </c>
      <c r="J613" t="s">
        <v>3216</v>
      </c>
      <c r="K613" t="s">
        <v>3182</v>
      </c>
    </row>
    <row r="614" spans="1:11" x14ac:dyDescent="0.25">
      <c r="A614">
        <v>191</v>
      </c>
      <c r="B614" s="26">
        <v>46211.916666666657</v>
      </c>
      <c r="C614" s="27">
        <v>46211</v>
      </c>
      <c r="D614">
        <v>23</v>
      </c>
      <c r="E614" t="s">
        <v>3173</v>
      </c>
      <c r="F614">
        <v>2</v>
      </c>
      <c r="G614" t="b">
        <v>1</v>
      </c>
      <c r="H614" t="s">
        <v>3217</v>
      </c>
      <c r="I614">
        <v>1858.2558300000001</v>
      </c>
      <c r="J614" t="s">
        <v>197</v>
      </c>
      <c r="K614" t="s">
        <v>3182</v>
      </c>
    </row>
    <row r="615" spans="1:11" x14ac:dyDescent="0.25">
      <c r="A615">
        <v>191</v>
      </c>
      <c r="B615" s="26">
        <v>46211.916666666657</v>
      </c>
      <c r="C615" s="27">
        <v>46211</v>
      </c>
      <c r="D615">
        <v>23</v>
      </c>
      <c r="E615" t="s">
        <v>3173</v>
      </c>
      <c r="F615">
        <v>2</v>
      </c>
      <c r="G615" t="b">
        <v>1</v>
      </c>
      <c r="H615" t="s">
        <v>3218</v>
      </c>
      <c r="I615">
        <v>42.434899999999999</v>
      </c>
      <c r="J615" t="s">
        <v>3219</v>
      </c>
      <c r="K615" t="s">
        <v>3182</v>
      </c>
    </row>
    <row r="616" spans="1:11" x14ac:dyDescent="0.25">
      <c r="A616">
        <v>191</v>
      </c>
      <c r="B616" s="26">
        <v>46211.916666666657</v>
      </c>
      <c r="C616" s="27">
        <v>46211</v>
      </c>
      <c r="D616">
        <v>23</v>
      </c>
      <c r="E616" t="s">
        <v>3173</v>
      </c>
      <c r="F616">
        <v>2</v>
      </c>
      <c r="G616" t="b">
        <v>1</v>
      </c>
      <c r="H616" t="s">
        <v>3220</v>
      </c>
      <c r="I616">
        <v>1407.91146</v>
      </c>
      <c r="J616" t="s">
        <v>198</v>
      </c>
      <c r="K616" t="s">
        <v>3182</v>
      </c>
    </row>
    <row r="617" spans="1:11" x14ac:dyDescent="0.25">
      <c r="A617">
        <v>191</v>
      </c>
      <c r="B617" s="26">
        <v>46211.916666666657</v>
      </c>
      <c r="C617" s="27">
        <v>46211</v>
      </c>
      <c r="D617">
        <v>23</v>
      </c>
      <c r="E617" t="s">
        <v>3173</v>
      </c>
      <c r="F617">
        <v>2</v>
      </c>
      <c r="G617" t="b">
        <v>1</v>
      </c>
      <c r="H617" t="s">
        <v>3221</v>
      </c>
      <c r="I617">
        <v>635.18599000000006</v>
      </c>
      <c r="J617" t="s">
        <v>20</v>
      </c>
      <c r="K617" t="s">
        <v>3182</v>
      </c>
    </row>
    <row r="618" spans="1:11" x14ac:dyDescent="0.25">
      <c r="A618">
        <v>191</v>
      </c>
      <c r="B618" s="26">
        <v>46211.916666666657</v>
      </c>
      <c r="C618" s="27">
        <v>46211</v>
      </c>
      <c r="D618">
        <v>23</v>
      </c>
      <c r="E618" t="s">
        <v>3173</v>
      </c>
      <c r="F618">
        <v>2</v>
      </c>
      <c r="G618" t="b">
        <v>1</v>
      </c>
      <c r="H618" t="s">
        <v>3222</v>
      </c>
      <c r="I618">
        <v>14.34567</v>
      </c>
      <c r="J618" t="s">
        <v>3223</v>
      </c>
      <c r="K618" t="s">
        <v>3182</v>
      </c>
    </row>
    <row r="619" spans="1:11" x14ac:dyDescent="0.25">
      <c r="A619">
        <v>191</v>
      </c>
      <c r="B619" s="26">
        <v>46211.916666666657</v>
      </c>
      <c r="C619" s="27">
        <v>46211</v>
      </c>
      <c r="D619">
        <v>23</v>
      </c>
      <c r="E619" t="s">
        <v>3173</v>
      </c>
      <c r="F619">
        <v>2</v>
      </c>
      <c r="G619" t="b">
        <v>1</v>
      </c>
      <c r="H619" t="s">
        <v>3224</v>
      </c>
      <c r="I619">
        <v>433.24803000000003</v>
      </c>
      <c r="J619" t="s">
        <v>3225</v>
      </c>
      <c r="K619" t="s">
        <v>3182</v>
      </c>
    </row>
    <row r="620" spans="1:11" x14ac:dyDescent="0.25">
      <c r="A620">
        <v>191</v>
      </c>
      <c r="B620" s="26">
        <v>46211.916666666657</v>
      </c>
      <c r="C620" s="27">
        <v>46211</v>
      </c>
      <c r="D620">
        <v>23</v>
      </c>
      <c r="E620" t="s">
        <v>3173</v>
      </c>
      <c r="F620">
        <v>2</v>
      </c>
      <c r="G620" t="b">
        <v>1</v>
      </c>
      <c r="H620" t="s">
        <v>3226</v>
      </c>
      <c r="I620">
        <v>1.73075</v>
      </c>
      <c r="J620" t="s">
        <v>3227</v>
      </c>
      <c r="K620" t="s">
        <v>3182</v>
      </c>
    </row>
    <row r="621" spans="1:11" x14ac:dyDescent="0.25">
      <c r="A621">
        <v>191</v>
      </c>
      <c r="B621" s="26">
        <v>46211.916666666657</v>
      </c>
      <c r="C621" s="27">
        <v>46211</v>
      </c>
      <c r="D621">
        <v>23</v>
      </c>
      <c r="E621" t="s">
        <v>3173</v>
      </c>
      <c r="F621">
        <v>2</v>
      </c>
      <c r="G621" t="b">
        <v>1</v>
      </c>
      <c r="H621" t="s">
        <v>3228</v>
      </c>
      <c r="I621">
        <v>143.39304000000001</v>
      </c>
      <c r="J621" t="s">
        <v>3229</v>
      </c>
      <c r="K621" t="s">
        <v>3182</v>
      </c>
    </row>
    <row r="622" spans="1:11" x14ac:dyDescent="0.25">
      <c r="A622">
        <v>191</v>
      </c>
      <c r="B622" s="26">
        <v>46211.916666666657</v>
      </c>
      <c r="C622" s="27">
        <v>46211</v>
      </c>
      <c r="D622">
        <v>23</v>
      </c>
      <c r="E622" t="s">
        <v>3173</v>
      </c>
      <c r="F622">
        <v>2</v>
      </c>
      <c r="G622" t="b">
        <v>1</v>
      </c>
      <c r="H622" t="s">
        <v>3230</v>
      </c>
      <c r="I622">
        <v>2.4821900000000001</v>
      </c>
      <c r="J622" t="s">
        <v>3231</v>
      </c>
      <c r="K622" t="s">
        <v>3182</v>
      </c>
    </row>
    <row r="623" spans="1:11" x14ac:dyDescent="0.25">
      <c r="A623">
        <v>192</v>
      </c>
      <c r="B623" s="26">
        <v>46211.958333333343</v>
      </c>
      <c r="C623" s="27">
        <v>46211</v>
      </c>
      <c r="D623">
        <v>24</v>
      </c>
      <c r="E623" t="s">
        <v>3173</v>
      </c>
      <c r="F623">
        <v>2</v>
      </c>
      <c r="G623" t="b">
        <v>1</v>
      </c>
      <c r="H623" t="s">
        <v>3180</v>
      </c>
      <c r="I623">
        <v>67.455970000000008</v>
      </c>
      <c r="J623" t="s">
        <v>3181</v>
      </c>
      <c r="K623" t="s">
        <v>3182</v>
      </c>
    </row>
    <row r="624" spans="1:11" x14ac:dyDescent="0.25">
      <c r="A624">
        <v>192</v>
      </c>
      <c r="B624" s="26">
        <v>46211.958333333343</v>
      </c>
      <c r="C624" s="27">
        <v>46211</v>
      </c>
      <c r="D624">
        <v>24</v>
      </c>
      <c r="E624" t="s">
        <v>3173</v>
      </c>
      <c r="F624">
        <v>2</v>
      </c>
      <c r="G624" t="b">
        <v>1</v>
      </c>
      <c r="H624" t="s">
        <v>3183</v>
      </c>
      <c r="I624">
        <v>87.020179999999996</v>
      </c>
      <c r="J624" t="s">
        <v>3184</v>
      </c>
      <c r="K624" t="s">
        <v>3182</v>
      </c>
    </row>
    <row r="625" spans="1:11" x14ac:dyDescent="0.25">
      <c r="A625">
        <v>192</v>
      </c>
      <c r="B625" s="26">
        <v>46211.958333333343</v>
      </c>
      <c r="C625" s="27">
        <v>46211</v>
      </c>
      <c r="D625">
        <v>24</v>
      </c>
      <c r="E625" t="s">
        <v>3173</v>
      </c>
      <c r="F625">
        <v>2</v>
      </c>
      <c r="G625" t="b">
        <v>1</v>
      </c>
      <c r="H625" t="s">
        <v>3185</v>
      </c>
      <c r="I625">
        <v>117.12124</v>
      </c>
      <c r="J625" t="s">
        <v>3186</v>
      </c>
      <c r="K625" t="s">
        <v>3182</v>
      </c>
    </row>
    <row r="626" spans="1:11" x14ac:dyDescent="0.25">
      <c r="A626">
        <v>192</v>
      </c>
      <c r="B626" s="26">
        <v>46211.958333333343</v>
      </c>
      <c r="C626" s="27">
        <v>46211</v>
      </c>
      <c r="D626">
        <v>24</v>
      </c>
      <c r="E626" t="s">
        <v>3173</v>
      </c>
      <c r="F626">
        <v>2</v>
      </c>
      <c r="G626" t="b">
        <v>1</v>
      </c>
      <c r="H626" t="s">
        <v>3187</v>
      </c>
      <c r="I626">
        <v>28.729659999999999</v>
      </c>
      <c r="J626" t="s">
        <v>3188</v>
      </c>
      <c r="K626" t="s">
        <v>3182</v>
      </c>
    </row>
    <row r="627" spans="1:11" x14ac:dyDescent="0.25">
      <c r="A627">
        <v>192</v>
      </c>
      <c r="B627" s="26">
        <v>46211.958333333343</v>
      </c>
      <c r="C627" s="27">
        <v>46211</v>
      </c>
      <c r="D627">
        <v>24</v>
      </c>
      <c r="E627" t="s">
        <v>3173</v>
      </c>
      <c r="F627">
        <v>2</v>
      </c>
      <c r="G627" t="b">
        <v>1</v>
      </c>
      <c r="H627" t="s">
        <v>3189</v>
      </c>
      <c r="I627">
        <v>198.12665999999999</v>
      </c>
      <c r="J627" t="s">
        <v>3190</v>
      </c>
      <c r="K627" t="s">
        <v>3182</v>
      </c>
    </row>
    <row r="628" spans="1:11" x14ac:dyDescent="0.25">
      <c r="A628">
        <v>192</v>
      </c>
      <c r="B628" s="26">
        <v>46211.958333333343</v>
      </c>
      <c r="C628" s="27">
        <v>46211</v>
      </c>
      <c r="D628">
        <v>24</v>
      </c>
      <c r="E628" t="s">
        <v>3173</v>
      </c>
      <c r="F628">
        <v>2</v>
      </c>
      <c r="G628" t="b">
        <v>1</v>
      </c>
      <c r="H628" t="s">
        <v>3191</v>
      </c>
      <c r="I628">
        <v>1632.40994</v>
      </c>
      <c r="J628" t="s">
        <v>3192</v>
      </c>
      <c r="K628" t="s">
        <v>3182</v>
      </c>
    </row>
    <row r="629" spans="1:11" x14ac:dyDescent="0.25">
      <c r="A629">
        <v>192</v>
      </c>
      <c r="B629" s="26">
        <v>46211.958333333343</v>
      </c>
      <c r="C629" s="27">
        <v>46211</v>
      </c>
      <c r="D629">
        <v>24</v>
      </c>
      <c r="E629" t="s">
        <v>3173</v>
      </c>
      <c r="F629">
        <v>2</v>
      </c>
      <c r="G629" t="b">
        <v>1</v>
      </c>
      <c r="H629" t="s">
        <v>3193</v>
      </c>
      <c r="I629">
        <v>286.05718999999999</v>
      </c>
      <c r="J629" t="s">
        <v>3194</v>
      </c>
      <c r="K629" t="s">
        <v>3182</v>
      </c>
    </row>
    <row r="630" spans="1:11" x14ac:dyDescent="0.25">
      <c r="A630">
        <v>192</v>
      </c>
      <c r="B630" s="26">
        <v>46211.958333333343</v>
      </c>
      <c r="C630" s="27">
        <v>46211</v>
      </c>
      <c r="D630">
        <v>24</v>
      </c>
      <c r="E630" t="s">
        <v>3173</v>
      </c>
      <c r="F630">
        <v>2</v>
      </c>
      <c r="G630" t="b">
        <v>1</v>
      </c>
      <c r="H630" t="s">
        <v>3195</v>
      </c>
      <c r="I630">
        <v>29.95628</v>
      </c>
      <c r="J630" t="s">
        <v>3196</v>
      </c>
      <c r="K630" t="s">
        <v>3182</v>
      </c>
    </row>
    <row r="631" spans="1:11" x14ac:dyDescent="0.25">
      <c r="A631">
        <v>192</v>
      </c>
      <c r="B631" s="26">
        <v>46211.958333333343</v>
      </c>
      <c r="C631" s="27">
        <v>46211</v>
      </c>
      <c r="D631">
        <v>24</v>
      </c>
      <c r="E631" t="s">
        <v>3173</v>
      </c>
      <c r="F631">
        <v>2</v>
      </c>
      <c r="G631" t="b">
        <v>1</v>
      </c>
      <c r="H631" t="s">
        <v>3197</v>
      </c>
      <c r="I631">
        <v>1626.8906400000001</v>
      </c>
      <c r="J631" t="s">
        <v>3198</v>
      </c>
      <c r="K631" t="s">
        <v>3182</v>
      </c>
    </row>
    <row r="632" spans="1:11" x14ac:dyDescent="0.25">
      <c r="A632">
        <v>192</v>
      </c>
      <c r="B632" s="26">
        <v>46211.958333333343</v>
      </c>
      <c r="C632" s="27">
        <v>46211</v>
      </c>
      <c r="D632">
        <v>24</v>
      </c>
      <c r="E632" t="s">
        <v>3173</v>
      </c>
      <c r="F632">
        <v>2</v>
      </c>
      <c r="G632" t="b">
        <v>1</v>
      </c>
      <c r="H632" t="s">
        <v>3199</v>
      </c>
      <c r="I632">
        <v>8.3383900000000004</v>
      </c>
      <c r="J632" t="s">
        <v>3200</v>
      </c>
      <c r="K632" t="s">
        <v>3182</v>
      </c>
    </row>
    <row r="633" spans="1:11" x14ac:dyDescent="0.25">
      <c r="A633">
        <v>192</v>
      </c>
      <c r="B633" s="26">
        <v>46211.958333333343</v>
      </c>
      <c r="C633" s="27">
        <v>46211</v>
      </c>
      <c r="D633">
        <v>24</v>
      </c>
      <c r="E633" t="s">
        <v>3173</v>
      </c>
      <c r="F633">
        <v>2</v>
      </c>
      <c r="G633" t="b">
        <v>1</v>
      </c>
      <c r="H633" t="s">
        <v>3201</v>
      </c>
      <c r="I633">
        <v>202.03451999999999</v>
      </c>
      <c r="J633" t="s">
        <v>3202</v>
      </c>
      <c r="K633" t="s">
        <v>3182</v>
      </c>
    </row>
    <row r="634" spans="1:11" x14ac:dyDescent="0.25">
      <c r="A634">
        <v>192</v>
      </c>
      <c r="B634" s="26">
        <v>46211.958333333343</v>
      </c>
      <c r="C634" s="27">
        <v>46211</v>
      </c>
      <c r="D634">
        <v>24</v>
      </c>
      <c r="E634" t="s">
        <v>3173</v>
      </c>
      <c r="F634">
        <v>2</v>
      </c>
      <c r="G634" t="b">
        <v>1</v>
      </c>
      <c r="H634" t="s">
        <v>3203</v>
      </c>
      <c r="I634">
        <v>37.311529999999998</v>
      </c>
      <c r="J634" t="s">
        <v>3204</v>
      </c>
      <c r="K634" t="s">
        <v>3182</v>
      </c>
    </row>
    <row r="635" spans="1:11" x14ac:dyDescent="0.25">
      <c r="A635">
        <v>192</v>
      </c>
      <c r="B635" s="26">
        <v>46211.958333333343</v>
      </c>
      <c r="C635" s="27">
        <v>46211</v>
      </c>
      <c r="D635">
        <v>24</v>
      </c>
      <c r="E635" t="s">
        <v>3173</v>
      </c>
      <c r="F635">
        <v>2</v>
      </c>
      <c r="G635" t="b">
        <v>1</v>
      </c>
      <c r="H635" t="s">
        <v>3205</v>
      </c>
      <c r="I635">
        <v>62.679220000000001</v>
      </c>
      <c r="J635" t="s">
        <v>3206</v>
      </c>
      <c r="K635" t="s">
        <v>3182</v>
      </c>
    </row>
    <row r="636" spans="1:11" x14ac:dyDescent="0.25">
      <c r="A636">
        <v>192</v>
      </c>
      <c r="B636" s="26">
        <v>46211.958333333343</v>
      </c>
      <c r="C636" s="27">
        <v>46211</v>
      </c>
      <c r="D636">
        <v>24</v>
      </c>
      <c r="E636" t="s">
        <v>3173</v>
      </c>
      <c r="F636">
        <v>2</v>
      </c>
      <c r="G636" t="b">
        <v>1</v>
      </c>
      <c r="H636" t="s">
        <v>3207</v>
      </c>
      <c r="I636">
        <v>110.13364</v>
      </c>
      <c r="J636" t="s">
        <v>3208</v>
      </c>
      <c r="K636" t="s">
        <v>3182</v>
      </c>
    </row>
    <row r="637" spans="1:11" x14ac:dyDescent="0.25">
      <c r="A637">
        <v>192</v>
      </c>
      <c r="B637" s="26">
        <v>46211.958333333343</v>
      </c>
      <c r="C637" s="27">
        <v>46211</v>
      </c>
      <c r="D637">
        <v>24</v>
      </c>
      <c r="E637" t="s">
        <v>3173</v>
      </c>
      <c r="F637">
        <v>2</v>
      </c>
      <c r="G637" t="b">
        <v>1</v>
      </c>
      <c r="H637" t="s">
        <v>3209</v>
      </c>
      <c r="I637">
        <v>9.222290000000001</v>
      </c>
      <c r="J637" t="s">
        <v>3210</v>
      </c>
      <c r="K637" t="s">
        <v>3182</v>
      </c>
    </row>
    <row r="638" spans="1:11" x14ac:dyDescent="0.25">
      <c r="A638">
        <v>192</v>
      </c>
      <c r="B638" s="26">
        <v>46211.958333333343</v>
      </c>
      <c r="C638" s="27">
        <v>46211</v>
      </c>
      <c r="D638">
        <v>24</v>
      </c>
      <c r="E638" t="s">
        <v>3173</v>
      </c>
      <c r="F638">
        <v>2</v>
      </c>
      <c r="G638" t="b">
        <v>1</v>
      </c>
      <c r="H638" t="s">
        <v>3211</v>
      </c>
      <c r="I638">
        <v>0.65500000000000003</v>
      </c>
      <c r="J638" t="s">
        <v>3212</v>
      </c>
      <c r="K638" t="s">
        <v>3182</v>
      </c>
    </row>
    <row r="639" spans="1:11" x14ac:dyDescent="0.25">
      <c r="A639">
        <v>192</v>
      </c>
      <c r="B639" s="26">
        <v>46211.958333333343</v>
      </c>
      <c r="C639" s="27">
        <v>46211</v>
      </c>
      <c r="D639">
        <v>24</v>
      </c>
      <c r="E639" t="s">
        <v>3173</v>
      </c>
      <c r="F639">
        <v>2</v>
      </c>
      <c r="G639" t="b">
        <v>1</v>
      </c>
      <c r="H639" t="s">
        <v>3213</v>
      </c>
      <c r="I639">
        <v>499.98817000000003</v>
      </c>
      <c r="J639" t="s">
        <v>3214</v>
      </c>
      <c r="K639" t="s">
        <v>3182</v>
      </c>
    </row>
    <row r="640" spans="1:11" x14ac:dyDescent="0.25">
      <c r="A640">
        <v>192</v>
      </c>
      <c r="B640" s="26">
        <v>46211.958333333343</v>
      </c>
      <c r="C640" s="27">
        <v>46211</v>
      </c>
      <c r="D640">
        <v>24</v>
      </c>
      <c r="E640" t="s">
        <v>3173</v>
      </c>
      <c r="F640">
        <v>2</v>
      </c>
      <c r="G640" t="b">
        <v>1</v>
      </c>
      <c r="H640" t="s">
        <v>3215</v>
      </c>
      <c r="I640">
        <v>230.91822999999999</v>
      </c>
      <c r="J640" t="s">
        <v>3216</v>
      </c>
      <c r="K640" t="s">
        <v>3182</v>
      </c>
    </row>
    <row r="641" spans="1:11" x14ac:dyDescent="0.25">
      <c r="A641">
        <v>192</v>
      </c>
      <c r="B641" s="26">
        <v>46211.958333333343</v>
      </c>
      <c r="C641" s="27">
        <v>46211</v>
      </c>
      <c r="D641">
        <v>24</v>
      </c>
      <c r="E641" t="s">
        <v>3173</v>
      </c>
      <c r="F641">
        <v>2</v>
      </c>
      <c r="G641" t="b">
        <v>1</v>
      </c>
      <c r="H641" t="s">
        <v>3217</v>
      </c>
      <c r="I641">
        <v>1698.9906100000001</v>
      </c>
      <c r="J641" t="s">
        <v>197</v>
      </c>
      <c r="K641" t="s">
        <v>3182</v>
      </c>
    </row>
    <row r="642" spans="1:11" x14ac:dyDescent="0.25">
      <c r="A642">
        <v>192</v>
      </c>
      <c r="B642" s="26">
        <v>46211.958333333343</v>
      </c>
      <c r="C642" s="27">
        <v>46211</v>
      </c>
      <c r="D642">
        <v>24</v>
      </c>
      <c r="E642" t="s">
        <v>3173</v>
      </c>
      <c r="F642">
        <v>2</v>
      </c>
      <c r="G642" t="b">
        <v>1</v>
      </c>
      <c r="H642" t="s">
        <v>3218</v>
      </c>
      <c r="I642">
        <v>39.957870000000007</v>
      </c>
      <c r="J642" t="s">
        <v>3219</v>
      </c>
      <c r="K642" t="s">
        <v>3182</v>
      </c>
    </row>
    <row r="643" spans="1:11" x14ac:dyDescent="0.25">
      <c r="A643">
        <v>192</v>
      </c>
      <c r="B643" s="26">
        <v>46211.958333333343</v>
      </c>
      <c r="C643" s="27">
        <v>46211</v>
      </c>
      <c r="D643">
        <v>24</v>
      </c>
      <c r="E643" t="s">
        <v>3173</v>
      </c>
      <c r="F643">
        <v>2</v>
      </c>
      <c r="G643" t="b">
        <v>1</v>
      </c>
      <c r="H643" t="s">
        <v>3220</v>
      </c>
      <c r="I643">
        <v>1294.4189200000001</v>
      </c>
      <c r="J643" t="s">
        <v>198</v>
      </c>
      <c r="K643" t="s">
        <v>3182</v>
      </c>
    </row>
    <row r="644" spans="1:11" x14ac:dyDescent="0.25">
      <c r="A644">
        <v>192</v>
      </c>
      <c r="B644" s="26">
        <v>46211.958333333343</v>
      </c>
      <c r="C644" s="27">
        <v>46211</v>
      </c>
      <c r="D644">
        <v>24</v>
      </c>
      <c r="E644" t="s">
        <v>3173</v>
      </c>
      <c r="F644">
        <v>2</v>
      </c>
      <c r="G644" t="b">
        <v>1</v>
      </c>
      <c r="H644" t="s">
        <v>3221</v>
      </c>
      <c r="I644">
        <v>593.3510500000001</v>
      </c>
      <c r="J644" t="s">
        <v>20</v>
      </c>
      <c r="K644" t="s">
        <v>3182</v>
      </c>
    </row>
    <row r="645" spans="1:11" x14ac:dyDescent="0.25">
      <c r="A645">
        <v>192</v>
      </c>
      <c r="B645" s="26">
        <v>46211.958333333343</v>
      </c>
      <c r="C645" s="27">
        <v>46211</v>
      </c>
      <c r="D645">
        <v>24</v>
      </c>
      <c r="E645" t="s">
        <v>3173</v>
      </c>
      <c r="F645">
        <v>2</v>
      </c>
      <c r="G645" t="b">
        <v>1</v>
      </c>
      <c r="H645" t="s">
        <v>3222</v>
      </c>
      <c r="I645">
        <v>12.947929999999999</v>
      </c>
      <c r="J645" t="s">
        <v>3223</v>
      </c>
      <c r="K645" t="s">
        <v>3182</v>
      </c>
    </row>
    <row r="646" spans="1:11" x14ac:dyDescent="0.25">
      <c r="A646">
        <v>192</v>
      </c>
      <c r="B646" s="26">
        <v>46211.958333333343</v>
      </c>
      <c r="C646" s="27">
        <v>46211</v>
      </c>
      <c r="D646">
        <v>24</v>
      </c>
      <c r="E646" t="s">
        <v>3173</v>
      </c>
      <c r="F646">
        <v>2</v>
      </c>
      <c r="G646" t="b">
        <v>1</v>
      </c>
      <c r="H646" t="s">
        <v>3224</v>
      </c>
      <c r="I646">
        <v>404.79665999999997</v>
      </c>
      <c r="J646" t="s">
        <v>3225</v>
      </c>
      <c r="K646" t="s">
        <v>3182</v>
      </c>
    </row>
    <row r="647" spans="1:11" x14ac:dyDescent="0.25">
      <c r="A647">
        <v>192</v>
      </c>
      <c r="B647" s="26">
        <v>46211.958333333343</v>
      </c>
      <c r="C647" s="27">
        <v>46211</v>
      </c>
      <c r="D647">
        <v>24</v>
      </c>
      <c r="E647" t="s">
        <v>3173</v>
      </c>
      <c r="F647">
        <v>2</v>
      </c>
      <c r="G647" t="b">
        <v>1</v>
      </c>
      <c r="H647" t="s">
        <v>3226</v>
      </c>
      <c r="I647">
        <v>1.3924000000000001</v>
      </c>
      <c r="J647" t="s">
        <v>3227</v>
      </c>
      <c r="K647" t="s">
        <v>3182</v>
      </c>
    </row>
    <row r="648" spans="1:11" x14ac:dyDescent="0.25">
      <c r="A648">
        <v>192</v>
      </c>
      <c r="B648" s="26">
        <v>46211.958333333343</v>
      </c>
      <c r="C648" s="27">
        <v>46211</v>
      </c>
      <c r="D648">
        <v>24</v>
      </c>
      <c r="E648" t="s">
        <v>3173</v>
      </c>
      <c r="F648">
        <v>2</v>
      </c>
      <c r="G648" t="b">
        <v>1</v>
      </c>
      <c r="H648" t="s">
        <v>3228</v>
      </c>
      <c r="I648">
        <v>122.13876999999999</v>
      </c>
      <c r="J648" t="s">
        <v>3229</v>
      </c>
      <c r="K648" t="s">
        <v>3182</v>
      </c>
    </row>
    <row r="649" spans="1:11" x14ac:dyDescent="0.25">
      <c r="A649">
        <v>192</v>
      </c>
      <c r="B649" s="26">
        <v>46211.958333333343</v>
      </c>
      <c r="C649" s="27">
        <v>46211</v>
      </c>
      <c r="D649">
        <v>24</v>
      </c>
      <c r="E649" t="s">
        <v>3173</v>
      </c>
      <c r="F649">
        <v>2</v>
      </c>
      <c r="G649" t="b">
        <v>1</v>
      </c>
      <c r="H649" t="s">
        <v>3230</v>
      </c>
      <c r="I649">
        <v>2.41432</v>
      </c>
      <c r="J649" t="s">
        <v>3231</v>
      </c>
      <c r="K649" t="s">
        <v>3182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8BF-38D4-4189-9CFF-1B5E556BF707}">
  <sheetPr>
    <tabColor theme="6" tint="0.79998168889431442"/>
  </sheetPr>
  <dimension ref="A1:N79"/>
  <sheetViews>
    <sheetView topLeftCell="A18" workbookViewId="0">
      <selection activeCell="F18" sqref="F18"/>
    </sheetView>
  </sheetViews>
  <sheetFormatPr defaultRowHeight="15" x14ac:dyDescent="0.25"/>
  <cols>
    <col min="1" max="1" width="26.7109375" bestFit="1" customWidth="1"/>
    <col min="2" max="2" width="16" customWidth="1"/>
    <col min="3" max="3" width="10.85546875" bestFit="1" customWidth="1"/>
    <col min="4" max="5" width="12" bestFit="1" customWidth="1"/>
    <col min="6" max="6" width="24.28515625" bestFit="1" customWidth="1"/>
    <col min="7" max="7" width="29.85546875" bestFit="1" customWidth="1"/>
    <col min="8" max="8" width="21" bestFit="1" customWidth="1"/>
    <col min="9" max="9" width="9" bestFit="1" customWidth="1"/>
    <col min="10" max="10" width="12" bestFit="1" customWidth="1"/>
    <col min="11" max="11" width="22.28515625" bestFit="1" customWidth="1"/>
    <col min="12" max="12" width="11.7109375" bestFit="1" customWidth="1"/>
    <col min="13" max="13" width="9" bestFit="1" customWidth="1"/>
    <col min="14" max="14" width="10.85546875" bestFit="1" customWidth="1"/>
  </cols>
  <sheetData>
    <row r="1" spans="1:7" ht="18.75" x14ac:dyDescent="0.3">
      <c r="A1" s="4" t="s">
        <v>3142</v>
      </c>
    </row>
    <row r="2" spans="1:7" x14ac:dyDescent="0.25">
      <c r="A2" s="5" t="s">
        <v>3143</v>
      </c>
    </row>
    <row r="4" spans="1:7" x14ac:dyDescent="0.25">
      <c r="A4" s="6" t="s">
        <v>3099</v>
      </c>
      <c r="B4" s="6" t="s">
        <v>3100</v>
      </c>
      <c r="C4" s="6" t="s">
        <v>2911</v>
      </c>
      <c r="D4" s="6" t="s">
        <v>3144</v>
      </c>
      <c r="E4" s="7" t="s">
        <v>943</v>
      </c>
      <c r="F4" s="7" t="s">
        <v>3140</v>
      </c>
      <c r="G4" s="7" t="s">
        <v>3141</v>
      </c>
    </row>
    <row r="5" spans="1:7" x14ac:dyDescent="0.25">
      <c r="A5" s="8"/>
      <c r="B5" s="8"/>
      <c r="C5" s="8" t="s">
        <v>3145</v>
      </c>
      <c r="D5" s="8" t="s">
        <v>3001</v>
      </c>
      <c r="E5" s="8"/>
      <c r="F5" s="8" t="s">
        <v>3139</v>
      </c>
      <c r="G5" s="8" t="s">
        <v>3139</v>
      </c>
    </row>
    <row r="6" spans="1:7" x14ac:dyDescent="0.25">
      <c r="A6" s="11" t="s">
        <v>1594</v>
      </c>
      <c r="B6" s="11" t="s">
        <v>238</v>
      </c>
      <c r="C6" s="9" t="s">
        <v>3146</v>
      </c>
      <c r="D6" s="18">
        <v>102</v>
      </c>
      <c r="E6" s="18" t="str">
        <f>_xlfn.XLOOKUP(A6,Detalle_Unidades!$B$2:$B$886,Detalle_Unidades!$A$2:$A$886)</f>
        <v>3IRX</v>
      </c>
    </row>
    <row r="7" spans="1:7" x14ac:dyDescent="0.25">
      <c r="A7" s="11" t="s">
        <v>1047</v>
      </c>
      <c r="B7" s="11" t="s">
        <v>94</v>
      </c>
      <c r="C7" s="9" t="s">
        <v>3146</v>
      </c>
      <c r="D7" s="18">
        <v>50</v>
      </c>
      <c r="E7" s="18" t="str">
        <f>_xlfn.XLOOKUP(A7,Detalle_Unidades!$B$2:$B$886,Detalle_Unidades!$A$2:$A$886)</f>
        <v>3INX</v>
      </c>
    </row>
    <row r="8" spans="1:7" x14ac:dyDescent="0.25">
      <c r="A8" s="11" t="s">
        <v>1459</v>
      </c>
      <c r="B8" s="11" t="s">
        <v>94</v>
      </c>
      <c r="C8" s="9" t="s">
        <v>3146</v>
      </c>
      <c r="D8" s="18">
        <v>370</v>
      </c>
      <c r="E8" s="18" t="str">
        <f>_xlfn.XLOOKUP(A8,Detalle_Unidades!$B$2:$B$886,Detalle_Unidades!$A$2:$A$886)</f>
        <v>GYPO</v>
      </c>
    </row>
    <row r="9" spans="1:7" x14ac:dyDescent="0.25">
      <c r="A9" s="11" t="s">
        <v>1462</v>
      </c>
      <c r="B9" s="11" t="s">
        <v>94</v>
      </c>
      <c r="C9" s="9" t="s">
        <v>3146</v>
      </c>
      <c r="D9" s="18">
        <v>200</v>
      </c>
      <c r="E9" s="18" t="str">
        <f>_xlfn.XLOOKUP(A9,Detalle_Unidades!$B$2:$B$886,Detalle_Unidades!$A$2:$A$886)</f>
        <v>GYP3</v>
      </c>
    </row>
    <row r="10" spans="1:7" x14ac:dyDescent="0.25">
      <c r="A10" s="11" t="s">
        <v>1563</v>
      </c>
      <c r="B10" s="11" t="s">
        <v>531</v>
      </c>
      <c r="C10" s="9" t="s">
        <v>3146</v>
      </c>
      <c r="D10" s="18">
        <v>100</v>
      </c>
      <c r="E10" s="18" t="str">
        <f>_xlfn.XLOOKUP(A10,Detalle_Unidades!$B$2:$B$886,Detalle_Unidades!$A$2:$A$886)</f>
        <v>3IZ6</v>
      </c>
    </row>
    <row r="11" spans="1:7" x14ac:dyDescent="0.25">
      <c r="A11" s="11" t="s">
        <v>1568</v>
      </c>
      <c r="B11" s="11" t="s">
        <v>897</v>
      </c>
      <c r="C11" s="9" t="s">
        <v>3146</v>
      </c>
      <c r="D11" s="18">
        <v>300</v>
      </c>
      <c r="E11" s="18" t="str">
        <f>_xlfn.XLOOKUP(A11,Detalle_Unidades!$B$2:$B$886,Detalle_Unidades!$A$2:$A$886)</f>
        <v>PORO</v>
      </c>
    </row>
    <row r="12" spans="1:7" x14ac:dyDescent="0.25">
      <c r="A12" s="11" t="s">
        <v>1573</v>
      </c>
      <c r="B12" s="11" t="s">
        <v>897</v>
      </c>
      <c r="C12" s="9" t="s">
        <v>3146</v>
      </c>
      <c r="D12" s="18">
        <v>83</v>
      </c>
      <c r="E12" s="18" t="str">
        <f>_xlfn.XLOOKUP(A12,Detalle_Unidades!$B$2:$B$886,Detalle_Unidades!$A$2:$A$886)</f>
        <v>TPUY</v>
      </c>
    </row>
    <row r="13" spans="1:7" x14ac:dyDescent="0.25">
      <c r="A13" s="11" t="s">
        <v>542</v>
      </c>
      <c r="B13" s="11" t="s">
        <v>95</v>
      </c>
      <c r="C13" s="9" t="s">
        <v>3146</v>
      </c>
      <c r="D13" s="18">
        <v>68</v>
      </c>
      <c r="E13" s="18" t="str">
        <f>_xlfn.XLOOKUP(A13,Detalle_Unidades!$B$2:$B$886,Detalle_Unidades!$A$2:$A$886)</f>
        <v>EPFV</v>
      </c>
    </row>
    <row r="14" spans="1:7" x14ac:dyDescent="0.25">
      <c r="A14" s="11" t="s">
        <v>1102</v>
      </c>
      <c r="B14" s="11" t="s">
        <v>95</v>
      </c>
      <c r="C14" s="9" t="s">
        <v>3146</v>
      </c>
      <c r="D14" s="18">
        <v>100</v>
      </c>
      <c r="E14" s="18" t="str">
        <f>_xlfn.XLOOKUP(A14,Detalle_Unidades!$B$2:$B$886,Detalle_Unidades!$A$2:$A$886)</f>
        <v>3HF5</v>
      </c>
    </row>
    <row r="15" spans="1:7" x14ac:dyDescent="0.25">
      <c r="A15" s="11" t="s">
        <v>1490</v>
      </c>
      <c r="B15" s="11" t="s">
        <v>95</v>
      </c>
      <c r="C15" s="9" t="s">
        <v>3146</v>
      </c>
      <c r="D15" s="18">
        <v>150</v>
      </c>
      <c r="E15" s="18" t="str">
        <f>_xlfn.XLOOKUP(A15,Detalle_Unidades!$B$2:$B$886,Detalle_Unidades!$A$2:$A$886)</f>
        <v>3DDT</v>
      </c>
    </row>
    <row r="16" spans="1:7" x14ac:dyDescent="0.25">
      <c r="A16" s="11" t="s">
        <v>1603</v>
      </c>
      <c r="B16" s="11" t="s">
        <v>240</v>
      </c>
      <c r="C16" s="9" t="s">
        <v>3146</v>
      </c>
      <c r="D16" s="18">
        <v>160</v>
      </c>
      <c r="E16" s="18" t="str">
        <f>_xlfn.XLOOKUP(A16,Detalle_Unidades!$B$2:$B$886,Detalle_Unidades!$A$2:$A$886)</f>
        <v>4YCF</v>
      </c>
    </row>
    <row r="17" spans="1:14" x14ac:dyDescent="0.25">
      <c r="A17" s="11" t="s">
        <v>1477</v>
      </c>
      <c r="B17" s="11" t="s">
        <v>927</v>
      </c>
      <c r="C17" s="9" t="s">
        <v>3146</v>
      </c>
      <c r="D17" s="18">
        <v>80</v>
      </c>
      <c r="E17" s="18" t="str">
        <f>_xlfn.XLOOKUP(A17,Detalle_Unidades!$B$2:$B$886,Detalle_Unidades!$A$2:$A$886)</f>
        <v>MATA</v>
      </c>
    </row>
    <row r="18" spans="1:14" x14ac:dyDescent="0.25">
      <c r="A18" s="11" t="s">
        <v>1644</v>
      </c>
      <c r="B18" s="11" t="s">
        <v>927</v>
      </c>
      <c r="C18" s="9" t="s">
        <v>3146</v>
      </c>
      <c r="D18" s="18">
        <v>35</v>
      </c>
      <c r="E18" s="18" t="str">
        <f>_xlfn.XLOOKUP(A18,Detalle_Unidades!$B$2:$B$886,Detalle_Unidades!$A$2:$A$886)</f>
        <v>3IQA</v>
      </c>
    </row>
    <row r="21" spans="1:14" ht="18.75" x14ac:dyDescent="0.3">
      <c r="A21" s="4" t="s">
        <v>3151</v>
      </c>
    </row>
    <row r="22" spans="1:14" x14ac:dyDescent="0.25">
      <c r="A22" s="5" t="s">
        <v>3150</v>
      </c>
    </row>
    <row r="23" spans="1:14" x14ac:dyDescent="0.25">
      <c r="B23" s="9" t="s">
        <v>1593</v>
      </c>
      <c r="C23" s="9" t="s">
        <v>1046</v>
      </c>
      <c r="D23" s="9" t="s">
        <v>1458</v>
      </c>
      <c r="E23" s="9" t="s">
        <v>1461</v>
      </c>
      <c r="F23" s="9" t="s">
        <v>1562</v>
      </c>
      <c r="G23" s="9" t="s">
        <v>1567</v>
      </c>
      <c r="H23" s="9" t="s">
        <v>1572</v>
      </c>
      <c r="I23" s="9" t="s">
        <v>1095</v>
      </c>
      <c r="J23" s="9" t="s">
        <v>1101</v>
      </c>
      <c r="K23" s="9" t="s">
        <v>1489</v>
      </c>
      <c r="L23" s="9" t="s">
        <v>1602</v>
      </c>
      <c r="M23" s="9" t="s">
        <v>1476</v>
      </c>
      <c r="N23" s="9" t="s">
        <v>1643</v>
      </c>
    </row>
    <row r="24" spans="1:14" x14ac:dyDescent="0.25">
      <c r="A24" s="6" t="s">
        <v>3148</v>
      </c>
      <c r="B24" s="6" t="s">
        <v>1594</v>
      </c>
      <c r="C24" s="6" t="s">
        <v>1047</v>
      </c>
      <c r="D24" s="6" t="s">
        <v>1459</v>
      </c>
      <c r="E24" s="6" t="s">
        <v>1462</v>
      </c>
      <c r="F24" s="6" t="s">
        <v>1563</v>
      </c>
      <c r="G24" s="6" t="s">
        <v>1568</v>
      </c>
      <c r="H24" s="6" t="s">
        <v>1573</v>
      </c>
      <c r="I24" s="6" t="s">
        <v>542</v>
      </c>
      <c r="J24" s="6" t="s">
        <v>1102</v>
      </c>
      <c r="K24" s="6" t="s">
        <v>1490</v>
      </c>
      <c r="L24" s="6" t="s">
        <v>1603</v>
      </c>
      <c r="M24" s="6" t="s">
        <v>1477</v>
      </c>
      <c r="N24" s="6" t="s">
        <v>1644</v>
      </c>
    </row>
    <row r="25" spans="1:14" x14ac:dyDescent="0.25">
      <c r="A25" s="8"/>
      <c r="B25" s="8" t="s">
        <v>3147</v>
      </c>
      <c r="C25" s="8" t="s">
        <v>3147</v>
      </c>
      <c r="D25" s="8" t="s">
        <v>3147</v>
      </c>
      <c r="E25" s="8" t="s">
        <v>3147</v>
      </c>
      <c r="F25" s="8" t="s">
        <v>3147</v>
      </c>
      <c r="G25" s="8" t="s">
        <v>3147</v>
      </c>
      <c r="H25" s="8" t="s">
        <v>3147</v>
      </c>
      <c r="I25" s="8" t="s">
        <v>3147</v>
      </c>
      <c r="J25" s="8" t="s">
        <v>3147</v>
      </c>
      <c r="K25" s="8" t="s">
        <v>3147</v>
      </c>
      <c r="L25" s="8" t="s">
        <v>3147</v>
      </c>
      <c r="M25" s="8" t="s">
        <v>3147</v>
      </c>
      <c r="N25" s="8" t="s">
        <v>3147</v>
      </c>
    </row>
    <row r="26" spans="1:14" x14ac:dyDescent="0.25">
      <c r="A26" s="9">
        <v>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x14ac:dyDescent="0.25">
      <c r="A27" s="9">
        <v>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x14ac:dyDescent="0.25">
      <c r="A28" s="9">
        <v>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9">
        <v>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x14ac:dyDescent="0.25">
      <c r="A30" s="9">
        <v>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x14ac:dyDescent="0.25">
      <c r="A31" s="9">
        <v>6</v>
      </c>
      <c r="B31" s="9">
        <v>0</v>
      </c>
      <c r="C31" s="9">
        <v>6.9199999999999998E-2</v>
      </c>
      <c r="D31" s="9">
        <v>0.13655999999999999</v>
      </c>
      <c r="E31" s="9">
        <v>0</v>
      </c>
      <c r="F31" s="9">
        <v>3.8440000000000002E-2</v>
      </c>
      <c r="G31" s="9">
        <v>0</v>
      </c>
      <c r="H31" s="9">
        <v>0</v>
      </c>
      <c r="I31" s="9">
        <v>7.9650000000000012E-2</v>
      </c>
      <c r="J31" s="9">
        <v>0.34272000000000002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9">
        <v>7</v>
      </c>
      <c r="B32" s="9">
        <v>17.933890000000002</v>
      </c>
      <c r="C32" s="9">
        <v>5.1605400000000001</v>
      </c>
      <c r="D32" s="9">
        <v>56.342930000000003</v>
      </c>
      <c r="E32" s="9">
        <v>0</v>
      </c>
      <c r="F32" s="9">
        <v>17.06981</v>
      </c>
      <c r="G32" s="9">
        <v>42.759920000000001</v>
      </c>
      <c r="H32" s="9">
        <v>17.447340000000001</v>
      </c>
      <c r="I32" s="9">
        <v>13.60181</v>
      </c>
      <c r="J32" s="9">
        <v>17.102969999999999</v>
      </c>
      <c r="K32" s="9">
        <v>18.443619999999999</v>
      </c>
      <c r="L32" s="9">
        <v>9.3641500000000004</v>
      </c>
      <c r="M32" s="9">
        <v>7.7311000000000014</v>
      </c>
      <c r="N32" s="9">
        <v>1.47672</v>
      </c>
    </row>
    <row r="33" spans="1:14" x14ac:dyDescent="0.25">
      <c r="A33" s="9">
        <v>8</v>
      </c>
      <c r="B33" s="9">
        <v>60.207250000000002</v>
      </c>
      <c r="C33" s="9">
        <v>20.86347</v>
      </c>
      <c r="D33" s="9">
        <v>173.1985</v>
      </c>
      <c r="E33" s="9">
        <v>19.817250000000001</v>
      </c>
      <c r="F33" s="9">
        <v>58.68383</v>
      </c>
      <c r="G33" s="9">
        <v>171.75228000000001</v>
      </c>
      <c r="H33" s="9">
        <v>59.299589999999988</v>
      </c>
      <c r="I33" s="9">
        <v>31.745259999999998</v>
      </c>
      <c r="J33" s="9">
        <v>58.488690000000013</v>
      </c>
      <c r="K33" s="9">
        <v>37.227230000000013</v>
      </c>
      <c r="L33" s="9">
        <v>77.598130000000012</v>
      </c>
      <c r="M33" s="9">
        <v>42.191870000000002</v>
      </c>
      <c r="N33" s="9">
        <v>8.7656499999999991</v>
      </c>
    </row>
    <row r="34" spans="1:14" x14ac:dyDescent="0.25">
      <c r="A34" s="9">
        <v>9</v>
      </c>
      <c r="B34" s="9">
        <v>78.336200000000005</v>
      </c>
      <c r="C34" s="9">
        <v>28.784960000000002</v>
      </c>
      <c r="D34" s="9">
        <v>244.69049000000001</v>
      </c>
      <c r="E34" s="9">
        <v>138.49542</v>
      </c>
      <c r="F34" s="9">
        <v>83.834980000000002</v>
      </c>
      <c r="G34" s="9">
        <v>232.43136999999999</v>
      </c>
      <c r="H34" s="9">
        <v>72.599869999999996</v>
      </c>
      <c r="I34" s="9">
        <v>50.069110000000002</v>
      </c>
      <c r="J34" s="9">
        <v>74.658799999999999</v>
      </c>
      <c r="K34" s="9">
        <v>84.578749999999999</v>
      </c>
      <c r="L34" s="9">
        <v>134.81639999999999</v>
      </c>
      <c r="M34" s="9">
        <v>65.584860000000006</v>
      </c>
      <c r="N34" s="9">
        <v>18.404789999999998</v>
      </c>
    </row>
    <row r="35" spans="1:14" x14ac:dyDescent="0.25">
      <c r="A35" s="9">
        <v>10</v>
      </c>
      <c r="B35" s="9">
        <v>75.921379999999999</v>
      </c>
      <c r="C35" s="9">
        <v>26.482589999999998</v>
      </c>
      <c r="D35" s="9">
        <v>204.43931000000001</v>
      </c>
      <c r="E35" s="9">
        <v>119.87685999999999</v>
      </c>
      <c r="F35" s="9">
        <v>90.415970000000002</v>
      </c>
      <c r="G35" s="9">
        <v>253.27748</v>
      </c>
      <c r="H35" s="9">
        <v>70.171250000000001</v>
      </c>
      <c r="I35" s="9">
        <v>54.935180000000003</v>
      </c>
      <c r="J35" s="9">
        <v>80.366749999999996</v>
      </c>
      <c r="K35" s="9">
        <v>75.486050000000006</v>
      </c>
      <c r="L35" s="9">
        <v>147.87395000000001</v>
      </c>
      <c r="M35" s="9">
        <v>72.559780000000003</v>
      </c>
      <c r="N35" s="9">
        <v>25.34581</v>
      </c>
    </row>
    <row r="36" spans="1:14" x14ac:dyDescent="0.25">
      <c r="A36" s="9">
        <v>11</v>
      </c>
      <c r="B36" s="9">
        <v>89.752880000000005</v>
      </c>
      <c r="C36" s="9">
        <v>34.308010000000003</v>
      </c>
      <c r="D36" s="9">
        <v>256.74932999999999</v>
      </c>
      <c r="E36" s="9">
        <v>154.16726</v>
      </c>
      <c r="F36" s="9">
        <v>51.553280000000001</v>
      </c>
      <c r="G36" s="9">
        <v>271.85611999999998</v>
      </c>
      <c r="H36" s="9">
        <v>81.047229999999999</v>
      </c>
      <c r="I36" s="9">
        <v>58.42342</v>
      </c>
      <c r="J36" s="9">
        <v>80.405369999999991</v>
      </c>
      <c r="K36" s="9">
        <v>101.46762</v>
      </c>
      <c r="L36" s="9">
        <v>144.06465</v>
      </c>
      <c r="M36" s="9">
        <v>77.27846000000001</v>
      </c>
      <c r="N36" s="9">
        <v>25.513719999999999</v>
      </c>
    </row>
    <row r="37" spans="1:14" x14ac:dyDescent="0.25">
      <c r="A37" s="9">
        <v>12</v>
      </c>
      <c r="B37" s="9">
        <v>92.322210000000013</v>
      </c>
      <c r="C37" s="9">
        <v>37.749049999999997</v>
      </c>
      <c r="D37" s="9">
        <v>286.33301</v>
      </c>
      <c r="E37" s="9">
        <v>171.74569</v>
      </c>
      <c r="F37" s="9">
        <v>89.806190000000001</v>
      </c>
      <c r="G37" s="9">
        <v>280.11626999999999</v>
      </c>
      <c r="H37" s="9">
        <v>82.85466000000001</v>
      </c>
      <c r="I37" s="9">
        <v>62.286479999999997</v>
      </c>
      <c r="J37" s="9">
        <v>80.413060000000002</v>
      </c>
      <c r="K37" s="9">
        <v>101.38636</v>
      </c>
      <c r="L37" s="9">
        <v>153.98557</v>
      </c>
      <c r="M37" s="9">
        <v>69.837000000000003</v>
      </c>
      <c r="N37" s="9">
        <v>18.187259999999998</v>
      </c>
    </row>
    <row r="38" spans="1:14" x14ac:dyDescent="0.25">
      <c r="A38" s="9">
        <v>13</v>
      </c>
      <c r="B38" s="9">
        <v>91.449339999999992</v>
      </c>
      <c r="C38" s="9">
        <v>43.331480000000013</v>
      </c>
      <c r="D38" s="9">
        <v>315.59777000000003</v>
      </c>
      <c r="E38" s="9">
        <v>188.70415</v>
      </c>
      <c r="F38" s="9">
        <v>92.111000000000004</v>
      </c>
      <c r="G38" s="9">
        <v>276.63742999999999</v>
      </c>
      <c r="H38" s="9">
        <v>82.233059999999995</v>
      </c>
      <c r="I38" s="9">
        <v>60.031739999999999</v>
      </c>
      <c r="J38" s="9">
        <v>50.908550000000012</v>
      </c>
      <c r="K38" s="9">
        <v>99.000140000000002</v>
      </c>
      <c r="L38" s="9">
        <v>153.38834</v>
      </c>
      <c r="M38" s="9">
        <v>50.538249999999998</v>
      </c>
      <c r="N38" s="9">
        <v>13.403359999999999</v>
      </c>
    </row>
    <row r="39" spans="1:14" x14ac:dyDescent="0.25">
      <c r="A39" s="9">
        <v>14</v>
      </c>
      <c r="B39" s="9">
        <v>88.12557000000001</v>
      </c>
      <c r="C39" s="9">
        <v>40.589919999999999</v>
      </c>
      <c r="D39" s="9">
        <v>313.81011000000001</v>
      </c>
      <c r="E39" s="9">
        <v>187.50425999999999</v>
      </c>
      <c r="F39" s="9">
        <v>83.265339999999995</v>
      </c>
      <c r="G39" s="9">
        <v>266.65224000000001</v>
      </c>
      <c r="H39" s="9">
        <v>80.440750000000008</v>
      </c>
      <c r="I39" s="9">
        <v>50.797330000000002</v>
      </c>
      <c r="J39" s="9">
        <v>80.391550000000009</v>
      </c>
      <c r="K39" s="9">
        <v>98.974330000000009</v>
      </c>
      <c r="L39" s="9">
        <v>151.64182</v>
      </c>
      <c r="M39" s="9">
        <v>47.387590000000003</v>
      </c>
      <c r="N39" s="9">
        <v>10.965070000000001</v>
      </c>
    </row>
    <row r="40" spans="1:14" x14ac:dyDescent="0.25">
      <c r="A40" s="9">
        <v>15</v>
      </c>
      <c r="B40" s="9">
        <v>82.578509999999994</v>
      </c>
      <c r="C40" s="9">
        <v>38.954659999999997</v>
      </c>
      <c r="D40" s="9">
        <v>263.84674000000001</v>
      </c>
      <c r="E40" s="9">
        <v>168.23183</v>
      </c>
      <c r="F40" s="9">
        <v>87.657460000000015</v>
      </c>
      <c r="G40" s="9">
        <v>252.57158999999999</v>
      </c>
      <c r="H40" s="9">
        <v>78.909100000000009</v>
      </c>
      <c r="I40" s="9">
        <v>36.604140000000001</v>
      </c>
      <c r="J40" s="9">
        <v>80.004170000000002</v>
      </c>
      <c r="K40" s="9">
        <v>86.729020000000006</v>
      </c>
      <c r="L40" s="9">
        <v>146.73988</v>
      </c>
      <c r="M40" s="9">
        <v>57.258710000000001</v>
      </c>
      <c r="N40" s="9">
        <v>7.3373699999999999</v>
      </c>
    </row>
    <row r="41" spans="1:14" x14ac:dyDescent="0.25">
      <c r="A41" s="9">
        <v>16</v>
      </c>
      <c r="B41" s="9">
        <v>73.834940000000003</v>
      </c>
      <c r="C41" s="9">
        <v>34.61871</v>
      </c>
      <c r="D41" s="9">
        <v>261.30545000000001</v>
      </c>
      <c r="E41" s="9">
        <v>168.08983000000001</v>
      </c>
      <c r="F41" s="9">
        <v>86.244820000000004</v>
      </c>
      <c r="G41" s="9">
        <v>235.63457</v>
      </c>
      <c r="H41" s="9">
        <v>74.704009999999997</v>
      </c>
      <c r="I41" s="9">
        <v>30.671720000000001</v>
      </c>
      <c r="J41" s="9">
        <v>78.159649999999999</v>
      </c>
      <c r="K41" s="9">
        <v>57.057080000000013</v>
      </c>
      <c r="L41" s="9">
        <v>131.83337</v>
      </c>
      <c r="M41" s="9">
        <v>55.60689</v>
      </c>
      <c r="N41" s="9">
        <v>9.4702599999999997</v>
      </c>
    </row>
    <row r="42" spans="1:14" x14ac:dyDescent="0.25">
      <c r="A42" s="9">
        <v>17</v>
      </c>
      <c r="B42" s="9">
        <v>40.825330000000001</v>
      </c>
      <c r="C42" s="9">
        <v>24.135529999999999</v>
      </c>
      <c r="D42" s="9">
        <v>150.50147999999999</v>
      </c>
      <c r="E42" s="9">
        <v>69.669150000000002</v>
      </c>
      <c r="F42" s="9">
        <v>58.465769999999999</v>
      </c>
      <c r="G42" s="9">
        <v>177.12624</v>
      </c>
      <c r="H42" s="9">
        <v>62.113610000000001</v>
      </c>
      <c r="I42" s="9">
        <v>11.454650000000001</v>
      </c>
      <c r="J42" s="9">
        <v>63.077050000000007</v>
      </c>
      <c r="K42" s="9">
        <v>41.499169999999999</v>
      </c>
      <c r="L42" s="9">
        <v>82.911280000000005</v>
      </c>
      <c r="M42" s="9">
        <v>9.8548799999999996</v>
      </c>
      <c r="N42" s="9">
        <v>4.3602600000000002</v>
      </c>
    </row>
    <row r="43" spans="1:14" x14ac:dyDescent="0.25">
      <c r="A43" s="9">
        <v>18</v>
      </c>
      <c r="B43" s="9">
        <v>11.18713</v>
      </c>
      <c r="C43" s="9">
        <v>7.97241</v>
      </c>
      <c r="D43" s="9">
        <v>33.292119999999997</v>
      </c>
      <c r="E43" s="9">
        <v>33.907120000000013</v>
      </c>
      <c r="F43" s="9">
        <v>20.57771</v>
      </c>
      <c r="G43" s="9">
        <v>51.480230000000013</v>
      </c>
      <c r="H43" s="9">
        <v>13.91872</v>
      </c>
      <c r="I43" s="9">
        <v>7.7686400000000004</v>
      </c>
      <c r="J43" s="9">
        <v>23.773599999999998</v>
      </c>
      <c r="K43" s="9">
        <v>11.35004</v>
      </c>
      <c r="L43" s="9">
        <v>19.324960000000001</v>
      </c>
      <c r="M43" s="9">
        <v>3.5546700000000002</v>
      </c>
      <c r="N43" s="9">
        <v>1.07681</v>
      </c>
    </row>
    <row r="44" spans="1:14" x14ac:dyDescent="0.25">
      <c r="A44" s="9">
        <v>19</v>
      </c>
      <c r="B44" s="9">
        <v>0</v>
      </c>
      <c r="C44" s="9">
        <v>0.32085000000000002</v>
      </c>
      <c r="D44" s="9">
        <v>2.5993300000000001</v>
      </c>
      <c r="E44" s="9">
        <v>0.68400000000000005</v>
      </c>
      <c r="F44" s="9">
        <v>0</v>
      </c>
      <c r="G44" s="9">
        <v>0</v>
      </c>
      <c r="H44" s="9">
        <v>2.7E-4</v>
      </c>
      <c r="I44" s="9">
        <v>0.35519000000000001</v>
      </c>
      <c r="J44" s="9">
        <v>1.19597</v>
      </c>
      <c r="K44" s="9">
        <v>0.11415</v>
      </c>
      <c r="L44" s="9">
        <v>0</v>
      </c>
      <c r="M44" s="9">
        <v>0.17158000000000001</v>
      </c>
      <c r="N44" s="9">
        <v>0</v>
      </c>
    </row>
    <row r="45" spans="1:14" x14ac:dyDescent="0.25">
      <c r="A45" s="9">
        <v>20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9">
        <v>21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9">
        <v>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9">
        <v>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9">
        <v>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1" spans="1:14" ht="18.75" x14ac:dyDescent="0.3">
      <c r="A51" s="4" t="s">
        <v>3151</v>
      </c>
    </row>
    <row r="52" spans="1:14" x14ac:dyDescent="0.25">
      <c r="A52" s="5" t="s">
        <v>3150</v>
      </c>
    </row>
    <row r="53" spans="1:14" x14ac:dyDescent="0.25">
      <c r="B53" s="9" t="s">
        <v>1593</v>
      </c>
      <c r="C53" s="9" t="s">
        <v>1046</v>
      </c>
      <c r="D53" s="9" t="s">
        <v>1458</v>
      </c>
      <c r="E53" s="9" t="s">
        <v>1461</v>
      </c>
      <c r="F53" s="9" t="s">
        <v>1562</v>
      </c>
      <c r="G53" s="9" t="s">
        <v>1567</v>
      </c>
      <c r="H53" s="9" t="s">
        <v>1572</v>
      </c>
      <c r="I53" s="9" t="s">
        <v>1095</v>
      </c>
      <c r="J53" s="9" t="s">
        <v>1101</v>
      </c>
      <c r="K53" s="9" t="s">
        <v>1489</v>
      </c>
      <c r="L53" s="9" t="s">
        <v>1602</v>
      </c>
      <c r="M53" s="9" t="s">
        <v>1476</v>
      </c>
      <c r="N53" s="9" t="s">
        <v>1643</v>
      </c>
    </row>
    <row r="54" spans="1:14" x14ac:dyDescent="0.25">
      <c r="A54" s="6" t="s">
        <v>3148</v>
      </c>
      <c r="B54" s="6" t="s">
        <v>1594</v>
      </c>
      <c r="C54" s="6" t="s">
        <v>1047</v>
      </c>
      <c r="D54" s="6" t="s">
        <v>1459</v>
      </c>
      <c r="E54" s="6" t="s">
        <v>1462</v>
      </c>
      <c r="F54" s="6" t="s">
        <v>1563</v>
      </c>
      <c r="G54" s="6" t="s">
        <v>1568</v>
      </c>
      <c r="H54" s="6" t="s">
        <v>1573</v>
      </c>
      <c r="I54" s="6" t="s">
        <v>542</v>
      </c>
      <c r="J54" s="6" t="s">
        <v>1102</v>
      </c>
      <c r="K54" s="6" t="s">
        <v>1490</v>
      </c>
      <c r="L54" s="6" t="s">
        <v>1603</v>
      </c>
      <c r="M54" s="6" t="s">
        <v>1477</v>
      </c>
      <c r="N54" s="6" t="s">
        <v>1644</v>
      </c>
    </row>
    <row r="55" spans="1:14" x14ac:dyDescent="0.25">
      <c r="A55" s="8"/>
      <c r="B55" s="8" t="s">
        <v>3147</v>
      </c>
      <c r="C55" s="8" t="s">
        <v>3147</v>
      </c>
      <c r="D55" s="8" t="s">
        <v>3147</v>
      </c>
      <c r="E55" s="8" t="s">
        <v>3147</v>
      </c>
      <c r="F55" s="8" t="s">
        <v>3147</v>
      </c>
      <c r="G55" s="8" t="s">
        <v>3147</v>
      </c>
      <c r="H55" s="8" t="s">
        <v>3147</v>
      </c>
      <c r="I55" s="8" t="s">
        <v>3147</v>
      </c>
      <c r="J55" s="8" t="s">
        <v>3147</v>
      </c>
      <c r="K55" s="8" t="s">
        <v>3147</v>
      </c>
      <c r="L55" s="8" t="s">
        <v>3147</v>
      </c>
      <c r="M55" s="8" t="s">
        <v>3147</v>
      </c>
      <c r="N55" s="8" t="s">
        <v>3147</v>
      </c>
    </row>
    <row r="56" spans="1:14" x14ac:dyDescent="0.25">
      <c r="A56" s="9">
        <v>1</v>
      </c>
      <c r="B56" s="9">
        <f>B26/$D$6</f>
        <v>0</v>
      </c>
      <c r="C56" s="9">
        <f>C26/$D$7</f>
        <v>0</v>
      </c>
      <c r="D56" s="9">
        <f>D26/$D$8</f>
        <v>0</v>
      </c>
      <c r="E56" s="9">
        <f>E26/$D$9</f>
        <v>0</v>
      </c>
      <c r="F56" s="9">
        <f>F26/$D$10</f>
        <v>0</v>
      </c>
      <c r="G56" s="9">
        <f>G26/$D$11</f>
        <v>0</v>
      </c>
      <c r="H56" s="9">
        <f>H26/$D$12</f>
        <v>0</v>
      </c>
      <c r="I56" s="9">
        <f>I26/$D$13</f>
        <v>0</v>
      </c>
      <c r="J56" s="9">
        <f>J26/$D$14</f>
        <v>0</v>
      </c>
      <c r="K56" s="9">
        <f>K26/$D$15</f>
        <v>0</v>
      </c>
      <c r="L56" s="9">
        <f>L26/$D$16</f>
        <v>0</v>
      </c>
      <c r="M56" s="9">
        <f>M26/$D$17</f>
        <v>0</v>
      </c>
      <c r="N56" s="9">
        <f>N26/$D$18</f>
        <v>0</v>
      </c>
    </row>
    <row r="57" spans="1:14" x14ac:dyDescent="0.25">
      <c r="A57" s="9">
        <v>2</v>
      </c>
      <c r="B57" s="9">
        <f>B27/$D$6</f>
        <v>0</v>
      </c>
      <c r="C57" s="9">
        <f>C27/$D$7</f>
        <v>0</v>
      </c>
      <c r="D57" s="9">
        <f>D27/$D$8</f>
        <v>0</v>
      </c>
      <c r="E57" s="9">
        <f>E27/$D$9</f>
        <v>0</v>
      </c>
      <c r="F57" s="9">
        <f>F27/$D$10</f>
        <v>0</v>
      </c>
      <c r="G57" s="9">
        <f>G27/$D$11</f>
        <v>0</v>
      </c>
      <c r="H57" s="9">
        <f>H27/$D$12</f>
        <v>0</v>
      </c>
      <c r="I57" s="9">
        <f>I27/$D$13</f>
        <v>0</v>
      </c>
      <c r="J57" s="9">
        <f>J27/$D$14</f>
        <v>0</v>
      </c>
      <c r="K57" s="9">
        <f>K27/$D$15</f>
        <v>0</v>
      </c>
      <c r="L57" s="9">
        <f>L27/$D$16</f>
        <v>0</v>
      </c>
      <c r="M57" s="9">
        <f>M27/$D$17</f>
        <v>0</v>
      </c>
      <c r="N57" s="9">
        <f>N27/$D$18</f>
        <v>0</v>
      </c>
    </row>
    <row r="58" spans="1:14" x14ac:dyDescent="0.25">
      <c r="A58" s="9">
        <v>3</v>
      </c>
      <c r="B58" s="9">
        <f>B28/$D$6</f>
        <v>0</v>
      </c>
      <c r="C58" s="9">
        <f>C28/$D$7</f>
        <v>0</v>
      </c>
      <c r="D58" s="9">
        <f>D28/$D$8</f>
        <v>0</v>
      </c>
      <c r="E58" s="9">
        <f>E28/$D$9</f>
        <v>0</v>
      </c>
      <c r="F58" s="9">
        <f>F28/$D$10</f>
        <v>0</v>
      </c>
      <c r="G58" s="9">
        <f>G28/$D$11</f>
        <v>0</v>
      </c>
      <c r="H58" s="9">
        <f>H28/$D$12</f>
        <v>0</v>
      </c>
      <c r="I58" s="9">
        <f>I28/$D$13</f>
        <v>0</v>
      </c>
      <c r="J58" s="9">
        <f>J28/$D$14</f>
        <v>0</v>
      </c>
      <c r="K58" s="9">
        <f>K28/$D$15</f>
        <v>0</v>
      </c>
      <c r="L58" s="9">
        <f>L28/$D$16</f>
        <v>0</v>
      </c>
      <c r="M58" s="9">
        <f>M28/$D$17</f>
        <v>0</v>
      </c>
      <c r="N58" s="9">
        <f>N28/$D$18</f>
        <v>0</v>
      </c>
    </row>
    <row r="59" spans="1:14" x14ac:dyDescent="0.25">
      <c r="A59" s="9">
        <v>4</v>
      </c>
      <c r="B59" s="9">
        <f>B29/$D$6</f>
        <v>0</v>
      </c>
      <c r="C59" s="9">
        <f>C29/$D$7</f>
        <v>0</v>
      </c>
      <c r="D59" s="9">
        <f>D29/$D$8</f>
        <v>0</v>
      </c>
      <c r="E59" s="9">
        <f>E29/$D$9</f>
        <v>0</v>
      </c>
      <c r="F59" s="9">
        <f>F29/$D$10</f>
        <v>0</v>
      </c>
      <c r="G59" s="9">
        <f>G29/$D$11</f>
        <v>0</v>
      </c>
      <c r="H59" s="9">
        <f>H29/$D$12</f>
        <v>0</v>
      </c>
      <c r="I59" s="9">
        <f>I29/$D$13</f>
        <v>0</v>
      </c>
      <c r="J59" s="9">
        <f>J29/$D$14</f>
        <v>0</v>
      </c>
      <c r="K59" s="9">
        <f>K29/$D$15</f>
        <v>0</v>
      </c>
      <c r="L59" s="9">
        <f>L29/$D$16</f>
        <v>0</v>
      </c>
      <c r="M59" s="9">
        <f>M29/$D$17</f>
        <v>0</v>
      </c>
      <c r="N59" s="9">
        <f>N29/$D$18</f>
        <v>0</v>
      </c>
    </row>
    <row r="60" spans="1:14" x14ac:dyDescent="0.25">
      <c r="A60" s="9">
        <v>5</v>
      </c>
      <c r="B60" s="9">
        <f>B30/$D$6</f>
        <v>0</v>
      </c>
      <c r="C60" s="9">
        <f>C30/$D$7</f>
        <v>0</v>
      </c>
      <c r="D60" s="9">
        <f>D30/$D$8</f>
        <v>0</v>
      </c>
      <c r="E60" s="9">
        <f>E30/$D$9</f>
        <v>0</v>
      </c>
      <c r="F60" s="9">
        <f>F30/$D$10</f>
        <v>0</v>
      </c>
      <c r="G60" s="9">
        <f>G30/$D$11</f>
        <v>0</v>
      </c>
      <c r="H60" s="9">
        <f>H30/$D$12</f>
        <v>0</v>
      </c>
      <c r="I60" s="9">
        <f>I30/$D$13</f>
        <v>0</v>
      </c>
      <c r="J60" s="9">
        <f>J30/$D$14</f>
        <v>0</v>
      </c>
      <c r="K60" s="9">
        <f>K30/$D$15</f>
        <v>0</v>
      </c>
      <c r="L60" s="9">
        <f>L30/$D$16</f>
        <v>0</v>
      </c>
      <c r="M60" s="9">
        <f>M30/$D$17</f>
        <v>0</v>
      </c>
      <c r="N60" s="9">
        <f>N30/$D$18</f>
        <v>0</v>
      </c>
    </row>
    <row r="61" spans="1:14" x14ac:dyDescent="0.25">
      <c r="A61" s="9">
        <v>6</v>
      </c>
      <c r="B61" s="9">
        <f>B31/$D$6</f>
        <v>0</v>
      </c>
      <c r="C61" s="9">
        <f>C31/$D$7</f>
        <v>1.384E-3</v>
      </c>
      <c r="D61" s="9">
        <f>D31/$D$8</f>
        <v>3.6908108108108103E-4</v>
      </c>
      <c r="E61" s="9">
        <f>E31/$D$9</f>
        <v>0</v>
      </c>
      <c r="F61" s="9">
        <f>F31/$D$10</f>
        <v>3.8440000000000002E-4</v>
      </c>
      <c r="G61" s="9">
        <f>G31/$D$11</f>
        <v>0</v>
      </c>
      <c r="H61" s="9">
        <f>H31/$D$12</f>
        <v>0</v>
      </c>
      <c r="I61" s="9">
        <f>I31/$D$13</f>
        <v>1.1713235294117648E-3</v>
      </c>
      <c r="J61" s="9">
        <f>J31/$D$14</f>
        <v>3.4272E-3</v>
      </c>
      <c r="K61" s="9">
        <f>K31/$D$15</f>
        <v>0</v>
      </c>
      <c r="L61" s="9">
        <f>L31/$D$16</f>
        <v>0</v>
      </c>
      <c r="M61" s="9">
        <f>M31/$D$17</f>
        <v>0</v>
      </c>
      <c r="N61" s="9">
        <f>N31/$D$18</f>
        <v>0</v>
      </c>
    </row>
    <row r="62" spans="1:14" x14ac:dyDescent="0.25">
      <c r="A62" s="9">
        <v>7</v>
      </c>
      <c r="B62" s="9">
        <f>B32/$D$6</f>
        <v>0.17582245098039218</v>
      </c>
      <c r="C62" s="9">
        <f>C32/$D$7</f>
        <v>0.10321080000000001</v>
      </c>
      <c r="D62" s="9">
        <f>D32/$D$8</f>
        <v>0.1522781891891892</v>
      </c>
      <c r="E62" s="9">
        <f>E32/$D$9</f>
        <v>0</v>
      </c>
      <c r="F62" s="9">
        <f>F32/$D$10</f>
        <v>0.17069809999999999</v>
      </c>
      <c r="G62" s="9">
        <f>G32/$D$11</f>
        <v>0.14253306666666668</v>
      </c>
      <c r="H62" s="9">
        <f>H32/$D$12</f>
        <v>0.2102089156626506</v>
      </c>
      <c r="I62" s="9">
        <f>I32/$D$13</f>
        <v>0.20002661764705884</v>
      </c>
      <c r="J62" s="9">
        <f>J32/$D$14</f>
        <v>0.17102969999999998</v>
      </c>
      <c r="K62" s="9">
        <f>K32/$D$15</f>
        <v>0.12295746666666667</v>
      </c>
      <c r="L62" s="9">
        <f>L32/$D$16</f>
        <v>5.85259375E-2</v>
      </c>
      <c r="M62" s="9">
        <f>M32/$D$17</f>
        <v>9.6638750000000023E-2</v>
      </c>
      <c r="N62" s="9">
        <f>N32/$D$18</f>
        <v>4.2192E-2</v>
      </c>
    </row>
    <row r="63" spans="1:14" x14ac:dyDescent="0.25">
      <c r="A63" s="9">
        <v>8</v>
      </c>
      <c r="B63" s="9">
        <f>B33/$D$6</f>
        <v>0.59026715686274511</v>
      </c>
      <c r="C63" s="9">
        <f>C33/$D$7</f>
        <v>0.41726940000000001</v>
      </c>
      <c r="D63" s="9">
        <f>D33/$D$8</f>
        <v>0.46810405405405403</v>
      </c>
      <c r="E63" s="9">
        <f>E33/$D$9</f>
        <v>9.9086250000000001E-2</v>
      </c>
      <c r="F63" s="9">
        <f>F33/$D$10</f>
        <v>0.58683830000000003</v>
      </c>
      <c r="G63" s="9">
        <f>G33/$D$11</f>
        <v>0.57250760000000001</v>
      </c>
      <c r="H63" s="9">
        <f>H33/$D$12</f>
        <v>0.7144528915662649</v>
      </c>
      <c r="I63" s="9">
        <f>I33/$D$13</f>
        <v>0.46684205882352936</v>
      </c>
      <c r="J63" s="9">
        <f>J33/$D$14</f>
        <v>0.5848869000000001</v>
      </c>
      <c r="K63" s="9">
        <f>K33/$D$15</f>
        <v>0.24818153333333343</v>
      </c>
      <c r="L63" s="9">
        <f>L33/$D$16</f>
        <v>0.48498831250000007</v>
      </c>
      <c r="M63" s="9">
        <f>M33/$D$17</f>
        <v>0.52739837499999997</v>
      </c>
      <c r="N63" s="9">
        <f>N33/$D$18</f>
        <v>0.25044714285714281</v>
      </c>
    </row>
    <row r="64" spans="1:14" x14ac:dyDescent="0.25">
      <c r="A64" s="9">
        <v>9</v>
      </c>
      <c r="B64" s="9">
        <f>B34/$D$6</f>
        <v>0.76800196078431382</v>
      </c>
      <c r="C64" s="9">
        <f>C34/$D$7</f>
        <v>0.57569920000000008</v>
      </c>
      <c r="D64" s="9">
        <f>D34/$D$8</f>
        <v>0.66132564864864873</v>
      </c>
      <c r="E64" s="9">
        <f>E34/$D$9</f>
        <v>0.69247709999999996</v>
      </c>
      <c r="F64" s="9">
        <f>F34/$D$10</f>
        <v>0.83834980000000003</v>
      </c>
      <c r="G64" s="9">
        <f>G34/$D$11</f>
        <v>0.77477123333333331</v>
      </c>
      <c r="H64" s="9">
        <f>H34/$D$12</f>
        <v>0.87469722891566259</v>
      </c>
      <c r="I64" s="9">
        <f>I34/$D$13</f>
        <v>0.7363104411764706</v>
      </c>
      <c r="J64" s="9">
        <f>J34/$D$14</f>
        <v>0.74658800000000003</v>
      </c>
      <c r="K64" s="9">
        <f>K34/$D$15</f>
        <v>0.56385833333333335</v>
      </c>
      <c r="L64" s="9">
        <f>L34/$D$16</f>
        <v>0.84260249999999992</v>
      </c>
      <c r="M64" s="9">
        <f>M34/$D$17</f>
        <v>0.81981075000000003</v>
      </c>
      <c r="N64" s="9">
        <f>N34/$D$18</f>
        <v>0.52585114285714285</v>
      </c>
    </row>
    <row r="65" spans="1:14" x14ac:dyDescent="0.25">
      <c r="A65" s="9">
        <v>10</v>
      </c>
      <c r="B65" s="9">
        <f>B35/$D$6</f>
        <v>0.74432725490196072</v>
      </c>
      <c r="C65" s="9">
        <f>C35/$D$7</f>
        <v>0.52965180000000001</v>
      </c>
      <c r="D65" s="9">
        <f>D35/$D$8</f>
        <v>0.55253867567567572</v>
      </c>
      <c r="E65" s="9">
        <f>E35/$D$9</f>
        <v>0.59938429999999998</v>
      </c>
      <c r="F65" s="9">
        <f>F35/$D$10</f>
        <v>0.90415970000000001</v>
      </c>
      <c r="G65" s="9">
        <f>G35/$D$11</f>
        <v>0.8442582666666667</v>
      </c>
      <c r="H65" s="9">
        <f>H35/$D$12</f>
        <v>0.84543674698795179</v>
      </c>
      <c r="I65" s="9">
        <f>I35/$D$13</f>
        <v>0.8078702941176471</v>
      </c>
      <c r="J65" s="9">
        <f>J35/$D$14</f>
        <v>0.80366749999999998</v>
      </c>
      <c r="K65" s="9">
        <f>K35/$D$15</f>
        <v>0.5032403333333334</v>
      </c>
      <c r="L65" s="9">
        <f>L35/$D$16</f>
        <v>0.9242121875</v>
      </c>
      <c r="M65" s="9">
        <f>M35/$D$17</f>
        <v>0.90699725000000009</v>
      </c>
      <c r="N65" s="9">
        <f>N35/$D$18</f>
        <v>0.72416599999999998</v>
      </c>
    </row>
    <row r="66" spans="1:14" x14ac:dyDescent="0.25">
      <c r="A66" s="9">
        <v>11</v>
      </c>
      <c r="B66" s="9">
        <f>B36/$D$6</f>
        <v>0.87993019607843137</v>
      </c>
      <c r="C66" s="9">
        <f>C36/$D$7</f>
        <v>0.68616020000000011</v>
      </c>
      <c r="D66" s="9">
        <f>D36/$D$8</f>
        <v>0.69391710810810803</v>
      </c>
      <c r="E66" s="9">
        <f>E36/$D$9</f>
        <v>0.77083630000000003</v>
      </c>
      <c r="F66" s="9">
        <f>F36/$D$10</f>
        <v>0.51553280000000001</v>
      </c>
      <c r="G66" s="9">
        <f>G36/$D$11</f>
        <v>0.9061870666666666</v>
      </c>
      <c r="H66" s="9">
        <f>H36/$D$12</f>
        <v>0.97647265060240962</v>
      </c>
      <c r="I66" s="9">
        <f>I36/$D$13</f>
        <v>0.85916794117647055</v>
      </c>
      <c r="J66" s="9">
        <f>J36/$D$14</f>
        <v>0.80405369999999987</v>
      </c>
      <c r="K66" s="9">
        <f>K36/$D$15</f>
        <v>0.67645080000000002</v>
      </c>
      <c r="L66" s="9">
        <f>L36/$D$16</f>
        <v>0.90040406250000005</v>
      </c>
      <c r="M66" s="9">
        <f>M36/$D$17</f>
        <v>0.96598075000000017</v>
      </c>
      <c r="N66" s="9">
        <f>N36/$D$18</f>
        <v>0.7289634285714286</v>
      </c>
    </row>
    <row r="67" spans="1:14" x14ac:dyDescent="0.25">
      <c r="A67" s="9">
        <v>12</v>
      </c>
      <c r="B67" s="9">
        <f>B37/$D$6</f>
        <v>0.90511970588235302</v>
      </c>
      <c r="C67" s="9">
        <f>C37/$D$7</f>
        <v>0.7549809999999999</v>
      </c>
      <c r="D67" s="9">
        <f>D37/$D$8</f>
        <v>0.77387300000000003</v>
      </c>
      <c r="E67" s="9">
        <f>E37/$D$9</f>
        <v>0.85872844999999998</v>
      </c>
      <c r="F67" s="9">
        <f>F37/$D$10</f>
        <v>0.89806189999999997</v>
      </c>
      <c r="G67" s="9">
        <f>G37/$D$11</f>
        <v>0.93372089999999996</v>
      </c>
      <c r="H67" s="9">
        <f>H37/$D$12</f>
        <v>0.99824891566265073</v>
      </c>
      <c r="I67" s="9">
        <f>I37/$D$13</f>
        <v>0.91597764705882345</v>
      </c>
      <c r="J67" s="9">
        <f>J37/$D$14</f>
        <v>0.80413060000000003</v>
      </c>
      <c r="K67" s="9">
        <f>K37/$D$15</f>
        <v>0.67590906666666661</v>
      </c>
      <c r="L67" s="9">
        <f>L37/$D$16</f>
        <v>0.96240981250000002</v>
      </c>
      <c r="M67" s="9">
        <f>M37/$D$17</f>
        <v>0.87296250000000009</v>
      </c>
      <c r="N67" s="9">
        <f>N37/$D$18</f>
        <v>0.51963599999999999</v>
      </c>
    </row>
    <row r="68" spans="1:14" x14ac:dyDescent="0.25">
      <c r="A68" s="9">
        <v>13</v>
      </c>
      <c r="B68" s="9">
        <f>B38/$D$6</f>
        <v>0.89656215686274499</v>
      </c>
      <c r="C68" s="9">
        <f>C38/$D$7</f>
        <v>0.86662960000000022</v>
      </c>
      <c r="D68" s="9">
        <f>D38/$D$8</f>
        <v>0.85296694594594602</v>
      </c>
      <c r="E68" s="9">
        <f>E38/$D$9</f>
        <v>0.94352075000000002</v>
      </c>
      <c r="F68" s="9">
        <f>F38/$D$10</f>
        <v>0.9211100000000001</v>
      </c>
      <c r="G68" s="9">
        <f>G38/$D$11</f>
        <v>0.92212476666666665</v>
      </c>
      <c r="H68" s="9">
        <f>H38/$D$12</f>
        <v>0.99075975903614455</v>
      </c>
      <c r="I68" s="9">
        <f>I38/$D$13</f>
        <v>0.88281970588235292</v>
      </c>
      <c r="J68" s="9">
        <f>J38/$D$14</f>
        <v>0.50908550000000008</v>
      </c>
      <c r="K68" s="9">
        <f>K38/$D$15</f>
        <v>0.66000093333333332</v>
      </c>
      <c r="L68" s="9">
        <f>L38/$D$16</f>
        <v>0.95867712500000002</v>
      </c>
      <c r="M68" s="9">
        <f>M38/$D$17</f>
        <v>0.63172812499999997</v>
      </c>
      <c r="N68" s="9">
        <f>N38/$D$18</f>
        <v>0.38295314285714283</v>
      </c>
    </row>
    <row r="69" spans="1:14" x14ac:dyDescent="0.25">
      <c r="A69" s="9">
        <v>14</v>
      </c>
      <c r="B69" s="9">
        <f>B39/$D$6</f>
        <v>0.86397617647058833</v>
      </c>
      <c r="C69" s="9">
        <f>C39/$D$7</f>
        <v>0.81179840000000003</v>
      </c>
      <c r="D69" s="9">
        <f>D39/$D$8</f>
        <v>0.8481354324324325</v>
      </c>
      <c r="E69" s="9">
        <f>E39/$D$9</f>
        <v>0.93752129999999989</v>
      </c>
      <c r="F69" s="9">
        <f>F39/$D$10</f>
        <v>0.83265339999999999</v>
      </c>
      <c r="G69" s="9">
        <f>G39/$D$11</f>
        <v>0.88884079999999999</v>
      </c>
      <c r="H69" s="9">
        <f>H39/$D$12</f>
        <v>0.96916566265060256</v>
      </c>
      <c r="I69" s="9">
        <f>I39/$D$13</f>
        <v>0.74701955882352944</v>
      </c>
      <c r="J69" s="9">
        <f>J39/$D$14</f>
        <v>0.80391550000000012</v>
      </c>
      <c r="K69" s="9">
        <f>K39/$D$15</f>
        <v>0.65982886666666674</v>
      </c>
      <c r="L69" s="9">
        <f>L39/$D$16</f>
        <v>0.94776137500000002</v>
      </c>
      <c r="M69" s="9">
        <f>M39/$D$17</f>
        <v>0.59234487499999999</v>
      </c>
      <c r="N69" s="9">
        <f>N39/$D$18</f>
        <v>0.31328771428571428</v>
      </c>
    </row>
    <row r="70" spans="1:14" x14ac:dyDescent="0.25">
      <c r="A70" s="9">
        <v>15</v>
      </c>
      <c r="B70" s="9">
        <f>B40/$D$6</f>
        <v>0.80959323529411764</v>
      </c>
      <c r="C70" s="9">
        <f>C40/$D$7</f>
        <v>0.77909319999999993</v>
      </c>
      <c r="D70" s="9">
        <f>D40/$D$8</f>
        <v>0.71309929729729737</v>
      </c>
      <c r="E70" s="9">
        <f>E40/$D$9</f>
        <v>0.84115914999999997</v>
      </c>
      <c r="F70" s="9">
        <f>F40/$D$10</f>
        <v>0.87657460000000009</v>
      </c>
      <c r="G70" s="9">
        <f>G40/$D$11</f>
        <v>0.84190529999999997</v>
      </c>
      <c r="H70" s="9">
        <f>H40/$D$12</f>
        <v>0.95071204819277122</v>
      </c>
      <c r="I70" s="9">
        <f>I40/$D$13</f>
        <v>0.53829617647058825</v>
      </c>
      <c r="J70" s="9">
        <f>J40/$D$14</f>
        <v>0.80004169999999997</v>
      </c>
      <c r="K70" s="9">
        <f>K40/$D$15</f>
        <v>0.57819346666666671</v>
      </c>
      <c r="L70" s="9">
        <f>L40/$D$16</f>
        <v>0.91712424999999997</v>
      </c>
      <c r="M70" s="9">
        <f>M40/$D$17</f>
        <v>0.71573387499999996</v>
      </c>
      <c r="N70" s="9">
        <f>N40/$D$18</f>
        <v>0.20963914285714286</v>
      </c>
    </row>
    <row r="71" spans="1:14" x14ac:dyDescent="0.25">
      <c r="A71" s="9">
        <v>16</v>
      </c>
      <c r="B71" s="9">
        <f>B41/$D$6</f>
        <v>0.72387196078431371</v>
      </c>
      <c r="C71" s="9">
        <f>C41/$D$7</f>
        <v>0.69237420000000005</v>
      </c>
      <c r="D71" s="9">
        <f>D41/$D$8</f>
        <v>0.70623094594594593</v>
      </c>
      <c r="E71" s="9">
        <f>E41/$D$9</f>
        <v>0.84044914999999998</v>
      </c>
      <c r="F71" s="9">
        <f>F41/$D$10</f>
        <v>0.8624482</v>
      </c>
      <c r="G71" s="9">
        <f>G41/$D$11</f>
        <v>0.78544856666666663</v>
      </c>
      <c r="H71" s="9">
        <f>H41/$D$12</f>
        <v>0.90004831325301204</v>
      </c>
      <c r="I71" s="9">
        <f>I41/$D$13</f>
        <v>0.45105470588235297</v>
      </c>
      <c r="J71" s="9">
        <f>J41/$D$14</f>
        <v>0.78159650000000003</v>
      </c>
      <c r="K71" s="9">
        <f>K41/$D$15</f>
        <v>0.38038053333333344</v>
      </c>
      <c r="L71" s="9">
        <f>L41/$D$16</f>
        <v>0.82395856249999999</v>
      </c>
      <c r="M71" s="9">
        <f>M41/$D$17</f>
        <v>0.695086125</v>
      </c>
      <c r="N71" s="9">
        <f>N41/$D$18</f>
        <v>0.27057885714285712</v>
      </c>
    </row>
    <row r="72" spans="1:14" x14ac:dyDescent="0.25">
      <c r="A72" s="9">
        <v>17</v>
      </c>
      <c r="B72" s="9">
        <f>B42/$D$6</f>
        <v>0.40024833333333332</v>
      </c>
      <c r="C72" s="9">
        <f>C42/$D$7</f>
        <v>0.48271059999999999</v>
      </c>
      <c r="D72" s="9">
        <f>D42/$D$8</f>
        <v>0.40676075675675671</v>
      </c>
      <c r="E72" s="9">
        <f>E42/$D$9</f>
        <v>0.34834575000000001</v>
      </c>
      <c r="F72" s="9">
        <f>F42/$D$10</f>
        <v>0.58465769999999995</v>
      </c>
      <c r="G72" s="9">
        <f>G42/$D$11</f>
        <v>0.59042079999999997</v>
      </c>
      <c r="H72" s="9">
        <f>H42/$D$12</f>
        <v>0.74835674698795185</v>
      </c>
      <c r="I72" s="9">
        <f>I42/$D$13</f>
        <v>0.16845073529411766</v>
      </c>
      <c r="J72" s="9">
        <f>J42/$D$14</f>
        <v>0.63077050000000012</v>
      </c>
      <c r="K72" s="9">
        <f>K42/$D$15</f>
        <v>0.27666113333333331</v>
      </c>
      <c r="L72" s="9">
        <f>L42/$D$16</f>
        <v>0.51819550000000003</v>
      </c>
      <c r="M72" s="9">
        <f>M42/$D$17</f>
        <v>0.12318599999999999</v>
      </c>
      <c r="N72" s="9">
        <f>N42/$D$18</f>
        <v>0.12457885714285714</v>
      </c>
    </row>
    <row r="73" spans="1:14" x14ac:dyDescent="0.25">
      <c r="A73" s="9">
        <v>18</v>
      </c>
      <c r="B73" s="9">
        <f>B43/$D$6</f>
        <v>0.10967774509803921</v>
      </c>
      <c r="C73" s="9">
        <f>C43/$D$7</f>
        <v>0.15944820000000001</v>
      </c>
      <c r="D73" s="9">
        <f>D43/$D$8</f>
        <v>8.9978702702702695E-2</v>
      </c>
      <c r="E73" s="9">
        <f>E43/$D$9</f>
        <v>0.16953560000000006</v>
      </c>
      <c r="F73" s="9">
        <f>F43/$D$10</f>
        <v>0.20577709999999999</v>
      </c>
      <c r="G73" s="9">
        <f>G43/$D$11</f>
        <v>0.17160076666666671</v>
      </c>
      <c r="H73" s="9">
        <f>H43/$D$12</f>
        <v>0.167695421686747</v>
      </c>
      <c r="I73" s="9">
        <f>I43/$D$13</f>
        <v>0.11424470588235294</v>
      </c>
      <c r="J73" s="9">
        <f>J43/$D$14</f>
        <v>0.23773599999999998</v>
      </c>
      <c r="K73" s="9">
        <f>K43/$D$15</f>
        <v>7.5666933333333339E-2</v>
      </c>
      <c r="L73" s="9">
        <f>L43/$D$16</f>
        <v>0.120781</v>
      </c>
      <c r="M73" s="9">
        <f>M43/$D$17</f>
        <v>4.4433375000000004E-2</v>
      </c>
      <c r="N73" s="9">
        <f>N43/$D$18</f>
        <v>3.0766000000000002E-2</v>
      </c>
    </row>
    <row r="74" spans="1:14" x14ac:dyDescent="0.25">
      <c r="A74" s="9">
        <v>19</v>
      </c>
      <c r="B74" s="9">
        <f>B44/$D$6</f>
        <v>0</v>
      </c>
      <c r="C74" s="9">
        <f>C44/$D$7</f>
        <v>6.4170000000000008E-3</v>
      </c>
      <c r="D74" s="9">
        <f>D44/$D$8</f>
        <v>7.0252162162162167E-3</v>
      </c>
      <c r="E74" s="9">
        <f>E44/$D$9</f>
        <v>3.4200000000000003E-3</v>
      </c>
      <c r="F74" s="9">
        <f>F44/$D$10</f>
        <v>0</v>
      </c>
      <c r="G74" s="9">
        <f>G44/$D$11</f>
        <v>0</v>
      </c>
      <c r="H74" s="9">
        <f>H44/$D$12</f>
        <v>3.2530120481927713E-6</v>
      </c>
      <c r="I74" s="9">
        <f>I44/$D$13</f>
        <v>5.2233823529411767E-3</v>
      </c>
      <c r="J74" s="9">
        <f>J44/$D$14</f>
        <v>1.19597E-2</v>
      </c>
      <c r="K74" s="9">
        <f>K44/$D$15</f>
        <v>7.6099999999999996E-4</v>
      </c>
      <c r="L74" s="9">
        <f>L44/$D$16</f>
        <v>0</v>
      </c>
      <c r="M74" s="9">
        <f>M44/$D$17</f>
        <v>2.14475E-3</v>
      </c>
      <c r="N74" s="9">
        <f>N44/$D$18</f>
        <v>0</v>
      </c>
    </row>
    <row r="75" spans="1:14" x14ac:dyDescent="0.25">
      <c r="A75" s="9">
        <v>20</v>
      </c>
      <c r="B75" s="9">
        <f>B45/$D$6</f>
        <v>0</v>
      </c>
      <c r="C75" s="9">
        <f>C45/$D$7</f>
        <v>0</v>
      </c>
      <c r="D75" s="9">
        <f>D45/$D$8</f>
        <v>0</v>
      </c>
      <c r="E75" s="9">
        <f>E45/$D$9</f>
        <v>0</v>
      </c>
      <c r="F75" s="9">
        <f>F45/$D$10</f>
        <v>0</v>
      </c>
      <c r="G75" s="9">
        <f>G45/$D$11</f>
        <v>0</v>
      </c>
      <c r="H75" s="9">
        <f>H45/$D$12</f>
        <v>0</v>
      </c>
      <c r="I75" s="9">
        <f>I45/$D$13</f>
        <v>0</v>
      </c>
      <c r="J75" s="9">
        <f>J45/$D$14</f>
        <v>0</v>
      </c>
      <c r="K75" s="9">
        <f>K45/$D$15</f>
        <v>0</v>
      </c>
      <c r="L75" s="9">
        <f>L45/$D$16</f>
        <v>0</v>
      </c>
      <c r="M75" s="9">
        <f>M45/$D$17</f>
        <v>0</v>
      </c>
      <c r="N75" s="9">
        <f>N45/$D$18</f>
        <v>0</v>
      </c>
    </row>
    <row r="76" spans="1:14" x14ac:dyDescent="0.25">
      <c r="A76" s="9">
        <v>21</v>
      </c>
      <c r="B76" s="9">
        <f>B46/$D$6</f>
        <v>0</v>
      </c>
      <c r="C76" s="9">
        <f>C46/$D$7</f>
        <v>0</v>
      </c>
      <c r="D76" s="9">
        <f>D46/$D$8</f>
        <v>0</v>
      </c>
      <c r="E76" s="9">
        <f>E46/$D$9</f>
        <v>0</v>
      </c>
      <c r="F76" s="9">
        <f>F46/$D$10</f>
        <v>0</v>
      </c>
      <c r="G76" s="9">
        <f>G46/$D$11</f>
        <v>0</v>
      </c>
      <c r="H76" s="9">
        <f>H46/$D$12</f>
        <v>0</v>
      </c>
      <c r="I76" s="9">
        <f>I46/$D$13</f>
        <v>0</v>
      </c>
      <c r="J76" s="9">
        <f>J46/$D$14</f>
        <v>0</v>
      </c>
      <c r="K76" s="9">
        <f>K46/$D$15</f>
        <v>0</v>
      </c>
      <c r="L76" s="9">
        <f>L46/$D$16</f>
        <v>0</v>
      </c>
      <c r="M76" s="9">
        <f>M46/$D$17</f>
        <v>0</v>
      </c>
      <c r="N76" s="9">
        <f>N46/$D$18</f>
        <v>0</v>
      </c>
    </row>
    <row r="77" spans="1:14" x14ac:dyDescent="0.25">
      <c r="A77" s="9">
        <v>22</v>
      </c>
      <c r="B77" s="9">
        <f>B47/$D$6</f>
        <v>0</v>
      </c>
      <c r="C77" s="9">
        <f>C47/$D$7</f>
        <v>0</v>
      </c>
      <c r="D77" s="9">
        <f>D47/$D$8</f>
        <v>0</v>
      </c>
      <c r="E77" s="9">
        <f>E47/$D$9</f>
        <v>0</v>
      </c>
      <c r="F77" s="9">
        <f>F47/$D$10</f>
        <v>0</v>
      </c>
      <c r="G77" s="9">
        <f>G47/$D$11</f>
        <v>0</v>
      </c>
      <c r="H77" s="9">
        <f>H47/$D$12</f>
        <v>0</v>
      </c>
      <c r="I77" s="9">
        <f>I47/$D$13</f>
        <v>0</v>
      </c>
      <c r="J77" s="9">
        <f>J47/$D$14</f>
        <v>0</v>
      </c>
      <c r="K77" s="9">
        <f>K47/$D$15</f>
        <v>0</v>
      </c>
      <c r="L77" s="9">
        <f>L47/$D$16</f>
        <v>0</v>
      </c>
      <c r="M77" s="9">
        <f>M47/$D$17</f>
        <v>0</v>
      </c>
      <c r="N77" s="9">
        <f>N47/$D$18</f>
        <v>0</v>
      </c>
    </row>
    <row r="78" spans="1:14" x14ac:dyDescent="0.25">
      <c r="A78" s="9">
        <v>23</v>
      </c>
      <c r="B78" s="9">
        <f>B48/$D$6</f>
        <v>0</v>
      </c>
      <c r="C78" s="9">
        <f>C48/$D$7</f>
        <v>0</v>
      </c>
      <c r="D78" s="9">
        <f>D48/$D$8</f>
        <v>0</v>
      </c>
      <c r="E78" s="9">
        <f>E48/$D$9</f>
        <v>0</v>
      </c>
      <c r="F78" s="9">
        <f>F48/$D$10</f>
        <v>0</v>
      </c>
      <c r="G78" s="9">
        <f>G48/$D$11</f>
        <v>0</v>
      </c>
      <c r="H78" s="9">
        <f>H48/$D$12</f>
        <v>0</v>
      </c>
      <c r="I78" s="9">
        <f>I48/$D$13</f>
        <v>0</v>
      </c>
      <c r="J78" s="9">
        <f>J48/$D$14</f>
        <v>0</v>
      </c>
      <c r="K78" s="9">
        <f>K48/$D$15</f>
        <v>0</v>
      </c>
      <c r="L78" s="9">
        <f>L48/$D$16</f>
        <v>0</v>
      </c>
      <c r="M78" s="9">
        <f>M48/$D$17</f>
        <v>0</v>
      </c>
      <c r="N78" s="9">
        <f>N48/$D$18</f>
        <v>0</v>
      </c>
    </row>
    <row r="79" spans="1:14" x14ac:dyDescent="0.25">
      <c r="A79" s="9">
        <v>24</v>
      </c>
      <c r="B79" s="9">
        <f>B49/$D$6</f>
        <v>0</v>
      </c>
      <c r="C79" s="9">
        <f>C49/$D$7</f>
        <v>0</v>
      </c>
      <c r="D79" s="9">
        <f>D49/$D$8</f>
        <v>0</v>
      </c>
      <c r="E79" s="9">
        <f>E49/$D$9</f>
        <v>0</v>
      </c>
      <c r="F79" s="9">
        <f>F49/$D$10</f>
        <v>0</v>
      </c>
      <c r="G79" s="9">
        <f>G49/$D$11</f>
        <v>0</v>
      </c>
      <c r="H79" s="9">
        <f>H49/$D$12</f>
        <v>0</v>
      </c>
      <c r="I79" s="9">
        <f>I49/$D$13</f>
        <v>0</v>
      </c>
      <c r="J79" s="9">
        <f>J49/$D$14</f>
        <v>0</v>
      </c>
      <c r="K79" s="9">
        <f>K49/$D$15</f>
        <v>0</v>
      </c>
      <c r="L79" s="9">
        <f>L49/$D$16</f>
        <v>0</v>
      </c>
      <c r="M79" s="9">
        <f>M49/$D$17</f>
        <v>0</v>
      </c>
      <c r="N79" s="9">
        <f>N49/$D$18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353"/>
  <sheetViews>
    <sheetView workbookViewId="0">
      <pane ySplit="1" topLeftCell="A46" activePane="bottomLeft" state="frozen"/>
      <selection pane="bottomLeft" activeCell="B46" sqref="B46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834</v>
      </c>
      <c r="G1" s="1" t="s">
        <v>948</v>
      </c>
      <c r="H1" s="1" t="s">
        <v>949</v>
      </c>
      <c r="I1" s="1" t="s">
        <v>950</v>
      </c>
      <c r="J1" s="1" t="s">
        <v>836</v>
      </c>
      <c r="K1" s="1" t="s">
        <v>837</v>
      </c>
      <c r="L1" s="1" t="s">
        <v>838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848</v>
      </c>
      <c r="R1" s="1" t="s">
        <v>955</v>
      </c>
      <c r="S1" s="1" t="s">
        <v>956</v>
      </c>
      <c r="T1" s="1" t="s">
        <v>957</v>
      </c>
      <c r="U1" t="s">
        <v>958</v>
      </c>
      <c r="V1" t="s">
        <v>959</v>
      </c>
    </row>
    <row r="2" spans="1:22" hidden="1" x14ac:dyDescent="0.25">
      <c r="B2" t="s">
        <v>502</v>
      </c>
      <c r="C2" t="s">
        <v>960</v>
      </c>
      <c r="D2" t="s">
        <v>960</v>
      </c>
      <c r="E2" t="s">
        <v>207</v>
      </c>
      <c r="F2" t="s">
        <v>530</v>
      </c>
      <c r="G2" t="s">
        <v>961</v>
      </c>
      <c r="J2">
        <v>9.8000000000000007</v>
      </c>
      <c r="K2">
        <v>0</v>
      </c>
      <c r="L2" t="b">
        <v>0</v>
      </c>
      <c r="M2">
        <v>9.8000000000000007</v>
      </c>
      <c r="N2" t="s">
        <v>499</v>
      </c>
      <c r="O2" t="s">
        <v>500</v>
      </c>
      <c r="P2">
        <v>7</v>
      </c>
      <c r="Q2" s="2">
        <v>46209</v>
      </c>
      <c r="T2" t="s">
        <v>962</v>
      </c>
      <c r="U2" t="b">
        <v>0</v>
      </c>
      <c r="V2" t="b">
        <v>0</v>
      </c>
    </row>
    <row r="3" spans="1:22" hidden="1" x14ac:dyDescent="0.25">
      <c r="B3" t="s">
        <v>503</v>
      </c>
      <c r="C3" t="s">
        <v>960</v>
      </c>
      <c r="D3" t="s">
        <v>960</v>
      </c>
      <c r="E3" t="s">
        <v>23</v>
      </c>
      <c r="F3" t="s">
        <v>94</v>
      </c>
      <c r="G3" t="s">
        <v>961</v>
      </c>
      <c r="J3">
        <v>199.5</v>
      </c>
      <c r="K3">
        <v>5</v>
      </c>
      <c r="L3" t="b">
        <v>0</v>
      </c>
      <c r="M3">
        <v>180</v>
      </c>
      <c r="N3" t="s">
        <v>499</v>
      </c>
      <c r="O3" t="s">
        <v>500</v>
      </c>
      <c r="P3">
        <v>8</v>
      </c>
      <c r="Q3" s="2">
        <v>46209</v>
      </c>
      <c r="T3" t="s">
        <v>963</v>
      </c>
      <c r="U3" t="b">
        <v>0</v>
      </c>
      <c r="V3" t="b">
        <v>0</v>
      </c>
    </row>
    <row r="4" spans="1:22" hidden="1" x14ac:dyDescent="0.25">
      <c r="B4" t="s">
        <v>504</v>
      </c>
      <c r="C4" t="s">
        <v>960</v>
      </c>
      <c r="D4" t="s">
        <v>960</v>
      </c>
      <c r="E4" t="s">
        <v>23</v>
      </c>
      <c r="F4" t="s">
        <v>531</v>
      </c>
      <c r="G4" t="s">
        <v>961</v>
      </c>
      <c r="J4">
        <v>1.1000000000000001</v>
      </c>
      <c r="K4">
        <v>0</v>
      </c>
      <c r="L4" t="b">
        <v>0</v>
      </c>
      <c r="M4">
        <v>1.1000000000000001</v>
      </c>
      <c r="N4" t="s">
        <v>499</v>
      </c>
      <c r="O4" t="s">
        <v>500</v>
      </c>
      <c r="P4">
        <v>9</v>
      </c>
      <c r="Q4" s="2">
        <v>46209</v>
      </c>
      <c r="T4" t="s">
        <v>964</v>
      </c>
      <c r="U4" t="b">
        <v>1</v>
      </c>
      <c r="V4" t="b">
        <v>0</v>
      </c>
    </row>
    <row r="5" spans="1:22" hidden="1" x14ac:dyDescent="0.25">
      <c r="B5" t="s">
        <v>965</v>
      </c>
      <c r="C5" t="s">
        <v>960</v>
      </c>
      <c r="D5" t="s">
        <v>960</v>
      </c>
      <c r="E5" t="s">
        <v>23</v>
      </c>
      <c r="F5" t="s">
        <v>239</v>
      </c>
      <c r="G5" t="s">
        <v>961</v>
      </c>
      <c r="J5">
        <v>3.2250000000000001</v>
      </c>
      <c r="K5">
        <v>0</v>
      </c>
      <c r="L5" t="b">
        <v>0</v>
      </c>
      <c r="M5">
        <v>3.2250000000000001</v>
      </c>
      <c r="N5" t="s">
        <v>499</v>
      </c>
      <c r="O5" t="s">
        <v>500</v>
      </c>
      <c r="P5">
        <v>10</v>
      </c>
      <c r="Q5" s="2">
        <v>46209</v>
      </c>
      <c r="T5" t="s">
        <v>966</v>
      </c>
      <c r="U5" t="b">
        <v>1</v>
      </c>
      <c r="V5" t="b">
        <v>0</v>
      </c>
    </row>
    <row r="6" spans="1:22" hidden="1" x14ac:dyDescent="0.25">
      <c r="B6" t="s">
        <v>967</v>
      </c>
      <c r="C6" t="s">
        <v>960</v>
      </c>
      <c r="D6" t="s">
        <v>960</v>
      </c>
      <c r="E6" t="s">
        <v>23</v>
      </c>
      <c r="F6" t="s">
        <v>240</v>
      </c>
      <c r="G6" t="s">
        <v>961</v>
      </c>
      <c r="J6">
        <v>1.6</v>
      </c>
      <c r="K6">
        <v>0</v>
      </c>
      <c r="L6" t="b">
        <v>0</v>
      </c>
      <c r="M6">
        <v>1.6</v>
      </c>
      <c r="N6" t="s">
        <v>499</v>
      </c>
      <c r="O6" t="s">
        <v>500</v>
      </c>
      <c r="P6">
        <v>11</v>
      </c>
      <c r="Q6" s="2">
        <v>46209</v>
      </c>
      <c r="T6" t="s">
        <v>968</v>
      </c>
      <c r="U6" t="b">
        <v>1</v>
      </c>
      <c r="V6" t="b">
        <v>0</v>
      </c>
    </row>
    <row r="7" spans="1:22" hidden="1" x14ac:dyDescent="0.25">
      <c r="B7" t="s">
        <v>969</v>
      </c>
      <c r="C7" t="s">
        <v>960</v>
      </c>
      <c r="D7" t="s">
        <v>960</v>
      </c>
      <c r="E7" t="s">
        <v>23</v>
      </c>
      <c r="F7" t="s">
        <v>239</v>
      </c>
      <c r="G7" t="s">
        <v>961</v>
      </c>
      <c r="J7">
        <v>1.149</v>
      </c>
      <c r="K7">
        <v>0</v>
      </c>
      <c r="L7" t="b">
        <v>0</v>
      </c>
      <c r="M7">
        <v>1.06</v>
      </c>
      <c r="N7" t="s">
        <v>499</v>
      </c>
      <c r="O7" t="s">
        <v>500</v>
      </c>
      <c r="P7">
        <v>12</v>
      </c>
      <c r="Q7" s="2">
        <v>46209</v>
      </c>
      <c r="T7" t="s">
        <v>970</v>
      </c>
      <c r="U7" t="b">
        <v>1</v>
      </c>
      <c r="V7" t="b">
        <v>0</v>
      </c>
    </row>
    <row r="8" spans="1:22" hidden="1" x14ac:dyDescent="0.25">
      <c r="B8" t="s">
        <v>971</v>
      </c>
      <c r="C8" t="s">
        <v>960</v>
      </c>
      <c r="D8" t="s">
        <v>960</v>
      </c>
      <c r="E8" t="s">
        <v>23</v>
      </c>
      <c r="F8" t="s">
        <v>239</v>
      </c>
      <c r="G8" t="s">
        <v>961</v>
      </c>
      <c r="J8">
        <v>4</v>
      </c>
      <c r="K8">
        <v>0</v>
      </c>
      <c r="L8" t="b">
        <v>0</v>
      </c>
      <c r="M8">
        <v>4</v>
      </c>
      <c r="N8" t="s">
        <v>499</v>
      </c>
      <c r="O8" t="s">
        <v>500</v>
      </c>
      <c r="P8">
        <v>13</v>
      </c>
      <c r="Q8" s="2">
        <v>46209</v>
      </c>
      <c r="T8" t="s">
        <v>972</v>
      </c>
      <c r="U8" t="b">
        <v>1</v>
      </c>
      <c r="V8" t="b">
        <v>0</v>
      </c>
    </row>
    <row r="9" spans="1:22" hidden="1" x14ac:dyDescent="0.25">
      <c r="B9" t="s">
        <v>973</v>
      </c>
      <c r="C9" t="s">
        <v>960</v>
      </c>
      <c r="D9" t="s">
        <v>960</v>
      </c>
      <c r="E9" t="s">
        <v>23</v>
      </c>
      <c r="F9" t="s">
        <v>239</v>
      </c>
      <c r="G9" t="s">
        <v>961</v>
      </c>
      <c r="J9">
        <v>6.45</v>
      </c>
      <c r="K9">
        <v>0</v>
      </c>
      <c r="L9" t="b">
        <v>0</v>
      </c>
      <c r="M9">
        <v>4.9000000000000004</v>
      </c>
      <c r="N9" t="s">
        <v>499</v>
      </c>
      <c r="O9" t="s">
        <v>500</v>
      </c>
      <c r="P9">
        <v>14</v>
      </c>
      <c r="Q9" s="2">
        <v>46209</v>
      </c>
      <c r="T9" t="s">
        <v>974</v>
      </c>
      <c r="U9" t="b">
        <v>1</v>
      </c>
      <c r="V9" t="b">
        <v>0</v>
      </c>
    </row>
    <row r="10" spans="1:22" hidden="1" x14ac:dyDescent="0.25">
      <c r="B10" t="s">
        <v>975</v>
      </c>
      <c r="C10" t="s">
        <v>960</v>
      </c>
      <c r="D10" t="s">
        <v>960</v>
      </c>
      <c r="E10" t="s">
        <v>23</v>
      </c>
      <c r="F10" t="s">
        <v>239</v>
      </c>
      <c r="G10" t="s">
        <v>961</v>
      </c>
      <c r="J10">
        <v>3.4</v>
      </c>
      <c r="K10">
        <v>0</v>
      </c>
      <c r="L10" t="b">
        <v>0</v>
      </c>
      <c r="M10">
        <v>3.4</v>
      </c>
      <c r="N10" t="s">
        <v>499</v>
      </c>
      <c r="O10" t="s">
        <v>500</v>
      </c>
      <c r="P10">
        <v>15</v>
      </c>
      <c r="Q10" s="2">
        <v>46209</v>
      </c>
      <c r="T10" t="s">
        <v>976</v>
      </c>
      <c r="U10" t="b">
        <v>1</v>
      </c>
      <c r="V10" t="b">
        <v>0</v>
      </c>
    </row>
    <row r="11" spans="1:22" hidden="1" x14ac:dyDescent="0.25">
      <c r="B11" t="s">
        <v>977</v>
      </c>
      <c r="C11" t="s">
        <v>960</v>
      </c>
      <c r="D11" t="s">
        <v>960</v>
      </c>
      <c r="E11" t="s">
        <v>23</v>
      </c>
      <c r="F11" t="s">
        <v>240</v>
      </c>
      <c r="G11" t="s">
        <v>961</v>
      </c>
      <c r="J11">
        <v>19.899999999999999</v>
      </c>
      <c r="K11">
        <v>0</v>
      </c>
      <c r="L11" t="b">
        <v>0</v>
      </c>
      <c r="M11">
        <v>0</v>
      </c>
      <c r="N11" t="s">
        <v>499</v>
      </c>
      <c r="O11" t="s">
        <v>500</v>
      </c>
      <c r="P11">
        <v>16</v>
      </c>
      <c r="Q11" s="2">
        <v>46209</v>
      </c>
      <c r="T11" t="s">
        <v>978</v>
      </c>
      <c r="U11" t="b">
        <v>1</v>
      </c>
      <c r="V11" t="b">
        <v>0</v>
      </c>
    </row>
    <row r="12" spans="1:22" hidden="1" x14ac:dyDescent="0.25">
      <c r="B12" t="s">
        <v>543</v>
      </c>
      <c r="C12" t="s">
        <v>960</v>
      </c>
      <c r="D12" t="s">
        <v>960</v>
      </c>
      <c r="E12" t="s">
        <v>23</v>
      </c>
      <c r="F12" t="s">
        <v>240</v>
      </c>
      <c r="G12" t="s">
        <v>961</v>
      </c>
      <c r="J12">
        <v>9.9</v>
      </c>
      <c r="K12">
        <v>0</v>
      </c>
      <c r="L12" t="b">
        <v>0</v>
      </c>
      <c r="M12">
        <v>9</v>
      </c>
      <c r="N12" t="s">
        <v>499</v>
      </c>
      <c r="O12" t="s">
        <v>500</v>
      </c>
      <c r="P12">
        <v>17</v>
      </c>
      <c r="Q12" s="2">
        <v>46209</v>
      </c>
      <c r="T12" t="s">
        <v>979</v>
      </c>
      <c r="U12" t="b">
        <v>1</v>
      </c>
      <c r="V12" t="b">
        <v>0</v>
      </c>
    </row>
    <row r="13" spans="1:22" hidden="1" x14ac:dyDescent="0.25">
      <c r="B13" t="s">
        <v>980</v>
      </c>
      <c r="C13" t="s">
        <v>960</v>
      </c>
      <c r="D13" t="s">
        <v>960</v>
      </c>
      <c r="E13" t="s">
        <v>23</v>
      </c>
      <c r="F13" t="s">
        <v>239</v>
      </c>
      <c r="G13" t="s">
        <v>961</v>
      </c>
      <c r="J13">
        <v>2.4500000000000002</v>
      </c>
      <c r="K13">
        <v>0</v>
      </c>
      <c r="L13" t="b">
        <v>0</v>
      </c>
      <c r="M13">
        <v>2.4500000000000002</v>
      </c>
      <c r="N13" t="s">
        <v>499</v>
      </c>
      <c r="O13" t="s">
        <v>500</v>
      </c>
      <c r="P13">
        <v>18</v>
      </c>
      <c r="Q13" s="2">
        <v>46209</v>
      </c>
      <c r="T13" t="s">
        <v>981</v>
      </c>
      <c r="U13" t="b">
        <v>1</v>
      </c>
      <c r="V13" t="b">
        <v>0</v>
      </c>
    </row>
    <row r="14" spans="1:22" hidden="1" x14ac:dyDescent="0.25">
      <c r="B14" t="s">
        <v>982</v>
      </c>
      <c r="C14" t="s">
        <v>960</v>
      </c>
      <c r="D14" t="s">
        <v>960</v>
      </c>
      <c r="E14" t="s">
        <v>23</v>
      </c>
      <c r="F14" t="s">
        <v>239</v>
      </c>
      <c r="G14" t="s">
        <v>961</v>
      </c>
      <c r="J14">
        <v>6.9980000000000002</v>
      </c>
      <c r="K14">
        <v>0</v>
      </c>
      <c r="L14" t="b">
        <v>0</v>
      </c>
      <c r="M14">
        <v>4.99</v>
      </c>
      <c r="N14" t="s">
        <v>499</v>
      </c>
      <c r="O14" t="s">
        <v>500</v>
      </c>
      <c r="P14">
        <v>19</v>
      </c>
      <c r="Q14" s="2">
        <v>46209</v>
      </c>
      <c r="T14" t="s">
        <v>983</v>
      </c>
      <c r="U14" t="b">
        <v>1</v>
      </c>
      <c r="V14" t="b">
        <v>0</v>
      </c>
    </row>
    <row r="15" spans="1:22" hidden="1" x14ac:dyDescent="0.25">
      <c r="B15" t="s">
        <v>984</v>
      </c>
      <c r="C15" t="s">
        <v>960</v>
      </c>
      <c r="D15" t="s">
        <v>960</v>
      </c>
      <c r="E15" t="s">
        <v>23</v>
      </c>
      <c r="F15" t="s">
        <v>239</v>
      </c>
      <c r="G15" t="s">
        <v>961</v>
      </c>
      <c r="J15">
        <v>7.4</v>
      </c>
      <c r="K15">
        <v>0</v>
      </c>
      <c r="L15" t="b">
        <v>0</v>
      </c>
      <c r="M15">
        <v>4.99</v>
      </c>
      <c r="N15" t="s">
        <v>499</v>
      </c>
      <c r="O15" t="s">
        <v>500</v>
      </c>
      <c r="P15">
        <v>20</v>
      </c>
      <c r="Q15" s="2">
        <v>46209</v>
      </c>
      <c r="T15" t="s">
        <v>985</v>
      </c>
      <c r="U15" t="b">
        <v>1</v>
      </c>
      <c r="V15" t="b">
        <v>0</v>
      </c>
    </row>
    <row r="16" spans="1:22" hidden="1" x14ac:dyDescent="0.25">
      <c r="B16" t="s">
        <v>986</v>
      </c>
      <c r="C16" t="s">
        <v>960</v>
      </c>
      <c r="D16" t="s">
        <v>960</v>
      </c>
      <c r="E16" t="s">
        <v>23</v>
      </c>
      <c r="F16" t="s">
        <v>239</v>
      </c>
      <c r="G16" t="s">
        <v>961</v>
      </c>
      <c r="J16">
        <v>2.9</v>
      </c>
      <c r="K16">
        <v>0</v>
      </c>
      <c r="L16" t="b">
        <v>0</v>
      </c>
      <c r="M16">
        <v>2.9</v>
      </c>
      <c r="N16" t="s">
        <v>499</v>
      </c>
      <c r="O16" t="s">
        <v>500</v>
      </c>
      <c r="P16">
        <v>21</v>
      </c>
      <c r="Q16" s="2">
        <v>46209</v>
      </c>
      <c r="T16" t="s">
        <v>987</v>
      </c>
      <c r="U16" t="b">
        <v>1</v>
      </c>
      <c r="V16" t="b">
        <v>0</v>
      </c>
    </row>
    <row r="17" spans="2:22" hidden="1" x14ac:dyDescent="0.25">
      <c r="B17" t="s">
        <v>988</v>
      </c>
      <c r="C17" t="s">
        <v>960</v>
      </c>
      <c r="D17" t="s">
        <v>960</v>
      </c>
      <c r="E17" t="s">
        <v>23</v>
      </c>
      <c r="F17" t="s">
        <v>239</v>
      </c>
      <c r="G17" t="s">
        <v>961</v>
      </c>
      <c r="J17">
        <v>1.92</v>
      </c>
      <c r="K17">
        <v>0</v>
      </c>
      <c r="L17" t="b">
        <v>0</v>
      </c>
      <c r="M17">
        <v>1.92</v>
      </c>
      <c r="N17" t="s">
        <v>499</v>
      </c>
      <c r="O17" t="s">
        <v>500</v>
      </c>
      <c r="P17">
        <v>22</v>
      </c>
      <c r="Q17" s="2">
        <v>46209</v>
      </c>
      <c r="T17" t="s">
        <v>989</v>
      </c>
      <c r="U17" t="b">
        <v>1</v>
      </c>
      <c r="V17" t="b">
        <v>0</v>
      </c>
    </row>
    <row r="18" spans="2:22" hidden="1" x14ac:dyDescent="0.25">
      <c r="B18" t="s">
        <v>990</v>
      </c>
      <c r="C18" t="s">
        <v>960</v>
      </c>
      <c r="D18" t="s">
        <v>960</v>
      </c>
      <c r="E18" t="s">
        <v>23</v>
      </c>
      <c r="F18" t="s">
        <v>905</v>
      </c>
      <c r="G18" t="s">
        <v>961</v>
      </c>
      <c r="J18">
        <v>4.08</v>
      </c>
      <c r="K18">
        <v>0</v>
      </c>
      <c r="L18" t="b">
        <v>0</v>
      </c>
      <c r="M18">
        <v>4.08</v>
      </c>
      <c r="N18" t="s">
        <v>499</v>
      </c>
      <c r="O18" t="s">
        <v>500</v>
      </c>
      <c r="P18">
        <v>23</v>
      </c>
      <c r="Q18" s="2">
        <v>46209</v>
      </c>
      <c r="T18" t="s">
        <v>991</v>
      </c>
      <c r="U18" t="b">
        <v>1</v>
      </c>
      <c r="V18" t="b">
        <v>0</v>
      </c>
    </row>
    <row r="19" spans="2:22" hidden="1" x14ac:dyDescent="0.25">
      <c r="B19" t="s">
        <v>992</v>
      </c>
      <c r="C19" t="s">
        <v>960</v>
      </c>
      <c r="D19" t="s">
        <v>960</v>
      </c>
      <c r="E19" t="s">
        <v>23</v>
      </c>
      <c r="F19" t="s">
        <v>239</v>
      </c>
      <c r="G19" t="s">
        <v>961</v>
      </c>
      <c r="J19">
        <v>10.8</v>
      </c>
      <c r="K19">
        <v>0.09</v>
      </c>
      <c r="L19" t="b">
        <v>0</v>
      </c>
      <c r="M19">
        <v>9</v>
      </c>
      <c r="N19" t="s">
        <v>499</v>
      </c>
      <c r="O19" t="s">
        <v>500</v>
      </c>
      <c r="P19">
        <v>24</v>
      </c>
      <c r="Q19" s="2">
        <v>46209</v>
      </c>
      <c r="T19" t="s">
        <v>993</v>
      </c>
      <c r="U19" t="b">
        <v>1</v>
      </c>
      <c r="V19" t="b">
        <v>0</v>
      </c>
    </row>
    <row r="20" spans="2:22" hidden="1" x14ac:dyDescent="0.25">
      <c r="B20" t="s">
        <v>994</v>
      </c>
      <c r="C20" t="s">
        <v>960</v>
      </c>
      <c r="D20" t="s">
        <v>960</v>
      </c>
      <c r="E20" t="s">
        <v>23</v>
      </c>
      <c r="F20" t="s">
        <v>238</v>
      </c>
      <c r="G20" t="s">
        <v>961</v>
      </c>
      <c r="J20">
        <v>1.3919999999999999</v>
      </c>
      <c r="K20">
        <v>0</v>
      </c>
      <c r="L20" t="b">
        <v>0</v>
      </c>
      <c r="M20">
        <v>1.3919999999999999</v>
      </c>
      <c r="N20" t="s">
        <v>499</v>
      </c>
      <c r="O20" t="s">
        <v>500</v>
      </c>
      <c r="P20">
        <v>25</v>
      </c>
      <c r="Q20" s="2">
        <v>46209</v>
      </c>
      <c r="T20" t="s">
        <v>995</v>
      </c>
      <c r="U20" t="b">
        <v>1</v>
      </c>
      <c r="V20" t="b">
        <v>0</v>
      </c>
    </row>
    <row r="21" spans="2:22" hidden="1" x14ac:dyDescent="0.25">
      <c r="B21" t="s">
        <v>996</v>
      </c>
      <c r="C21" t="s">
        <v>960</v>
      </c>
      <c r="D21" t="s">
        <v>960</v>
      </c>
      <c r="E21" t="s">
        <v>207</v>
      </c>
      <c r="F21" t="s">
        <v>239</v>
      </c>
      <c r="G21" t="s">
        <v>961</v>
      </c>
      <c r="J21">
        <v>3.3</v>
      </c>
      <c r="K21">
        <v>0</v>
      </c>
      <c r="L21" t="b">
        <v>0</v>
      </c>
      <c r="M21">
        <v>3.3</v>
      </c>
      <c r="N21" t="s">
        <v>499</v>
      </c>
      <c r="O21" t="s">
        <v>500</v>
      </c>
      <c r="P21">
        <v>26</v>
      </c>
      <c r="Q21" s="2">
        <v>46209</v>
      </c>
      <c r="T21" t="s">
        <v>997</v>
      </c>
      <c r="U21" t="b">
        <v>1</v>
      </c>
      <c r="V21" t="b">
        <v>0</v>
      </c>
    </row>
    <row r="22" spans="2:22" hidden="1" x14ac:dyDescent="0.25">
      <c r="B22" t="s">
        <v>998</v>
      </c>
      <c r="C22" t="s">
        <v>960</v>
      </c>
      <c r="D22" t="s">
        <v>960</v>
      </c>
      <c r="E22" t="s">
        <v>23</v>
      </c>
      <c r="F22" t="s">
        <v>615</v>
      </c>
      <c r="G22" t="s">
        <v>961</v>
      </c>
      <c r="J22">
        <v>4.8250000000000002</v>
      </c>
      <c r="K22">
        <v>0</v>
      </c>
      <c r="L22" t="b">
        <v>0</v>
      </c>
      <c r="M22">
        <v>4.8250000000000002</v>
      </c>
      <c r="N22" t="s">
        <v>499</v>
      </c>
      <c r="O22" t="s">
        <v>500</v>
      </c>
      <c r="P22">
        <v>27</v>
      </c>
      <c r="Q22" s="2">
        <v>46209</v>
      </c>
      <c r="T22" t="s">
        <v>999</v>
      </c>
      <c r="U22" t="b">
        <v>1</v>
      </c>
      <c r="V22" t="b">
        <v>0</v>
      </c>
    </row>
    <row r="23" spans="2:22" hidden="1" x14ac:dyDescent="0.25">
      <c r="B23" t="s">
        <v>1000</v>
      </c>
      <c r="C23" t="s">
        <v>960</v>
      </c>
      <c r="D23" t="s">
        <v>960</v>
      </c>
      <c r="E23" t="s">
        <v>23</v>
      </c>
      <c r="F23" t="s">
        <v>95</v>
      </c>
      <c r="G23" t="s">
        <v>961</v>
      </c>
      <c r="J23">
        <v>7.2</v>
      </c>
      <c r="K23">
        <v>0</v>
      </c>
      <c r="L23" t="b">
        <v>0</v>
      </c>
      <c r="M23">
        <v>6.6</v>
      </c>
      <c r="N23" t="s">
        <v>499</v>
      </c>
      <c r="O23" t="s">
        <v>500</v>
      </c>
      <c r="P23">
        <v>28</v>
      </c>
      <c r="Q23" s="2">
        <v>46209</v>
      </c>
      <c r="T23" t="s">
        <v>1001</v>
      </c>
      <c r="U23" t="b">
        <v>1</v>
      </c>
      <c r="V23" t="b">
        <v>0</v>
      </c>
    </row>
    <row r="24" spans="2:22" hidden="1" x14ac:dyDescent="0.25">
      <c r="B24" t="s">
        <v>1002</v>
      </c>
      <c r="C24" t="s">
        <v>960</v>
      </c>
      <c r="D24" t="s">
        <v>960</v>
      </c>
      <c r="E24" t="s">
        <v>207</v>
      </c>
      <c r="F24" t="s">
        <v>614</v>
      </c>
      <c r="G24" t="s">
        <v>961</v>
      </c>
      <c r="J24">
        <v>4.9000000000000004</v>
      </c>
      <c r="K24">
        <v>0</v>
      </c>
      <c r="L24" t="b">
        <v>0</v>
      </c>
      <c r="M24">
        <v>4.9000000000000004</v>
      </c>
      <c r="N24" t="s">
        <v>499</v>
      </c>
      <c r="O24" t="s">
        <v>500</v>
      </c>
      <c r="P24">
        <v>29</v>
      </c>
      <c r="Q24" s="2">
        <v>46209</v>
      </c>
      <c r="T24" t="s">
        <v>1003</v>
      </c>
      <c r="U24" t="b">
        <v>1</v>
      </c>
      <c r="V24" t="b">
        <v>0</v>
      </c>
    </row>
    <row r="25" spans="2:22" hidden="1" x14ac:dyDescent="0.25">
      <c r="B25" t="s">
        <v>1004</v>
      </c>
      <c r="C25" t="s">
        <v>960</v>
      </c>
      <c r="D25" t="s">
        <v>960</v>
      </c>
      <c r="E25" t="s">
        <v>23</v>
      </c>
      <c r="F25" t="s">
        <v>615</v>
      </c>
      <c r="G25" t="s">
        <v>961</v>
      </c>
      <c r="J25">
        <v>1.8</v>
      </c>
      <c r="K25">
        <v>0</v>
      </c>
      <c r="L25" t="b">
        <v>0</v>
      </c>
      <c r="M25">
        <v>1.8</v>
      </c>
      <c r="N25" t="s">
        <v>499</v>
      </c>
      <c r="O25" t="s">
        <v>500</v>
      </c>
      <c r="P25">
        <v>30</v>
      </c>
      <c r="Q25" s="2">
        <v>46209</v>
      </c>
      <c r="T25" t="s">
        <v>1005</v>
      </c>
      <c r="U25" t="b">
        <v>1</v>
      </c>
      <c r="V25" t="b">
        <v>0</v>
      </c>
    </row>
    <row r="26" spans="2:22" hidden="1" x14ac:dyDescent="0.25">
      <c r="B26" t="s">
        <v>1006</v>
      </c>
      <c r="C26" t="s">
        <v>960</v>
      </c>
      <c r="D26" t="s">
        <v>960</v>
      </c>
      <c r="E26" t="s">
        <v>207</v>
      </c>
      <c r="F26" t="s">
        <v>239</v>
      </c>
      <c r="G26" t="s">
        <v>961</v>
      </c>
      <c r="J26">
        <v>3.3</v>
      </c>
      <c r="K26">
        <v>0</v>
      </c>
      <c r="L26" t="b">
        <v>0</v>
      </c>
      <c r="M26">
        <v>3.3</v>
      </c>
      <c r="N26" t="s">
        <v>499</v>
      </c>
      <c r="O26" t="s">
        <v>500</v>
      </c>
      <c r="P26">
        <v>31</v>
      </c>
      <c r="Q26" s="2">
        <v>46209</v>
      </c>
      <c r="T26" t="s">
        <v>1007</v>
      </c>
      <c r="U26" t="b">
        <v>1</v>
      </c>
      <c r="V26" t="b">
        <v>0</v>
      </c>
    </row>
    <row r="27" spans="2:22" hidden="1" x14ac:dyDescent="0.25">
      <c r="B27" t="s">
        <v>1008</v>
      </c>
      <c r="C27" t="s">
        <v>960</v>
      </c>
      <c r="D27" t="s">
        <v>960</v>
      </c>
      <c r="E27" t="s">
        <v>23</v>
      </c>
      <c r="F27" t="s">
        <v>95</v>
      </c>
      <c r="G27" t="s">
        <v>961</v>
      </c>
      <c r="J27">
        <v>3.2</v>
      </c>
      <c r="K27">
        <v>0</v>
      </c>
      <c r="L27" t="b">
        <v>0</v>
      </c>
      <c r="M27">
        <v>3.2</v>
      </c>
      <c r="N27" t="s">
        <v>499</v>
      </c>
      <c r="O27" t="s">
        <v>500</v>
      </c>
      <c r="P27">
        <v>32</v>
      </c>
      <c r="Q27" s="2">
        <v>46209</v>
      </c>
      <c r="T27" t="s">
        <v>1009</v>
      </c>
      <c r="U27" t="b">
        <v>1</v>
      </c>
      <c r="V27" t="b">
        <v>0</v>
      </c>
    </row>
    <row r="28" spans="2:22" hidden="1" x14ac:dyDescent="0.25">
      <c r="B28" t="s">
        <v>1010</v>
      </c>
      <c r="C28" t="s">
        <v>960</v>
      </c>
      <c r="D28" t="s">
        <v>960</v>
      </c>
      <c r="E28" t="s">
        <v>23</v>
      </c>
      <c r="F28" t="s">
        <v>238</v>
      </c>
      <c r="G28" t="s">
        <v>961</v>
      </c>
      <c r="J28">
        <v>1.4059999999999999</v>
      </c>
      <c r="K28">
        <v>0</v>
      </c>
      <c r="L28" t="b">
        <v>0</v>
      </c>
      <c r="M28">
        <v>1.4059999999999999</v>
      </c>
      <c r="N28" t="s">
        <v>499</v>
      </c>
      <c r="O28" t="s">
        <v>500</v>
      </c>
      <c r="P28">
        <v>33</v>
      </c>
      <c r="Q28" s="2">
        <v>46209</v>
      </c>
      <c r="T28" t="s">
        <v>1011</v>
      </c>
      <c r="U28" t="b">
        <v>1</v>
      </c>
      <c r="V28" t="b">
        <v>0</v>
      </c>
    </row>
    <row r="29" spans="2:22" hidden="1" x14ac:dyDescent="0.25">
      <c r="B29" t="s">
        <v>1012</v>
      </c>
      <c r="C29" t="s">
        <v>960</v>
      </c>
      <c r="D29" t="s">
        <v>960</v>
      </c>
      <c r="E29" t="s">
        <v>207</v>
      </c>
      <c r="F29" t="s">
        <v>239</v>
      </c>
      <c r="G29" t="s">
        <v>961</v>
      </c>
      <c r="J29">
        <v>3.3</v>
      </c>
      <c r="K29">
        <v>0</v>
      </c>
      <c r="L29" t="b">
        <v>0</v>
      </c>
      <c r="M29">
        <v>3.3</v>
      </c>
      <c r="N29" t="s">
        <v>499</v>
      </c>
      <c r="O29" t="s">
        <v>500</v>
      </c>
      <c r="P29">
        <v>34</v>
      </c>
      <c r="Q29" s="2">
        <v>46209</v>
      </c>
      <c r="T29" t="s">
        <v>1013</v>
      </c>
      <c r="U29" t="b">
        <v>1</v>
      </c>
      <c r="V29" t="b">
        <v>0</v>
      </c>
    </row>
    <row r="30" spans="2:22" hidden="1" x14ac:dyDescent="0.25">
      <c r="B30" t="s">
        <v>1014</v>
      </c>
      <c r="C30" t="s">
        <v>960</v>
      </c>
      <c r="D30" t="s">
        <v>960</v>
      </c>
      <c r="E30" t="s">
        <v>23</v>
      </c>
      <c r="F30" t="s">
        <v>95</v>
      </c>
      <c r="G30" t="s">
        <v>961</v>
      </c>
      <c r="J30">
        <v>3.4</v>
      </c>
      <c r="K30">
        <v>0</v>
      </c>
      <c r="L30" t="b">
        <v>0</v>
      </c>
      <c r="M30">
        <v>0</v>
      </c>
      <c r="N30" t="s">
        <v>499</v>
      </c>
      <c r="O30" t="s">
        <v>500</v>
      </c>
      <c r="P30">
        <v>35</v>
      </c>
      <c r="Q30" s="2">
        <v>46209</v>
      </c>
      <c r="T30" t="s">
        <v>1015</v>
      </c>
      <c r="U30" t="b">
        <v>1</v>
      </c>
      <c r="V30" t="b">
        <v>0</v>
      </c>
    </row>
    <row r="31" spans="2:22" hidden="1" x14ac:dyDescent="0.25">
      <c r="B31" t="s">
        <v>1016</v>
      </c>
      <c r="C31" t="s">
        <v>960</v>
      </c>
      <c r="D31" t="s">
        <v>960</v>
      </c>
      <c r="E31" t="s">
        <v>207</v>
      </c>
      <c r="F31" t="s">
        <v>239</v>
      </c>
      <c r="G31" t="s">
        <v>961</v>
      </c>
      <c r="J31">
        <v>19.899999999999999</v>
      </c>
      <c r="K31">
        <v>0</v>
      </c>
      <c r="L31" t="b">
        <v>0</v>
      </c>
      <c r="M31">
        <v>0</v>
      </c>
      <c r="N31" t="s">
        <v>499</v>
      </c>
      <c r="O31" t="s">
        <v>500</v>
      </c>
      <c r="P31">
        <v>36</v>
      </c>
      <c r="Q31" s="2">
        <v>46209</v>
      </c>
      <c r="T31" t="s">
        <v>1017</v>
      </c>
      <c r="U31" t="b">
        <v>1</v>
      </c>
      <c r="V31" t="b">
        <v>0</v>
      </c>
    </row>
    <row r="32" spans="2:22" hidden="1" x14ac:dyDescent="0.25">
      <c r="B32" t="s">
        <v>1018</v>
      </c>
      <c r="C32" t="s">
        <v>960</v>
      </c>
      <c r="D32" t="s">
        <v>960</v>
      </c>
      <c r="E32" t="s">
        <v>207</v>
      </c>
      <c r="F32" t="s">
        <v>239</v>
      </c>
      <c r="G32" t="s">
        <v>961</v>
      </c>
      <c r="J32">
        <v>4.99</v>
      </c>
      <c r="K32">
        <v>0</v>
      </c>
      <c r="L32" t="b">
        <v>0</v>
      </c>
      <c r="M32">
        <v>4.99</v>
      </c>
      <c r="N32" t="s">
        <v>499</v>
      </c>
      <c r="O32" t="s">
        <v>500</v>
      </c>
      <c r="P32">
        <v>37</v>
      </c>
      <c r="Q32" s="2">
        <v>46209</v>
      </c>
      <c r="T32" t="s">
        <v>1019</v>
      </c>
      <c r="U32" t="b">
        <v>1</v>
      </c>
      <c r="V32" t="b">
        <v>0</v>
      </c>
    </row>
    <row r="33" spans="1:22" hidden="1" x14ac:dyDescent="0.25">
      <c r="B33" t="s">
        <v>1020</v>
      </c>
      <c r="C33" t="s">
        <v>960</v>
      </c>
      <c r="D33" t="s">
        <v>960</v>
      </c>
      <c r="E33" t="s">
        <v>23</v>
      </c>
      <c r="F33" t="s">
        <v>614</v>
      </c>
      <c r="G33" t="s">
        <v>961</v>
      </c>
      <c r="J33">
        <v>2</v>
      </c>
      <c r="K33">
        <v>0</v>
      </c>
      <c r="L33" t="b">
        <v>0</v>
      </c>
      <c r="M33">
        <v>0</v>
      </c>
      <c r="N33" t="s">
        <v>499</v>
      </c>
      <c r="O33" t="s">
        <v>500</v>
      </c>
      <c r="P33">
        <v>38</v>
      </c>
      <c r="Q33" s="2">
        <v>46209</v>
      </c>
      <c r="T33" t="s">
        <v>1021</v>
      </c>
      <c r="U33" t="b">
        <v>1</v>
      </c>
      <c r="V33" t="b">
        <v>0</v>
      </c>
    </row>
    <row r="34" spans="1:22" hidden="1" x14ac:dyDescent="0.25">
      <c r="B34" t="s">
        <v>1022</v>
      </c>
      <c r="C34" t="s">
        <v>960</v>
      </c>
      <c r="D34" t="s">
        <v>960</v>
      </c>
      <c r="E34" t="s">
        <v>23</v>
      </c>
      <c r="F34" t="s">
        <v>615</v>
      </c>
      <c r="G34" t="s">
        <v>961</v>
      </c>
      <c r="J34">
        <v>1.8</v>
      </c>
      <c r="K34">
        <v>0</v>
      </c>
      <c r="L34" t="b">
        <v>0</v>
      </c>
      <c r="M34">
        <v>1.8</v>
      </c>
      <c r="N34" t="s">
        <v>499</v>
      </c>
      <c r="O34" t="s">
        <v>500</v>
      </c>
      <c r="P34">
        <v>39</v>
      </c>
      <c r="Q34" s="2">
        <v>46209</v>
      </c>
      <c r="T34" t="s">
        <v>1023</v>
      </c>
      <c r="U34" t="b">
        <v>1</v>
      </c>
      <c r="V34" t="b">
        <v>0</v>
      </c>
    </row>
    <row r="35" spans="1:22" hidden="1" x14ac:dyDescent="0.25">
      <c r="B35" t="s">
        <v>1024</v>
      </c>
      <c r="C35" t="s">
        <v>960</v>
      </c>
      <c r="D35" t="s">
        <v>960</v>
      </c>
      <c r="E35" t="s">
        <v>207</v>
      </c>
      <c r="F35" t="s">
        <v>531</v>
      </c>
      <c r="G35" t="s">
        <v>961</v>
      </c>
      <c r="J35">
        <v>1.353</v>
      </c>
      <c r="K35">
        <v>0</v>
      </c>
      <c r="L35" t="b">
        <v>0</v>
      </c>
      <c r="M35">
        <v>0.996</v>
      </c>
      <c r="N35" t="s">
        <v>499</v>
      </c>
      <c r="O35" t="s">
        <v>500</v>
      </c>
      <c r="P35">
        <v>40</v>
      </c>
      <c r="Q35" s="2">
        <v>46209</v>
      </c>
      <c r="T35" t="s">
        <v>1025</v>
      </c>
      <c r="U35" t="b">
        <v>0</v>
      </c>
      <c r="V35" t="b">
        <v>0</v>
      </c>
    </row>
    <row r="36" spans="1:22" hidden="1" x14ac:dyDescent="0.25">
      <c r="B36" t="s">
        <v>1026</v>
      </c>
      <c r="C36" t="s">
        <v>960</v>
      </c>
      <c r="D36" t="s">
        <v>960</v>
      </c>
      <c r="E36" t="s">
        <v>207</v>
      </c>
      <c r="F36" t="s">
        <v>579</v>
      </c>
      <c r="G36" t="s">
        <v>961</v>
      </c>
      <c r="J36">
        <v>24.68</v>
      </c>
      <c r="K36">
        <v>1.99</v>
      </c>
      <c r="L36" t="b">
        <v>0</v>
      </c>
      <c r="M36">
        <v>19.899999999999999</v>
      </c>
      <c r="N36" t="s">
        <v>499</v>
      </c>
      <c r="O36" t="s">
        <v>500</v>
      </c>
      <c r="P36">
        <v>41</v>
      </c>
      <c r="Q36" s="2">
        <v>46209</v>
      </c>
      <c r="T36" t="s">
        <v>1027</v>
      </c>
      <c r="U36" t="b">
        <v>0</v>
      </c>
      <c r="V36" t="b">
        <v>0</v>
      </c>
    </row>
    <row r="37" spans="1:22" hidden="1" x14ac:dyDescent="0.25">
      <c r="B37" t="s">
        <v>1028</v>
      </c>
      <c r="C37" t="s">
        <v>960</v>
      </c>
      <c r="D37" t="s">
        <v>960</v>
      </c>
      <c r="E37" t="s">
        <v>207</v>
      </c>
      <c r="F37" t="s">
        <v>579</v>
      </c>
      <c r="G37" t="s">
        <v>961</v>
      </c>
      <c r="J37">
        <v>22.66</v>
      </c>
      <c r="K37">
        <v>1.99</v>
      </c>
      <c r="L37" t="b">
        <v>0</v>
      </c>
      <c r="M37">
        <v>17.899999999999999</v>
      </c>
      <c r="N37" t="s">
        <v>499</v>
      </c>
      <c r="O37" t="s">
        <v>500</v>
      </c>
      <c r="P37">
        <v>42</v>
      </c>
      <c r="Q37" s="2">
        <v>46209</v>
      </c>
      <c r="T37" t="s">
        <v>1029</v>
      </c>
      <c r="U37" t="b">
        <v>0</v>
      </c>
      <c r="V37" t="b">
        <v>0</v>
      </c>
    </row>
    <row r="38" spans="1:22" hidden="1" x14ac:dyDescent="0.25">
      <c r="B38" t="s">
        <v>1030</v>
      </c>
      <c r="C38" t="s">
        <v>960</v>
      </c>
      <c r="D38" t="s">
        <v>960</v>
      </c>
      <c r="E38" t="s">
        <v>207</v>
      </c>
      <c r="F38" t="s">
        <v>94</v>
      </c>
      <c r="G38" t="s">
        <v>961</v>
      </c>
      <c r="J38">
        <v>19.899999999999999</v>
      </c>
      <c r="K38">
        <v>1.29</v>
      </c>
      <c r="L38" t="b">
        <v>0</v>
      </c>
      <c r="M38">
        <v>19.899999999999999</v>
      </c>
      <c r="N38" t="s">
        <v>499</v>
      </c>
      <c r="O38" t="s">
        <v>500</v>
      </c>
      <c r="P38">
        <v>43</v>
      </c>
      <c r="Q38" s="2">
        <v>46209</v>
      </c>
      <c r="T38" t="s">
        <v>1031</v>
      </c>
      <c r="U38" t="b">
        <v>0</v>
      </c>
      <c r="V38" t="b">
        <v>0</v>
      </c>
    </row>
    <row r="39" spans="1:22" hidden="1" x14ac:dyDescent="0.25">
      <c r="B39" t="s">
        <v>1032</v>
      </c>
      <c r="C39" t="s">
        <v>960</v>
      </c>
      <c r="D39" t="s">
        <v>960</v>
      </c>
      <c r="E39" t="s">
        <v>207</v>
      </c>
      <c r="F39" t="s">
        <v>94</v>
      </c>
      <c r="G39" t="s">
        <v>961</v>
      </c>
      <c r="J39">
        <v>19.899999999999999</v>
      </c>
      <c r="K39">
        <v>1.29</v>
      </c>
      <c r="L39" t="b">
        <v>0</v>
      </c>
      <c r="M39">
        <v>19.899999999999999</v>
      </c>
      <c r="N39" t="s">
        <v>499</v>
      </c>
      <c r="O39" t="s">
        <v>500</v>
      </c>
      <c r="P39">
        <v>44</v>
      </c>
      <c r="Q39" s="2">
        <v>46209</v>
      </c>
      <c r="T39" t="s">
        <v>1033</v>
      </c>
      <c r="U39" t="b">
        <v>0</v>
      </c>
      <c r="V39" t="b">
        <v>0</v>
      </c>
    </row>
    <row r="40" spans="1:22" hidden="1" x14ac:dyDescent="0.25">
      <c r="B40" t="s">
        <v>1034</v>
      </c>
      <c r="C40" t="s">
        <v>960</v>
      </c>
      <c r="D40" t="s">
        <v>960</v>
      </c>
      <c r="E40" t="s">
        <v>207</v>
      </c>
      <c r="F40" t="s">
        <v>94</v>
      </c>
      <c r="G40" t="s">
        <v>961</v>
      </c>
      <c r="J40">
        <v>19.899999999999999</v>
      </c>
      <c r="K40">
        <v>1.29</v>
      </c>
      <c r="L40" t="b">
        <v>0</v>
      </c>
      <c r="M40">
        <v>19.899999999999999</v>
      </c>
      <c r="N40" t="s">
        <v>499</v>
      </c>
      <c r="O40" t="s">
        <v>500</v>
      </c>
      <c r="P40">
        <v>45</v>
      </c>
      <c r="Q40" s="2">
        <v>46209</v>
      </c>
      <c r="T40" t="s">
        <v>1035</v>
      </c>
      <c r="U40" t="b">
        <v>0</v>
      </c>
      <c r="V40" t="b">
        <v>0</v>
      </c>
    </row>
    <row r="41" spans="1:22" hidden="1" x14ac:dyDescent="0.25">
      <c r="B41" t="s">
        <v>1036</v>
      </c>
      <c r="C41" t="s">
        <v>960</v>
      </c>
      <c r="D41" t="s">
        <v>960</v>
      </c>
      <c r="E41" t="s">
        <v>207</v>
      </c>
      <c r="F41" t="s">
        <v>94</v>
      </c>
      <c r="G41" t="s">
        <v>961</v>
      </c>
      <c r="J41">
        <v>19.899999999999999</v>
      </c>
      <c r="K41">
        <v>1.29</v>
      </c>
      <c r="L41" t="b">
        <v>0</v>
      </c>
      <c r="M41">
        <v>19.899999999999999</v>
      </c>
      <c r="N41" t="s">
        <v>499</v>
      </c>
      <c r="O41" t="s">
        <v>500</v>
      </c>
      <c r="P41">
        <v>46</v>
      </c>
      <c r="Q41" s="2">
        <v>46209</v>
      </c>
      <c r="T41" t="s">
        <v>1037</v>
      </c>
      <c r="U41" t="b">
        <v>0</v>
      </c>
      <c r="V41" t="b">
        <v>0</v>
      </c>
    </row>
    <row r="42" spans="1:22" hidden="1" x14ac:dyDescent="0.25">
      <c r="B42" t="s">
        <v>1038</v>
      </c>
      <c r="C42" t="s">
        <v>960</v>
      </c>
      <c r="D42" t="s">
        <v>960</v>
      </c>
      <c r="E42" t="s">
        <v>207</v>
      </c>
      <c r="F42" t="s">
        <v>94</v>
      </c>
      <c r="G42" t="s">
        <v>961</v>
      </c>
      <c r="J42">
        <v>19.899999999999999</v>
      </c>
      <c r="K42">
        <v>1.29</v>
      </c>
      <c r="L42" t="b">
        <v>0</v>
      </c>
      <c r="M42">
        <v>19.899999999999999</v>
      </c>
      <c r="N42" t="s">
        <v>499</v>
      </c>
      <c r="O42" t="s">
        <v>500</v>
      </c>
      <c r="P42">
        <v>47</v>
      </c>
      <c r="Q42" s="2">
        <v>46209</v>
      </c>
      <c r="T42" t="s">
        <v>1039</v>
      </c>
      <c r="U42" t="b">
        <v>0</v>
      </c>
      <c r="V42" t="b">
        <v>0</v>
      </c>
    </row>
    <row r="43" spans="1:22" hidden="1" x14ac:dyDescent="0.25">
      <c r="B43" t="s">
        <v>1040</v>
      </c>
      <c r="C43" t="s">
        <v>960</v>
      </c>
      <c r="D43" t="s">
        <v>960</v>
      </c>
      <c r="E43" t="s">
        <v>23</v>
      </c>
      <c r="F43" t="s">
        <v>823</v>
      </c>
      <c r="G43" t="s">
        <v>961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499</v>
      </c>
      <c r="O43" t="s">
        <v>500</v>
      </c>
      <c r="P43">
        <v>48</v>
      </c>
      <c r="Q43" s="2">
        <v>46209</v>
      </c>
      <c r="T43" t="s">
        <v>1041</v>
      </c>
      <c r="U43" t="b">
        <v>0</v>
      </c>
      <c r="V43" t="b">
        <v>0</v>
      </c>
    </row>
    <row r="44" spans="1:22" hidden="1" x14ac:dyDescent="0.25">
      <c r="B44" t="s">
        <v>1042</v>
      </c>
      <c r="C44" t="s">
        <v>960</v>
      </c>
      <c r="D44" t="s">
        <v>960</v>
      </c>
      <c r="E44" t="s">
        <v>23</v>
      </c>
      <c r="F44" t="s">
        <v>95</v>
      </c>
      <c r="G44" t="s">
        <v>961</v>
      </c>
      <c r="J44">
        <v>9.8000000000000007</v>
      </c>
      <c r="K44">
        <v>0</v>
      </c>
      <c r="L44" t="b">
        <v>0</v>
      </c>
      <c r="M44">
        <v>9</v>
      </c>
      <c r="N44" t="s">
        <v>499</v>
      </c>
      <c r="O44" t="s">
        <v>500</v>
      </c>
      <c r="P44">
        <v>49</v>
      </c>
      <c r="Q44" s="2">
        <v>46209</v>
      </c>
      <c r="T44" t="s">
        <v>1043</v>
      </c>
      <c r="U44" t="b">
        <v>0</v>
      </c>
      <c r="V44" t="b">
        <v>0</v>
      </c>
    </row>
    <row r="45" spans="1:22" hidden="1" x14ac:dyDescent="0.25">
      <c r="B45" t="s">
        <v>1044</v>
      </c>
      <c r="C45" t="s">
        <v>960</v>
      </c>
      <c r="D45" t="s">
        <v>960</v>
      </c>
      <c r="E45" t="s">
        <v>207</v>
      </c>
      <c r="F45" t="s">
        <v>95</v>
      </c>
      <c r="G45" t="s">
        <v>961</v>
      </c>
      <c r="J45">
        <v>1.3149999999999999</v>
      </c>
      <c r="K45">
        <v>0</v>
      </c>
      <c r="L45" t="b">
        <v>0</v>
      </c>
      <c r="M45">
        <v>0.996</v>
      </c>
      <c r="N45" t="s">
        <v>499</v>
      </c>
      <c r="O45" t="s">
        <v>500</v>
      </c>
      <c r="P45">
        <v>50</v>
      </c>
      <c r="Q45" s="2">
        <v>46209</v>
      </c>
      <c r="T45" t="s">
        <v>1045</v>
      </c>
      <c r="U45" t="b">
        <v>0</v>
      </c>
      <c r="V45" t="b">
        <v>0</v>
      </c>
    </row>
    <row r="46" spans="1:22" x14ac:dyDescent="0.25">
      <c r="A46" t="s">
        <v>1046</v>
      </c>
      <c r="B46" t="s">
        <v>1047</v>
      </c>
      <c r="C46" t="s">
        <v>960</v>
      </c>
      <c r="D46" t="s">
        <v>960</v>
      </c>
      <c r="E46" t="s">
        <v>207</v>
      </c>
      <c r="F46" t="s">
        <v>94</v>
      </c>
      <c r="G46" t="s">
        <v>961</v>
      </c>
      <c r="J46">
        <v>50</v>
      </c>
      <c r="K46">
        <v>0</v>
      </c>
      <c r="L46" t="b">
        <v>0</v>
      </c>
      <c r="M46">
        <v>50</v>
      </c>
      <c r="N46" t="s">
        <v>499</v>
      </c>
      <c r="O46" t="s">
        <v>500</v>
      </c>
      <c r="P46">
        <v>51</v>
      </c>
      <c r="Q46" s="2">
        <v>46209</v>
      </c>
      <c r="R46">
        <v>50</v>
      </c>
      <c r="T46" t="s">
        <v>1048</v>
      </c>
      <c r="U46" t="b">
        <v>0</v>
      </c>
      <c r="V46" t="b">
        <v>1</v>
      </c>
    </row>
    <row r="47" spans="1:22" hidden="1" x14ac:dyDescent="0.25">
      <c r="B47" t="s">
        <v>1049</v>
      </c>
      <c r="C47" t="s">
        <v>960</v>
      </c>
      <c r="D47" t="s">
        <v>960</v>
      </c>
      <c r="E47" t="s">
        <v>23</v>
      </c>
      <c r="F47" t="s">
        <v>239</v>
      </c>
      <c r="G47" t="s">
        <v>961</v>
      </c>
      <c r="J47">
        <v>1.9710000000000001</v>
      </c>
      <c r="K47">
        <v>0</v>
      </c>
      <c r="L47" t="b">
        <v>0</v>
      </c>
      <c r="M47">
        <v>1.9710000000000001</v>
      </c>
      <c r="N47" t="s">
        <v>499</v>
      </c>
      <c r="O47" t="s">
        <v>500</v>
      </c>
      <c r="P47">
        <v>52</v>
      </c>
      <c r="Q47" s="2">
        <v>46209</v>
      </c>
      <c r="T47" t="s">
        <v>1050</v>
      </c>
      <c r="U47" t="b">
        <v>0</v>
      </c>
      <c r="V47" t="b">
        <v>0</v>
      </c>
    </row>
    <row r="48" spans="1:22" hidden="1" x14ac:dyDescent="0.25">
      <c r="B48" t="s">
        <v>1051</v>
      </c>
      <c r="C48" t="s">
        <v>960</v>
      </c>
      <c r="D48" t="s">
        <v>960</v>
      </c>
      <c r="E48" t="s">
        <v>23</v>
      </c>
      <c r="F48" t="s">
        <v>822</v>
      </c>
      <c r="G48" t="s">
        <v>961</v>
      </c>
      <c r="J48">
        <v>8.18</v>
      </c>
      <c r="K48">
        <v>0</v>
      </c>
      <c r="L48" t="b">
        <v>0</v>
      </c>
      <c r="M48">
        <v>8.06</v>
      </c>
      <c r="N48" t="s">
        <v>499</v>
      </c>
      <c r="O48" t="s">
        <v>500</v>
      </c>
      <c r="P48">
        <v>53</v>
      </c>
      <c r="Q48" s="2">
        <v>46209</v>
      </c>
      <c r="T48" t="s">
        <v>1052</v>
      </c>
      <c r="U48" t="b">
        <v>0</v>
      </c>
      <c r="V48" t="b">
        <v>0</v>
      </c>
    </row>
    <row r="49" spans="2:22" hidden="1" x14ac:dyDescent="0.25">
      <c r="B49" t="s">
        <v>1053</v>
      </c>
      <c r="C49" t="s">
        <v>960</v>
      </c>
      <c r="D49" t="s">
        <v>960</v>
      </c>
      <c r="E49" t="s">
        <v>23</v>
      </c>
      <c r="F49" t="s">
        <v>239</v>
      </c>
      <c r="G49" t="s">
        <v>961</v>
      </c>
      <c r="J49">
        <v>9.9</v>
      </c>
      <c r="K49">
        <v>0</v>
      </c>
      <c r="L49" t="b">
        <v>0</v>
      </c>
      <c r="M49">
        <v>9.9</v>
      </c>
      <c r="N49" t="s">
        <v>499</v>
      </c>
      <c r="O49" t="s">
        <v>500</v>
      </c>
      <c r="P49">
        <v>54</v>
      </c>
      <c r="Q49" s="2">
        <v>46209</v>
      </c>
      <c r="T49" t="s">
        <v>1054</v>
      </c>
      <c r="U49" t="b">
        <v>0</v>
      </c>
      <c r="V49" t="b">
        <v>0</v>
      </c>
    </row>
    <row r="50" spans="2:22" hidden="1" x14ac:dyDescent="0.25">
      <c r="B50" t="s">
        <v>1055</v>
      </c>
      <c r="C50" t="s">
        <v>960</v>
      </c>
      <c r="D50" t="s">
        <v>960</v>
      </c>
      <c r="E50" t="s">
        <v>23</v>
      </c>
      <c r="F50" t="s">
        <v>239</v>
      </c>
      <c r="G50" t="s">
        <v>961</v>
      </c>
      <c r="J50">
        <v>9.9</v>
      </c>
      <c r="K50">
        <v>0</v>
      </c>
      <c r="L50" t="b">
        <v>0</v>
      </c>
      <c r="M50">
        <v>9</v>
      </c>
      <c r="N50" t="s">
        <v>499</v>
      </c>
      <c r="O50" t="s">
        <v>500</v>
      </c>
      <c r="P50">
        <v>55</v>
      </c>
      <c r="Q50" s="2">
        <v>46209</v>
      </c>
      <c r="T50" t="s">
        <v>1056</v>
      </c>
      <c r="U50" t="b">
        <v>0</v>
      </c>
      <c r="V50" t="b">
        <v>0</v>
      </c>
    </row>
    <row r="51" spans="2:22" hidden="1" x14ac:dyDescent="0.25">
      <c r="B51" t="s">
        <v>1057</v>
      </c>
      <c r="C51" t="s">
        <v>960</v>
      </c>
      <c r="D51" t="s">
        <v>960</v>
      </c>
      <c r="E51" t="s">
        <v>23</v>
      </c>
      <c r="F51" t="s">
        <v>240</v>
      </c>
      <c r="G51" t="s">
        <v>961</v>
      </c>
      <c r="J51">
        <v>21.9</v>
      </c>
      <c r="K51">
        <v>0</v>
      </c>
      <c r="L51" t="b">
        <v>0</v>
      </c>
      <c r="M51">
        <v>19.899999999999999</v>
      </c>
      <c r="N51" t="s">
        <v>499</v>
      </c>
      <c r="O51" t="s">
        <v>500</v>
      </c>
      <c r="P51">
        <v>56</v>
      </c>
      <c r="Q51" s="2">
        <v>46209</v>
      </c>
      <c r="T51" t="s">
        <v>1058</v>
      </c>
      <c r="U51" t="b">
        <v>0</v>
      </c>
      <c r="V51" t="b">
        <v>0</v>
      </c>
    </row>
    <row r="52" spans="2:22" hidden="1" x14ac:dyDescent="0.25">
      <c r="B52" t="s">
        <v>1059</v>
      </c>
      <c r="C52" t="s">
        <v>960</v>
      </c>
      <c r="D52" t="s">
        <v>960</v>
      </c>
      <c r="E52" t="s">
        <v>23</v>
      </c>
      <c r="F52" t="s">
        <v>240</v>
      </c>
      <c r="G52" t="s">
        <v>961</v>
      </c>
      <c r="J52">
        <v>23.94</v>
      </c>
      <c r="K52">
        <v>0</v>
      </c>
      <c r="L52" t="b">
        <v>0</v>
      </c>
      <c r="M52">
        <v>19.899999999999999</v>
      </c>
      <c r="N52" t="s">
        <v>499</v>
      </c>
      <c r="O52" t="s">
        <v>500</v>
      </c>
      <c r="P52">
        <v>57</v>
      </c>
      <c r="Q52" s="2">
        <v>46209</v>
      </c>
      <c r="T52" t="s">
        <v>1060</v>
      </c>
      <c r="U52" t="b">
        <v>0</v>
      </c>
      <c r="V52" t="b">
        <v>0</v>
      </c>
    </row>
    <row r="53" spans="2:22" hidden="1" x14ac:dyDescent="0.25">
      <c r="B53" t="s">
        <v>1061</v>
      </c>
      <c r="C53" t="s">
        <v>960</v>
      </c>
      <c r="D53" t="s">
        <v>960</v>
      </c>
      <c r="E53" t="s">
        <v>23</v>
      </c>
      <c r="F53" t="s">
        <v>240</v>
      </c>
      <c r="G53" t="s">
        <v>961</v>
      </c>
      <c r="J53">
        <v>24.57</v>
      </c>
      <c r="K53">
        <v>0</v>
      </c>
      <c r="L53" t="b">
        <v>0</v>
      </c>
      <c r="M53">
        <v>19.899999999999999</v>
      </c>
      <c r="N53" t="s">
        <v>499</v>
      </c>
      <c r="O53" t="s">
        <v>500</v>
      </c>
      <c r="P53">
        <v>58</v>
      </c>
      <c r="Q53" s="2">
        <v>46209</v>
      </c>
      <c r="T53" t="s">
        <v>1062</v>
      </c>
      <c r="U53" t="b">
        <v>0</v>
      </c>
      <c r="V53" t="b">
        <v>0</v>
      </c>
    </row>
    <row r="54" spans="2:22" hidden="1" x14ac:dyDescent="0.25">
      <c r="B54" t="s">
        <v>1063</v>
      </c>
      <c r="C54" t="s">
        <v>960</v>
      </c>
      <c r="D54" t="s">
        <v>960</v>
      </c>
      <c r="E54" t="s">
        <v>23</v>
      </c>
      <c r="F54" t="s">
        <v>240</v>
      </c>
      <c r="G54" t="s">
        <v>961</v>
      </c>
      <c r="J54">
        <v>24.57</v>
      </c>
      <c r="K54">
        <v>0</v>
      </c>
      <c r="L54" t="b">
        <v>0</v>
      </c>
      <c r="M54">
        <v>19.899999999999999</v>
      </c>
      <c r="N54" t="s">
        <v>499</v>
      </c>
      <c r="O54" t="s">
        <v>500</v>
      </c>
      <c r="P54">
        <v>59</v>
      </c>
      <c r="Q54" s="2">
        <v>46209</v>
      </c>
      <c r="T54" t="s">
        <v>1064</v>
      </c>
      <c r="U54" t="b">
        <v>0</v>
      </c>
      <c r="V54" t="b">
        <v>0</v>
      </c>
    </row>
    <row r="55" spans="2:22" hidden="1" x14ac:dyDescent="0.25">
      <c r="B55" t="s">
        <v>1065</v>
      </c>
      <c r="C55" t="s">
        <v>960</v>
      </c>
      <c r="D55" t="s">
        <v>960</v>
      </c>
      <c r="E55" t="s">
        <v>23</v>
      </c>
      <c r="F55" t="s">
        <v>240</v>
      </c>
      <c r="G55" t="s">
        <v>961</v>
      </c>
      <c r="J55">
        <v>24.02</v>
      </c>
      <c r="K55">
        <v>0</v>
      </c>
      <c r="L55" t="b">
        <v>0</v>
      </c>
      <c r="M55">
        <v>19.899999999999999</v>
      </c>
      <c r="N55" t="s">
        <v>499</v>
      </c>
      <c r="O55" t="s">
        <v>500</v>
      </c>
      <c r="P55">
        <v>60</v>
      </c>
      <c r="Q55" s="2">
        <v>46209</v>
      </c>
      <c r="T55" t="s">
        <v>1066</v>
      </c>
      <c r="U55" t="b">
        <v>0</v>
      </c>
      <c r="V55" t="b">
        <v>0</v>
      </c>
    </row>
    <row r="56" spans="2:22" hidden="1" x14ac:dyDescent="0.25">
      <c r="B56" t="s">
        <v>1067</v>
      </c>
      <c r="C56" t="s">
        <v>960</v>
      </c>
      <c r="D56" t="s">
        <v>960</v>
      </c>
      <c r="E56" t="s">
        <v>23</v>
      </c>
      <c r="F56" t="s">
        <v>240</v>
      </c>
      <c r="G56" t="s">
        <v>961</v>
      </c>
      <c r="J56">
        <v>23.94</v>
      </c>
      <c r="K56">
        <v>0</v>
      </c>
      <c r="L56" t="b">
        <v>0</v>
      </c>
      <c r="M56">
        <v>19.899999999999999</v>
      </c>
      <c r="N56" t="s">
        <v>499</v>
      </c>
      <c r="O56" t="s">
        <v>500</v>
      </c>
      <c r="P56">
        <v>61</v>
      </c>
      <c r="Q56" s="2">
        <v>46209</v>
      </c>
      <c r="T56" t="s">
        <v>1068</v>
      </c>
      <c r="U56" t="b">
        <v>0</v>
      </c>
      <c r="V56" t="b">
        <v>0</v>
      </c>
    </row>
    <row r="57" spans="2:22" hidden="1" x14ac:dyDescent="0.25">
      <c r="B57" t="s">
        <v>1069</v>
      </c>
      <c r="C57" t="s">
        <v>960</v>
      </c>
      <c r="D57" t="s">
        <v>960</v>
      </c>
      <c r="E57" t="s">
        <v>23</v>
      </c>
      <c r="F57" t="s">
        <v>239</v>
      </c>
      <c r="G57" t="s">
        <v>961</v>
      </c>
      <c r="J57">
        <v>9.9</v>
      </c>
      <c r="K57">
        <v>0</v>
      </c>
      <c r="L57" t="b">
        <v>0</v>
      </c>
      <c r="M57">
        <v>9.9</v>
      </c>
      <c r="N57" t="s">
        <v>499</v>
      </c>
      <c r="O57" t="s">
        <v>500</v>
      </c>
      <c r="P57">
        <v>62</v>
      </c>
      <c r="Q57" s="2">
        <v>46209</v>
      </c>
      <c r="T57" t="s">
        <v>1070</v>
      </c>
      <c r="U57" t="b">
        <v>0</v>
      </c>
      <c r="V57" t="b">
        <v>0</v>
      </c>
    </row>
    <row r="58" spans="2:22" hidden="1" x14ac:dyDescent="0.25">
      <c r="B58" t="s">
        <v>1071</v>
      </c>
      <c r="C58" t="s">
        <v>960</v>
      </c>
      <c r="D58" t="s">
        <v>960</v>
      </c>
      <c r="E58" t="s">
        <v>23</v>
      </c>
      <c r="F58" t="s">
        <v>239</v>
      </c>
      <c r="G58" t="s">
        <v>961</v>
      </c>
      <c r="J58">
        <v>19.899999999999999</v>
      </c>
      <c r="K58">
        <v>0</v>
      </c>
      <c r="L58" t="b">
        <v>0</v>
      </c>
      <c r="M58">
        <v>19.899999999999999</v>
      </c>
      <c r="N58" t="s">
        <v>499</v>
      </c>
      <c r="O58" t="s">
        <v>500</v>
      </c>
      <c r="P58">
        <v>63</v>
      </c>
      <c r="Q58" s="2">
        <v>46209</v>
      </c>
      <c r="T58" t="s">
        <v>1072</v>
      </c>
      <c r="U58" t="b">
        <v>0</v>
      </c>
      <c r="V58" t="b">
        <v>0</v>
      </c>
    </row>
    <row r="59" spans="2:22" hidden="1" x14ac:dyDescent="0.25">
      <c r="B59" t="s">
        <v>1073</v>
      </c>
      <c r="C59" t="s">
        <v>960</v>
      </c>
      <c r="D59" t="s">
        <v>960</v>
      </c>
      <c r="E59" t="s">
        <v>23</v>
      </c>
      <c r="F59" t="s">
        <v>239</v>
      </c>
      <c r="G59" t="s">
        <v>961</v>
      </c>
      <c r="J59">
        <v>19.899999999999999</v>
      </c>
      <c r="K59">
        <v>0</v>
      </c>
      <c r="L59" t="b">
        <v>0</v>
      </c>
      <c r="M59">
        <v>19.899999999999999</v>
      </c>
      <c r="N59" t="s">
        <v>499</v>
      </c>
      <c r="O59" t="s">
        <v>500</v>
      </c>
      <c r="P59">
        <v>64</v>
      </c>
      <c r="Q59" s="2">
        <v>46209</v>
      </c>
      <c r="T59" t="s">
        <v>1074</v>
      </c>
      <c r="U59" t="b">
        <v>0</v>
      </c>
      <c r="V59" t="b">
        <v>0</v>
      </c>
    </row>
    <row r="60" spans="2:22" hidden="1" x14ac:dyDescent="0.25">
      <c r="B60" t="s">
        <v>1075</v>
      </c>
      <c r="C60" t="s">
        <v>960</v>
      </c>
      <c r="D60" t="s">
        <v>960</v>
      </c>
      <c r="E60" t="s">
        <v>207</v>
      </c>
      <c r="F60" t="s">
        <v>905</v>
      </c>
      <c r="G60" t="s">
        <v>961</v>
      </c>
      <c r="J60">
        <v>19.899999999999999</v>
      </c>
      <c r="K60">
        <v>0</v>
      </c>
      <c r="L60" t="b">
        <v>0</v>
      </c>
      <c r="M60">
        <v>19.899999999999999</v>
      </c>
      <c r="N60" t="s">
        <v>499</v>
      </c>
      <c r="O60" t="s">
        <v>500</v>
      </c>
      <c r="P60">
        <v>65</v>
      </c>
      <c r="Q60" s="2">
        <v>46209</v>
      </c>
      <c r="T60" t="s">
        <v>1076</v>
      </c>
      <c r="U60" t="b">
        <v>0</v>
      </c>
      <c r="V60" t="b">
        <v>0</v>
      </c>
    </row>
    <row r="61" spans="2:22" hidden="1" x14ac:dyDescent="0.25">
      <c r="B61" t="s">
        <v>1077</v>
      </c>
      <c r="C61" t="s">
        <v>960</v>
      </c>
      <c r="D61" t="s">
        <v>960</v>
      </c>
      <c r="E61" t="s">
        <v>23</v>
      </c>
      <c r="F61" t="s">
        <v>240</v>
      </c>
      <c r="G61" t="s">
        <v>961</v>
      </c>
      <c r="J61">
        <v>9.9</v>
      </c>
      <c r="K61">
        <v>0</v>
      </c>
      <c r="L61" t="b">
        <v>0</v>
      </c>
      <c r="M61">
        <v>9.1</v>
      </c>
      <c r="N61" t="s">
        <v>499</v>
      </c>
      <c r="O61" t="s">
        <v>500</v>
      </c>
      <c r="P61">
        <v>66</v>
      </c>
      <c r="Q61" s="2">
        <v>46209</v>
      </c>
      <c r="T61" t="s">
        <v>1078</v>
      </c>
      <c r="U61" t="b">
        <v>0</v>
      </c>
      <c r="V61" t="b">
        <v>0</v>
      </c>
    </row>
    <row r="62" spans="2:22" hidden="1" x14ac:dyDescent="0.25">
      <c r="B62" t="s">
        <v>1079</v>
      </c>
      <c r="C62" t="s">
        <v>960</v>
      </c>
      <c r="D62" t="s">
        <v>960</v>
      </c>
      <c r="E62" t="s">
        <v>23</v>
      </c>
      <c r="F62" t="s">
        <v>823</v>
      </c>
      <c r="G62" t="s">
        <v>961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499</v>
      </c>
      <c r="O62" t="s">
        <v>500</v>
      </c>
      <c r="P62">
        <v>67</v>
      </c>
      <c r="Q62" s="2">
        <v>46209</v>
      </c>
      <c r="T62" t="s">
        <v>1080</v>
      </c>
      <c r="U62" t="b">
        <v>0</v>
      </c>
      <c r="V62" t="b">
        <v>0</v>
      </c>
    </row>
    <row r="63" spans="2:22" hidden="1" x14ac:dyDescent="0.25">
      <c r="B63" t="s">
        <v>1081</v>
      </c>
      <c r="C63" t="s">
        <v>960</v>
      </c>
      <c r="D63" t="s">
        <v>960</v>
      </c>
      <c r="E63" t="s">
        <v>23</v>
      </c>
      <c r="F63" t="s">
        <v>240</v>
      </c>
      <c r="G63" t="s">
        <v>961</v>
      </c>
      <c r="J63">
        <v>12.762</v>
      </c>
      <c r="K63">
        <v>9.9000000000000005E-2</v>
      </c>
      <c r="L63" t="b">
        <v>0</v>
      </c>
      <c r="M63">
        <v>9.9</v>
      </c>
      <c r="N63" t="s">
        <v>499</v>
      </c>
      <c r="O63" t="s">
        <v>500</v>
      </c>
      <c r="P63">
        <v>68</v>
      </c>
      <c r="Q63" s="2">
        <v>46209</v>
      </c>
      <c r="T63" t="s">
        <v>1082</v>
      </c>
      <c r="U63" t="b">
        <v>0</v>
      </c>
      <c r="V63" t="b">
        <v>0</v>
      </c>
    </row>
    <row r="64" spans="2:22" hidden="1" x14ac:dyDescent="0.25">
      <c r="B64" t="s">
        <v>1083</v>
      </c>
      <c r="C64" t="s">
        <v>960</v>
      </c>
      <c r="D64" t="s">
        <v>960</v>
      </c>
      <c r="E64" t="s">
        <v>23</v>
      </c>
      <c r="F64" t="s">
        <v>240</v>
      </c>
      <c r="G64" t="s">
        <v>961</v>
      </c>
      <c r="J64">
        <v>12.3</v>
      </c>
      <c r="K64">
        <v>0</v>
      </c>
      <c r="L64" t="b">
        <v>0</v>
      </c>
      <c r="M64">
        <v>9.9</v>
      </c>
      <c r="N64" t="s">
        <v>499</v>
      </c>
      <c r="O64" t="s">
        <v>500</v>
      </c>
      <c r="P64">
        <v>69</v>
      </c>
      <c r="Q64" s="2">
        <v>46209</v>
      </c>
      <c r="T64" t="s">
        <v>1084</v>
      </c>
      <c r="U64" t="b">
        <v>0</v>
      </c>
      <c r="V64" t="b">
        <v>0</v>
      </c>
    </row>
    <row r="65" spans="1:22" hidden="1" x14ac:dyDescent="0.25">
      <c r="B65" t="s">
        <v>1085</v>
      </c>
      <c r="C65" t="s">
        <v>960</v>
      </c>
      <c r="D65" t="s">
        <v>960</v>
      </c>
      <c r="E65" t="s">
        <v>207</v>
      </c>
      <c r="F65" t="s">
        <v>238</v>
      </c>
      <c r="G65" t="s">
        <v>961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499</v>
      </c>
      <c r="O65" t="s">
        <v>500</v>
      </c>
      <c r="P65">
        <v>70</v>
      </c>
      <c r="Q65" s="2">
        <v>46209</v>
      </c>
      <c r="T65" t="s">
        <v>1086</v>
      </c>
      <c r="U65" t="b">
        <v>0</v>
      </c>
      <c r="V65" t="b">
        <v>0</v>
      </c>
    </row>
    <row r="66" spans="1:22" hidden="1" x14ac:dyDescent="0.25">
      <c r="B66" t="s">
        <v>1087</v>
      </c>
      <c r="C66" t="s">
        <v>960</v>
      </c>
      <c r="D66" t="s">
        <v>960</v>
      </c>
      <c r="E66" t="s">
        <v>207</v>
      </c>
      <c r="F66" t="s">
        <v>238</v>
      </c>
      <c r="G66" t="s">
        <v>961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499</v>
      </c>
      <c r="O66" t="s">
        <v>500</v>
      </c>
      <c r="P66">
        <v>71</v>
      </c>
      <c r="Q66" s="2">
        <v>46209</v>
      </c>
      <c r="T66" t="s">
        <v>1088</v>
      </c>
      <c r="U66" t="b">
        <v>0</v>
      </c>
      <c r="V66" t="b">
        <v>0</v>
      </c>
    </row>
    <row r="67" spans="1:22" hidden="1" x14ac:dyDescent="0.25">
      <c r="B67" t="s">
        <v>1089</v>
      </c>
      <c r="C67" t="s">
        <v>960</v>
      </c>
      <c r="D67" t="s">
        <v>960</v>
      </c>
      <c r="E67" t="s">
        <v>23</v>
      </c>
      <c r="F67" t="s">
        <v>615</v>
      </c>
      <c r="G67" t="s">
        <v>961</v>
      </c>
      <c r="J67">
        <v>9.9</v>
      </c>
      <c r="K67">
        <v>0</v>
      </c>
      <c r="L67" t="b">
        <v>0</v>
      </c>
      <c r="M67">
        <v>9.9</v>
      </c>
      <c r="N67" t="s">
        <v>499</v>
      </c>
      <c r="O67" t="s">
        <v>500</v>
      </c>
      <c r="P67">
        <v>72</v>
      </c>
      <c r="Q67" s="2">
        <v>46209</v>
      </c>
      <c r="T67" t="s">
        <v>1090</v>
      </c>
      <c r="U67" t="b">
        <v>0</v>
      </c>
      <c r="V67" t="b">
        <v>0</v>
      </c>
    </row>
    <row r="68" spans="1:22" hidden="1" x14ac:dyDescent="0.25">
      <c r="B68" t="s">
        <v>1091</v>
      </c>
      <c r="C68" t="s">
        <v>960</v>
      </c>
      <c r="D68" t="s">
        <v>960</v>
      </c>
      <c r="E68" t="s">
        <v>207</v>
      </c>
      <c r="F68" t="s">
        <v>905</v>
      </c>
      <c r="G68" t="s">
        <v>961</v>
      </c>
      <c r="J68">
        <v>1.38</v>
      </c>
      <c r="K68">
        <v>0</v>
      </c>
      <c r="L68" t="b">
        <v>0</v>
      </c>
      <c r="M68">
        <v>0.99</v>
      </c>
      <c r="N68" t="s">
        <v>499</v>
      </c>
      <c r="O68" t="s">
        <v>500</v>
      </c>
      <c r="P68">
        <v>73</v>
      </c>
      <c r="Q68" s="2">
        <v>46209</v>
      </c>
      <c r="T68" t="s">
        <v>1092</v>
      </c>
      <c r="U68" t="b">
        <v>0</v>
      </c>
      <c r="V68" t="b">
        <v>0</v>
      </c>
    </row>
    <row r="69" spans="1:22" hidden="1" x14ac:dyDescent="0.25">
      <c r="B69" t="s">
        <v>1093</v>
      </c>
      <c r="C69" t="s">
        <v>960</v>
      </c>
      <c r="D69" t="s">
        <v>960</v>
      </c>
      <c r="E69" t="s">
        <v>23</v>
      </c>
      <c r="F69" t="s">
        <v>931</v>
      </c>
      <c r="G69" t="s">
        <v>961</v>
      </c>
      <c r="J69">
        <v>49.5</v>
      </c>
      <c r="K69">
        <v>0</v>
      </c>
      <c r="L69" t="b">
        <v>0</v>
      </c>
      <c r="M69">
        <v>0</v>
      </c>
      <c r="N69" t="s">
        <v>499</v>
      </c>
      <c r="O69" t="s">
        <v>500</v>
      </c>
      <c r="P69">
        <v>74</v>
      </c>
      <c r="Q69" s="2">
        <v>46209</v>
      </c>
      <c r="T69" t="s">
        <v>1094</v>
      </c>
      <c r="U69" t="b">
        <v>0</v>
      </c>
      <c r="V69" t="b">
        <v>0</v>
      </c>
    </row>
    <row r="70" spans="1:22" x14ac:dyDescent="0.25">
      <c r="A70" t="s">
        <v>1095</v>
      </c>
      <c r="B70" t="s">
        <v>542</v>
      </c>
      <c r="C70" t="s">
        <v>960</v>
      </c>
      <c r="D70" t="s">
        <v>960</v>
      </c>
      <c r="E70" t="s">
        <v>207</v>
      </c>
      <c r="F70" t="s">
        <v>95</v>
      </c>
      <c r="G70" t="s">
        <v>961</v>
      </c>
      <c r="J70">
        <v>68</v>
      </c>
      <c r="K70">
        <v>6.7919999999999998</v>
      </c>
      <c r="L70" t="b">
        <v>0</v>
      </c>
      <c r="M70">
        <v>68</v>
      </c>
      <c r="N70" t="s">
        <v>499</v>
      </c>
      <c r="O70" t="s">
        <v>500</v>
      </c>
      <c r="P70">
        <v>75</v>
      </c>
      <c r="Q70" s="2">
        <v>46209</v>
      </c>
      <c r="R70">
        <v>68</v>
      </c>
      <c r="T70" t="s">
        <v>1096</v>
      </c>
      <c r="U70" t="b">
        <v>0</v>
      </c>
      <c r="V70" t="b">
        <v>1</v>
      </c>
    </row>
    <row r="71" spans="1:22" hidden="1" x14ac:dyDescent="0.25">
      <c r="B71" t="s">
        <v>1097</v>
      </c>
      <c r="C71" t="s">
        <v>960</v>
      </c>
      <c r="D71" t="s">
        <v>960</v>
      </c>
      <c r="E71" t="s">
        <v>23</v>
      </c>
      <c r="F71" t="s">
        <v>822</v>
      </c>
      <c r="G71" t="s">
        <v>961</v>
      </c>
      <c r="J71">
        <v>9.9</v>
      </c>
      <c r="K71">
        <v>0</v>
      </c>
      <c r="L71" t="b">
        <v>0</v>
      </c>
      <c r="M71">
        <v>9.9</v>
      </c>
      <c r="N71" t="s">
        <v>499</v>
      </c>
      <c r="O71" t="s">
        <v>500</v>
      </c>
      <c r="P71">
        <v>76</v>
      </c>
      <c r="Q71" s="2">
        <v>46209</v>
      </c>
      <c r="T71" t="s">
        <v>1098</v>
      </c>
      <c r="U71" t="b">
        <v>0</v>
      </c>
      <c r="V71" t="b">
        <v>0</v>
      </c>
    </row>
    <row r="72" spans="1:22" hidden="1" x14ac:dyDescent="0.25">
      <c r="B72" t="s">
        <v>1099</v>
      </c>
      <c r="C72" t="s">
        <v>960</v>
      </c>
      <c r="D72" t="s">
        <v>960</v>
      </c>
      <c r="E72" t="s">
        <v>23</v>
      </c>
      <c r="F72" t="s">
        <v>822</v>
      </c>
      <c r="G72" t="s">
        <v>961</v>
      </c>
      <c r="J72">
        <v>9.9</v>
      </c>
      <c r="K72">
        <v>0</v>
      </c>
      <c r="L72" t="b">
        <v>0</v>
      </c>
      <c r="M72">
        <v>9.9</v>
      </c>
      <c r="N72" t="s">
        <v>499</v>
      </c>
      <c r="O72" t="s">
        <v>500</v>
      </c>
      <c r="P72">
        <v>77</v>
      </c>
      <c r="Q72" s="2">
        <v>46209</v>
      </c>
      <c r="T72" t="s">
        <v>1100</v>
      </c>
      <c r="U72" t="b">
        <v>0</v>
      </c>
      <c r="V72" t="b">
        <v>0</v>
      </c>
    </row>
    <row r="73" spans="1:22" x14ac:dyDescent="0.25">
      <c r="A73" t="s">
        <v>1101</v>
      </c>
      <c r="B73" t="s">
        <v>1102</v>
      </c>
      <c r="C73" t="s">
        <v>960</v>
      </c>
      <c r="D73" t="s">
        <v>960</v>
      </c>
      <c r="E73" t="s">
        <v>207</v>
      </c>
      <c r="F73" t="s">
        <v>95</v>
      </c>
      <c r="G73" t="s">
        <v>961</v>
      </c>
      <c r="J73">
        <v>100</v>
      </c>
      <c r="K73">
        <v>1</v>
      </c>
      <c r="L73" t="b">
        <v>0</v>
      </c>
      <c r="M73">
        <v>100</v>
      </c>
      <c r="N73" t="s">
        <v>499</v>
      </c>
      <c r="O73" t="s">
        <v>500</v>
      </c>
      <c r="P73">
        <v>78</v>
      </c>
      <c r="Q73" s="2">
        <v>46209</v>
      </c>
      <c r="R73">
        <v>100</v>
      </c>
      <c r="T73" t="s">
        <v>1103</v>
      </c>
      <c r="U73" t="b">
        <v>0</v>
      </c>
      <c r="V73" t="b">
        <v>1</v>
      </c>
    </row>
    <row r="74" spans="1:22" hidden="1" x14ac:dyDescent="0.25">
      <c r="B74" t="s">
        <v>1104</v>
      </c>
      <c r="C74" t="s">
        <v>960</v>
      </c>
      <c r="D74" t="s">
        <v>960</v>
      </c>
      <c r="E74" t="s">
        <v>207</v>
      </c>
      <c r="F74" t="s">
        <v>95</v>
      </c>
      <c r="G74" t="s">
        <v>961</v>
      </c>
      <c r="J74">
        <v>1.3149999999999999</v>
      </c>
      <c r="K74">
        <v>0</v>
      </c>
      <c r="L74" t="b">
        <v>0</v>
      </c>
      <c r="M74">
        <v>0.996</v>
      </c>
      <c r="N74" t="s">
        <v>499</v>
      </c>
      <c r="O74" t="s">
        <v>500</v>
      </c>
      <c r="P74">
        <v>79</v>
      </c>
      <c r="Q74" s="2">
        <v>46209</v>
      </c>
      <c r="T74" t="s">
        <v>1105</v>
      </c>
      <c r="U74" t="b">
        <v>0</v>
      </c>
      <c r="V74" t="b">
        <v>0</v>
      </c>
    </row>
    <row r="75" spans="1:22" hidden="1" x14ac:dyDescent="0.25">
      <c r="B75" t="s">
        <v>1106</v>
      </c>
      <c r="C75" t="s">
        <v>960</v>
      </c>
      <c r="D75" t="s">
        <v>960</v>
      </c>
      <c r="E75" t="s">
        <v>207</v>
      </c>
      <c r="F75" t="s">
        <v>927</v>
      </c>
      <c r="G75" t="s">
        <v>961</v>
      </c>
      <c r="J75">
        <v>0.99</v>
      </c>
      <c r="K75">
        <v>0</v>
      </c>
      <c r="L75" t="b">
        <v>0</v>
      </c>
      <c r="M75">
        <v>0.99</v>
      </c>
      <c r="N75" t="s">
        <v>499</v>
      </c>
      <c r="O75" t="s">
        <v>500</v>
      </c>
      <c r="P75">
        <v>80</v>
      </c>
      <c r="Q75" s="2">
        <v>46209</v>
      </c>
      <c r="T75" t="s">
        <v>1107</v>
      </c>
      <c r="U75" t="b">
        <v>0</v>
      </c>
      <c r="V75" t="b">
        <v>0</v>
      </c>
    </row>
    <row r="76" spans="1:22" hidden="1" x14ac:dyDescent="0.25">
      <c r="B76" t="s">
        <v>1108</v>
      </c>
      <c r="C76" t="s">
        <v>960</v>
      </c>
      <c r="D76" t="s">
        <v>960</v>
      </c>
      <c r="E76" t="s">
        <v>207</v>
      </c>
      <c r="F76" t="s">
        <v>927</v>
      </c>
      <c r="G76" t="s">
        <v>961</v>
      </c>
      <c r="J76">
        <v>0.99</v>
      </c>
      <c r="K76">
        <v>0</v>
      </c>
      <c r="L76" t="b">
        <v>0</v>
      </c>
      <c r="M76">
        <v>0.99</v>
      </c>
      <c r="N76" t="s">
        <v>499</v>
      </c>
      <c r="O76" t="s">
        <v>500</v>
      </c>
      <c r="P76">
        <v>81</v>
      </c>
      <c r="Q76" s="2">
        <v>46209</v>
      </c>
      <c r="T76" t="s">
        <v>1109</v>
      </c>
      <c r="U76" t="b">
        <v>0</v>
      </c>
      <c r="V76" t="b">
        <v>0</v>
      </c>
    </row>
    <row r="77" spans="1:22" hidden="1" x14ac:dyDescent="0.25">
      <c r="B77" t="s">
        <v>1110</v>
      </c>
      <c r="C77" t="s">
        <v>960</v>
      </c>
      <c r="D77" t="s">
        <v>960</v>
      </c>
      <c r="E77" t="s">
        <v>207</v>
      </c>
      <c r="F77" t="s">
        <v>927</v>
      </c>
      <c r="G77" t="s">
        <v>961</v>
      </c>
      <c r="J77">
        <v>0.99</v>
      </c>
      <c r="K77">
        <v>0</v>
      </c>
      <c r="L77" t="b">
        <v>0</v>
      </c>
      <c r="M77">
        <v>0.99</v>
      </c>
      <c r="N77" t="s">
        <v>499</v>
      </c>
      <c r="O77" t="s">
        <v>500</v>
      </c>
      <c r="P77">
        <v>82</v>
      </c>
      <c r="Q77" s="2">
        <v>46209</v>
      </c>
      <c r="T77" t="s">
        <v>1111</v>
      </c>
      <c r="U77" t="b">
        <v>0</v>
      </c>
      <c r="V77" t="b">
        <v>0</v>
      </c>
    </row>
    <row r="78" spans="1:22" hidden="1" x14ac:dyDescent="0.25">
      <c r="B78" t="s">
        <v>1112</v>
      </c>
      <c r="C78" t="s">
        <v>960</v>
      </c>
      <c r="D78" t="s">
        <v>960</v>
      </c>
      <c r="E78" t="s">
        <v>207</v>
      </c>
      <c r="F78" t="s">
        <v>238</v>
      </c>
      <c r="G78" t="s">
        <v>961</v>
      </c>
      <c r="J78">
        <v>0.99</v>
      </c>
      <c r="K78">
        <v>0</v>
      </c>
      <c r="L78" t="b">
        <v>0</v>
      </c>
      <c r="M78">
        <v>0.99</v>
      </c>
      <c r="N78" t="s">
        <v>499</v>
      </c>
      <c r="O78" t="s">
        <v>500</v>
      </c>
      <c r="P78">
        <v>83</v>
      </c>
      <c r="Q78" s="2">
        <v>46209</v>
      </c>
      <c r="T78" t="s">
        <v>1113</v>
      </c>
      <c r="U78" t="b">
        <v>0</v>
      </c>
      <c r="V78" t="b">
        <v>0</v>
      </c>
    </row>
    <row r="79" spans="1:22" hidden="1" x14ac:dyDescent="0.25">
      <c r="B79" t="s">
        <v>1114</v>
      </c>
      <c r="C79" t="s">
        <v>960</v>
      </c>
      <c r="D79" t="s">
        <v>960</v>
      </c>
      <c r="E79" t="s">
        <v>207</v>
      </c>
      <c r="F79" t="s">
        <v>931</v>
      </c>
      <c r="G79" t="s">
        <v>961</v>
      </c>
      <c r="J79">
        <v>0.99</v>
      </c>
      <c r="K79">
        <v>0</v>
      </c>
      <c r="L79" t="b">
        <v>0</v>
      </c>
      <c r="M79">
        <v>0.99</v>
      </c>
      <c r="N79" t="s">
        <v>499</v>
      </c>
      <c r="O79" t="s">
        <v>500</v>
      </c>
      <c r="P79">
        <v>84</v>
      </c>
      <c r="Q79" s="2">
        <v>46209</v>
      </c>
      <c r="T79" t="s">
        <v>1115</v>
      </c>
      <c r="U79" t="b">
        <v>0</v>
      </c>
      <c r="V79" t="b">
        <v>0</v>
      </c>
    </row>
    <row r="80" spans="1:22" hidden="1" x14ac:dyDescent="0.25">
      <c r="B80" t="s">
        <v>1116</v>
      </c>
      <c r="C80" t="s">
        <v>960</v>
      </c>
      <c r="D80" t="s">
        <v>960</v>
      </c>
      <c r="E80" t="s">
        <v>207</v>
      </c>
      <c r="F80" t="s">
        <v>931</v>
      </c>
      <c r="G80" t="s">
        <v>961</v>
      </c>
      <c r="J80">
        <v>0.99</v>
      </c>
      <c r="K80">
        <v>0</v>
      </c>
      <c r="L80" t="b">
        <v>0</v>
      </c>
      <c r="M80">
        <v>0.99</v>
      </c>
      <c r="N80" t="s">
        <v>499</v>
      </c>
      <c r="O80" t="s">
        <v>500</v>
      </c>
      <c r="P80">
        <v>85</v>
      </c>
      <c r="Q80" s="2">
        <v>46209</v>
      </c>
      <c r="T80" t="s">
        <v>1117</v>
      </c>
      <c r="U80" t="b">
        <v>0</v>
      </c>
      <c r="V80" t="b">
        <v>0</v>
      </c>
    </row>
    <row r="81" spans="2:22" hidden="1" x14ac:dyDescent="0.25">
      <c r="B81" t="s">
        <v>1118</v>
      </c>
      <c r="C81" t="s">
        <v>960</v>
      </c>
      <c r="D81" t="s">
        <v>960</v>
      </c>
      <c r="E81" t="s">
        <v>207</v>
      </c>
      <c r="F81" t="s">
        <v>931</v>
      </c>
      <c r="G81" t="s">
        <v>961</v>
      </c>
      <c r="J81">
        <v>0.99</v>
      </c>
      <c r="K81">
        <v>0</v>
      </c>
      <c r="L81" t="b">
        <v>0</v>
      </c>
      <c r="M81">
        <v>0.99</v>
      </c>
      <c r="N81" t="s">
        <v>499</v>
      </c>
      <c r="O81" t="s">
        <v>500</v>
      </c>
      <c r="P81">
        <v>86</v>
      </c>
      <c r="Q81" s="2">
        <v>46209</v>
      </c>
      <c r="T81" t="s">
        <v>1119</v>
      </c>
      <c r="U81" t="b">
        <v>0</v>
      </c>
      <c r="V81" t="b">
        <v>0</v>
      </c>
    </row>
    <row r="82" spans="2:22" hidden="1" x14ac:dyDescent="0.25">
      <c r="B82" t="s">
        <v>1120</v>
      </c>
      <c r="C82" t="s">
        <v>960</v>
      </c>
      <c r="D82" t="s">
        <v>960</v>
      </c>
      <c r="E82" t="s">
        <v>207</v>
      </c>
      <c r="F82" t="s">
        <v>239</v>
      </c>
      <c r="G82" t="s">
        <v>961</v>
      </c>
      <c r="J82">
        <v>0.66</v>
      </c>
      <c r="K82">
        <v>0</v>
      </c>
      <c r="L82" t="b">
        <v>0</v>
      </c>
      <c r="M82">
        <v>0.6</v>
      </c>
      <c r="N82" t="s">
        <v>499</v>
      </c>
      <c r="O82" t="s">
        <v>500</v>
      </c>
      <c r="P82">
        <v>87</v>
      </c>
      <c r="Q82" s="2">
        <v>46209</v>
      </c>
      <c r="T82" t="s">
        <v>1121</v>
      </c>
      <c r="U82" t="b">
        <v>0</v>
      </c>
      <c r="V82" t="b">
        <v>0</v>
      </c>
    </row>
    <row r="83" spans="2:22" hidden="1" x14ac:dyDescent="0.25">
      <c r="B83" t="s">
        <v>1122</v>
      </c>
      <c r="C83" t="s">
        <v>960</v>
      </c>
      <c r="D83" t="s">
        <v>960</v>
      </c>
      <c r="E83" t="s">
        <v>207</v>
      </c>
      <c r="F83" t="s">
        <v>927</v>
      </c>
      <c r="G83" t="s">
        <v>961</v>
      </c>
      <c r="J83">
        <v>0.99</v>
      </c>
      <c r="K83">
        <v>0</v>
      </c>
      <c r="L83" t="b">
        <v>0</v>
      </c>
      <c r="M83">
        <v>0.99</v>
      </c>
      <c r="N83" t="s">
        <v>499</v>
      </c>
      <c r="O83" t="s">
        <v>500</v>
      </c>
      <c r="P83">
        <v>88</v>
      </c>
      <c r="Q83" s="2">
        <v>46209</v>
      </c>
      <c r="T83" t="s">
        <v>1123</v>
      </c>
      <c r="U83" t="b">
        <v>0</v>
      </c>
      <c r="V83" t="b">
        <v>0</v>
      </c>
    </row>
    <row r="84" spans="2:22" hidden="1" x14ac:dyDescent="0.25">
      <c r="B84" t="s">
        <v>1124</v>
      </c>
      <c r="C84" t="s">
        <v>960</v>
      </c>
      <c r="D84" t="s">
        <v>960</v>
      </c>
      <c r="E84" t="s">
        <v>207</v>
      </c>
      <c r="F84" t="s">
        <v>239</v>
      </c>
      <c r="G84" t="s">
        <v>961</v>
      </c>
      <c r="J84">
        <v>0.995</v>
      </c>
      <c r="K84">
        <v>0</v>
      </c>
      <c r="L84" t="b">
        <v>0</v>
      </c>
      <c r="M84">
        <v>0.97499999999999998</v>
      </c>
      <c r="N84" t="s">
        <v>499</v>
      </c>
      <c r="O84" t="s">
        <v>500</v>
      </c>
      <c r="P84">
        <v>89</v>
      </c>
      <c r="Q84" s="2">
        <v>46209</v>
      </c>
      <c r="T84" t="s">
        <v>1125</v>
      </c>
      <c r="U84" t="b">
        <v>0</v>
      </c>
      <c r="V84" t="b">
        <v>0</v>
      </c>
    </row>
    <row r="85" spans="2:22" hidden="1" x14ac:dyDescent="0.25">
      <c r="B85" t="s">
        <v>1126</v>
      </c>
      <c r="C85" t="s">
        <v>960</v>
      </c>
      <c r="D85" t="s">
        <v>960</v>
      </c>
      <c r="E85" t="s">
        <v>207</v>
      </c>
      <c r="F85" t="s">
        <v>927</v>
      </c>
      <c r="G85" t="s">
        <v>961</v>
      </c>
      <c r="J85">
        <v>0.5</v>
      </c>
      <c r="K85">
        <v>0</v>
      </c>
      <c r="L85" t="b">
        <v>0</v>
      </c>
      <c r="M85">
        <v>0.5</v>
      </c>
      <c r="N85" t="s">
        <v>499</v>
      </c>
      <c r="O85" t="s">
        <v>500</v>
      </c>
      <c r="P85">
        <v>90</v>
      </c>
      <c r="Q85" s="2">
        <v>46209</v>
      </c>
      <c r="T85" t="s">
        <v>1127</v>
      </c>
      <c r="U85" t="b">
        <v>0</v>
      </c>
      <c r="V85" t="b">
        <v>0</v>
      </c>
    </row>
    <row r="86" spans="2:22" hidden="1" x14ac:dyDescent="0.25">
      <c r="B86" t="s">
        <v>1128</v>
      </c>
      <c r="C86" t="s">
        <v>960</v>
      </c>
      <c r="D86" t="s">
        <v>960</v>
      </c>
      <c r="E86" t="s">
        <v>207</v>
      </c>
      <c r="F86" t="s">
        <v>95</v>
      </c>
      <c r="G86" t="s">
        <v>961</v>
      </c>
      <c r="J86">
        <v>0.1</v>
      </c>
      <c r="K86">
        <v>0</v>
      </c>
      <c r="L86" t="b">
        <v>0</v>
      </c>
      <c r="M86">
        <v>0.1</v>
      </c>
      <c r="N86" t="s">
        <v>499</v>
      </c>
      <c r="O86" t="s">
        <v>500</v>
      </c>
      <c r="P86">
        <v>91</v>
      </c>
      <c r="Q86" s="2">
        <v>46209</v>
      </c>
      <c r="T86" t="s">
        <v>1129</v>
      </c>
      <c r="U86" t="b">
        <v>0</v>
      </c>
      <c r="V86" t="b">
        <v>0</v>
      </c>
    </row>
    <row r="87" spans="2:22" hidden="1" x14ac:dyDescent="0.25">
      <c r="B87" t="s">
        <v>1130</v>
      </c>
      <c r="C87" t="s">
        <v>960</v>
      </c>
      <c r="D87" t="s">
        <v>960</v>
      </c>
      <c r="E87" t="s">
        <v>207</v>
      </c>
      <c r="F87" t="s">
        <v>95</v>
      </c>
      <c r="G87" t="s">
        <v>961</v>
      </c>
      <c r="J87">
        <v>0.1</v>
      </c>
      <c r="K87">
        <v>0</v>
      </c>
      <c r="L87" t="b">
        <v>0</v>
      </c>
      <c r="M87">
        <v>0.1</v>
      </c>
      <c r="N87" t="s">
        <v>499</v>
      </c>
      <c r="O87" t="s">
        <v>500</v>
      </c>
      <c r="P87">
        <v>92</v>
      </c>
      <c r="Q87" s="2">
        <v>46209</v>
      </c>
      <c r="T87" t="s">
        <v>1131</v>
      </c>
      <c r="U87" t="b">
        <v>0</v>
      </c>
      <c r="V87" t="b">
        <v>0</v>
      </c>
    </row>
    <row r="88" spans="2:22" hidden="1" x14ac:dyDescent="0.25">
      <c r="B88" t="s">
        <v>1132</v>
      </c>
      <c r="C88" t="s">
        <v>960</v>
      </c>
      <c r="D88" t="s">
        <v>960</v>
      </c>
      <c r="E88" t="s">
        <v>207</v>
      </c>
      <c r="F88" t="s">
        <v>95</v>
      </c>
      <c r="G88" t="s">
        <v>961</v>
      </c>
      <c r="J88">
        <v>0.99</v>
      </c>
      <c r="K88">
        <v>0</v>
      </c>
      <c r="L88" t="b">
        <v>0</v>
      </c>
      <c r="M88">
        <v>0.99</v>
      </c>
      <c r="N88" t="s">
        <v>499</v>
      </c>
      <c r="O88" t="s">
        <v>500</v>
      </c>
      <c r="P88">
        <v>93</v>
      </c>
      <c r="Q88" s="2">
        <v>46209</v>
      </c>
      <c r="T88" t="s">
        <v>1133</v>
      </c>
      <c r="U88" t="b">
        <v>0</v>
      </c>
      <c r="V88" t="b">
        <v>0</v>
      </c>
    </row>
    <row r="89" spans="2:22" hidden="1" x14ac:dyDescent="0.25">
      <c r="B89" t="s">
        <v>1134</v>
      </c>
      <c r="C89" t="s">
        <v>960</v>
      </c>
      <c r="D89" t="s">
        <v>960</v>
      </c>
      <c r="E89" t="s">
        <v>207</v>
      </c>
      <c r="F89" t="s">
        <v>95</v>
      </c>
      <c r="G89" t="s">
        <v>961</v>
      </c>
      <c r="J89">
        <v>0.1</v>
      </c>
      <c r="K89">
        <v>0</v>
      </c>
      <c r="L89" t="b">
        <v>0</v>
      </c>
      <c r="M89">
        <v>0.1</v>
      </c>
      <c r="N89" t="s">
        <v>499</v>
      </c>
      <c r="O89" t="s">
        <v>500</v>
      </c>
      <c r="P89">
        <v>94</v>
      </c>
      <c r="Q89" s="2">
        <v>46209</v>
      </c>
      <c r="T89" t="s">
        <v>1135</v>
      </c>
      <c r="U89" t="b">
        <v>0</v>
      </c>
      <c r="V89" t="b">
        <v>0</v>
      </c>
    </row>
    <row r="90" spans="2:22" hidden="1" x14ac:dyDescent="0.25">
      <c r="B90" t="s">
        <v>1136</v>
      </c>
      <c r="C90" t="s">
        <v>960</v>
      </c>
      <c r="D90" t="s">
        <v>960</v>
      </c>
      <c r="E90" t="s">
        <v>207</v>
      </c>
      <c r="F90" t="s">
        <v>95</v>
      </c>
      <c r="G90" t="s">
        <v>961</v>
      </c>
      <c r="J90">
        <v>0.1</v>
      </c>
      <c r="K90">
        <v>0</v>
      </c>
      <c r="L90" t="b">
        <v>0</v>
      </c>
      <c r="M90">
        <v>0.1</v>
      </c>
      <c r="N90" t="s">
        <v>499</v>
      </c>
      <c r="O90" t="s">
        <v>500</v>
      </c>
      <c r="P90">
        <v>95</v>
      </c>
      <c r="Q90" s="2">
        <v>46209</v>
      </c>
      <c r="T90" t="s">
        <v>1137</v>
      </c>
      <c r="U90" t="b">
        <v>0</v>
      </c>
      <c r="V90" t="b">
        <v>0</v>
      </c>
    </row>
    <row r="91" spans="2:22" hidden="1" x14ac:dyDescent="0.25">
      <c r="B91" t="s">
        <v>1138</v>
      </c>
      <c r="C91" t="s">
        <v>960</v>
      </c>
      <c r="D91" t="s">
        <v>960</v>
      </c>
      <c r="E91" t="s">
        <v>207</v>
      </c>
      <c r="F91" t="s">
        <v>905</v>
      </c>
      <c r="G91" t="s">
        <v>961</v>
      </c>
      <c r="J91">
        <v>0.1</v>
      </c>
      <c r="K91">
        <v>0</v>
      </c>
      <c r="L91" t="b">
        <v>0</v>
      </c>
      <c r="M91">
        <v>0.1</v>
      </c>
      <c r="N91" t="s">
        <v>499</v>
      </c>
      <c r="O91" t="s">
        <v>500</v>
      </c>
      <c r="P91">
        <v>96</v>
      </c>
      <c r="Q91" s="2">
        <v>46209</v>
      </c>
      <c r="T91" t="s">
        <v>1139</v>
      </c>
      <c r="U91" t="b">
        <v>0</v>
      </c>
      <c r="V91" t="b">
        <v>0</v>
      </c>
    </row>
    <row r="92" spans="2:22" hidden="1" x14ac:dyDescent="0.25">
      <c r="B92" t="s">
        <v>1140</v>
      </c>
      <c r="C92" t="s">
        <v>960</v>
      </c>
      <c r="D92" t="s">
        <v>960</v>
      </c>
      <c r="E92" t="s">
        <v>207</v>
      </c>
      <c r="F92" t="s">
        <v>94</v>
      </c>
      <c r="G92" t="s">
        <v>961</v>
      </c>
      <c r="J92">
        <v>0.99</v>
      </c>
      <c r="K92">
        <v>0</v>
      </c>
      <c r="L92" t="b">
        <v>0</v>
      </c>
      <c r="M92">
        <v>0.99</v>
      </c>
      <c r="N92" t="s">
        <v>499</v>
      </c>
      <c r="O92" t="s">
        <v>500</v>
      </c>
      <c r="P92">
        <v>97</v>
      </c>
      <c r="Q92" s="2">
        <v>46209</v>
      </c>
      <c r="T92" t="s">
        <v>1141</v>
      </c>
      <c r="U92" t="b">
        <v>0</v>
      </c>
      <c r="V92" t="b">
        <v>0</v>
      </c>
    </row>
    <row r="93" spans="2:22" hidden="1" x14ac:dyDescent="0.25">
      <c r="B93" t="s">
        <v>1142</v>
      </c>
      <c r="C93" t="s">
        <v>960</v>
      </c>
      <c r="D93" t="s">
        <v>960</v>
      </c>
      <c r="E93" t="s">
        <v>207</v>
      </c>
      <c r="F93" t="s">
        <v>94</v>
      </c>
      <c r="G93" t="s">
        <v>961</v>
      </c>
      <c r="J93">
        <v>0.99</v>
      </c>
      <c r="K93">
        <v>0</v>
      </c>
      <c r="L93" t="b">
        <v>0</v>
      </c>
      <c r="M93">
        <v>0.99</v>
      </c>
      <c r="N93" t="s">
        <v>499</v>
      </c>
      <c r="O93" t="s">
        <v>500</v>
      </c>
      <c r="P93">
        <v>98</v>
      </c>
      <c r="Q93" s="2">
        <v>46209</v>
      </c>
      <c r="T93" t="s">
        <v>1143</v>
      </c>
      <c r="U93" t="b">
        <v>0</v>
      </c>
      <c r="V93" t="b">
        <v>0</v>
      </c>
    </row>
    <row r="94" spans="2:22" hidden="1" x14ac:dyDescent="0.25">
      <c r="B94" t="s">
        <v>1144</v>
      </c>
      <c r="C94" t="s">
        <v>960</v>
      </c>
      <c r="D94" t="s">
        <v>960</v>
      </c>
      <c r="E94" t="s">
        <v>207</v>
      </c>
      <c r="F94" t="s">
        <v>94</v>
      </c>
      <c r="G94" t="s">
        <v>961</v>
      </c>
      <c r="J94">
        <v>0.99</v>
      </c>
      <c r="K94">
        <v>0</v>
      </c>
      <c r="L94" t="b">
        <v>0</v>
      </c>
      <c r="M94">
        <v>0.99</v>
      </c>
      <c r="N94" t="s">
        <v>499</v>
      </c>
      <c r="O94" t="s">
        <v>500</v>
      </c>
      <c r="P94">
        <v>99</v>
      </c>
      <c r="Q94" s="2">
        <v>46209</v>
      </c>
      <c r="T94" t="s">
        <v>1145</v>
      </c>
      <c r="U94" t="b">
        <v>0</v>
      </c>
      <c r="V94" t="b">
        <v>0</v>
      </c>
    </row>
    <row r="95" spans="2:22" hidden="1" x14ac:dyDescent="0.25">
      <c r="B95" t="s">
        <v>1146</v>
      </c>
      <c r="C95" t="s">
        <v>960</v>
      </c>
      <c r="D95" t="s">
        <v>960</v>
      </c>
      <c r="E95" t="s">
        <v>207</v>
      </c>
      <c r="F95" t="s">
        <v>94</v>
      </c>
      <c r="G95" t="s">
        <v>961</v>
      </c>
      <c r="J95">
        <v>0.99</v>
      </c>
      <c r="K95">
        <v>0</v>
      </c>
      <c r="L95" t="b">
        <v>0</v>
      </c>
      <c r="M95">
        <v>0.99</v>
      </c>
      <c r="N95" t="s">
        <v>499</v>
      </c>
      <c r="O95" t="s">
        <v>500</v>
      </c>
      <c r="P95">
        <v>100</v>
      </c>
      <c r="Q95" s="2">
        <v>46209</v>
      </c>
      <c r="T95" t="s">
        <v>1147</v>
      </c>
      <c r="U95" t="b">
        <v>0</v>
      </c>
      <c r="V95" t="b">
        <v>0</v>
      </c>
    </row>
    <row r="96" spans="2:22" hidden="1" x14ac:dyDescent="0.25">
      <c r="B96" t="s">
        <v>1148</v>
      </c>
      <c r="C96" t="s">
        <v>960</v>
      </c>
      <c r="D96" t="s">
        <v>960</v>
      </c>
      <c r="E96" t="s">
        <v>207</v>
      </c>
      <c r="F96" t="s">
        <v>94</v>
      </c>
      <c r="G96" t="s">
        <v>961</v>
      </c>
      <c r="J96">
        <v>0.99</v>
      </c>
      <c r="K96">
        <v>0</v>
      </c>
      <c r="L96" t="b">
        <v>0</v>
      </c>
      <c r="M96">
        <v>0.99</v>
      </c>
      <c r="N96" t="s">
        <v>499</v>
      </c>
      <c r="O96" t="s">
        <v>500</v>
      </c>
      <c r="P96">
        <v>101</v>
      </c>
      <c r="Q96" s="2">
        <v>46209</v>
      </c>
      <c r="T96" t="s">
        <v>1149</v>
      </c>
      <c r="U96" t="b">
        <v>0</v>
      </c>
      <c r="V96" t="b">
        <v>0</v>
      </c>
    </row>
    <row r="97" spans="2:22" hidden="1" x14ac:dyDescent="0.25">
      <c r="B97" t="s">
        <v>1150</v>
      </c>
      <c r="C97" t="s">
        <v>960</v>
      </c>
      <c r="D97" t="s">
        <v>960</v>
      </c>
      <c r="E97" t="s">
        <v>207</v>
      </c>
      <c r="F97" t="s">
        <v>94</v>
      </c>
      <c r="G97" t="s">
        <v>961</v>
      </c>
      <c r="J97">
        <v>0.99</v>
      </c>
      <c r="K97">
        <v>0</v>
      </c>
      <c r="L97" t="b">
        <v>0</v>
      </c>
      <c r="M97">
        <v>0.99</v>
      </c>
      <c r="N97" t="s">
        <v>499</v>
      </c>
      <c r="O97" t="s">
        <v>500</v>
      </c>
      <c r="P97">
        <v>102</v>
      </c>
      <c r="Q97" s="2">
        <v>46209</v>
      </c>
      <c r="T97" t="s">
        <v>1151</v>
      </c>
      <c r="U97" t="b">
        <v>0</v>
      </c>
      <c r="V97" t="b">
        <v>0</v>
      </c>
    </row>
    <row r="98" spans="2:22" hidden="1" x14ac:dyDescent="0.25">
      <c r="B98" t="s">
        <v>1152</v>
      </c>
      <c r="C98" t="s">
        <v>960</v>
      </c>
      <c r="D98" t="s">
        <v>960</v>
      </c>
      <c r="E98" t="s">
        <v>23</v>
      </c>
      <c r="F98" t="s">
        <v>95</v>
      </c>
      <c r="G98" t="s">
        <v>961</v>
      </c>
      <c r="J98">
        <v>0.99</v>
      </c>
      <c r="K98">
        <v>0</v>
      </c>
      <c r="L98" t="b">
        <v>0</v>
      </c>
      <c r="M98">
        <v>0.99</v>
      </c>
      <c r="N98" t="s">
        <v>499</v>
      </c>
      <c r="O98" t="s">
        <v>500</v>
      </c>
      <c r="P98">
        <v>103</v>
      </c>
      <c r="Q98" s="2">
        <v>46209</v>
      </c>
      <c r="T98" t="s">
        <v>1153</v>
      </c>
      <c r="U98" t="b">
        <v>0</v>
      </c>
      <c r="V98" t="b">
        <v>0</v>
      </c>
    </row>
    <row r="99" spans="2:22" hidden="1" x14ac:dyDescent="0.25">
      <c r="B99" t="s">
        <v>1154</v>
      </c>
      <c r="C99" t="s">
        <v>960</v>
      </c>
      <c r="D99" t="s">
        <v>960</v>
      </c>
      <c r="E99" t="s">
        <v>207</v>
      </c>
      <c r="F99" t="s">
        <v>531</v>
      </c>
      <c r="G99" t="s">
        <v>961</v>
      </c>
      <c r="J99">
        <v>0.96</v>
      </c>
      <c r="K99">
        <v>0</v>
      </c>
      <c r="L99" t="b">
        <v>0</v>
      </c>
      <c r="M99">
        <v>0.96</v>
      </c>
      <c r="N99" t="s">
        <v>499</v>
      </c>
      <c r="O99" t="s">
        <v>500</v>
      </c>
      <c r="P99">
        <v>104</v>
      </c>
      <c r="Q99" s="2">
        <v>46209</v>
      </c>
      <c r="T99" t="s">
        <v>1155</v>
      </c>
      <c r="U99" t="b">
        <v>0</v>
      </c>
      <c r="V99" t="b">
        <v>0</v>
      </c>
    </row>
    <row r="100" spans="2:22" hidden="1" x14ac:dyDescent="0.25">
      <c r="B100" t="s">
        <v>1156</v>
      </c>
      <c r="C100" t="s">
        <v>960</v>
      </c>
      <c r="D100" t="s">
        <v>960</v>
      </c>
      <c r="E100" t="s">
        <v>207</v>
      </c>
      <c r="F100" t="s">
        <v>531</v>
      </c>
      <c r="G100" t="s">
        <v>961</v>
      </c>
      <c r="J100">
        <v>0.96</v>
      </c>
      <c r="K100">
        <v>0</v>
      </c>
      <c r="L100" t="b">
        <v>0</v>
      </c>
      <c r="M100">
        <v>0.96</v>
      </c>
      <c r="N100" t="s">
        <v>499</v>
      </c>
      <c r="O100" t="s">
        <v>500</v>
      </c>
      <c r="P100">
        <v>105</v>
      </c>
      <c r="Q100" s="2">
        <v>46209</v>
      </c>
      <c r="T100" t="s">
        <v>1157</v>
      </c>
      <c r="U100" t="b">
        <v>0</v>
      </c>
      <c r="V100" t="b">
        <v>0</v>
      </c>
    </row>
    <row r="101" spans="2:22" hidden="1" x14ac:dyDescent="0.25">
      <c r="B101" t="s">
        <v>1158</v>
      </c>
      <c r="C101" t="s">
        <v>960</v>
      </c>
      <c r="D101" t="s">
        <v>960</v>
      </c>
      <c r="E101" t="s">
        <v>207</v>
      </c>
      <c r="F101" t="s">
        <v>531</v>
      </c>
      <c r="G101" t="s">
        <v>961</v>
      </c>
      <c r="J101">
        <v>0.96</v>
      </c>
      <c r="K101">
        <v>0</v>
      </c>
      <c r="L101" t="b">
        <v>0</v>
      </c>
      <c r="M101">
        <v>0.96</v>
      </c>
      <c r="N101" t="s">
        <v>499</v>
      </c>
      <c r="O101" t="s">
        <v>500</v>
      </c>
      <c r="P101">
        <v>106</v>
      </c>
      <c r="Q101" s="2">
        <v>46209</v>
      </c>
      <c r="T101" t="s">
        <v>1159</v>
      </c>
      <c r="U101" t="b">
        <v>0</v>
      </c>
      <c r="V101" t="b">
        <v>0</v>
      </c>
    </row>
    <row r="102" spans="2:22" hidden="1" x14ac:dyDescent="0.25">
      <c r="B102" t="s">
        <v>1160</v>
      </c>
      <c r="C102" t="s">
        <v>960</v>
      </c>
      <c r="D102" t="s">
        <v>960</v>
      </c>
      <c r="E102" t="s">
        <v>207</v>
      </c>
      <c r="F102" t="s">
        <v>94</v>
      </c>
      <c r="G102" t="s">
        <v>961</v>
      </c>
      <c r="J102">
        <v>0.99</v>
      </c>
      <c r="K102">
        <v>0</v>
      </c>
      <c r="L102" t="b">
        <v>0</v>
      </c>
      <c r="M102">
        <v>0.99</v>
      </c>
      <c r="N102" t="s">
        <v>499</v>
      </c>
      <c r="O102" t="s">
        <v>500</v>
      </c>
      <c r="P102">
        <v>107</v>
      </c>
      <c r="Q102" s="2">
        <v>46209</v>
      </c>
      <c r="T102" t="s">
        <v>1161</v>
      </c>
      <c r="U102" t="b">
        <v>0</v>
      </c>
      <c r="V102" t="b">
        <v>0</v>
      </c>
    </row>
    <row r="103" spans="2:22" hidden="1" x14ac:dyDescent="0.25">
      <c r="B103" t="s">
        <v>1162</v>
      </c>
      <c r="C103" t="s">
        <v>960</v>
      </c>
      <c r="D103" t="s">
        <v>960</v>
      </c>
      <c r="E103" t="s">
        <v>207</v>
      </c>
      <c r="F103" t="s">
        <v>94</v>
      </c>
      <c r="G103" t="s">
        <v>961</v>
      </c>
      <c r="J103">
        <v>0.99</v>
      </c>
      <c r="K103">
        <v>0</v>
      </c>
      <c r="L103" t="b">
        <v>0</v>
      </c>
      <c r="M103">
        <v>0.99</v>
      </c>
      <c r="N103" t="s">
        <v>499</v>
      </c>
      <c r="O103" t="s">
        <v>500</v>
      </c>
      <c r="P103">
        <v>108</v>
      </c>
      <c r="Q103" s="2">
        <v>46209</v>
      </c>
      <c r="T103" t="s">
        <v>1163</v>
      </c>
      <c r="U103" t="b">
        <v>0</v>
      </c>
      <c r="V103" t="b">
        <v>0</v>
      </c>
    </row>
    <row r="104" spans="2:22" hidden="1" x14ac:dyDescent="0.25">
      <c r="B104" t="s">
        <v>1164</v>
      </c>
      <c r="C104" t="s">
        <v>960</v>
      </c>
      <c r="D104" t="s">
        <v>960</v>
      </c>
      <c r="E104" t="s">
        <v>207</v>
      </c>
      <c r="F104" t="s">
        <v>94</v>
      </c>
      <c r="G104" t="s">
        <v>961</v>
      </c>
      <c r="J104">
        <v>0.99</v>
      </c>
      <c r="K104">
        <v>0</v>
      </c>
      <c r="L104" t="b">
        <v>0</v>
      </c>
      <c r="M104">
        <v>0.99</v>
      </c>
      <c r="N104" t="s">
        <v>499</v>
      </c>
      <c r="O104" t="s">
        <v>500</v>
      </c>
      <c r="P104">
        <v>109</v>
      </c>
      <c r="Q104" s="2">
        <v>46209</v>
      </c>
      <c r="T104" t="s">
        <v>1165</v>
      </c>
      <c r="U104" t="b">
        <v>0</v>
      </c>
      <c r="V104" t="b">
        <v>0</v>
      </c>
    </row>
    <row r="105" spans="2:22" hidden="1" x14ac:dyDescent="0.25">
      <c r="B105" t="s">
        <v>1166</v>
      </c>
      <c r="C105" t="s">
        <v>960</v>
      </c>
      <c r="D105" t="s">
        <v>960</v>
      </c>
      <c r="E105" t="s">
        <v>207</v>
      </c>
      <c r="F105" t="s">
        <v>240</v>
      </c>
      <c r="G105" t="s">
        <v>961</v>
      </c>
      <c r="J105">
        <v>0.995</v>
      </c>
      <c r="K105">
        <v>0</v>
      </c>
      <c r="L105" t="b">
        <v>0</v>
      </c>
      <c r="M105">
        <v>0.97499999999999998</v>
      </c>
      <c r="N105" t="s">
        <v>499</v>
      </c>
      <c r="O105" t="s">
        <v>500</v>
      </c>
      <c r="P105">
        <v>110</v>
      </c>
      <c r="Q105" s="2">
        <v>46209</v>
      </c>
      <c r="T105" t="s">
        <v>1167</v>
      </c>
      <c r="U105" t="b">
        <v>0</v>
      </c>
      <c r="V105" t="b">
        <v>0</v>
      </c>
    </row>
    <row r="106" spans="2:22" hidden="1" x14ac:dyDescent="0.25">
      <c r="B106" t="s">
        <v>1168</v>
      </c>
      <c r="C106" t="s">
        <v>960</v>
      </c>
      <c r="D106" t="s">
        <v>960</v>
      </c>
      <c r="E106" t="s">
        <v>207</v>
      </c>
      <c r="F106" t="s">
        <v>240</v>
      </c>
      <c r="G106" t="s">
        <v>961</v>
      </c>
      <c r="J106">
        <v>0.995</v>
      </c>
      <c r="K106">
        <v>0</v>
      </c>
      <c r="L106" t="b">
        <v>0</v>
      </c>
      <c r="M106">
        <v>0.97499999999999998</v>
      </c>
      <c r="N106" t="s">
        <v>499</v>
      </c>
      <c r="O106" t="s">
        <v>500</v>
      </c>
      <c r="P106">
        <v>111</v>
      </c>
      <c r="Q106" s="2">
        <v>46209</v>
      </c>
      <c r="T106" t="s">
        <v>1169</v>
      </c>
      <c r="U106" t="b">
        <v>0</v>
      </c>
      <c r="V106" t="b">
        <v>0</v>
      </c>
    </row>
    <row r="107" spans="2:22" hidden="1" x14ac:dyDescent="0.25">
      <c r="B107" t="s">
        <v>1170</v>
      </c>
      <c r="C107" t="s">
        <v>960</v>
      </c>
      <c r="D107" t="s">
        <v>960</v>
      </c>
      <c r="E107" t="s">
        <v>207</v>
      </c>
      <c r="F107" t="s">
        <v>95</v>
      </c>
      <c r="G107" t="s">
        <v>961</v>
      </c>
      <c r="J107">
        <v>0.99</v>
      </c>
      <c r="K107">
        <v>0</v>
      </c>
      <c r="L107" t="b">
        <v>0</v>
      </c>
      <c r="M107">
        <v>0.99</v>
      </c>
      <c r="N107" t="s">
        <v>499</v>
      </c>
      <c r="O107" t="s">
        <v>500</v>
      </c>
      <c r="P107">
        <v>112</v>
      </c>
      <c r="Q107" s="2">
        <v>46209</v>
      </c>
      <c r="T107" t="s">
        <v>1171</v>
      </c>
      <c r="U107" t="b">
        <v>0</v>
      </c>
      <c r="V107" t="b">
        <v>0</v>
      </c>
    </row>
    <row r="108" spans="2:22" hidden="1" x14ac:dyDescent="0.25">
      <c r="B108" t="s">
        <v>1172</v>
      </c>
      <c r="C108" t="s">
        <v>960</v>
      </c>
      <c r="D108" t="s">
        <v>960</v>
      </c>
      <c r="E108" t="s">
        <v>207</v>
      </c>
      <c r="F108" t="s">
        <v>95</v>
      </c>
      <c r="G108" t="s">
        <v>961</v>
      </c>
      <c r="J108">
        <v>0.99</v>
      </c>
      <c r="K108">
        <v>0</v>
      </c>
      <c r="L108" t="b">
        <v>0</v>
      </c>
      <c r="M108">
        <v>0.99</v>
      </c>
      <c r="N108" t="s">
        <v>499</v>
      </c>
      <c r="O108" t="s">
        <v>500</v>
      </c>
      <c r="P108">
        <v>113</v>
      </c>
      <c r="Q108" s="2">
        <v>46209</v>
      </c>
      <c r="T108" t="s">
        <v>1173</v>
      </c>
      <c r="U108" t="b">
        <v>0</v>
      </c>
      <c r="V108" t="b">
        <v>0</v>
      </c>
    </row>
    <row r="109" spans="2:22" hidden="1" x14ac:dyDescent="0.25">
      <c r="B109" t="s">
        <v>1174</v>
      </c>
      <c r="C109" t="s">
        <v>960</v>
      </c>
      <c r="D109" t="s">
        <v>960</v>
      </c>
      <c r="E109" t="s">
        <v>207</v>
      </c>
      <c r="F109" t="s">
        <v>95</v>
      </c>
      <c r="G109" t="s">
        <v>961</v>
      </c>
      <c r="J109">
        <v>0.99</v>
      </c>
      <c r="K109">
        <v>0</v>
      </c>
      <c r="L109" t="b">
        <v>0</v>
      </c>
      <c r="M109">
        <v>0.99</v>
      </c>
      <c r="N109" t="s">
        <v>499</v>
      </c>
      <c r="O109" t="s">
        <v>500</v>
      </c>
      <c r="P109">
        <v>114</v>
      </c>
      <c r="Q109" s="2">
        <v>46209</v>
      </c>
      <c r="T109" t="s">
        <v>1175</v>
      </c>
      <c r="U109" t="b">
        <v>0</v>
      </c>
      <c r="V109" t="b">
        <v>0</v>
      </c>
    </row>
    <row r="110" spans="2:22" hidden="1" x14ac:dyDescent="0.25">
      <c r="B110" t="s">
        <v>1176</v>
      </c>
      <c r="C110" t="s">
        <v>960</v>
      </c>
      <c r="D110" t="s">
        <v>960</v>
      </c>
      <c r="E110" t="s">
        <v>207</v>
      </c>
      <c r="F110" t="s">
        <v>531</v>
      </c>
      <c r="G110" t="s">
        <v>961</v>
      </c>
      <c r="J110">
        <v>0.99</v>
      </c>
      <c r="K110">
        <v>0</v>
      </c>
      <c r="L110" t="b">
        <v>0</v>
      </c>
      <c r="M110">
        <v>0.99</v>
      </c>
      <c r="N110" t="s">
        <v>499</v>
      </c>
      <c r="O110" t="s">
        <v>500</v>
      </c>
      <c r="P110">
        <v>115</v>
      </c>
      <c r="Q110" s="2">
        <v>46209</v>
      </c>
      <c r="T110" t="s">
        <v>1177</v>
      </c>
      <c r="U110" t="b">
        <v>0</v>
      </c>
      <c r="V110" t="b">
        <v>0</v>
      </c>
    </row>
    <row r="111" spans="2:22" hidden="1" x14ac:dyDescent="0.25">
      <c r="B111" t="s">
        <v>1178</v>
      </c>
      <c r="C111" t="s">
        <v>960</v>
      </c>
      <c r="D111" t="s">
        <v>960</v>
      </c>
      <c r="E111" t="s">
        <v>207</v>
      </c>
      <c r="F111" t="s">
        <v>238</v>
      </c>
      <c r="G111" t="s">
        <v>961</v>
      </c>
      <c r="J111">
        <v>0.99</v>
      </c>
      <c r="K111">
        <v>0</v>
      </c>
      <c r="L111" t="b">
        <v>0</v>
      </c>
      <c r="M111">
        <v>0.99</v>
      </c>
      <c r="N111" t="s">
        <v>499</v>
      </c>
      <c r="O111" t="s">
        <v>500</v>
      </c>
      <c r="P111">
        <v>116</v>
      </c>
      <c r="Q111" s="2">
        <v>46209</v>
      </c>
      <c r="T111" t="s">
        <v>1179</v>
      </c>
      <c r="U111" t="b">
        <v>0</v>
      </c>
      <c r="V111" t="b">
        <v>0</v>
      </c>
    </row>
    <row r="112" spans="2:22" hidden="1" x14ac:dyDescent="0.25">
      <c r="B112" t="s">
        <v>1180</v>
      </c>
      <c r="C112" t="s">
        <v>960</v>
      </c>
      <c r="D112" t="s">
        <v>960</v>
      </c>
      <c r="E112" t="s">
        <v>207</v>
      </c>
      <c r="F112" t="s">
        <v>905</v>
      </c>
      <c r="G112" t="s">
        <v>961</v>
      </c>
      <c r="J112">
        <v>1.38</v>
      </c>
      <c r="K112">
        <v>0</v>
      </c>
      <c r="L112" t="b">
        <v>0</v>
      </c>
      <c r="M112">
        <v>0.99</v>
      </c>
      <c r="N112" t="s">
        <v>499</v>
      </c>
      <c r="O112" t="s">
        <v>500</v>
      </c>
      <c r="P112">
        <v>117</v>
      </c>
      <c r="Q112" s="2">
        <v>46209</v>
      </c>
      <c r="T112" t="s">
        <v>1181</v>
      </c>
      <c r="U112" t="b">
        <v>0</v>
      </c>
      <c r="V112" t="b">
        <v>0</v>
      </c>
    </row>
    <row r="113" spans="2:22" hidden="1" x14ac:dyDescent="0.25">
      <c r="B113" t="s">
        <v>1182</v>
      </c>
      <c r="C113" t="s">
        <v>960</v>
      </c>
      <c r="D113" t="s">
        <v>960</v>
      </c>
      <c r="E113" t="s">
        <v>207</v>
      </c>
      <c r="F113" t="s">
        <v>95</v>
      </c>
      <c r="G113" t="s">
        <v>961</v>
      </c>
      <c r="J113">
        <v>0.15</v>
      </c>
      <c r="K113">
        <v>0</v>
      </c>
      <c r="L113" t="b">
        <v>0</v>
      </c>
      <c r="M113">
        <v>0.15</v>
      </c>
      <c r="N113" t="s">
        <v>499</v>
      </c>
      <c r="O113" t="s">
        <v>500</v>
      </c>
      <c r="P113">
        <v>118</v>
      </c>
      <c r="Q113" s="2">
        <v>46209</v>
      </c>
      <c r="T113" t="s">
        <v>1183</v>
      </c>
      <c r="U113" t="b">
        <v>0</v>
      </c>
      <c r="V113" t="b">
        <v>0</v>
      </c>
    </row>
    <row r="114" spans="2:22" hidden="1" x14ac:dyDescent="0.25">
      <c r="B114" t="s">
        <v>1184</v>
      </c>
      <c r="C114" t="s">
        <v>960</v>
      </c>
      <c r="D114" t="s">
        <v>960</v>
      </c>
      <c r="E114" t="s">
        <v>207</v>
      </c>
      <c r="F114" t="s">
        <v>897</v>
      </c>
      <c r="G114" t="s">
        <v>961</v>
      </c>
      <c r="J114">
        <v>0.12</v>
      </c>
      <c r="K114">
        <v>0</v>
      </c>
      <c r="L114" t="b">
        <v>0</v>
      </c>
      <c r="M114">
        <v>0.12</v>
      </c>
      <c r="N114" t="s">
        <v>499</v>
      </c>
      <c r="O114" t="s">
        <v>500</v>
      </c>
      <c r="P114">
        <v>119</v>
      </c>
      <c r="Q114" s="2">
        <v>46209</v>
      </c>
      <c r="T114" t="s">
        <v>1185</v>
      </c>
      <c r="U114" t="b">
        <v>0</v>
      </c>
      <c r="V114" t="b">
        <v>0</v>
      </c>
    </row>
    <row r="115" spans="2:22" hidden="1" x14ac:dyDescent="0.25">
      <c r="B115" t="s">
        <v>1186</v>
      </c>
      <c r="C115" t="s">
        <v>960</v>
      </c>
      <c r="D115" t="s">
        <v>960</v>
      </c>
      <c r="E115" t="s">
        <v>207</v>
      </c>
      <c r="F115" t="s">
        <v>897</v>
      </c>
      <c r="G115" t="s">
        <v>961</v>
      </c>
      <c r="J115">
        <v>0.105</v>
      </c>
      <c r="K115">
        <v>0</v>
      </c>
      <c r="L115" t="b">
        <v>0</v>
      </c>
      <c r="M115">
        <v>0.105</v>
      </c>
      <c r="N115" t="s">
        <v>499</v>
      </c>
      <c r="O115" t="s">
        <v>500</v>
      </c>
      <c r="P115">
        <v>120</v>
      </c>
      <c r="Q115" s="2">
        <v>46209</v>
      </c>
      <c r="T115" t="s">
        <v>1187</v>
      </c>
      <c r="U115" t="b">
        <v>0</v>
      </c>
      <c r="V115" t="b">
        <v>0</v>
      </c>
    </row>
    <row r="116" spans="2:22" hidden="1" x14ac:dyDescent="0.25">
      <c r="B116" t="s">
        <v>1188</v>
      </c>
      <c r="C116" t="s">
        <v>960</v>
      </c>
      <c r="D116" t="s">
        <v>960</v>
      </c>
      <c r="E116" t="s">
        <v>207</v>
      </c>
      <c r="F116" t="s">
        <v>897</v>
      </c>
      <c r="G116" t="s">
        <v>961</v>
      </c>
      <c r="J116">
        <v>0.995</v>
      </c>
      <c r="K116">
        <v>0</v>
      </c>
      <c r="L116" t="b">
        <v>0</v>
      </c>
      <c r="M116">
        <v>0.97499999999999998</v>
      </c>
      <c r="N116" t="s">
        <v>499</v>
      </c>
      <c r="O116" t="s">
        <v>500</v>
      </c>
      <c r="P116">
        <v>121</v>
      </c>
      <c r="Q116" s="2">
        <v>46209</v>
      </c>
      <c r="T116" t="s">
        <v>1189</v>
      </c>
      <c r="U116" t="b">
        <v>0</v>
      </c>
      <c r="V116" t="b">
        <v>0</v>
      </c>
    </row>
    <row r="117" spans="2:22" hidden="1" x14ac:dyDescent="0.25">
      <c r="B117" t="s">
        <v>1190</v>
      </c>
      <c r="C117" t="s">
        <v>960</v>
      </c>
      <c r="D117" t="s">
        <v>960</v>
      </c>
      <c r="E117" t="s">
        <v>207</v>
      </c>
      <c r="F117" t="s">
        <v>531</v>
      </c>
      <c r="G117" t="s">
        <v>961</v>
      </c>
      <c r="J117">
        <v>0.96</v>
      </c>
      <c r="K117">
        <v>0</v>
      </c>
      <c r="L117" t="b">
        <v>0</v>
      </c>
      <c r="M117">
        <v>0.96</v>
      </c>
      <c r="N117" t="s">
        <v>499</v>
      </c>
      <c r="O117" t="s">
        <v>500</v>
      </c>
      <c r="P117">
        <v>122</v>
      </c>
      <c r="Q117" s="2">
        <v>46209</v>
      </c>
      <c r="T117" t="s">
        <v>1191</v>
      </c>
      <c r="U117" t="b">
        <v>0</v>
      </c>
      <c r="V117" t="b">
        <v>0</v>
      </c>
    </row>
    <row r="118" spans="2:22" hidden="1" x14ac:dyDescent="0.25">
      <c r="B118" t="s">
        <v>1192</v>
      </c>
      <c r="C118" t="s">
        <v>960</v>
      </c>
      <c r="D118" t="s">
        <v>960</v>
      </c>
      <c r="E118" t="s">
        <v>207</v>
      </c>
      <c r="F118" t="s">
        <v>531</v>
      </c>
      <c r="G118" t="s">
        <v>961</v>
      </c>
      <c r="J118">
        <v>0.96</v>
      </c>
      <c r="K118">
        <v>0</v>
      </c>
      <c r="L118" t="b">
        <v>0</v>
      </c>
      <c r="M118">
        <v>0.96</v>
      </c>
      <c r="N118" t="s">
        <v>499</v>
      </c>
      <c r="O118" t="s">
        <v>500</v>
      </c>
      <c r="P118">
        <v>123</v>
      </c>
      <c r="Q118" s="2">
        <v>46209</v>
      </c>
      <c r="T118" t="s">
        <v>1193</v>
      </c>
      <c r="U118" t="b">
        <v>0</v>
      </c>
      <c r="V118" t="b">
        <v>0</v>
      </c>
    </row>
    <row r="119" spans="2:22" hidden="1" x14ac:dyDescent="0.25">
      <c r="B119" t="s">
        <v>1194</v>
      </c>
      <c r="C119" t="s">
        <v>960</v>
      </c>
      <c r="D119" t="s">
        <v>960</v>
      </c>
      <c r="E119" t="s">
        <v>207</v>
      </c>
      <c r="F119" t="s">
        <v>531</v>
      </c>
      <c r="G119" t="s">
        <v>961</v>
      </c>
      <c r="J119">
        <v>0.96</v>
      </c>
      <c r="K119">
        <v>0</v>
      </c>
      <c r="L119" t="b">
        <v>0</v>
      </c>
      <c r="M119">
        <v>0.96</v>
      </c>
      <c r="N119" t="s">
        <v>499</v>
      </c>
      <c r="O119" t="s">
        <v>500</v>
      </c>
      <c r="P119">
        <v>124</v>
      </c>
      <c r="Q119" s="2">
        <v>46209</v>
      </c>
      <c r="T119" t="s">
        <v>1195</v>
      </c>
      <c r="U119" t="b">
        <v>0</v>
      </c>
      <c r="V119" t="b">
        <v>0</v>
      </c>
    </row>
    <row r="120" spans="2:22" hidden="1" x14ac:dyDescent="0.25">
      <c r="B120" t="s">
        <v>1196</v>
      </c>
      <c r="C120" t="s">
        <v>960</v>
      </c>
      <c r="D120" t="s">
        <v>960</v>
      </c>
      <c r="E120" t="s">
        <v>207</v>
      </c>
      <c r="F120" t="s">
        <v>531</v>
      </c>
      <c r="G120" t="s">
        <v>961</v>
      </c>
      <c r="J120">
        <v>0.96</v>
      </c>
      <c r="K120">
        <v>0</v>
      </c>
      <c r="L120" t="b">
        <v>0</v>
      </c>
      <c r="M120">
        <v>0.96</v>
      </c>
      <c r="N120" t="s">
        <v>499</v>
      </c>
      <c r="O120" t="s">
        <v>500</v>
      </c>
      <c r="P120">
        <v>125</v>
      </c>
      <c r="Q120" s="2">
        <v>46209</v>
      </c>
      <c r="T120" t="s">
        <v>1197</v>
      </c>
      <c r="U120" t="b">
        <v>0</v>
      </c>
      <c r="V120" t="b">
        <v>0</v>
      </c>
    </row>
    <row r="121" spans="2:22" hidden="1" x14ac:dyDescent="0.25">
      <c r="B121" t="s">
        <v>1198</v>
      </c>
      <c r="C121" t="s">
        <v>960</v>
      </c>
      <c r="D121" t="s">
        <v>960</v>
      </c>
      <c r="E121" t="s">
        <v>207</v>
      </c>
      <c r="F121" t="s">
        <v>531</v>
      </c>
      <c r="G121" t="s">
        <v>961</v>
      </c>
      <c r="J121">
        <v>0.96</v>
      </c>
      <c r="K121">
        <v>0</v>
      </c>
      <c r="L121" t="b">
        <v>0</v>
      </c>
      <c r="M121">
        <v>0.96</v>
      </c>
      <c r="N121" t="s">
        <v>499</v>
      </c>
      <c r="O121" t="s">
        <v>500</v>
      </c>
      <c r="P121">
        <v>126</v>
      </c>
      <c r="Q121" s="2">
        <v>46209</v>
      </c>
      <c r="T121" t="s">
        <v>1199</v>
      </c>
      <c r="U121" t="b">
        <v>0</v>
      </c>
      <c r="V121" t="b">
        <v>0</v>
      </c>
    </row>
    <row r="122" spans="2:22" hidden="1" x14ac:dyDescent="0.25">
      <c r="B122" t="s">
        <v>1200</v>
      </c>
      <c r="C122" t="s">
        <v>960</v>
      </c>
      <c r="D122" t="s">
        <v>960</v>
      </c>
      <c r="E122" t="s">
        <v>23</v>
      </c>
      <c r="F122" t="s">
        <v>531</v>
      </c>
      <c r="G122" t="s">
        <v>961</v>
      </c>
      <c r="J122">
        <v>0.99</v>
      </c>
      <c r="K122">
        <v>0</v>
      </c>
      <c r="L122" t="b">
        <v>0</v>
      </c>
      <c r="M122">
        <v>0.99</v>
      </c>
      <c r="N122" t="s">
        <v>499</v>
      </c>
      <c r="O122" t="s">
        <v>500</v>
      </c>
      <c r="P122">
        <v>127</v>
      </c>
      <c r="Q122" s="2">
        <v>46209</v>
      </c>
      <c r="T122" t="s">
        <v>1201</v>
      </c>
      <c r="U122" t="b">
        <v>0</v>
      </c>
      <c r="V122" t="b">
        <v>0</v>
      </c>
    </row>
    <row r="123" spans="2:22" hidden="1" x14ac:dyDescent="0.25">
      <c r="B123" t="s">
        <v>1202</v>
      </c>
      <c r="C123" t="s">
        <v>960</v>
      </c>
      <c r="D123" t="s">
        <v>960</v>
      </c>
      <c r="E123" t="s">
        <v>23</v>
      </c>
      <c r="F123" t="s">
        <v>95</v>
      </c>
      <c r="G123" t="s">
        <v>961</v>
      </c>
      <c r="J123">
        <v>0.99</v>
      </c>
      <c r="K123">
        <v>0</v>
      </c>
      <c r="L123" t="b">
        <v>0</v>
      </c>
      <c r="M123">
        <v>0.99</v>
      </c>
      <c r="N123" t="s">
        <v>499</v>
      </c>
      <c r="O123" t="s">
        <v>500</v>
      </c>
      <c r="P123">
        <v>128</v>
      </c>
      <c r="Q123" s="2">
        <v>46209</v>
      </c>
      <c r="T123" t="s">
        <v>1203</v>
      </c>
      <c r="U123" t="b">
        <v>0</v>
      </c>
      <c r="V123" t="b">
        <v>0</v>
      </c>
    </row>
    <row r="124" spans="2:22" hidden="1" x14ac:dyDescent="0.25">
      <c r="B124" t="s">
        <v>1204</v>
      </c>
      <c r="C124" t="s">
        <v>960</v>
      </c>
      <c r="D124" t="s">
        <v>960</v>
      </c>
      <c r="E124" t="s">
        <v>207</v>
      </c>
      <c r="F124" t="s">
        <v>531</v>
      </c>
      <c r="G124" t="s">
        <v>961</v>
      </c>
      <c r="J124">
        <v>1.0900000000000001</v>
      </c>
      <c r="K124">
        <v>0</v>
      </c>
      <c r="L124" t="b">
        <v>0</v>
      </c>
      <c r="M124">
        <v>0.996</v>
      </c>
      <c r="N124" t="s">
        <v>499</v>
      </c>
      <c r="O124" t="s">
        <v>500</v>
      </c>
      <c r="P124">
        <v>129</v>
      </c>
      <c r="Q124" s="2">
        <v>46209</v>
      </c>
      <c r="T124" t="s">
        <v>1205</v>
      </c>
      <c r="U124" t="b">
        <v>0</v>
      </c>
      <c r="V124" t="b">
        <v>0</v>
      </c>
    </row>
    <row r="125" spans="2:22" hidden="1" x14ac:dyDescent="0.25">
      <c r="B125" t="s">
        <v>1206</v>
      </c>
      <c r="C125" t="s">
        <v>960</v>
      </c>
      <c r="D125" t="s">
        <v>960</v>
      </c>
      <c r="E125" t="s">
        <v>207</v>
      </c>
      <c r="F125" t="s">
        <v>531</v>
      </c>
      <c r="G125" t="s">
        <v>961</v>
      </c>
      <c r="J125">
        <v>0.96</v>
      </c>
      <c r="K125">
        <v>0</v>
      </c>
      <c r="L125" t="b">
        <v>0</v>
      </c>
      <c r="M125">
        <v>0.96</v>
      </c>
      <c r="N125" t="s">
        <v>499</v>
      </c>
      <c r="O125" t="s">
        <v>500</v>
      </c>
      <c r="P125">
        <v>130</v>
      </c>
      <c r="Q125" s="2">
        <v>46209</v>
      </c>
      <c r="T125" t="s">
        <v>1207</v>
      </c>
      <c r="U125" t="b">
        <v>0</v>
      </c>
      <c r="V125" t="b">
        <v>0</v>
      </c>
    </row>
    <row r="126" spans="2:22" hidden="1" x14ac:dyDescent="0.25">
      <c r="B126" t="s">
        <v>1208</v>
      </c>
      <c r="C126" t="s">
        <v>960</v>
      </c>
      <c r="D126" t="s">
        <v>960</v>
      </c>
      <c r="E126" t="s">
        <v>207</v>
      </c>
      <c r="F126" t="s">
        <v>531</v>
      </c>
      <c r="G126" t="s">
        <v>961</v>
      </c>
      <c r="J126">
        <v>0.96</v>
      </c>
      <c r="K126">
        <v>0</v>
      </c>
      <c r="L126" t="b">
        <v>0</v>
      </c>
      <c r="M126">
        <v>0.96</v>
      </c>
      <c r="N126" t="s">
        <v>499</v>
      </c>
      <c r="O126" t="s">
        <v>500</v>
      </c>
      <c r="P126">
        <v>131</v>
      </c>
      <c r="Q126" s="2">
        <v>46209</v>
      </c>
      <c r="T126" t="s">
        <v>1209</v>
      </c>
      <c r="U126" t="b">
        <v>0</v>
      </c>
      <c r="V126" t="b">
        <v>0</v>
      </c>
    </row>
    <row r="127" spans="2:22" hidden="1" x14ac:dyDescent="0.25">
      <c r="B127" t="s">
        <v>1210</v>
      </c>
      <c r="C127" t="s">
        <v>960</v>
      </c>
      <c r="D127" t="s">
        <v>960</v>
      </c>
      <c r="E127" t="s">
        <v>207</v>
      </c>
      <c r="F127" t="s">
        <v>94</v>
      </c>
      <c r="G127" t="s">
        <v>961</v>
      </c>
      <c r="J127">
        <v>0.99</v>
      </c>
      <c r="K127">
        <v>0</v>
      </c>
      <c r="L127" t="b">
        <v>0</v>
      </c>
      <c r="M127">
        <v>0.99</v>
      </c>
      <c r="N127" t="s">
        <v>499</v>
      </c>
      <c r="O127" t="s">
        <v>500</v>
      </c>
      <c r="P127">
        <v>132</v>
      </c>
      <c r="Q127" s="2">
        <v>46209</v>
      </c>
      <c r="T127" t="s">
        <v>1211</v>
      </c>
      <c r="U127" t="b">
        <v>0</v>
      </c>
      <c r="V127" t="b">
        <v>0</v>
      </c>
    </row>
    <row r="128" spans="2:22" hidden="1" x14ac:dyDescent="0.25">
      <c r="B128" t="s">
        <v>1212</v>
      </c>
      <c r="C128" t="s">
        <v>960</v>
      </c>
      <c r="D128" t="s">
        <v>960</v>
      </c>
      <c r="E128" t="s">
        <v>23</v>
      </c>
      <c r="F128" t="s">
        <v>531</v>
      </c>
      <c r="G128" t="s">
        <v>961</v>
      </c>
      <c r="J128">
        <v>0.99</v>
      </c>
      <c r="K128">
        <v>0</v>
      </c>
      <c r="L128" t="b">
        <v>0</v>
      </c>
      <c r="M128">
        <v>0.99</v>
      </c>
      <c r="N128" t="s">
        <v>499</v>
      </c>
      <c r="O128" t="s">
        <v>500</v>
      </c>
      <c r="P128">
        <v>133</v>
      </c>
      <c r="Q128" s="2">
        <v>46209</v>
      </c>
      <c r="T128" t="s">
        <v>1213</v>
      </c>
      <c r="U128" t="b">
        <v>0</v>
      </c>
      <c r="V128" t="b">
        <v>0</v>
      </c>
    </row>
    <row r="129" spans="2:22" hidden="1" x14ac:dyDescent="0.25">
      <c r="B129" t="s">
        <v>1214</v>
      </c>
      <c r="C129" t="s">
        <v>960</v>
      </c>
      <c r="D129" t="s">
        <v>960</v>
      </c>
      <c r="E129" t="s">
        <v>23</v>
      </c>
      <c r="F129" t="s">
        <v>531</v>
      </c>
      <c r="G129" t="s">
        <v>961</v>
      </c>
      <c r="J129">
        <v>0.99</v>
      </c>
      <c r="K129">
        <v>0</v>
      </c>
      <c r="L129" t="b">
        <v>0</v>
      </c>
      <c r="M129">
        <v>0.99</v>
      </c>
      <c r="N129" t="s">
        <v>499</v>
      </c>
      <c r="O129" t="s">
        <v>500</v>
      </c>
      <c r="P129">
        <v>134</v>
      </c>
      <c r="Q129" s="2">
        <v>46209</v>
      </c>
      <c r="T129" t="s">
        <v>1215</v>
      </c>
      <c r="U129" t="b">
        <v>0</v>
      </c>
      <c r="V129" t="b">
        <v>0</v>
      </c>
    </row>
    <row r="130" spans="2:22" hidden="1" x14ac:dyDescent="0.25">
      <c r="B130" t="s">
        <v>1216</v>
      </c>
      <c r="C130" t="s">
        <v>960</v>
      </c>
      <c r="D130" t="s">
        <v>960</v>
      </c>
      <c r="E130" t="s">
        <v>207</v>
      </c>
      <c r="F130" t="s">
        <v>240</v>
      </c>
      <c r="G130" t="s">
        <v>961</v>
      </c>
      <c r="J130">
        <v>0.99</v>
      </c>
      <c r="K130">
        <v>0</v>
      </c>
      <c r="L130" t="b">
        <v>0</v>
      </c>
      <c r="M130">
        <v>0.99</v>
      </c>
      <c r="N130" t="s">
        <v>499</v>
      </c>
      <c r="O130" t="s">
        <v>500</v>
      </c>
      <c r="P130">
        <v>135</v>
      </c>
      <c r="Q130" s="2">
        <v>46209</v>
      </c>
      <c r="T130" t="s">
        <v>1217</v>
      </c>
      <c r="U130" t="b">
        <v>0</v>
      </c>
      <c r="V130" t="b">
        <v>0</v>
      </c>
    </row>
    <row r="131" spans="2:22" hidden="1" x14ac:dyDescent="0.25">
      <c r="B131" t="s">
        <v>1218</v>
      </c>
      <c r="C131" t="s">
        <v>960</v>
      </c>
      <c r="D131" t="s">
        <v>960</v>
      </c>
      <c r="E131" t="s">
        <v>207</v>
      </c>
      <c r="F131" t="s">
        <v>240</v>
      </c>
      <c r="G131" t="s">
        <v>961</v>
      </c>
      <c r="J131">
        <v>0.99</v>
      </c>
      <c r="K131">
        <v>0</v>
      </c>
      <c r="L131" t="b">
        <v>0</v>
      </c>
      <c r="M131">
        <v>0.99</v>
      </c>
      <c r="N131" t="s">
        <v>499</v>
      </c>
      <c r="O131" t="s">
        <v>500</v>
      </c>
      <c r="P131">
        <v>136</v>
      </c>
      <c r="Q131" s="2">
        <v>46209</v>
      </c>
      <c r="T131" t="s">
        <v>1219</v>
      </c>
      <c r="U131" t="b">
        <v>0</v>
      </c>
      <c r="V131" t="b">
        <v>0</v>
      </c>
    </row>
    <row r="132" spans="2:22" hidden="1" x14ac:dyDescent="0.25">
      <c r="B132" t="s">
        <v>1220</v>
      </c>
      <c r="C132" t="s">
        <v>960</v>
      </c>
      <c r="D132" t="s">
        <v>960</v>
      </c>
      <c r="E132" t="s">
        <v>207</v>
      </c>
      <c r="F132" t="s">
        <v>240</v>
      </c>
      <c r="G132" t="s">
        <v>961</v>
      </c>
      <c r="J132">
        <v>0.99</v>
      </c>
      <c r="K132">
        <v>0</v>
      </c>
      <c r="L132" t="b">
        <v>0</v>
      </c>
      <c r="M132">
        <v>0.99</v>
      </c>
      <c r="N132" t="s">
        <v>499</v>
      </c>
      <c r="O132" t="s">
        <v>500</v>
      </c>
      <c r="P132">
        <v>137</v>
      </c>
      <c r="Q132" s="2">
        <v>46209</v>
      </c>
      <c r="T132" t="s">
        <v>1221</v>
      </c>
      <c r="U132" t="b">
        <v>0</v>
      </c>
      <c r="V132" t="b">
        <v>0</v>
      </c>
    </row>
    <row r="133" spans="2:22" hidden="1" x14ac:dyDescent="0.25">
      <c r="B133" t="s">
        <v>1222</v>
      </c>
      <c r="C133" t="s">
        <v>960</v>
      </c>
      <c r="D133" t="s">
        <v>960</v>
      </c>
      <c r="E133" t="s">
        <v>207</v>
      </c>
      <c r="F133" t="s">
        <v>240</v>
      </c>
      <c r="G133" t="s">
        <v>961</v>
      </c>
      <c r="J133">
        <v>0.99</v>
      </c>
      <c r="K133">
        <v>0</v>
      </c>
      <c r="L133" t="b">
        <v>0</v>
      </c>
      <c r="M133">
        <v>0.99</v>
      </c>
      <c r="N133" t="s">
        <v>499</v>
      </c>
      <c r="O133" t="s">
        <v>500</v>
      </c>
      <c r="P133">
        <v>138</v>
      </c>
      <c r="Q133" s="2">
        <v>46209</v>
      </c>
      <c r="T133" t="s">
        <v>1223</v>
      </c>
      <c r="U133" t="b">
        <v>0</v>
      </c>
      <c r="V133" t="b">
        <v>0</v>
      </c>
    </row>
    <row r="134" spans="2:22" hidden="1" x14ac:dyDescent="0.25">
      <c r="B134" t="s">
        <v>1224</v>
      </c>
      <c r="C134" t="s">
        <v>960</v>
      </c>
      <c r="D134" t="s">
        <v>960</v>
      </c>
      <c r="E134" t="s">
        <v>207</v>
      </c>
      <c r="F134" t="s">
        <v>927</v>
      </c>
      <c r="G134" t="s">
        <v>961</v>
      </c>
      <c r="J134">
        <v>0.99</v>
      </c>
      <c r="K134">
        <v>0</v>
      </c>
      <c r="L134" t="b">
        <v>0</v>
      </c>
      <c r="M134">
        <v>0.99</v>
      </c>
      <c r="N134" t="s">
        <v>499</v>
      </c>
      <c r="O134" t="s">
        <v>500</v>
      </c>
      <c r="P134">
        <v>139</v>
      </c>
      <c r="Q134" s="2">
        <v>46209</v>
      </c>
      <c r="T134" t="s">
        <v>1225</v>
      </c>
      <c r="U134" t="b">
        <v>0</v>
      </c>
      <c r="V134" t="b">
        <v>0</v>
      </c>
    </row>
    <row r="135" spans="2:22" hidden="1" x14ac:dyDescent="0.25">
      <c r="B135" t="s">
        <v>1226</v>
      </c>
      <c r="C135" t="s">
        <v>960</v>
      </c>
      <c r="D135" t="s">
        <v>960</v>
      </c>
      <c r="E135" t="s">
        <v>207</v>
      </c>
      <c r="F135" t="s">
        <v>531</v>
      </c>
      <c r="G135" t="s">
        <v>961</v>
      </c>
      <c r="J135">
        <v>0.99</v>
      </c>
      <c r="K135">
        <v>0</v>
      </c>
      <c r="L135" t="b">
        <v>0</v>
      </c>
      <c r="M135">
        <v>0.99</v>
      </c>
      <c r="N135" t="s">
        <v>499</v>
      </c>
      <c r="O135" t="s">
        <v>500</v>
      </c>
      <c r="P135">
        <v>140</v>
      </c>
      <c r="Q135" s="2">
        <v>46209</v>
      </c>
      <c r="T135" t="s">
        <v>1227</v>
      </c>
      <c r="U135" t="b">
        <v>0</v>
      </c>
      <c r="V135" t="b">
        <v>0</v>
      </c>
    </row>
    <row r="136" spans="2:22" hidden="1" x14ac:dyDescent="0.25">
      <c r="B136" t="s">
        <v>1228</v>
      </c>
      <c r="C136" t="s">
        <v>960</v>
      </c>
      <c r="D136" t="s">
        <v>960</v>
      </c>
      <c r="E136" t="s">
        <v>207</v>
      </c>
      <c r="F136" t="s">
        <v>531</v>
      </c>
      <c r="G136" t="s">
        <v>961</v>
      </c>
      <c r="J136">
        <v>0.99</v>
      </c>
      <c r="K136">
        <v>0</v>
      </c>
      <c r="L136" t="b">
        <v>0</v>
      </c>
      <c r="M136">
        <v>0.99</v>
      </c>
      <c r="N136" t="s">
        <v>499</v>
      </c>
      <c r="O136" t="s">
        <v>500</v>
      </c>
      <c r="P136">
        <v>141</v>
      </c>
      <c r="Q136" s="2">
        <v>46209</v>
      </c>
      <c r="T136" t="s">
        <v>1229</v>
      </c>
      <c r="U136" t="b">
        <v>0</v>
      </c>
      <c r="V136" t="b">
        <v>0</v>
      </c>
    </row>
    <row r="137" spans="2:22" hidden="1" x14ac:dyDescent="0.25">
      <c r="B137" t="s">
        <v>1230</v>
      </c>
      <c r="C137" t="s">
        <v>960</v>
      </c>
      <c r="D137" t="s">
        <v>960</v>
      </c>
      <c r="E137" t="s">
        <v>207</v>
      </c>
      <c r="F137" t="s">
        <v>95</v>
      </c>
      <c r="G137" t="s">
        <v>961</v>
      </c>
      <c r="J137">
        <v>0.99</v>
      </c>
      <c r="K137">
        <v>0</v>
      </c>
      <c r="L137" t="b">
        <v>0</v>
      </c>
      <c r="M137">
        <v>0.99</v>
      </c>
      <c r="N137" t="s">
        <v>499</v>
      </c>
      <c r="O137" t="s">
        <v>500</v>
      </c>
      <c r="P137">
        <v>142</v>
      </c>
      <c r="Q137" s="2">
        <v>46209</v>
      </c>
      <c r="T137" t="s">
        <v>1231</v>
      </c>
      <c r="U137" t="b">
        <v>0</v>
      </c>
      <c r="V137" t="b">
        <v>0</v>
      </c>
    </row>
    <row r="138" spans="2:22" hidden="1" x14ac:dyDescent="0.25">
      <c r="B138" t="s">
        <v>1232</v>
      </c>
      <c r="C138" t="s">
        <v>960</v>
      </c>
      <c r="D138" t="s">
        <v>960</v>
      </c>
      <c r="E138" t="s">
        <v>207</v>
      </c>
      <c r="F138" t="s">
        <v>95</v>
      </c>
      <c r="G138" t="s">
        <v>961</v>
      </c>
      <c r="J138">
        <v>0.99</v>
      </c>
      <c r="K138">
        <v>0</v>
      </c>
      <c r="L138" t="b">
        <v>0</v>
      </c>
      <c r="M138">
        <v>0.99</v>
      </c>
      <c r="N138" t="s">
        <v>499</v>
      </c>
      <c r="O138" t="s">
        <v>500</v>
      </c>
      <c r="P138">
        <v>143</v>
      </c>
      <c r="Q138" s="2">
        <v>46209</v>
      </c>
      <c r="T138" t="s">
        <v>1233</v>
      </c>
      <c r="U138" t="b">
        <v>0</v>
      </c>
      <c r="V138" t="b">
        <v>0</v>
      </c>
    </row>
    <row r="139" spans="2:22" hidden="1" x14ac:dyDescent="0.25">
      <c r="B139" t="s">
        <v>1234</v>
      </c>
      <c r="C139" t="s">
        <v>960</v>
      </c>
      <c r="D139" t="s">
        <v>960</v>
      </c>
      <c r="E139" t="s">
        <v>23</v>
      </c>
      <c r="F139" t="s">
        <v>95</v>
      </c>
      <c r="G139" t="s">
        <v>961</v>
      </c>
      <c r="J139">
        <v>0.99</v>
      </c>
      <c r="K139">
        <v>0</v>
      </c>
      <c r="L139" t="b">
        <v>0</v>
      </c>
      <c r="M139">
        <v>0.99</v>
      </c>
      <c r="N139" t="s">
        <v>499</v>
      </c>
      <c r="O139" t="s">
        <v>500</v>
      </c>
      <c r="P139">
        <v>144</v>
      </c>
      <c r="Q139" s="2">
        <v>46209</v>
      </c>
      <c r="T139" t="s">
        <v>1235</v>
      </c>
      <c r="U139" t="b">
        <v>0</v>
      </c>
      <c r="V139" t="b">
        <v>0</v>
      </c>
    </row>
    <row r="140" spans="2:22" hidden="1" x14ac:dyDescent="0.25">
      <c r="B140" t="s">
        <v>1236</v>
      </c>
      <c r="C140" t="s">
        <v>960</v>
      </c>
      <c r="D140" t="s">
        <v>960</v>
      </c>
      <c r="E140" t="s">
        <v>207</v>
      </c>
      <c r="F140" t="s">
        <v>240</v>
      </c>
      <c r="G140" t="s">
        <v>961</v>
      </c>
      <c r="J140">
        <v>0.99</v>
      </c>
      <c r="K140">
        <v>0</v>
      </c>
      <c r="L140" t="b">
        <v>0</v>
      </c>
      <c r="M140">
        <v>0.99</v>
      </c>
      <c r="N140" t="s">
        <v>499</v>
      </c>
      <c r="O140" t="s">
        <v>500</v>
      </c>
      <c r="P140">
        <v>145</v>
      </c>
      <c r="Q140" s="2">
        <v>46209</v>
      </c>
      <c r="T140" t="s">
        <v>1237</v>
      </c>
      <c r="U140" t="b">
        <v>0</v>
      </c>
      <c r="V140" t="b">
        <v>0</v>
      </c>
    </row>
    <row r="141" spans="2:22" hidden="1" x14ac:dyDescent="0.25">
      <c r="B141" t="s">
        <v>1238</v>
      </c>
      <c r="C141" t="s">
        <v>960</v>
      </c>
      <c r="D141" t="s">
        <v>960</v>
      </c>
      <c r="E141" t="s">
        <v>207</v>
      </c>
      <c r="F141" t="s">
        <v>240</v>
      </c>
      <c r="G141" t="s">
        <v>961</v>
      </c>
      <c r="J141">
        <v>0.99</v>
      </c>
      <c r="K141">
        <v>0</v>
      </c>
      <c r="L141" t="b">
        <v>0</v>
      </c>
      <c r="M141">
        <v>0.99</v>
      </c>
      <c r="N141" t="s">
        <v>499</v>
      </c>
      <c r="O141" t="s">
        <v>500</v>
      </c>
      <c r="P141">
        <v>146</v>
      </c>
      <c r="Q141" s="2">
        <v>46209</v>
      </c>
      <c r="T141" t="s">
        <v>1239</v>
      </c>
      <c r="U141" t="b">
        <v>0</v>
      </c>
      <c r="V141" t="b">
        <v>0</v>
      </c>
    </row>
    <row r="142" spans="2:22" hidden="1" x14ac:dyDescent="0.25">
      <c r="B142" t="s">
        <v>1240</v>
      </c>
      <c r="C142" t="s">
        <v>960</v>
      </c>
      <c r="D142" t="s">
        <v>960</v>
      </c>
      <c r="E142" t="s">
        <v>207</v>
      </c>
      <c r="F142" t="s">
        <v>240</v>
      </c>
      <c r="G142" t="s">
        <v>961</v>
      </c>
      <c r="J142">
        <v>0.99</v>
      </c>
      <c r="K142">
        <v>0</v>
      </c>
      <c r="L142" t="b">
        <v>0</v>
      </c>
      <c r="M142">
        <v>0.99</v>
      </c>
      <c r="N142" t="s">
        <v>499</v>
      </c>
      <c r="O142" t="s">
        <v>500</v>
      </c>
      <c r="P142">
        <v>147</v>
      </c>
      <c r="Q142" s="2">
        <v>46209</v>
      </c>
      <c r="T142" t="s">
        <v>1241</v>
      </c>
      <c r="U142" t="b">
        <v>0</v>
      </c>
      <c r="V142" t="b">
        <v>0</v>
      </c>
    </row>
    <row r="143" spans="2:22" hidden="1" x14ac:dyDescent="0.25">
      <c r="B143" t="s">
        <v>1242</v>
      </c>
      <c r="C143" t="s">
        <v>960</v>
      </c>
      <c r="D143" t="s">
        <v>960</v>
      </c>
      <c r="E143" t="s">
        <v>207</v>
      </c>
      <c r="F143" t="s">
        <v>240</v>
      </c>
      <c r="G143" t="s">
        <v>961</v>
      </c>
      <c r="J143">
        <v>0.96</v>
      </c>
      <c r="K143">
        <v>0</v>
      </c>
      <c r="L143" t="b">
        <v>0</v>
      </c>
      <c r="M143">
        <v>0.96</v>
      </c>
      <c r="N143" t="s">
        <v>499</v>
      </c>
      <c r="O143" t="s">
        <v>500</v>
      </c>
      <c r="P143">
        <v>148</v>
      </c>
      <c r="Q143" s="2">
        <v>46209</v>
      </c>
      <c r="T143" t="s">
        <v>1243</v>
      </c>
      <c r="U143" t="b">
        <v>0</v>
      </c>
      <c r="V143" t="b">
        <v>0</v>
      </c>
    </row>
    <row r="144" spans="2:22" hidden="1" x14ac:dyDescent="0.25">
      <c r="B144" t="s">
        <v>1244</v>
      </c>
      <c r="C144" t="s">
        <v>960</v>
      </c>
      <c r="D144" t="s">
        <v>960</v>
      </c>
      <c r="E144" t="s">
        <v>23</v>
      </c>
      <c r="F144" t="s">
        <v>240</v>
      </c>
      <c r="G144" t="s">
        <v>961</v>
      </c>
      <c r="J144">
        <v>0.96</v>
      </c>
      <c r="K144">
        <v>0</v>
      </c>
      <c r="L144" t="b">
        <v>0</v>
      </c>
      <c r="M144">
        <v>0.96</v>
      </c>
      <c r="N144" t="s">
        <v>499</v>
      </c>
      <c r="O144" t="s">
        <v>500</v>
      </c>
      <c r="P144">
        <v>149</v>
      </c>
      <c r="Q144" s="2">
        <v>46209</v>
      </c>
      <c r="T144" t="s">
        <v>1245</v>
      </c>
      <c r="U144" t="b">
        <v>0</v>
      </c>
      <c r="V144" t="b">
        <v>0</v>
      </c>
    </row>
    <row r="145" spans="2:22" hidden="1" x14ac:dyDescent="0.25">
      <c r="B145" t="s">
        <v>1246</v>
      </c>
      <c r="C145" t="s">
        <v>960</v>
      </c>
      <c r="D145" t="s">
        <v>960</v>
      </c>
      <c r="E145" t="s">
        <v>207</v>
      </c>
      <c r="F145" t="s">
        <v>240</v>
      </c>
      <c r="G145" t="s">
        <v>961</v>
      </c>
      <c r="J145">
        <v>0.96</v>
      </c>
      <c r="K145">
        <v>0</v>
      </c>
      <c r="L145" t="b">
        <v>0</v>
      </c>
      <c r="M145">
        <v>0.96</v>
      </c>
      <c r="N145" t="s">
        <v>499</v>
      </c>
      <c r="O145" t="s">
        <v>500</v>
      </c>
      <c r="P145">
        <v>150</v>
      </c>
      <c r="Q145" s="2">
        <v>46209</v>
      </c>
      <c r="T145" t="s">
        <v>1247</v>
      </c>
      <c r="U145" t="b">
        <v>0</v>
      </c>
      <c r="V145" t="b">
        <v>0</v>
      </c>
    </row>
    <row r="146" spans="2:22" hidden="1" x14ac:dyDescent="0.25">
      <c r="B146" t="s">
        <v>1248</v>
      </c>
      <c r="C146" t="s">
        <v>960</v>
      </c>
      <c r="D146" t="s">
        <v>960</v>
      </c>
      <c r="E146" t="s">
        <v>207</v>
      </c>
      <c r="F146" t="s">
        <v>94</v>
      </c>
      <c r="G146" t="s">
        <v>961</v>
      </c>
      <c r="J146">
        <v>0.99</v>
      </c>
      <c r="K146">
        <v>0</v>
      </c>
      <c r="L146" t="b">
        <v>0</v>
      </c>
      <c r="M146">
        <v>0.99</v>
      </c>
      <c r="N146" t="s">
        <v>499</v>
      </c>
      <c r="O146" t="s">
        <v>500</v>
      </c>
      <c r="P146">
        <v>151</v>
      </c>
      <c r="Q146" s="2">
        <v>46209</v>
      </c>
      <c r="T146" t="s">
        <v>1249</v>
      </c>
      <c r="U146" t="b">
        <v>0</v>
      </c>
      <c r="V146" t="b">
        <v>0</v>
      </c>
    </row>
    <row r="147" spans="2:22" hidden="1" x14ac:dyDescent="0.25">
      <c r="B147" t="s">
        <v>1250</v>
      </c>
      <c r="C147" t="s">
        <v>960</v>
      </c>
      <c r="D147" t="s">
        <v>960</v>
      </c>
      <c r="E147" t="s">
        <v>207</v>
      </c>
      <c r="F147" t="s">
        <v>94</v>
      </c>
      <c r="G147" t="s">
        <v>961</v>
      </c>
      <c r="J147">
        <v>0.99</v>
      </c>
      <c r="K147">
        <v>0</v>
      </c>
      <c r="L147" t="b">
        <v>0</v>
      </c>
      <c r="M147">
        <v>0.99</v>
      </c>
      <c r="N147" t="s">
        <v>499</v>
      </c>
      <c r="O147" t="s">
        <v>500</v>
      </c>
      <c r="P147">
        <v>152</v>
      </c>
      <c r="Q147" s="2">
        <v>46209</v>
      </c>
      <c r="T147" t="s">
        <v>1251</v>
      </c>
      <c r="U147" t="b">
        <v>0</v>
      </c>
      <c r="V147" t="b">
        <v>0</v>
      </c>
    </row>
    <row r="148" spans="2:22" hidden="1" x14ac:dyDescent="0.25">
      <c r="B148" t="s">
        <v>1252</v>
      </c>
      <c r="C148" t="s">
        <v>960</v>
      </c>
      <c r="D148" t="s">
        <v>960</v>
      </c>
      <c r="E148" t="s">
        <v>23</v>
      </c>
      <c r="F148" t="s">
        <v>531</v>
      </c>
      <c r="G148" t="s">
        <v>961</v>
      </c>
      <c r="J148">
        <v>0.99</v>
      </c>
      <c r="K148">
        <v>0</v>
      </c>
      <c r="L148" t="b">
        <v>0</v>
      </c>
      <c r="M148">
        <v>0.99</v>
      </c>
      <c r="N148" t="s">
        <v>499</v>
      </c>
      <c r="O148" t="s">
        <v>500</v>
      </c>
      <c r="P148">
        <v>153</v>
      </c>
      <c r="Q148" s="2">
        <v>46209</v>
      </c>
      <c r="T148" t="s">
        <v>1253</v>
      </c>
      <c r="U148" t="b">
        <v>0</v>
      </c>
      <c r="V148" t="b">
        <v>0</v>
      </c>
    </row>
    <row r="149" spans="2:22" hidden="1" x14ac:dyDescent="0.25">
      <c r="B149" t="s">
        <v>1254</v>
      </c>
      <c r="C149" t="s">
        <v>960</v>
      </c>
      <c r="D149" t="s">
        <v>960</v>
      </c>
      <c r="E149" t="s">
        <v>207</v>
      </c>
      <c r="F149" t="s">
        <v>531</v>
      </c>
      <c r="G149" t="s">
        <v>961</v>
      </c>
      <c r="J149">
        <v>0.999</v>
      </c>
      <c r="K149">
        <v>0</v>
      </c>
      <c r="L149" t="b">
        <v>0</v>
      </c>
      <c r="M149">
        <v>0.999</v>
      </c>
      <c r="N149" t="s">
        <v>499</v>
      </c>
      <c r="O149" t="s">
        <v>500</v>
      </c>
      <c r="P149">
        <v>154</v>
      </c>
      <c r="Q149" s="2">
        <v>46209</v>
      </c>
      <c r="T149" t="s">
        <v>1255</v>
      </c>
      <c r="U149" t="b">
        <v>0</v>
      </c>
      <c r="V149" t="b">
        <v>0</v>
      </c>
    </row>
    <row r="150" spans="2:22" hidden="1" x14ac:dyDescent="0.25">
      <c r="B150" t="s">
        <v>1256</v>
      </c>
      <c r="C150" t="s">
        <v>960</v>
      </c>
      <c r="D150" t="s">
        <v>960</v>
      </c>
      <c r="E150" t="s">
        <v>207</v>
      </c>
      <c r="F150" t="s">
        <v>531</v>
      </c>
      <c r="G150" t="s">
        <v>961</v>
      </c>
      <c r="J150">
        <v>0.99</v>
      </c>
      <c r="K150">
        <v>0</v>
      </c>
      <c r="L150" t="b">
        <v>0</v>
      </c>
      <c r="M150">
        <v>0.99</v>
      </c>
      <c r="N150" t="s">
        <v>499</v>
      </c>
      <c r="O150" t="s">
        <v>500</v>
      </c>
      <c r="P150">
        <v>155</v>
      </c>
      <c r="Q150" s="2">
        <v>46209</v>
      </c>
      <c r="T150" t="s">
        <v>1257</v>
      </c>
      <c r="U150" t="b">
        <v>0</v>
      </c>
      <c r="V150" t="b">
        <v>0</v>
      </c>
    </row>
    <row r="151" spans="2:22" hidden="1" x14ac:dyDescent="0.25">
      <c r="B151" t="s">
        <v>1258</v>
      </c>
      <c r="C151" t="s">
        <v>960</v>
      </c>
      <c r="D151" t="s">
        <v>960</v>
      </c>
      <c r="E151" t="s">
        <v>207</v>
      </c>
      <c r="F151" t="s">
        <v>531</v>
      </c>
      <c r="G151" t="s">
        <v>961</v>
      </c>
      <c r="J151">
        <v>0.99</v>
      </c>
      <c r="K151">
        <v>0</v>
      </c>
      <c r="L151" t="b">
        <v>0</v>
      </c>
      <c r="M151">
        <v>0.99</v>
      </c>
      <c r="N151" t="s">
        <v>499</v>
      </c>
      <c r="O151" t="s">
        <v>500</v>
      </c>
      <c r="P151">
        <v>156</v>
      </c>
      <c r="Q151" s="2">
        <v>46209</v>
      </c>
      <c r="T151" t="s">
        <v>1259</v>
      </c>
      <c r="U151" t="b">
        <v>0</v>
      </c>
      <c r="V151" t="b">
        <v>0</v>
      </c>
    </row>
    <row r="152" spans="2:22" hidden="1" x14ac:dyDescent="0.25">
      <c r="B152" t="s">
        <v>1260</v>
      </c>
      <c r="C152" t="s">
        <v>960</v>
      </c>
      <c r="D152" t="s">
        <v>960</v>
      </c>
      <c r="E152" t="s">
        <v>207</v>
      </c>
      <c r="F152" t="s">
        <v>531</v>
      </c>
      <c r="G152" t="s">
        <v>961</v>
      </c>
      <c r="J152">
        <v>0.99</v>
      </c>
      <c r="K152">
        <v>0</v>
      </c>
      <c r="L152" t="b">
        <v>0</v>
      </c>
      <c r="M152">
        <v>0.99</v>
      </c>
      <c r="N152" t="s">
        <v>499</v>
      </c>
      <c r="O152" t="s">
        <v>500</v>
      </c>
      <c r="P152">
        <v>157</v>
      </c>
      <c r="Q152" s="2">
        <v>46209</v>
      </c>
      <c r="T152" t="s">
        <v>1261</v>
      </c>
      <c r="U152" t="b">
        <v>0</v>
      </c>
      <c r="V152" t="b">
        <v>0</v>
      </c>
    </row>
    <row r="153" spans="2:22" hidden="1" x14ac:dyDescent="0.25">
      <c r="B153" t="s">
        <v>1262</v>
      </c>
      <c r="C153" t="s">
        <v>960</v>
      </c>
      <c r="D153" t="s">
        <v>960</v>
      </c>
      <c r="E153" t="s">
        <v>207</v>
      </c>
      <c r="F153" t="s">
        <v>927</v>
      </c>
      <c r="G153" t="s">
        <v>961</v>
      </c>
      <c r="J153">
        <v>0.99</v>
      </c>
      <c r="K153">
        <v>0</v>
      </c>
      <c r="L153" t="b">
        <v>0</v>
      </c>
      <c r="M153">
        <v>0.99</v>
      </c>
      <c r="N153" t="s">
        <v>499</v>
      </c>
      <c r="O153" t="s">
        <v>500</v>
      </c>
      <c r="P153">
        <v>158</v>
      </c>
      <c r="Q153" s="2">
        <v>46209</v>
      </c>
      <c r="T153" t="s">
        <v>1263</v>
      </c>
      <c r="U153" t="b">
        <v>0</v>
      </c>
      <c r="V153" t="b">
        <v>0</v>
      </c>
    </row>
    <row r="154" spans="2:22" hidden="1" x14ac:dyDescent="0.25">
      <c r="B154" t="s">
        <v>1264</v>
      </c>
      <c r="C154" t="s">
        <v>960</v>
      </c>
      <c r="D154" t="s">
        <v>960</v>
      </c>
      <c r="E154" t="s">
        <v>207</v>
      </c>
      <c r="F154" t="s">
        <v>95</v>
      </c>
      <c r="G154" t="s">
        <v>961</v>
      </c>
      <c r="J154">
        <v>1.4</v>
      </c>
      <c r="K154">
        <v>0</v>
      </c>
      <c r="L154" t="b">
        <v>0</v>
      </c>
      <c r="M154">
        <v>0.99</v>
      </c>
      <c r="N154" t="s">
        <v>499</v>
      </c>
      <c r="O154" t="s">
        <v>500</v>
      </c>
      <c r="P154">
        <v>159</v>
      </c>
      <c r="Q154" s="2">
        <v>46209</v>
      </c>
      <c r="T154" t="s">
        <v>1265</v>
      </c>
      <c r="U154" t="b">
        <v>0</v>
      </c>
      <c r="V154" t="b">
        <v>0</v>
      </c>
    </row>
    <row r="155" spans="2:22" hidden="1" x14ac:dyDescent="0.25">
      <c r="B155" t="s">
        <v>1266</v>
      </c>
      <c r="C155" t="s">
        <v>960</v>
      </c>
      <c r="D155" t="s">
        <v>960</v>
      </c>
      <c r="E155" t="s">
        <v>207</v>
      </c>
      <c r="F155" t="s">
        <v>95</v>
      </c>
      <c r="G155" t="s">
        <v>961</v>
      </c>
      <c r="J155">
        <v>0.99</v>
      </c>
      <c r="K155">
        <v>0</v>
      </c>
      <c r="L155" t="b">
        <v>0</v>
      </c>
      <c r="M155">
        <v>0.99</v>
      </c>
      <c r="N155" t="s">
        <v>499</v>
      </c>
      <c r="O155" t="s">
        <v>500</v>
      </c>
      <c r="P155">
        <v>160</v>
      </c>
      <c r="Q155" s="2">
        <v>46209</v>
      </c>
      <c r="T155" t="s">
        <v>1267</v>
      </c>
      <c r="U155" t="b">
        <v>0</v>
      </c>
      <c r="V155" t="b">
        <v>0</v>
      </c>
    </row>
    <row r="156" spans="2:22" hidden="1" x14ac:dyDescent="0.25">
      <c r="B156" t="s">
        <v>1268</v>
      </c>
      <c r="C156" t="s">
        <v>960</v>
      </c>
      <c r="D156" t="s">
        <v>960</v>
      </c>
      <c r="E156" t="s">
        <v>207</v>
      </c>
      <c r="F156" t="s">
        <v>822</v>
      </c>
      <c r="G156" t="s">
        <v>961</v>
      </c>
      <c r="J156">
        <v>0.99</v>
      </c>
      <c r="K156">
        <v>0</v>
      </c>
      <c r="L156" t="b">
        <v>0</v>
      </c>
      <c r="M156">
        <v>0.99</v>
      </c>
      <c r="N156" t="s">
        <v>499</v>
      </c>
      <c r="O156" t="s">
        <v>500</v>
      </c>
      <c r="P156">
        <v>161</v>
      </c>
      <c r="Q156" s="2">
        <v>46209</v>
      </c>
      <c r="T156" t="s">
        <v>1269</v>
      </c>
      <c r="U156" t="b">
        <v>0</v>
      </c>
      <c r="V156" t="b">
        <v>0</v>
      </c>
    </row>
    <row r="157" spans="2:22" hidden="1" x14ac:dyDescent="0.25">
      <c r="B157" t="s">
        <v>1270</v>
      </c>
      <c r="C157" t="s">
        <v>960</v>
      </c>
      <c r="D157" t="s">
        <v>960</v>
      </c>
      <c r="E157" t="s">
        <v>207</v>
      </c>
      <c r="F157" t="s">
        <v>239</v>
      </c>
      <c r="G157" t="s">
        <v>961</v>
      </c>
      <c r="J157">
        <v>0.995</v>
      </c>
      <c r="K157">
        <v>0</v>
      </c>
      <c r="L157" t="b">
        <v>0</v>
      </c>
      <c r="M157">
        <v>0.97499999999999998</v>
      </c>
      <c r="N157" t="s">
        <v>499</v>
      </c>
      <c r="O157" t="s">
        <v>500</v>
      </c>
      <c r="P157">
        <v>162</v>
      </c>
      <c r="Q157" s="2">
        <v>46209</v>
      </c>
      <c r="T157" t="s">
        <v>1271</v>
      </c>
      <c r="U157" t="b">
        <v>0</v>
      </c>
      <c r="V157" t="b">
        <v>0</v>
      </c>
    </row>
    <row r="158" spans="2:22" hidden="1" x14ac:dyDescent="0.25">
      <c r="B158" t="s">
        <v>1272</v>
      </c>
      <c r="C158" t="s">
        <v>960</v>
      </c>
      <c r="D158" t="s">
        <v>960</v>
      </c>
      <c r="E158" t="s">
        <v>23</v>
      </c>
      <c r="F158" t="s">
        <v>94</v>
      </c>
      <c r="G158" t="s">
        <v>961</v>
      </c>
      <c r="J158">
        <v>0.99</v>
      </c>
      <c r="K158">
        <v>0</v>
      </c>
      <c r="L158" t="b">
        <v>0</v>
      </c>
      <c r="M158">
        <v>0.99</v>
      </c>
      <c r="N158" t="s">
        <v>499</v>
      </c>
      <c r="O158" t="s">
        <v>500</v>
      </c>
      <c r="P158">
        <v>163</v>
      </c>
      <c r="Q158" s="2">
        <v>46209</v>
      </c>
      <c r="T158" t="s">
        <v>1273</v>
      </c>
      <c r="U158" t="b">
        <v>0</v>
      </c>
      <c r="V158" t="b">
        <v>0</v>
      </c>
    </row>
    <row r="159" spans="2:22" hidden="1" x14ac:dyDescent="0.25">
      <c r="B159" t="s">
        <v>1274</v>
      </c>
      <c r="C159" t="s">
        <v>960</v>
      </c>
      <c r="D159" t="s">
        <v>960</v>
      </c>
      <c r="E159" t="s">
        <v>207</v>
      </c>
      <c r="F159" t="s">
        <v>897</v>
      </c>
      <c r="G159" t="s">
        <v>961</v>
      </c>
      <c r="J159">
        <v>0.99</v>
      </c>
      <c r="K159">
        <v>0</v>
      </c>
      <c r="L159" t="b">
        <v>0</v>
      </c>
      <c r="M159">
        <v>0.99</v>
      </c>
      <c r="N159" t="s">
        <v>499</v>
      </c>
      <c r="O159" t="s">
        <v>500</v>
      </c>
      <c r="P159">
        <v>164</v>
      </c>
      <c r="Q159" s="2">
        <v>46209</v>
      </c>
      <c r="T159" t="s">
        <v>1275</v>
      </c>
      <c r="U159" t="b">
        <v>0</v>
      </c>
      <c r="V159" t="b">
        <v>0</v>
      </c>
    </row>
    <row r="160" spans="2:22" hidden="1" x14ac:dyDescent="0.25">
      <c r="B160" t="s">
        <v>1276</v>
      </c>
      <c r="C160" t="s">
        <v>960</v>
      </c>
      <c r="D160" t="s">
        <v>960</v>
      </c>
      <c r="E160" t="s">
        <v>207</v>
      </c>
      <c r="F160" t="s">
        <v>239</v>
      </c>
      <c r="G160" t="s">
        <v>961</v>
      </c>
      <c r="J160">
        <v>0.66</v>
      </c>
      <c r="K160">
        <v>0</v>
      </c>
      <c r="L160" t="b">
        <v>0</v>
      </c>
      <c r="M160">
        <v>0.6</v>
      </c>
      <c r="N160" t="s">
        <v>499</v>
      </c>
      <c r="O160" t="s">
        <v>500</v>
      </c>
      <c r="P160">
        <v>165</v>
      </c>
      <c r="Q160" s="2">
        <v>46209</v>
      </c>
      <c r="T160" t="s">
        <v>1277</v>
      </c>
      <c r="U160" t="b">
        <v>0</v>
      </c>
      <c r="V160" t="b">
        <v>0</v>
      </c>
    </row>
    <row r="161" spans="2:22" hidden="1" x14ac:dyDescent="0.25">
      <c r="B161" t="s">
        <v>1278</v>
      </c>
      <c r="C161" t="s">
        <v>960</v>
      </c>
      <c r="D161" t="s">
        <v>960</v>
      </c>
      <c r="E161" t="s">
        <v>207</v>
      </c>
      <c r="F161" t="s">
        <v>95</v>
      </c>
      <c r="G161" t="s">
        <v>961</v>
      </c>
      <c r="J161">
        <v>0.99</v>
      </c>
      <c r="K161">
        <v>0</v>
      </c>
      <c r="L161" t="b">
        <v>0</v>
      </c>
      <c r="M161">
        <v>0.99</v>
      </c>
      <c r="N161" t="s">
        <v>499</v>
      </c>
      <c r="O161" t="s">
        <v>500</v>
      </c>
      <c r="P161">
        <v>166</v>
      </c>
      <c r="Q161" s="2">
        <v>46209</v>
      </c>
      <c r="T161" t="s">
        <v>1279</v>
      </c>
      <c r="U161" t="b">
        <v>0</v>
      </c>
      <c r="V161" t="b">
        <v>0</v>
      </c>
    </row>
    <row r="162" spans="2:22" hidden="1" x14ac:dyDescent="0.25">
      <c r="B162" t="s">
        <v>1280</v>
      </c>
      <c r="C162" t="s">
        <v>960</v>
      </c>
      <c r="D162" t="s">
        <v>960</v>
      </c>
      <c r="E162" t="s">
        <v>207</v>
      </c>
      <c r="F162" t="s">
        <v>95</v>
      </c>
      <c r="G162" t="s">
        <v>961</v>
      </c>
      <c r="J162">
        <v>0.99</v>
      </c>
      <c r="K162">
        <v>0</v>
      </c>
      <c r="L162" t="b">
        <v>0</v>
      </c>
      <c r="M162">
        <v>0.99</v>
      </c>
      <c r="N162" t="s">
        <v>499</v>
      </c>
      <c r="O162" t="s">
        <v>500</v>
      </c>
      <c r="P162">
        <v>167</v>
      </c>
      <c r="Q162" s="2">
        <v>46209</v>
      </c>
      <c r="T162" t="s">
        <v>1281</v>
      </c>
      <c r="U162" t="b">
        <v>0</v>
      </c>
      <c r="V162" t="b">
        <v>0</v>
      </c>
    </row>
    <row r="163" spans="2:22" hidden="1" x14ac:dyDescent="0.25">
      <c r="B163" t="s">
        <v>1282</v>
      </c>
      <c r="C163" t="s">
        <v>960</v>
      </c>
      <c r="D163" t="s">
        <v>960</v>
      </c>
      <c r="E163" t="s">
        <v>207</v>
      </c>
      <c r="F163" t="s">
        <v>95</v>
      </c>
      <c r="G163" t="s">
        <v>961</v>
      </c>
      <c r="J163">
        <v>0.99</v>
      </c>
      <c r="K163">
        <v>0</v>
      </c>
      <c r="L163" t="b">
        <v>0</v>
      </c>
      <c r="M163">
        <v>0.99</v>
      </c>
      <c r="N163" t="s">
        <v>499</v>
      </c>
      <c r="O163" t="s">
        <v>500</v>
      </c>
      <c r="P163">
        <v>168</v>
      </c>
      <c r="Q163" s="2">
        <v>46209</v>
      </c>
      <c r="T163" t="s">
        <v>1283</v>
      </c>
      <c r="U163" t="b">
        <v>0</v>
      </c>
      <c r="V163" t="b">
        <v>0</v>
      </c>
    </row>
    <row r="164" spans="2:22" hidden="1" x14ac:dyDescent="0.25">
      <c r="B164" t="s">
        <v>1284</v>
      </c>
      <c r="C164" t="s">
        <v>960</v>
      </c>
      <c r="D164" t="s">
        <v>960</v>
      </c>
      <c r="E164" t="s">
        <v>23</v>
      </c>
      <c r="F164" t="s">
        <v>614</v>
      </c>
      <c r="G164" t="s">
        <v>961</v>
      </c>
      <c r="J164">
        <v>0.99</v>
      </c>
      <c r="K164">
        <v>0</v>
      </c>
      <c r="L164" t="b">
        <v>0</v>
      </c>
      <c r="M164">
        <v>0.99</v>
      </c>
      <c r="N164" t="s">
        <v>499</v>
      </c>
      <c r="O164" t="s">
        <v>500</v>
      </c>
      <c r="P164">
        <v>169</v>
      </c>
      <c r="Q164" s="2">
        <v>46209</v>
      </c>
      <c r="T164" t="s">
        <v>1285</v>
      </c>
      <c r="U164" t="b">
        <v>0</v>
      </c>
      <c r="V164" t="b">
        <v>0</v>
      </c>
    </row>
    <row r="165" spans="2:22" hidden="1" x14ac:dyDescent="0.25">
      <c r="B165" t="s">
        <v>1286</v>
      </c>
      <c r="C165" t="s">
        <v>960</v>
      </c>
      <c r="D165" t="s">
        <v>960</v>
      </c>
      <c r="E165" t="s">
        <v>207</v>
      </c>
      <c r="F165" t="s">
        <v>240</v>
      </c>
      <c r="G165" t="s">
        <v>961</v>
      </c>
      <c r="J165">
        <v>0.66</v>
      </c>
      <c r="K165">
        <v>0</v>
      </c>
      <c r="L165" t="b">
        <v>0</v>
      </c>
      <c r="M165">
        <v>0.6</v>
      </c>
      <c r="N165" t="s">
        <v>499</v>
      </c>
      <c r="O165" t="s">
        <v>500</v>
      </c>
      <c r="P165">
        <v>170</v>
      </c>
      <c r="Q165" s="2">
        <v>46209</v>
      </c>
      <c r="T165" t="s">
        <v>1287</v>
      </c>
      <c r="U165" t="b">
        <v>0</v>
      </c>
      <c r="V165" t="b">
        <v>0</v>
      </c>
    </row>
    <row r="166" spans="2:22" hidden="1" x14ac:dyDescent="0.25">
      <c r="B166" t="s">
        <v>1288</v>
      </c>
      <c r="C166" t="s">
        <v>960</v>
      </c>
      <c r="D166" t="s">
        <v>960</v>
      </c>
      <c r="E166" t="s">
        <v>207</v>
      </c>
      <c r="F166" t="s">
        <v>531</v>
      </c>
      <c r="G166" t="s">
        <v>961</v>
      </c>
      <c r="J166">
        <v>0.96</v>
      </c>
      <c r="K166">
        <v>0</v>
      </c>
      <c r="L166" t="b">
        <v>0</v>
      </c>
      <c r="M166">
        <v>0.96</v>
      </c>
      <c r="N166" t="s">
        <v>499</v>
      </c>
      <c r="O166" t="s">
        <v>500</v>
      </c>
      <c r="P166">
        <v>171</v>
      </c>
      <c r="Q166" s="2">
        <v>46209</v>
      </c>
      <c r="T166" t="s">
        <v>1289</v>
      </c>
      <c r="U166" t="b">
        <v>0</v>
      </c>
      <c r="V166" t="b">
        <v>0</v>
      </c>
    </row>
    <row r="167" spans="2:22" hidden="1" x14ac:dyDescent="0.25">
      <c r="B167" t="s">
        <v>1290</v>
      </c>
      <c r="C167" t="s">
        <v>960</v>
      </c>
      <c r="D167" t="s">
        <v>960</v>
      </c>
      <c r="E167" t="s">
        <v>207</v>
      </c>
      <c r="F167" t="s">
        <v>531</v>
      </c>
      <c r="G167" t="s">
        <v>961</v>
      </c>
      <c r="J167">
        <v>0.96</v>
      </c>
      <c r="K167">
        <v>0</v>
      </c>
      <c r="L167" t="b">
        <v>0</v>
      </c>
      <c r="M167">
        <v>0.96</v>
      </c>
      <c r="N167" t="s">
        <v>499</v>
      </c>
      <c r="O167" t="s">
        <v>500</v>
      </c>
      <c r="P167">
        <v>172</v>
      </c>
      <c r="Q167" s="2">
        <v>46209</v>
      </c>
      <c r="T167" t="s">
        <v>1291</v>
      </c>
      <c r="U167" t="b">
        <v>0</v>
      </c>
      <c r="V167" t="b">
        <v>0</v>
      </c>
    </row>
    <row r="168" spans="2:22" hidden="1" x14ac:dyDescent="0.25">
      <c r="B168" t="s">
        <v>1292</v>
      </c>
      <c r="C168" t="s">
        <v>960</v>
      </c>
      <c r="D168" t="s">
        <v>960</v>
      </c>
      <c r="E168" t="s">
        <v>207</v>
      </c>
      <c r="F168" t="s">
        <v>531</v>
      </c>
      <c r="G168" t="s">
        <v>961</v>
      </c>
      <c r="J168">
        <v>0.96</v>
      </c>
      <c r="K168">
        <v>0</v>
      </c>
      <c r="L168" t="b">
        <v>0</v>
      </c>
      <c r="M168">
        <v>0.96</v>
      </c>
      <c r="N168" t="s">
        <v>499</v>
      </c>
      <c r="O168" t="s">
        <v>500</v>
      </c>
      <c r="P168">
        <v>173</v>
      </c>
      <c r="Q168" s="2">
        <v>46209</v>
      </c>
      <c r="T168" t="s">
        <v>1293</v>
      </c>
      <c r="U168" t="b">
        <v>0</v>
      </c>
      <c r="V168" t="b">
        <v>0</v>
      </c>
    </row>
    <row r="169" spans="2:22" hidden="1" x14ac:dyDescent="0.25">
      <c r="B169" t="s">
        <v>1294</v>
      </c>
      <c r="C169" t="s">
        <v>960</v>
      </c>
      <c r="D169" t="s">
        <v>960</v>
      </c>
      <c r="E169" t="s">
        <v>207</v>
      </c>
      <c r="F169" t="s">
        <v>905</v>
      </c>
      <c r="G169" t="s">
        <v>961</v>
      </c>
      <c r="J169">
        <v>0.99</v>
      </c>
      <c r="K169">
        <v>0</v>
      </c>
      <c r="L169" t="b">
        <v>0</v>
      </c>
      <c r="M169">
        <v>0.99</v>
      </c>
      <c r="N169" t="s">
        <v>499</v>
      </c>
      <c r="O169" t="s">
        <v>500</v>
      </c>
      <c r="P169">
        <v>174</v>
      </c>
      <c r="Q169" s="2">
        <v>46209</v>
      </c>
      <c r="T169" t="s">
        <v>1295</v>
      </c>
      <c r="U169" t="b">
        <v>0</v>
      </c>
      <c r="V169" t="b">
        <v>0</v>
      </c>
    </row>
    <row r="170" spans="2:22" hidden="1" x14ac:dyDescent="0.25">
      <c r="B170" t="s">
        <v>1296</v>
      </c>
      <c r="C170" t="s">
        <v>960</v>
      </c>
      <c r="D170" t="s">
        <v>960</v>
      </c>
      <c r="E170" t="s">
        <v>23</v>
      </c>
      <c r="F170" t="s">
        <v>905</v>
      </c>
      <c r="G170" t="s">
        <v>961</v>
      </c>
      <c r="J170">
        <v>0.99</v>
      </c>
      <c r="K170">
        <v>0</v>
      </c>
      <c r="L170" t="b">
        <v>0</v>
      </c>
      <c r="M170">
        <v>0.99</v>
      </c>
      <c r="N170" t="s">
        <v>499</v>
      </c>
      <c r="O170" t="s">
        <v>500</v>
      </c>
      <c r="P170">
        <v>175</v>
      </c>
      <c r="Q170" s="2">
        <v>46209</v>
      </c>
      <c r="T170" t="s">
        <v>1297</v>
      </c>
      <c r="U170" t="b">
        <v>0</v>
      </c>
      <c r="V170" t="b">
        <v>0</v>
      </c>
    </row>
    <row r="171" spans="2:22" hidden="1" x14ac:dyDescent="0.25">
      <c r="B171" t="s">
        <v>1298</v>
      </c>
      <c r="C171" t="s">
        <v>960</v>
      </c>
      <c r="D171" t="s">
        <v>960</v>
      </c>
      <c r="E171" t="s">
        <v>207</v>
      </c>
      <c r="F171" t="s">
        <v>823</v>
      </c>
      <c r="G171" t="s">
        <v>961</v>
      </c>
      <c r="J171">
        <v>1.4</v>
      </c>
      <c r="K171">
        <v>0</v>
      </c>
      <c r="L171" t="b">
        <v>0</v>
      </c>
      <c r="M171">
        <v>0.96</v>
      </c>
      <c r="N171" t="s">
        <v>499</v>
      </c>
      <c r="O171" t="s">
        <v>500</v>
      </c>
      <c r="P171">
        <v>176</v>
      </c>
      <c r="Q171" s="2">
        <v>46209</v>
      </c>
      <c r="T171" t="s">
        <v>1299</v>
      </c>
      <c r="U171" t="b">
        <v>0</v>
      </c>
      <c r="V171" t="b">
        <v>0</v>
      </c>
    </row>
    <row r="172" spans="2:22" hidden="1" x14ac:dyDescent="0.25">
      <c r="B172" t="s">
        <v>1300</v>
      </c>
      <c r="C172" t="s">
        <v>960</v>
      </c>
      <c r="D172" t="s">
        <v>960</v>
      </c>
      <c r="E172" t="s">
        <v>207</v>
      </c>
      <c r="F172" t="s">
        <v>931</v>
      </c>
      <c r="G172" t="s">
        <v>961</v>
      </c>
      <c r="J172">
        <v>0.99</v>
      </c>
      <c r="K172">
        <v>0</v>
      </c>
      <c r="L172" t="b">
        <v>0</v>
      </c>
      <c r="M172">
        <v>0.99</v>
      </c>
      <c r="N172" t="s">
        <v>499</v>
      </c>
      <c r="O172" t="s">
        <v>500</v>
      </c>
      <c r="P172">
        <v>177</v>
      </c>
      <c r="Q172" s="2">
        <v>46209</v>
      </c>
      <c r="T172" t="s">
        <v>1301</v>
      </c>
      <c r="U172" t="b">
        <v>0</v>
      </c>
      <c r="V172" t="b">
        <v>0</v>
      </c>
    </row>
    <row r="173" spans="2:22" hidden="1" x14ac:dyDescent="0.25">
      <c r="B173" t="s">
        <v>1302</v>
      </c>
      <c r="C173" t="s">
        <v>960</v>
      </c>
      <c r="D173" t="s">
        <v>960</v>
      </c>
      <c r="E173" t="s">
        <v>207</v>
      </c>
      <c r="F173" t="s">
        <v>905</v>
      </c>
      <c r="G173" t="s">
        <v>961</v>
      </c>
      <c r="J173">
        <v>1.38</v>
      </c>
      <c r="K173">
        <v>0</v>
      </c>
      <c r="L173" t="b">
        <v>0</v>
      </c>
      <c r="M173">
        <v>0.96</v>
      </c>
      <c r="N173" t="s">
        <v>499</v>
      </c>
      <c r="O173" t="s">
        <v>500</v>
      </c>
      <c r="P173">
        <v>178</v>
      </c>
      <c r="Q173" s="2">
        <v>46209</v>
      </c>
      <c r="T173" t="s">
        <v>1303</v>
      </c>
      <c r="U173" t="b">
        <v>0</v>
      </c>
      <c r="V173" t="b">
        <v>0</v>
      </c>
    </row>
    <row r="174" spans="2:22" hidden="1" x14ac:dyDescent="0.25">
      <c r="B174" t="s">
        <v>1304</v>
      </c>
      <c r="C174" t="s">
        <v>960</v>
      </c>
      <c r="D174" t="s">
        <v>960</v>
      </c>
      <c r="E174" t="s">
        <v>207</v>
      </c>
      <c r="F174" t="s">
        <v>905</v>
      </c>
      <c r="G174" t="s">
        <v>961</v>
      </c>
      <c r="J174">
        <v>1.38</v>
      </c>
      <c r="K174">
        <v>0</v>
      </c>
      <c r="L174" t="b">
        <v>0</v>
      </c>
      <c r="M174">
        <v>0.96</v>
      </c>
      <c r="N174" t="s">
        <v>499</v>
      </c>
      <c r="O174" t="s">
        <v>500</v>
      </c>
      <c r="P174">
        <v>179</v>
      </c>
      <c r="Q174" s="2">
        <v>46209</v>
      </c>
      <c r="T174" t="s">
        <v>1305</v>
      </c>
      <c r="U174" t="b">
        <v>0</v>
      </c>
      <c r="V174" t="b">
        <v>0</v>
      </c>
    </row>
    <row r="175" spans="2:22" hidden="1" x14ac:dyDescent="0.25">
      <c r="B175" t="s">
        <v>1306</v>
      </c>
      <c r="C175" t="s">
        <v>960</v>
      </c>
      <c r="D175" t="s">
        <v>960</v>
      </c>
      <c r="E175" t="s">
        <v>207</v>
      </c>
      <c r="F175" t="s">
        <v>905</v>
      </c>
      <c r="G175" t="s">
        <v>961</v>
      </c>
      <c r="J175">
        <v>1.38</v>
      </c>
      <c r="K175">
        <v>0</v>
      </c>
      <c r="L175" t="b">
        <v>0</v>
      </c>
      <c r="M175">
        <v>0.96</v>
      </c>
      <c r="N175" t="s">
        <v>499</v>
      </c>
      <c r="O175" t="s">
        <v>500</v>
      </c>
      <c r="P175">
        <v>180</v>
      </c>
      <c r="Q175" s="2">
        <v>46209</v>
      </c>
      <c r="T175" t="s">
        <v>1307</v>
      </c>
      <c r="U175" t="b">
        <v>0</v>
      </c>
      <c r="V175" t="b">
        <v>0</v>
      </c>
    </row>
    <row r="176" spans="2:22" hidden="1" x14ac:dyDescent="0.25">
      <c r="B176" t="s">
        <v>1308</v>
      </c>
      <c r="C176" t="s">
        <v>960</v>
      </c>
      <c r="D176" t="s">
        <v>960</v>
      </c>
      <c r="E176" t="s">
        <v>23</v>
      </c>
      <c r="F176" t="s">
        <v>905</v>
      </c>
      <c r="G176" t="s">
        <v>961</v>
      </c>
      <c r="J176">
        <v>0.99</v>
      </c>
      <c r="K176">
        <v>0</v>
      </c>
      <c r="L176" t="b">
        <v>0</v>
      </c>
      <c r="M176">
        <v>0.99</v>
      </c>
      <c r="N176" t="s">
        <v>499</v>
      </c>
      <c r="O176" t="s">
        <v>500</v>
      </c>
      <c r="P176">
        <v>181</v>
      </c>
      <c r="Q176" s="2">
        <v>46209</v>
      </c>
      <c r="T176" t="s">
        <v>1309</v>
      </c>
      <c r="U176" t="b">
        <v>0</v>
      </c>
      <c r="V176" t="b">
        <v>0</v>
      </c>
    </row>
    <row r="177" spans="2:22" hidden="1" x14ac:dyDescent="0.25">
      <c r="B177" t="s">
        <v>1310</v>
      </c>
      <c r="C177" t="s">
        <v>960</v>
      </c>
      <c r="D177" t="s">
        <v>960</v>
      </c>
      <c r="E177" t="s">
        <v>23</v>
      </c>
      <c r="F177" t="s">
        <v>905</v>
      </c>
      <c r="G177" t="s">
        <v>961</v>
      </c>
      <c r="J177">
        <v>0.99</v>
      </c>
      <c r="K177">
        <v>0</v>
      </c>
      <c r="L177" t="b">
        <v>0</v>
      </c>
      <c r="M177">
        <v>0.99</v>
      </c>
      <c r="N177" t="s">
        <v>499</v>
      </c>
      <c r="O177" t="s">
        <v>500</v>
      </c>
      <c r="P177">
        <v>182</v>
      </c>
      <c r="Q177" s="2">
        <v>46209</v>
      </c>
      <c r="T177" t="s">
        <v>1311</v>
      </c>
      <c r="U177" t="b">
        <v>0</v>
      </c>
      <c r="V177" t="b">
        <v>0</v>
      </c>
    </row>
    <row r="178" spans="2:22" hidden="1" x14ac:dyDescent="0.25">
      <c r="B178" t="s">
        <v>1312</v>
      </c>
      <c r="C178" t="s">
        <v>960</v>
      </c>
      <c r="D178" t="s">
        <v>960</v>
      </c>
      <c r="E178" t="s">
        <v>23</v>
      </c>
      <c r="F178" t="s">
        <v>905</v>
      </c>
      <c r="G178" t="s">
        <v>961</v>
      </c>
      <c r="J178">
        <v>0.99</v>
      </c>
      <c r="K178">
        <v>0</v>
      </c>
      <c r="L178" t="b">
        <v>0</v>
      </c>
      <c r="M178">
        <v>0.99</v>
      </c>
      <c r="N178" t="s">
        <v>499</v>
      </c>
      <c r="O178" t="s">
        <v>500</v>
      </c>
      <c r="P178">
        <v>183</v>
      </c>
      <c r="Q178" s="2">
        <v>46209</v>
      </c>
      <c r="T178" t="s">
        <v>1313</v>
      </c>
      <c r="U178" t="b">
        <v>0</v>
      </c>
      <c r="V178" t="b">
        <v>0</v>
      </c>
    </row>
    <row r="179" spans="2:22" hidden="1" x14ac:dyDescent="0.25">
      <c r="B179" t="s">
        <v>1314</v>
      </c>
      <c r="C179" t="s">
        <v>960</v>
      </c>
      <c r="D179" t="s">
        <v>960</v>
      </c>
      <c r="E179" t="s">
        <v>207</v>
      </c>
      <c r="F179" t="s">
        <v>905</v>
      </c>
      <c r="G179" t="s">
        <v>961</v>
      </c>
      <c r="J179">
        <v>1.43</v>
      </c>
      <c r="K179">
        <v>0</v>
      </c>
      <c r="L179" t="b">
        <v>0</v>
      </c>
      <c r="M179">
        <v>0.99</v>
      </c>
      <c r="N179" t="s">
        <v>499</v>
      </c>
      <c r="O179" t="s">
        <v>500</v>
      </c>
      <c r="P179">
        <v>184</v>
      </c>
      <c r="Q179" s="2">
        <v>46209</v>
      </c>
      <c r="T179" t="s">
        <v>1315</v>
      </c>
      <c r="U179" t="b">
        <v>0</v>
      </c>
      <c r="V179" t="b">
        <v>0</v>
      </c>
    </row>
    <row r="180" spans="2:22" hidden="1" x14ac:dyDescent="0.25">
      <c r="B180" t="s">
        <v>1316</v>
      </c>
      <c r="C180" t="s">
        <v>960</v>
      </c>
      <c r="D180" t="s">
        <v>960</v>
      </c>
      <c r="E180" t="s">
        <v>207</v>
      </c>
      <c r="F180" t="s">
        <v>240</v>
      </c>
      <c r="G180" t="s">
        <v>961</v>
      </c>
      <c r="J180">
        <v>0.995</v>
      </c>
      <c r="K180">
        <v>0</v>
      </c>
      <c r="L180" t="b">
        <v>0</v>
      </c>
      <c r="M180">
        <v>0.97499999999999998</v>
      </c>
      <c r="N180" t="s">
        <v>499</v>
      </c>
      <c r="O180" t="s">
        <v>500</v>
      </c>
      <c r="P180">
        <v>185</v>
      </c>
      <c r="Q180" s="2">
        <v>46209</v>
      </c>
      <c r="T180" t="s">
        <v>1317</v>
      </c>
      <c r="U180" t="b">
        <v>0</v>
      </c>
      <c r="V180" t="b">
        <v>0</v>
      </c>
    </row>
    <row r="181" spans="2:22" hidden="1" x14ac:dyDescent="0.25">
      <c r="B181" t="s">
        <v>1318</v>
      </c>
      <c r="C181" t="s">
        <v>960</v>
      </c>
      <c r="D181" t="s">
        <v>960</v>
      </c>
      <c r="E181" t="s">
        <v>207</v>
      </c>
      <c r="F181" t="s">
        <v>94</v>
      </c>
      <c r="G181" t="s">
        <v>961</v>
      </c>
      <c r="J181">
        <v>0.99</v>
      </c>
      <c r="K181">
        <v>0</v>
      </c>
      <c r="L181" t="b">
        <v>0</v>
      </c>
      <c r="M181">
        <v>0.99</v>
      </c>
      <c r="N181" t="s">
        <v>499</v>
      </c>
      <c r="O181" t="s">
        <v>500</v>
      </c>
      <c r="P181">
        <v>186</v>
      </c>
      <c r="Q181" s="2">
        <v>46209</v>
      </c>
      <c r="T181" t="s">
        <v>1319</v>
      </c>
      <c r="U181" t="b">
        <v>0</v>
      </c>
      <c r="V181" t="b">
        <v>0</v>
      </c>
    </row>
    <row r="182" spans="2:22" hidden="1" x14ac:dyDescent="0.25">
      <c r="B182" t="s">
        <v>1320</v>
      </c>
      <c r="C182" t="s">
        <v>960</v>
      </c>
      <c r="D182" t="s">
        <v>960</v>
      </c>
      <c r="E182" t="s">
        <v>207</v>
      </c>
      <c r="F182" t="s">
        <v>94</v>
      </c>
      <c r="G182" t="s">
        <v>961</v>
      </c>
      <c r="J182">
        <v>0.99</v>
      </c>
      <c r="K182">
        <v>0</v>
      </c>
      <c r="L182" t="b">
        <v>0</v>
      </c>
      <c r="M182">
        <v>0.99</v>
      </c>
      <c r="N182" t="s">
        <v>499</v>
      </c>
      <c r="O182" t="s">
        <v>500</v>
      </c>
      <c r="P182">
        <v>187</v>
      </c>
      <c r="Q182" s="2">
        <v>46209</v>
      </c>
      <c r="T182" t="s">
        <v>1321</v>
      </c>
      <c r="U182" t="b">
        <v>0</v>
      </c>
      <c r="V182" t="b">
        <v>0</v>
      </c>
    </row>
    <row r="183" spans="2:22" hidden="1" x14ac:dyDescent="0.25">
      <c r="B183" t="s">
        <v>1322</v>
      </c>
      <c r="C183" t="s">
        <v>960</v>
      </c>
      <c r="D183" t="s">
        <v>960</v>
      </c>
      <c r="E183" t="s">
        <v>207</v>
      </c>
      <c r="F183" t="s">
        <v>94</v>
      </c>
      <c r="G183" t="s">
        <v>961</v>
      </c>
      <c r="J183">
        <v>0.99</v>
      </c>
      <c r="K183">
        <v>0</v>
      </c>
      <c r="L183" t="b">
        <v>0</v>
      </c>
      <c r="M183">
        <v>0.99</v>
      </c>
      <c r="N183" t="s">
        <v>499</v>
      </c>
      <c r="O183" t="s">
        <v>500</v>
      </c>
      <c r="P183">
        <v>188</v>
      </c>
      <c r="Q183" s="2">
        <v>46209</v>
      </c>
      <c r="T183" t="s">
        <v>1323</v>
      </c>
      <c r="U183" t="b">
        <v>0</v>
      </c>
      <c r="V183" t="b">
        <v>0</v>
      </c>
    </row>
    <row r="184" spans="2:22" hidden="1" x14ac:dyDescent="0.25">
      <c r="B184" t="s">
        <v>1324</v>
      </c>
      <c r="C184" t="s">
        <v>960</v>
      </c>
      <c r="D184" t="s">
        <v>960</v>
      </c>
      <c r="E184" t="s">
        <v>207</v>
      </c>
      <c r="F184" t="s">
        <v>94</v>
      </c>
      <c r="G184" t="s">
        <v>961</v>
      </c>
      <c r="J184">
        <v>0.99</v>
      </c>
      <c r="K184">
        <v>0</v>
      </c>
      <c r="L184" t="b">
        <v>0</v>
      </c>
      <c r="M184">
        <v>0.99</v>
      </c>
      <c r="N184" t="s">
        <v>499</v>
      </c>
      <c r="O184" t="s">
        <v>500</v>
      </c>
      <c r="P184">
        <v>189</v>
      </c>
      <c r="Q184" s="2">
        <v>46209</v>
      </c>
      <c r="T184" t="s">
        <v>1325</v>
      </c>
      <c r="U184" t="b">
        <v>0</v>
      </c>
      <c r="V184" t="b">
        <v>0</v>
      </c>
    </row>
    <row r="185" spans="2:22" hidden="1" x14ac:dyDescent="0.25">
      <c r="B185" t="s">
        <v>1326</v>
      </c>
      <c r="C185" t="s">
        <v>960</v>
      </c>
      <c r="D185" t="s">
        <v>960</v>
      </c>
      <c r="E185" t="s">
        <v>207</v>
      </c>
      <c r="F185" t="s">
        <v>579</v>
      </c>
      <c r="G185" t="s">
        <v>961</v>
      </c>
      <c r="J185">
        <v>0.99</v>
      </c>
      <c r="K185">
        <v>0</v>
      </c>
      <c r="L185" t="b">
        <v>0</v>
      </c>
      <c r="M185">
        <v>0.99</v>
      </c>
      <c r="N185" t="s">
        <v>499</v>
      </c>
      <c r="O185" t="s">
        <v>500</v>
      </c>
      <c r="P185">
        <v>190</v>
      </c>
      <c r="Q185" s="2">
        <v>46209</v>
      </c>
      <c r="T185" t="s">
        <v>1327</v>
      </c>
      <c r="U185" t="b">
        <v>0</v>
      </c>
      <c r="V185" t="b">
        <v>0</v>
      </c>
    </row>
    <row r="186" spans="2:22" hidden="1" x14ac:dyDescent="0.25">
      <c r="B186" t="s">
        <v>1328</v>
      </c>
      <c r="C186" t="s">
        <v>960</v>
      </c>
      <c r="D186" t="s">
        <v>960</v>
      </c>
      <c r="E186" t="s">
        <v>207</v>
      </c>
      <c r="F186" t="s">
        <v>579</v>
      </c>
      <c r="G186" t="s">
        <v>961</v>
      </c>
      <c r="J186">
        <v>0.99</v>
      </c>
      <c r="K186">
        <v>0</v>
      </c>
      <c r="L186" t="b">
        <v>0</v>
      </c>
      <c r="M186">
        <v>0.99</v>
      </c>
      <c r="N186" t="s">
        <v>499</v>
      </c>
      <c r="O186" t="s">
        <v>500</v>
      </c>
      <c r="P186">
        <v>191</v>
      </c>
      <c r="Q186" s="2">
        <v>46209</v>
      </c>
      <c r="T186" t="s">
        <v>1329</v>
      </c>
      <c r="U186" t="b">
        <v>0</v>
      </c>
      <c r="V186" t="b">
        <v>0</v>
      </c>
    </row>
    <row r="187" spans="2:22" hidden="1" x14ac:dyDescent="0.25">
      <c r="B187" t="s">
        <v>1330</v>
      </c>
      <c r="C187" t="s">
        <v>960</v>
      </c>
      <c r="D187" t="s">
        <v>960</v>
      </c>
      <c r="E187" t="s">
        <v>207</v>
      </c>
      <c r="F187" t="s">
        <v>579</v>
      </c>
      <c r="G187" t="s">
        <v>961</v>
      </c>
      <c r="J187">
        <v>0.99</v>
      </c>
      <c r="K187">
        <v>0</v>
      </c>
      <c r="L187" t="b">
        <v>0</v>
      </c>
      <c r="M187">
        <v>0.99</v>
      </c>
      <c r="N187" t="s">
        <v>499</v>
      </c>
      <c r="O187" t="s">
        <v>500</v>
      </c>
      <c r="P187">
        <v>192</v>
      </c>
      <c r="Q187" s="2">
        <v>46209</v>
      </c>
      <c r="T187" t="s">
        <v>1331</v>
      </c>
      <c r="U187" t="b">
        <v>0</v>
      </c>
      <c r="V187" t="b">
        <v>0</v>
      </c>
    </row>
    <row r="188" spans="2:22" hidden="1" x14ac:dyDescent="0.25">
      <c r="B188" t="s">
        <v>1332</v>
      </c>
      <c r="C188" t="s">
        <v>960</v>
      </c>
      <c r="D188" t="s">
        <v>960</v>
      </c>
      <c r="E188" t="s">
        <v>207</v>
      </c>
      <c r="F188" t="s">
        <v>579</v>
      </c>
      <c r="G188" t="s">
        <v>961</v>
      </c>
      <c r="J188">
        <v>0.99</v>
      </c>
      <c r="K188">
        <v>0</v>
      </c>
      <c r="L188" t="b">
        <v>0</v>
      </c>
      <c r="M188">
        <v>0.99</v>
      </c>
      <c r="N188" t="s">
        <v>499</v>
      </c>
      <c r="O188" t="s">
        <v>500</v>
      </c>
      <c r="P188">
        <v>193</v>
      </c>
      <c r="Q188" s="2">
        <v>46209</v>
      </c>
      <c r="T188" t="s">
        <v>1333</v>
      </c>
      <c r="U188" t="b">
        <v>0</v>
      </c>
      <c r="V188" t="b">
        <v>0</v>
      </c>
    </row>
    <row r="189" spans="2:22" hidden="1" x14ac:dyDescent="0.25">
      <c r="B189" t="s">
        <v>1334</v>
      </c>
      <c r="C189" t="s">
        <v>960</v>
      </c>
      <c r="D189" t="s">
        <v>960</v>
      </c>
      <c r="E189" t="s">
        <v>207</v>
      </c>
      <c r="F189" t="s">
        <v>579</v>
      </c>
      <c r="G189" t="s">
        <v>961</v>
      </c>
      <c r="J189">
        <v>0.99</v>
      </c>
      <c r="K189">
        <v>0</v>
      </c>
      <c r="L189" t="b">
        <v>0</v>
      </c>
      <c r="M189">
        <v>0.99</v>
      </c>
      <c r="N189" t="s">
        <v>499</v>
      </c>
      <c r="O189" t="s">
        <v>500</v>
      </c>
      <c r="P189">
        <v>194</v>
      </c>
      <c r="Q189" s="2">
        <v>46209</v>
      </c>
      <c r="T189" t="s">
        <v>1335</v>
      </c>
      <c r="U189" t="b">
        <v>0</v>
      </c>
      <c r="V189" t="b">
        <v>0</v>
      </c>
    </row>
    <row r="190" spans="2:22" hidden="1" x14ac:dyDescent="0.25">
      <c r="B190" t="s">
        <v>1336</v>
      </c>
      <c r="C190" t="s">
        <v>960</v>
      </c>
      <c r="D190" t="s">
        <v>960</v>
      </c>
      <c r="E190" t="s">
        <v>207</v>
      </c>
      <c r="F190" t="s">
        <v>531</v>
      </c>
      <c r="G190" t="s">
        <v>961</v>
      </c>
      <c r="J190">
        <v>0.999</v>
      </c>
      <c r="K190">
        <v>0</v>
      </c>
      <c r="L190" t="b">
        <v>0</v>
      </c>
      <c r="M190">
        <v>0.999</v>
      </c>
      <c r="N190" t="s">
        <v>499</v>
      </c>
      <c r="O190" t="s">
        <v>500</v>
      </c>
      <c r="P190">
        <v>195</v>
      </c>
      <c r="Q190" s="2">
        <v>46209</v>
      </c>
      <c r="T190" t="s">
        <v>1337</v>
      </c>
      <c r="U190" t="b">
        <v>0</v>
      </c>
      <c r="V190" t="b">
        <v>0</v>
      </c>
    </row>
    <row r="191" spans="2:22" hidden="1" x14ac:dyDescent="0.25">
      <c r="B191" t="s">
        <v>1338</v>
      </c>
      <c r="C191" t="s">
        <v>960</v>
      </c>
      <c r="D191" t="s">
        <v>960</v>
      </c>
      <c r="E191" t="s">
        <v>207</v>
      </c>
      <c r="F191" t="s">
        <v>531</v>
      </c>
      <c r="G191" t="s">
        <v>961</v>
      </c>
      <c r="J191">
        <v>0.99</v>
      </c>
      <c r="K191">
        <v>0</v>
      </c>
      <c r="L191" t="b">
        <v>0</v>
      </c>
      <c r="M191">
        <v>0.99</v>
      </c>
      <c r="N191" t="s">
        <v>499</v>
      </c>
      <c r="O191" t="s">
        <v>500</v>
      </c>
      <c r="P191">
        <v>196</v>
      </c>
      <c r="Q191" s="2">
        <v>46209</v>
      </c>
      <c r="T191" t="s">
        <v>1339</v>
      </c>
      <c r="U191" t="b">
        <v>0</v>
      </c>
      <c r="V191" t="b">
        <v>0</v>
      </c>
    </row>
    <row r="192" spans="2:22" hidden="1" x14ac:dyDescent="0.25">
      <c r="B192" t="s">
        <v>1340</v>
      </c>
      <c r="C192" t="s">
        <v>960</v>
      </c>
      <c r="D192" t="s">
        <v>960</v>
      </c>
      <c r="E192" t="s">
        <v>207</v>
      </c>
      <c r="F192" t="s">
        <v>531</v>
      </c>
      <c r="G192" t="s">
        <v>961</v>
      </c>
      <c r="J192">
        <v>0.99</v>
      </c>
      <c r="K192">
        <v>0</v>
      </c>
      <c r="L192" t="b">
        <v>0</v>
      </c>
      <c r="M192">
        <v>0.99</v>
      </c>
      <c r="N192" t="s">
        <v>499</v>
      </c>
      <c r="O192" t="s">
        <v>500</v>
      </c>
      <c r="P192">
        <v>197</v>
      </c>
      <c r="Q192" s="2">
        <v>46209</v>
      </c>
      <c r="T192" t="s">
        <v>1341</v>
      </c>
      <c r="U192" t="b">
        <v>0</v>
      </c>
      <c r="V192" t="b">
        <v>0</v>
      </c>
    </row>
    <row r="193" spans="2:22" hidden="1" x14ac:dyDescent="0.25">
      <c r="B193" t="s">
        <v>1342</v>
      </c>
      <c r="C193" t="s">
        <v>960</v>
      </c>
      <c r="D193" t="s">
        <v>960</v>
      </c>
      <c r="E193" t="s">
        <v>23</v>
      </c>
      <c r="F193" t="s">
        <v>95</v>
      </c>
      <c r="G193" t="s">
        <v>961</v>
      </c>
      <c r="J193">
        <v>0.99</v>
      </c>
      <c r="K193">
        <v>0</v>
      </c>
      <c r="L193" t="b">
        <v>0</v>
      </c>
      <c r="M193">
        <v>0.99</v>
      </c>
      <c r="N193" t="s">
        <v>499</v>
      </c>
      <c r="O193" t="s">
        <v>500</v>
      </c>
      <c r="P193">
        <v>198</v>
      </c>
      <c r="Q193" s="2">
        <v>46209</v>
      </c>
      <c r="T193" t="s">
        <v>1343</v>
      </c>
      <c r="U193" t="b">
        <v>0</v>
      </c>
      <c r="V193" t="b">
        <v>0</v>
      </c>
    </row>
    <row r="194" spans="2:22" hidden="1" x14ac:dyDescent="0.25">
      <c r="B194" t="s">
        <v>1344</v>
      </c>
      <c r="C194" t="s">
        <v>960</v>
      </c>
      <c r="D194" t="s">
        <v>960</v>
      </c>
      <c r="E194" t="s">
        <v>207</v>
      </c>
      <c r="F194" t="s">
        <v>822</v>
      </c>
      <c r="G194" t="s">
        <v>961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499</v>
      </c>
      <c r="O194" t="s">
        <v>500</v>
      </c>
      <c r="P194">
        <v>199</v>
      </c>
      <c r="Q194" s="2">
        <v>46209</v>
      </c>
      <c r="T194" t="s">
        <v>1345</v>
      </c>
      <c r="U194" t="b">
        <v>0</v>
      </c>
      <c r="V194" t="b">
        <v>0</v>
      </c>
    </row>
    <row r="195" spans="2:22" hidden="1" x14ac:dyDescent="0.25">
      <c r="B195" t="s">
        <v>1346</v>
      </c>
      <c r="C195" t="s">
        <v>960</v>
      </c>
      <c r="D195" t="s">
        <v>960</v>
      </c>
      <c r="E195" t="s">
        <v>207</v>
      </c>
      <c r="F195" t="s">
        <v>822</v>
      </c>
      <c r="G195" t="s">
        <v>961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499</v>
      </c>
      <c r="O195" t="s">
        <v>500</v>
      </c>
      <c r="P195">
        <v>200</v>
      </c>
      <c r="Q195" s="2">
        <v>46209</v>
      </c>
      <c r="T195" t="s">
        <v>1347</v>
      </c>
      <c r="U195" t="b">
        <v>0</v>
      </c>
      <c r="V195" t="b">
        <v>0</v>
      </c>
    </row>
    <row r="196" spans="2:22" hidden="1" x14ac:dyDescent="0.25">
      <c r="B196" t="s">
        <v>1348</v>
      </c>
      <c r="C196" t="s">
        <v>960</v>
      </c>
      <c r="D196" t="s">
        <v>960</v>
      </c>
      <c r="E196" t="s">
        <v>207</v>
      </c>
      <c r="F196" t="s">
        <v>905</v>
      </c>
      <c r="G196" t="s">
        <v>961</v>
      </c>
      <c r="J196">
        <v>1.38</v>
      </c>
      <c r="K196">
        <v>0</v>
      </c>
      <c r="L196" t="b">
        <v>0</v>
      </c>
      <c r="M196">
        <v>0.99</v>
      </c>
      <c r="N196" t="s">
        <v>499</v>
      </c>
      <c r="O196" t="s">
        <v>500</v>
      </c>
      <c r="P196">
        <v>201</v>
      </c>
      <c r="Q196" s="2">
        <v>46209</v>
      </c>
      <c r="T196" t="s">
        <v>1349</v>
      </c>
      <c r="U196" t="b">
        <v>0</v>
      </c>
      <c r="V196" t="b">
        <v>0</v>
      </c>
    </row>
    <row r="197" spans="2:22" hidden="1" x14ac:dyDescent="0.25">
      <c r="B197" t="s">
        <v>1350</v>
      </c>
      <c r="C197" t="s">
        <v>960</v>
      </c>
      <c r="D197" t="s">
        <v>960</v>
      </c>
      <c r="E197" t="s">
        <v>207</v>
      </c>
      <c r="F197" t="s">
        <v>905</v>
      </c>
      <c r="G197" t="s">
        <v>961</v>
      </c>
      <c r="J197">
        <v>1.38</v>
      </c>
      <c r="K197">
        <v>0</v>
      </c>
      <c r="L197" t="b">
        <v>0</v>
      </c>
      <c r="M197">
        <v>0.99</v>
      </c>
      <c r="N197" t="s">
        <v>499</v>
      </c>
      <c r="O197" t="s">
        <v>500</v>
      </c>
      <c r="P197">
        <v>202</v>
      </c>
      <c r="Q197" s="2">
        <v>46209</v>
      </c>
      <c r="T197" t="s">
        <v>1351</v>
      </c>
      <c r="U197" t="b">
        <v>0</v>
      </c>
      <c r="V197" t="b">
        <v>0</v>
      </c>
    </row>
    <row r="198" spans="2:22" hidden="1" x14ac:dyDescent="0.25">
      <c r="B198" t="s">
        <v>1352</v>
      </c>
      <c r="C198" t="s">
        <v>960</v>
      </c>
      <c r="D198" t="s">
        <v>960</v>
      </c>
      <c r="E198" t="s">
        <v>207</v>
      </c>
      <c r="F198" t="s">
        <v>94</v>
      </c>
      <c r="G198" t="s">
        <v>961</v>
      </c>
      <c r="J198">
        <v>0.99</v>
      </c>
      <c r="K198">
        <v>0</v>
      </c>
      <c r="L198" t="b">
        <v>0</v>
      </c>
      <c r="M198">
        <v>0.99</v>
      </c>
      <c r="N198" t="s">
        <v>499</v>
      </c>
      <c r="O198" t="s">
        <v>500</v>
      </c>
      <c r="P198">
        <v>203</v>
      </c>
      <c r="Q198" s="2">
        <v>46209</v>
      </c>
      <c r="T198" t="s">
        <v>1353</v>
      </c>
      <c r="U198" t="b">
        <v>0</v>
      </c>
      <c r="V198" t="b">
        <v>0</v>
      </c>
    </row>
    <row r="199" spans="2:22" hidden="1" x14ac:dyDescent="0.25">
      <c r="B199" t="s">
        <v>1354</v>
      </c>
      <c r="C199" t="s">
        <v>960</v>
      </c>
      <c r="D199" t="s">
        <v>960</v>
      </c>
      <c r="E199" t="s">
        <v>207</v>
      </c>
      <c r="F199" t="s">
        <v>931</v>
      </c>
      <c r="G199" t="s">
        <v>961</v>
      </c>
      <c r="J199">
        <v>1.29</v>
      </c>
      <c r="K199">
        <v>0</v>
      </c>
      <c r="L199" t="b">
        <v>0</v>
      </c>
      <c r="M199">
        <v>0.99</v>
      </c>
      <c r="N199" t="s">
        <v>499</v>
      </c>
      <c r="O199" t="s">
        <v>500</v>
      </c>
      <c r="P199">
        <v>204</v>
      </c>
      <c r="Q199" s="2">
        <v>46209</v>
      </c>
      <c r="T199" t="s">
        <v>1355</v>
      </c>
      <c r="U199" t="b">
        <v>0</v>
      </c>
      <c r="V199" t="b">
        <v>0</v>
      </c>
    </row>
    <row r="200" spans="2:22" hidden="1" x14ac:dyDescent="0.25">
      <c r="B200" t="s">
        <v>1356</v>
      </c>
      <c r="C200" t="s">
        <v>960</v>
      </c>
      <c r="D200" t="s">
        <v>960</v>
      </c>
      <c r="E200" t="s">
        <v>23</v>
      </c>
      <c r="F200" t="s">
        <v>931</v>
      </c>
      <c r="G200" t="s">
        <v>961</v>
      </c>
      <c r="J200">
        <v>1.294</v>
      </c>
      <c r="K200">
        <v>0</v>
      </c>
      <c r="L200" t="b">
        <v>0</v>
      </c>
      <c r="M200">
        <v>0.99</v>
      </c>
      <c r="N200" t="s">
        <v>499</v>
      </c>
      <c r="O200" t="s">
        <v>500</v>
      </c>
      <c r="P200">
        <v>205</v>
      </c>
      <c r="Q200" s="2">
        <v>46209</v>
      </c>
      <c r="T200" t="s">
        <v>1357</v>
      </c>
      <c r="U200" t="b">
        <v>0</v>
      </c>
      <c r="V200" t="b">
        <v>0</v>
      </c>
    </row>
    <row r="201" spans="2:22" hidden="1" x14ac:dyDescent="0.25">
      <c r="B201" t="s">
        <v>1358</v>
      </c>
      <c r="C201" t="s">
        <v>960</v>
      </c>
      <c r="D201" t="s">
        <v>960</v>
      </c>
      <c r="E201" t="s">
        <v>207</v>
      </c>
      <c r="F201" t="s">
        <v>931</v>
      </c>
      <c r="G201" t="s">
        <v>961</v>
      </c>
      <c r="J201">
        <v>1.29</v>
      </c>
      <c r="K201">
        <v>0</v>
      </c>
      <c r="L201" t="b">
        <v>0</v>
      </c>
      <c r="M201">
        <v>0.99</v>
      </c>
      <c r="N201" t="s">
        <v>499</v>
      </c>
      <c r="O201" t="s">
        <v>500</v>
      </c>
      <c r="P201">
        <v>206</v>
      </c>
      <c r="Q201" s="2">
        <v>46209</v>
      </c>
      <c r="T201" t="s">
        <v>1359</v>
      </c>
      <c r="U201" t="b">
        <v>0</v>
      </c>
      <c r="V201" t="b">
        <v>0</v>
      </c>
    </row>
    <row r="202" spans="2:22" hidden="1" x14ac:dyDescent="0.25">
      <c r="B202" t="s">
        <v>1360</v>
      </c>
      <c r="C202" t="s">
        <v>960</v>
      </c>
      <c r="D202" t="s">
        <v>960</v>
      </c>
      <c r="E202" t="s">
        <v>23</v>
      </c>
      <c r="F202" t="s">
        <v>95</v>
      </c>
      <c r="G202" t="s">
        <v>961</v>
      </c>
      <c r="J202">
        <v>0.99</v>
      </c>
      <c r="K202">
        <v>0</v>
      </c>
      <c r="L202" t="b">
        <v>0</v>
      </c>
      <c r="M202">
        <v>0.99</v>
      </c>
      <c r="N202" t="s">
        <v>499</v>
      </c>
      <c r="O202" t="s">
        <v>500</v>
      </c>
      <c r="P202">
        <v>207</v>
      </c>
      <c r="Q202" s="2">
        <v>46209</v>
      </c>
      <c r="T202" t="s">
        <v>1361</v>
      </c>
      <c r="U202" t="b">
        <v>0</v>
      </c>
      <c r="V202" t="b">
        <v>0</v>
      </c>
    </row>
    <row r="203" spans="2:22" hidden="1" x14ac:dyDescent="0.25">
      <c r="B203" t="s">
        <v>1362</v>
      </c>
      <c r="C203" t="s">
        <v>960</v>
      </c>
      <c r="D203" t="s">
        <v>960</v>
      </c>
      <c r="E203" t="s">
        <v>23</v>
      </c>
      <c r="F203" t="s">
        <v>931</v>
      </c>
      <c r="G203" t="s">
        <v>961</v>
      </c>
      <c r="J203">
        <v>0.99</v>
      </c>
      <c r="K203">
        <v>0</v>
      </c>
      <c r="L203" t="b">
        <v>0</v>
      </c>
      <c r="M203">
        <v>0.99</v>
      </c>
      <c r="N203" t="s">
        <v>499</v>
      </c>
      <c r="O203" t="s">
        <v>500</v>
      </c>
      <c r="P203">
        <v>208</v>
      </c>
      <c r="Q203" s="2">
        <v>46209</v>
      </c>
      <c r="T203" t="s">
        <v>1363</v>
      </c>
      <c r="U203" t="b">
        <v>0</v>
      </c>
      <c r="V203" t="b">
        <v>0</v>
      </c>
    </row>
    <row r="204" spans="2:22" hidden="1" x14ac:dyDescent="0.25">
      <c r="B204" t="s">
        <v>1364</v>
      </c>
      <c r="C204" t="s">
        <v>960</v>
      </c>
      <c r="D204" t="s">
        <v>960</v>
      </c>
      <c r="E204" t="s">
        <v>207</v>
      </c>
      <c r="F204" t="s">
        <v>579</v>
      </c>
      <c r="G204" t="s">
        <v>961</v>
      </c>
      <c r="J204">
        <v>0.99</v>
      </c>
      <c r="K204">
        <v>0</v>
      </c>
      <c r="L204" t="b">
        <v>0</v>
      </c>
      <c r="M204">
        <v>0.99</v>
      </c>
      <c r="N204" t="s">
        <v>499</v>
      </c>
      <c r="O204" t="s">
        <v>500</v>
      </c>
      <c r="P204">
        <v>209</v>
      </c>
      <c r="Q204" s="2">
        <v>46209</v>
      </c>
      <c r="T204" t="s">
        <v>1365</v>
      </c>
      <c r="U204" t="b">
        <v>0</v>
      </c>
      <c r="V204" t="b">
        <v>0</v>
      </c>
    </row>
    <row r="205" spans="2:22" hidden="1" x14ac:dyDescent="0.25">
      <c r="B205" t="s">
        <v>1366</v>
      </c>
      <c r="C205" t="s">
        <v>960</v>
      </c>
      <c r="D205" t="s">
        <v>960</v>
      </c>
      <c r="E205" t="s">
        <v>207</v>
      </c>
      <c r="F205" t="s">
        <v>95</v>
      </c>
      <c r="G205" t="s">
        <v>961</v>
      </c>
      <c r="J205">
        <v>0.99</v>
      </c>
      <c r="K205">
        <v>0</v>
      </c>
      <c r="L205" t="b">
        <v>0</v>
      </c>
      <c r="M205">
        <v>0.99</v>
      </c>
      <c r="N205" t="s">
        <v>499</v>
      </c>
      <c r="O205" t="s">
        <v>500</v>
      </c>
      <c r="P205">
        <v>210</v>
      </c>
      <c r="Q205" s="2">
        <v>46209</v>
      </c>
      <c r="T205" t="s">
        <v>1367</v>
      </c>
      <c r="U205" t="b">
        <v>0</v>
      </c>
      <c r="V205" t="b">
        <v>0</v>
      </c>
    </row>
    <row r="206" spans="2:22" hidden="1" x14ac:dyDescent="0.25">
      <c r="B206" t="s">
        <v>1368</v>
      </c>
      <c r="C206" t="s">
        <v>960</v>
      </c>
      <c r="D206" t="s">
        <v>960</v>
      </c>
      <c r="E206" t="s">
        <v>207</v>
      </c>
      <c r="F206" t="s">
        <v>579</v>
      </c>
      <c r="G206" t="s">
        <v>961</v>
      </c>
      <c r="J206">
        <v>0.99</v>
      </c>
      <c r="K206">
        <v>0</v>
      </c>
      <c r="L206" t="b">
        <v>0</v>
      </c>
      <c r="M206">
        <v>0.99</v>
      </c>
      <c r="N206" t="s">
        <v>499</v>
      </c>
      <c r="O206" t="s">
        <v>500</v>
      </c>
      <c r="P206">
        <v>211</v>
      </c>
      <c r="Q206" s="2">
        <v>46209</v>
      </c>
      <c r="T206" t="s">
        <v>1369</v>
      </c>
      <c r="U206" t="b">
        <v>0</v>
      </c>
      <c r="V206" t="b">
        <v>0</v>
      </c>
    </row>
    <row r="207" spans="2:22" hidden="1" x14ac:dyDescent="0.25">
      <c r="B207" t="s">
        <v>1370</v>
      </c>
      <c r="C207" t="s">
        <v>960</v>
      </c>
      <c r="D207" t="s">
        <v>960</v>
      </c>
      <c r="E207" t="s">
        <v>207</v>
      </c>
      <c r="F207" t="s">
        <v>579</v>
      </c>
      <c r="G207" t="s">
        <v>961</v>
      </c>
      <c r="J207">
        <v>0.99</v>
      </c>
      <c r="K207">
        <v>0</v>
      </c>
      <c r="L207" t="b">
        <v>0</v>
      </c>
      <c r="M207">
        <v>0.99</v>
      </c>
      <c r="N207" t="s">
        <v>499</v>
      </c>
      <c r="O207" t="s">
        <v>500</v>
      </c>
      <c r="P207">
        <v>212</v>
      </c>
      <c r="Q207" s="2">
        <v>46209</v>
      </c>
      <c r="T207" t="s">
        <v>1371</v>
      </c>
      <c r="U207" t="b">
        <v>0</v>
      </c>
      <c r="V207" t="b">
        <v>0</v>
      </c>
    </row>
    <row r="208" spans="2:22" hidden="1" x14ac:dyDescent="0.25">
      <c r="B208" t="s">
        <v>1372</v>
      </c>
      <c r="C208" t="s">
        <v>960</v>
      </c>
      <c r="D208" t="s">
        <v>960</v>
      </c>
      <c r="E208" t="s">
        <v>207</v>
      </c>
      <c r="F208" t="s">
        <v>531</v>
      </c>
      <c r="G208" t="s">
        <v>961</v>
      </c>
      <c r="J208">
        <v>0.9</v>
      </c>
      <c r="K208">
        <v>0</v>
      </c>
      <c r="L208" t="b">
        <v>0</v>
      </c>
      <c r="M208">
        <v>0.9</v>
      </c>
      <c r="N208" t="s">
        <v>499</v>
      </c>
      <c r="O208" t="s">
        <v>500</v>
      </c>
      <c r="P208">
        <v>213</v>
      </c>
      <c r="Q208" s="2">
        <v>46209</v>
      </c>
      <c r="T208" t="s">
        <v>1373</v>
      </c>
      <c r="U208" t="b">
        <v>0</v>
      </c>
      <c r="V208" t="b">
        <v>0</v>
      </c>
    </row>
    <row r="209" spans="2:22" hidden="1" x14ac:dyDescent="0.25">
      <c r="B209" t="s">
        <v>1374</v>
      </c>
      <c r="C209" t="s">
        <v>960</v>
      </c>
      <c r="D209" t="s">
        <v>960</v>
      </c>
      <c r="E209" t="s">
        <v>207</v>
      </c>
      <c r="F209" t="s">
        <v>531</v>
      </c>
      <c r="G209" t="s">
        <v>961</v>
      </c>
      <c r="J209">
        <v>0.9</v>
      </c>
      <c r="K209">
        <v>0</v>
      </c>
      <c r="L209" t="b">
        <v>0</v>
      </c>
      <c r="M209">
        <v>0.9</v>
      </c>
      <c r="N209" t="s">
        <v>499</v>
      </c>
      <c r="O209" t="s">
        <v>500</v>
      </c>
      <c r="P209">
        <v>214</v>
      </c>
      <c r="Q209" s="2">
        <v>46209</v>
      </c>
      <c r="T209" t="s">
        <v>1375</v>
      </c>
      <c r="U209" t="b">
        <v>0</v>
      </c>
      <c r="V209" t="b">
        <v>0</v>
      </c>
    </row>
    <row r="210" spans="2:22" hidden="1" x14ac:dyDescent="0.25">
      <c r="B210" t="s">
        <v>1376</v>
      </c>
      <c r="C210" t="s">
        <v>960</v>
      </c>
      <c r="D210" t="s">
        <v>960</v>
      </c>
      <c r="E210" t="s">
        <v>207</v>
      </c>
      <c r="F210" t="s">
        <v>531</v>
      </c>
      <c r="G210" t="s">
        <v>961</v>
      </c>
      <c r="J210">
        <v>0.9</v>
      </c>
      <c r="K210">
        <v>0</v>
      </c>
      <c r="L210" t="b">
        <v>0</v>
      </c>
      <c r="M210">
        <v>0.9</v>
      </c>
      <c r="N210" t="s">
        <v>499</v>
      </c>
      <c r="O210" t="s">
        <v>500</v>
      </c>
      <c r="P210">
        <v>215</v>
      </c>
      <c r="Q210" s="2">
        <v>46209</v>
      </c>
      <c r="T210" t="s">
        <v>1377</v>
      </c>
      <c r="U210" t="b">
        <v>0</v>
      </c>
      <c r="V210" t="b">
        <v>0</v>
      </c>
    </row>
    <row r="211" spans="2:22" hidden="1" x14ac:dyDescent="0.25">
      <c r="B211" t="s">
        <v>1378</v>
      </c>
      <c r="C211" t="s">
        <v>960</v>
      </c>
      <c r="D211" t="s">
        <v>960</v>
      </c>
      <c r="E211" t="s">
        <v>207</v>
      </c>
      <c r="F211" t="s">
        <v>531</v>
      </c>
      <c r="G211" t="s">
        <v>961</v>
      </c>
      <c r="J211">
        <v>0.99</v>
      </c>
      <c r="K211">
        <v>0</v>
      </c>
      <c r="L211" t="b">
        <v>0</v>
      </c>
      <c r="M211">
        <v>0.99</v>
      </c>
      <c r="N211" t="s">
        <v>499</v>
      </c>
      <c r="O211" t="s">
        <v>500</v>
      </c>
      <c r="P211">
        <v>216</v>
      </c>
      <c r="Q211" s="2">
        <v>46209</v>
      </c>
      <c r="T211" t="s">
        <v>1379</v>
      </c>
      <c r="U211" t="b">
        <v>0</v>
      </c>
      <c r="V211" t="b">
        <v>0</v>
      </c>
    </row>
    <row r="212" spans="2:22" hidden="1" x14ac:dyDescent="0.25">
      <c r="B212" t="s">
        <v>1380</v>
      </c>
      <c r="C212" t="s">
        <v>960</v>
      </c>
      <c r="D212" t="s">
        <v>960</v>
      </c>
      <c r="E212" t="s">
        <v>207</v>
      </c>
      <c r="F212" t="s">
        <v>95</v>
      </c>
      <c r="G212" t="s">
        <v>961</v>
      </c>
      <c r="J212">
        <v>0.99</v>
      </c>
      <c r="K212">
        <v>0</v>
      </c>
      <c r="L212" t="b">
        <v>0</v>
      </c>
      <c r="M212">
        <v>0.99</v>
      </c>
      <c r="N212" t="s">
        <v>499</v>
      </c>
      <c r="O212" t="s">
        <v>500</v>
      </c>
      <c r="P212">
        <v>217</v>
      </c>
      <c r="Q212" s="2">
        <v>46209</v>
      </c>
      <c r="T212" t="s">
        <v>1381</v>
      </c>
      <c r="U212" t="b">
        <v>0</v>
      </c>
      <c r="V212" t="b">
        <v>0</v>
      </c>
    </row>
    <row r="213" spans="2:22" hidden="1" x14ac:dyDescent="0.25">
      <c r="B213" t="s">
        <v>1382</v>
      </c>
      <c r="C213" t="s">
        <v>960</v>
      </c>
      <c r="D213" t="s">
        <v>960</v>
      </c>
      <c r="E213" t="s">
        <v>207</v>
      </c>
      <c r="F213" t="s">
        <v>95</v>
      </c>
      <c r="G213" t="s">
        <v>961</v>
      </c>
      <c r="J213">
        <v>0.99</v>
      </c>
      <c r="K213">
        <v>0</v>
      </c>
      <c r="L213" t="b">
        <v>0</v>
      </c>
      <c r="M213">
        <v>0.99</v>
      </c>
      <c r="N213" t="s">
        <v>499</v>
      </c>
      <c r="O213" t="s">
        <v>500</v>
      </c>
      <c r="P213">
        <v>218</v>
      </c>
      <c r="Q213" s="2">
        <v>46209</v>
      </c>
      <c r="T213" t="s">
        <v>1383</v>
      </c>
      <c r="U213" t="b">
        <v>0</v>
      </c>
      <c r="V213" t="b">
        <v>0</v>
      </c>
    </row>
    <row r="214" spans="2:22" hidden="1" x14ac:dyDescent="0.25">
      <c r="B214" t="s">
        <v>1384</v>
      </c>
      <c r="C214" t="s">
        <v>960</v>
      </c>
      <c r="D214" t="s">
        <v>960</v>
      </c>
      <c r="E214" t="s">
        <v>207</v>
      </c>
      <c r="F214" t="s">
        <v>95</v>
      </c>
      <c r="G214" t="s">
        <v>961</v>
      </c>
      <c r="J214">
        <v>0.96</v>
      </c>
      <c r="K214">
        <v>0</v>
      </c>
      <c r="L214" t="b">
        <v>0</v>
      </c>
      <c r="M214">
        <v>0.96</v>
      </c>
      <c r="N214" t="s">
        <v>499</v>
      </c>
      <c r="O214" t="s">
        <v>500</v>
      </c>
      <c r="P214">
        <v>219</v>
      </c>
      <c r="Q214" s="2">
        <v>46209</v>
      </c>
      <c r="T214" t="s">
        <v>1385</v>
      </c>
      <c r="U214" t="b">
        <v>0</v>
      </c>
      <c r="V214" t="b">
        <v>0</v>
      </c>
    </row>
    <row r="215" spans="2:22" hidden="1" x14ac:dyDescent="0.25">
      <c r="B215" t="s">
        <v>1386</v>
      </c>
      <c r="C215" t="s">
        <v>960</v>
      </c>
      <c r="D215" t="s">
        <v>960</v>
      </c>
      <c r="E215" t="s">
        <v>207</v>
      </c>
      <c r="F215" t="s">
        <v>95</v>
      </c>
      <c r="G215" t="s">
        <v>961</v>
      </c>
      <c r="J215">
        <v>0.99</v>
      </c>
      <c r="K215">
        <v>0</v>
      </c>
      <c r="L215" t="b">
        <v>0</v>
      </c>
      <c r="M215">
        <v>0.99</v>
      </c>
      <c r="N215" t="s">
        <v>499</v>
      </c>
      <c r="O215" t="s">
        <v>500</v>
      </c>
      <c r="P215">
        <v>220</v>
      </c>
      <c r="Q215" s="2">
        <v>46209</v>
      </c>
      <c r="T215" t="s">
        <v>1387</v>
      </c>
      <c r="U215" t="b">
        <v>0</v>
      </c>
      <c r="V215" t="b">
        <v>0</v>
      </c>
    </row>
    <row r="216" spans="2:22" hidden="1" x14ac:dyDescent="0.25">
      <c r="B216" t="s">
        <v>1388</v>
      </c>
      <c r="C216" t="s">
        <v>960</v>
      </c>
      <c r="D216" t="s">
        <v>960</v>
      </c>
      <c r="E216" t="s">
        <v>207</v>
      </c>
      <c r="F216" t="s">
        <v>95</v>
      </c>
      <c r="G216" t="s">
        <v>961</v>
      </c>
      <c r="J216">
        <v>0.99</v>
      </c>
      <c r="K216">
        <v>0</v>
      </c>
      <c r="L216" t="b">
        <v>0</v>
      </c>
      <c r="M216">
        <v>0.99</v>
      </c>
      <c r="N216" t="s">
        <v>499</v>
      </c>
      <c r="O216" t="s">
        <v>500</v>
      </c>
      <c r="P216">
        <v>221</v>
      </c>
      <c r="Q216" s="2">
        <v>46209</v>
      </c>
      <c r="T216" t="s">
        <v>1389</v>
      </c>
      <c r="U216" t="b">
        <v>0</v>
      </c>
      <c r="V216" t="b">
        <v>0</v>
      </c>
    </row>
    <row r="217" spans="2:22" hidden="1" x14ac:dyDescent="0.25">
      <c r="B217" t="s">
        <v>1390</v>
      </c>
      <c r="C217" t="s">
        <v>960</v>
      </c>
      <c r="D217" t="s">
        <v>960</v>
      </c>
      <c r="E217" t="s">
        <v>207</v>
      </c>
      <c r="F217" t="s">
        <v>531</v>
      </c>
      <c r="G217" t="s">
        <v>961</v>
      </c>
      <c r="J217">
        <v>0.9</v>
      </c>
      <c r="K217">
        <v>0</v>
      </c>
      <c r="L217" t="b">
        <v>0</v>
      </c>
      <c r="M217">
        <v>0.9</v>
      </c>
      <c r="N217" t="s">
        <v>499</v>
      </c>
      <c r="O217" t="s">
        <v>500</v>
      </c>
      <c r="P217">
        <v>222</v>
      </c>
      <c r="Q217" s="2">
        <v>46209</v>
      </c>
      <c r="T217" t="s">
        <v>1391</v>
      </c>
      <c r="U217" t="b">
        <v>0</v>
      </c>
      <c r="V217" t="b">
        <v>0</v>
      </c>
    </row>
    <row r="218" spans="2:22" hidden="1" x14ac:dyDescent="0.25">
      <c r="B218" t="s">
        <v>1392</v>
      </c>
      <c r="C218" t="s">
        <v>960</v>
      </c>
      <c r="D218" t="s">
        <v>960</v>
      </c>
      <c r="E218" t="s">
        <v>207</v>
      </c>
      <c r="F218" t="s">
        <v>531</v>
      </c>
      <c r="G218" t="s">
        <v>961</v>
      </c>
      <c r="J218">
        <v>0.99</v>
      </c>
      <c r="K218">
        <v>0</v>
      </c>
      <c r="L218" t="b">
        <v>0</v>
      </c>
      <c r="M218">
        <v>0.99</v>
      </c>
      <c r="N218" t="s">
        <v>499</v>
      </c>
      <c r="O218" t="s">
        <v>500</v>
      </c>
      <c r="P218">
        <v>223</v>
      </c>
      <c r="Q218" s="2">
        <v>46209</v>
      </c>
      <c r="T218" t="s">
        <v>1393</v>
      </c>
      <c r="U218" t="b">
        <v>0</v>
      </c>
      <c r="V218" t="b">
        <v>0</v>
      </c>
    </row>
    <row r="219" spans="2:22" hidden="1" x14ac:dyDescent="0.25">
      <c r="B219" t="s">
        <v>1394</v>
      </c>
      <c r="C219" t="s">
        <v>960</v>
      </c>
      <c r="D219" t="s">
        <v>960</v>
      </c>
      <c r="E219" t="s">
        <v>207</v>
      </c>
      <c r="F219" t="s">
        <v>531</v>
      </c>
      <c r="G219" t="s">
        <v>961</v>
      </c>
      <c r="J219">
        <v>0.99</v>
      </c>
      <c r="K219">
        <v>0</v>
      </c>
      <c r="L219" t="b">
        <v>0</v>
      </c>
      <c r="M219">
        <v>0.99</v>
      </c>
      <c r="N219" t="s">
        <v>499</v>
      </c>
      <c r="O219" t="s">
        <v>500</v>
      </c>
      <c r="P219">
        <v>224</v>
      </c>
      <c r="Q219" s="2">
        <v>46209</v>
      </c>
      <c r="T219" t="s">
        <v>1395</v>
      </c>
      <c r="U219" t="b">
        <v>0</v>
      </c>
      <c r="V219" t="b">
        <v>0</v>
      </c>
    </row>
    <row r="220" spans="2:22" hidden="1" x14ac:dyDescent="0.25">
      <c r="B220" t="s">
        <v>1396</v>
      </c>
      <c r="C220" t="s">
        <v>960</v>
      </c>
      <c r="D220" t="s">
        <v>960</v>
      </c>
      <c r="E220" t="s">
        <v>207</v>
      </c>
      <c r="F220" t="s">
        <v>95</v>
      </c>
      <c r="G220" t="s">
        <v>961</v>
      </c>
      <c r="J220">
        <v>0.99</v>
      </c>
      <c r="K220">
        <v>0</v>
      </c>
      <c r="L220" t="b">
        <v>0</v>
      </c>
      <c r="M220">
        <v>0.99</v>
      </c>
      <c r="N220" t="s">
        <v>499</v>
      </c>
      <c r="O220" t="s">
        <v>500</v>
      </c>
      <c r="P220">
        <v>225</v>
      </c>
      <c r="Q220" s="2">
        <v>46209</v>
      </c>
      <c r="T220" t="s">
        <v>1397</v>
      </c>
      <c r="U220" t="b">
        <v>0</v>
      </c>
      <c r="V220" t="b">
        <v>0</v>
      </c>
    </row>
    <row r="221" spans="2:22" hidden="1" x14ac:dyDescent="0.25">
      <c r="B221" t="s">
        <v>1398</v>
      </c>
      <c r="C221" t="s">
        <v>960</v>
      </c>
      <c r="D221" t="s">
        <v>960</v>
      </c>
      <c r="E221" t="s">
        <v>207</v>
      </c>
      <c r="F221" t="s">
        <v>95</v>
      </c>
      <c r="G221" t="s">
        <v>961</v>
      </c>
      <c r="J221">
        <v>0.99</v>
      </c>
      <c r="K221">
        <v>0</v>
      </c>
      <c r="L221" t="b">
        <v>0</v>
      </c>
      <c r="M221">
        <v>0.99</v>
      </c>
      <c r="N221" t="s">
        <v>499</v>
      </c>
      <c r="O221" t="s">
        <v>500</v>
      </c>
      <c r="P221">
        <v>226</v>
      </c>
      <c r="Q221" s="2">
        <v>46209</v>
      </c>
      <c r="T221" t="s">
        <v>1399</v>
      </c>
      <c r="U221" t="b">
        <v>0</v>
      </c>
      <c r="V221" t="b">
        <v>0</v>
      </c>
    </row>
    <row r="222" spans="2:22" hidden="1" x14ac:dyDescent="0.25">
      <c r="B222" t="s">
        <v>1400</v>
      </c>
      <c r="C222" t="s">
        <v>960</v>
      </c>
      <c r="D222" t="s">
        <v>960</v>
      </c>
      <c r="E222" t="s">
        <v>207</v>
      </c>
      <c r="F222" t="s">
        <v>240</v>
      </c>
      <c r="G222" t="s">
        <v>961</v>
      </c>
      <c r="J222">
        <v>0.96</v>
      </c>
      <c r="K222">
        <v>0</v>
      </c>
      <c r="L222" t="b">
        <v>0</v>
      </c>
      <c r="M222">
        <v>0.96</v>
      </c>
      <c r="N222" t="s">
        <v>499</v>
      </c>
      <c r="O222" t="s">
        <v>500</v>
      </c>
      <c r="P222">
        <v>227</v>
      </c>
      <c r="Q222" s="2">
        <v>46209</v>
      </c>
      <c r="T222" t="s">
        <v>1401</v>
      </c>
      <c r="U222" t="b">
        <v>0</v>
      </c>
      <c r="V222" t="b">
        <v>0</v>
      </c>
    </row>
    <row r="223" spans="2:22" hidden="1" x14ac:dyDescent="0.25">
      <c r="B223" t="s">
        <v>1402</v>
      </c>
      <c r="C223" t="s">
        <v>960</v>
      </c>
      <c r="D223" t="s">
        <v>960</v>
      </c>
      <c r="E223" t="s">
        <v>207</v>
      </c>
      <c r="F223" t="s">
        <v>531</v>
      </c>
      <c r="G223" t="s">
        <v>961</v>
      </c>
      <c r="J223">
        <v>0.9</v>
      </c>
      <c r="K223">
        <v>0</v>
      </c>
      <c r="L223" t="b">
        <v>0</v>
      </c>
      <c r="M223">
        <v>0.9</v>
      </c>
      <c r="N223" t="s">
        <v>499</v>
      </c>
      <c r="O223" t="s">
        <v>500</v>
      </c>
      <c r="P223">
        <v>228</v>
      </c>
      <c r="Q223" s="2">
        <v>46209</v>
      </c>
      <c r="T223" t="s">
        <v>1403</v>
      </c>
      <c r="U223" t="b">
        <v>0</v>
      </c>
      <c r="V223" t="b">
        <v>0</v>
      </c>
    </row>
    <row r="224" spans="2:22" hidden="1" x14ac:dyDescent="0.25">
      <c r="B224" t="s">
        <v>1404</v>
      </c>
      <c r="C224" t="s">
        <v>960</v>
      </c>
      <c r="D224" t="s">
        <v>960</v>
      </c>
      <c r="E224" t="s">
        <v>207</v>
      </c>
      <c r="F224" t="s">
        <v>823</v>
      </c>
      <c r="G224" t="s">
        <v>961</v>
      </c>
      <c r="J224">
        <v>0.9</v>
      </c>
      <c r="K224">
        <v>0</v>
      </c>
      <c r="L224" t="b">
        <v>0</v>
      </c>
      <c r="M224">
        <v>0.9</v>
      </c>
      <c r="N224" t="s">
        <v>499</v>
      </c>
      <c r="O224" t="s">
        <v>500</v>
      </c>
      <c r="P224">
        <v>229</v>
      </c>
      <c r="Q224" s="2">
        <v>46209</v>
      </c>
      <c r="T224" t="s">
        <v>1405</v>
      </c>
      <c r="U224" t="b">
        <v>0</v>
      </c>
      <c r="V224" t="b">
        <v>0</v>
      </c>
    </row>
    <row r="225" spans="2:22" hidden="1" x14ac:dyDescent="0.25">
      <c r="B225" t="s">
        <v>1406</v>
      </c>
      <c r="C225" t="s">
        <v>960</v>
      </c>
      <c r="D225" t="s">
        <v>960</v>
      </c>
      <c r="E225" t="s">
        <v>207</v>
      </c>
      <c r="F225" t="s">
        <v>823</v>
      </c>
      <c r="G225" t="s">
        <v>961</v>
      </c>
      <c r="J225">
        <v>0.9</v>
      </c>
      <c r="K225">
        <v>0</v>
      </c>
      <c r="L225" t="b">
        <v>0</v>
      </c>
      <c r="M225">
        <v>0.9</v>
      </c>
      <c r="N225" t="s">
        <v>499</v>
      </c>
      <c r="O225" t="s">
        <v>500</v>
      </c>
      <c r="P225">
        <v>230</v>
      </c>
      <c r="Q225" s="2">
        <v>46209</v>
      </c>
      <c r="T225" t="s">
        <v>1407</v>
      </c>
      <c r="U225" t="b">
        <v>0</v>
      </c>
      <c r="V225" t="b">
        <v>0</v>
      </c>
    </row>
    <row r="226" spans="2:22" hidden="1" x14ac:dyDescent="0.25">
      <c r="B226" t="s">
        <v>1408</v>
      </c>
      <c r="C226" t="s">
        <v>960</v>
      </c>
      <c r="D226" t="s">
        <v>960</v>
      </c>
      <c r="E226" t="s">
        <v>207</v>
      </c>
      <c r="F226" t="s">
        <v>531</v>
      </c>
      <c r="G226" t="s">
        <v>961</v>
      </c>
      <c r="J226">
        <v>0.9</v>
      </c>
      <c r="K226">
        <v>0</v>
      </c>
      <c r="L226" t="b">
        <v>0</v>
      </c>
      <c r="M226">
        <v>0.9</v>
      </c>
      <c r="N226" t="s">
        <v>499</v>
      </c>
      <c r="O226" t="s">
        <v>500</v>
      </c>
      <c r="P226">
        <v>231</v>
      </c>
      <c r="Q226" s="2">
        <v>46209</v>
      </c>
      <c r="T226" t="s">
        <v>1409</v>
      </c>
      <c r="U226" t="b">
        <v>0</v>
      </c>
      <c r="V226" t="b">
        <v>0</v>
      </c>
    </row>
    <row r="227" spans="2:22" hidden="1" x14ac:dyDescent="0.25">
      <c r="B227" t="s">
        <v>1410</v>
      </c>
      <c r="C227" t="s">
        <v>960</v>
      </c>
      <c r="D227" t="s">
        <v>960</v>
      </c>
      <c r="E227" t="s">
        <v>207</v>
      </c>
      <c r="F227" t="s">
        <v>531</v>
      </c>
      <c r="G227" t="s">
        <v>961</v>
      </c>
      <c r="J227">
        <v>0.9</v>
      </c>
      <c r="K227">
        <v>0</v>
      </c>
      <c r="L227" t="b">
        <v>0</v>
      </c>
      <c r="M227">
        <v>0.9</v>
      </c>
      <c r="N227" t="s">
        <v>499</v>
      </c>
      <c r="O227" t="s">
        <v>500</v>
      </c>
      <c r="P227">
        <v>232</v>
      </c>
      <c r="Q227" s="2">
        <v>46209</v>
      </c>
      <c r="T227" t="s">
        <v>1411</v>
      </c>
      <c r="U227" t="b">
        <v>0</v>
      </c>
      <c r="V227" t="b">
        <v>0</v>
      </c>
    </row>
    <row r="228" spans="2:22" hidden="1" x14ac:dyDescent="0.25">
      <c r="B228" t="s">
        <v>1412</v>
      </c>
      <c r="C228" t="s">
        <v>960</v>
      </c>
      <c r="D228" t="s">
        <v>960</v>
      </c>
      <c r="E228" t="s">
        <v>207</v>
      </c>
      <c r="F228" t="s">
        <v>531</v>
      </c>
      <c r="G228" t="s">
        <v>961</v>
      </c>
      <c r="J228">
        <v>0.99</v>
      </c>
      <c r="K228">
        <v>0</v>
      </c>
      <c r="L228" t="b">
        <v>0</v>
      </c>
      <c r="M228">
        <v>0.99</v>
      </c>
      <c r="N228" t="s">
        <v>499</v>
      </c>
      <c r="O228" t="s">
        <v>500</v>
      </c>
      <c r="P228">
        <v>233</v>
      </c>
      <c r="Q228" s="2">
        <v>46209</v>
      </c>
      <c r="T228" t="s">
        <v>1413</v>
      </c>
      <c r="U228" t="b">
        <v>0</v>
      </c>
      <c r="V228" t="b">
        <v>0</v>
      </c>
    </row>
    <row r="229" spans="2:22" hidden="1" x14ac:dyDescent="0.25">
      <c r="B229" t="s">
        <v>1414</v>
      </c>
      <c r="C229" t="s">
        <v>960</v>
      </c>
      <c r="D229" t="s">
        <v>960</v>
      </c>
      <c r="E229" t="s">
        <v>207</v>
      </c>
      <c r="F229" t="s">
        <v>614</v>
      </c>
      <c r="G229" t="s">
        <v>961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499</v>
      </c>
      <c r="O229" t="s">
        <v>500</v>
      </c>
      <c r="P229">
        <v>234</v>
      </c>
      <c r="Q229" s="2">
        <v>46209</v>
      </c>
      <c r="T229" t="s">
        <v>1415</v>
      </c>
      <c r="U229" t="b">
        <v>0</v>
      </c>
      <c r="V229" t="b">
        <v>0</v>
      </c>
    </row>
    <row r="230" spans="2:22" hidden="1" x14ac:dyDescent="0.25">
      <c r="B230" t="s">
        <v>1416</v>
      </c>
      <c r="C230" t="s">
        <v>960</v>
      </c>
      <c r="D230" t="s">
        <v>960</v>
      </c>
      <c r="E230" t="s">
        <v>23</v>
      </c>
      <c r="F230" t="s">
        <v>822</v>
      </c>
      <c r="G230" t="s">
        <v>961</v>
      </c>
      <c r="J230">
        <v>0.96</v>
      </c>
      <c r="K230">
        <v>0</v>
      </c>
      <c r="L230" t="b">
        <v>0</v>
      </c>
      <c r="M230">
        <v>0.96</v>
      </c>
      <c r="N230" t="s">
        <v>499</v>
      </c>
      <c r="O230" t="s">
        <v>500</v>
      </c>
      <c r="P230">
        <v>235</v>
      </c>
      <c r="Q230" s="2">
        <v>46209</v>
      </c>
      <c r="T230" t="s">
        <v>1417</v>
      </c>
      <c r="U230" t="b">
        <v>0</v>
      </c>
      <c r="V230" t="b">
        <v>0</v>
      </c>
    </row>
    <row r="231" spans="2:22" hidden="1" x14ac:dyDescent="0.25">
      <c r="B231" t="s">
        <v>1418</v>
      </c>
      <c r="C231" t="s">
        <v>960</v>
      </c>
      <c r="D231" t="s">
        <v>960</v>
      </c>
      <c r="E231" t="s">
        <v>23</v>
      </c>
      <c r="F231" t="s">
        <v>822</v>
      </c>
      <c r="G231" t="s">
        <v>961</v>
      </c>
      <c r="J231">
        <v>0.96</v>
      </c>
      <c r="K231">
        <v>0</v>
      </c>
      <c r="L231" t="b">
        <v>0</v>
      </c>
      <c r="M231">
        <v>0.96</v>
      </c>
      <c r="N231" t="s">
        <v>499</v>
      </c>
      <c r="O231" t="s">
        <v>500</v>
      </c>
      <c r="P231">
        <v>236</v>
      </c>
      <c r="Q231" s="2">
        <v>46209</v>
      </c>
      <c r="T231" t="s">
        <v>1419</v>
      </c>
      <c r="U231" t="b">
        <v>0</v>
      </c>
      <c r="V231" t="b">
        <v>0</v>
      </c>
    </row>
    <row r="232" spans="2:22" hidden="1" x14ac:dyDescent="0.25">
      <c r="B232" t="s">
        <v>1420</v>
      </c>
      <c r="C232" t="s">
        <v>960</v>
      </c>
      <c r="D232" t="s">
        <v>960</v>
      </c>
      <c r="E232" t="s">
        <v>23</v>
      </c>
      <c r="F232" t="s">
        <v>822</v>
      </c>
      <c r="G232" t="s">
        <v>961</v>
      </c>
      <c r="J232">
        <v>0.96</v>
      </c>
      <c r="K232">
        <v>0</v>
      </c>
      <c r="L232" t="b">
        <v>0</v>
      </c>
      <c r="M232">
        <v>0.96</v>
      </c>
      <c r="N232" t="s">
        <v>499</v>
      </c>
      <c r="O232" t="s">
        <v>500</v>
      </c>
      <c r="P232">
        <v>237</v>
      </c>
      <c r="Q232" s="2">
        <v>46209</v>
      </c>
      <c r="T232" t="s">
        <v>1421</v>
      </c>
      <c r="U232" t="b">
        <v>0</v>
      </c>
      <c r="V232" t="b">
        <v>0</v>
      </c>
    </row>
    <row r="233" spans="2:22" hidden="1" x14ac:dyDescent="0.25">
      <c r="B233" t="s">
        <v>1422</v>
      </c>
      <c r="C233" t="s">
        <v>960</v>
      </c>
      <c r="D233" t="s">
        <v>960</v>
      </c>
      <c r="E233" t="s">
        <v>23</v>
      </c>
      <c r="F233" t="s">
        <v>95</v>
      </c>
      <c r="G233" t="s">
        <v>961</v>
      </c>
      <c r="J233">
        <v>0.9</v>
      </c>
      <c r="K233">
        <v>0</v>
      </c>
      <c r="L233" t="b">
        <v>0</v>
      </c>
      <c r="M233">
        <v>0.9</v>
      </c>
      <c r="N233" t="s">
        <v>499</v>
      </c>
      <c r="O233" t="s">
        <v>500</v>
      </c>
      <c r="P233">
        <v>238</v>
      </c>
      <c r="Q233" s="2">
        <v>46209</v>
      </c>
      <c r="T233" t="s">
        <v>1423</v>
      </c>
      <c r="U233" t="b">
        <v>0</v>
      </c>
      <c r="V233" t="b">
        <v>0</v>
      </c>
    </row>
    <row r="234" spans="2:22" hidden="1" x14ac:dyDescent="0.25">
      <c r="B234" t="s">
        <v>1424</v>
      </c>
      <c r="C234" t="s">
        <v>960</v>
      </c>
      <c r="D234" t="s">
        <v>960</v>
      </c>
      <c r="E234" t="s">
        <v>207</v>
      </c>
      <c r="F234" t="s">
        <v>905</v>
      </c>
      <c r="G234" t="s">
        <v>961</v>
      </c>
      <c r="J234">
        <v>0.99</v>
      </c>
      <c r="K234">
        <v>0</v>
      </c>
      <c r="L234" t="b">
        <v>0</v>
      </c>
      <c r="M234">
        <v>0.99</v>
      </c>
      <c r="N234" t="s">
        <v>499</v>
      </c>
      <c r="O234" t="s">
        <v>500</v>
      </c>
      <c r="P234">
        <v>239</v>
      </c>
      <c r="Q234" s="2">
        <v>46209</v>
      </c>
      <c r="T234" t="s">
        <v>1425</v>
      </c>
      <c r="U234" t="b">
        <v>0</v>
      </c>
      <c r="V234" t="b">
        <v>0</v>
      </c>
    </row>
    <row r="235" spans="2:22" hidden="1" x14ac:dyDescent="0.25">
      <c r="B235" t="s">
        <v>1426</v>
      </c>
      <c r="C235" t="s">
        <v>960</v>
      </c>
      <c r="D235" t="s">
        <v>960</v>
      </c>
      <c r="E235" t="s">
        <v>207</v>
      </c>
      <c r="F235" t="s">
        <v>905</v>
      </c>
      <c r="G235" t="s">
        <v>961</v>
      </c>
      <c r="J235">
        <v>0.99</v>
      </c>
      <c r="K235">
        <v>0</v>
      </c>
      <c r="L235" t="b">
        <v>0</v>
      </c>
      <c r="M235">
        <v>0.99</v>
      </c>
      <c r="N235" t="s">
        <v>499</v>
      </c>
      <c r="O235" t="s">
        <v>500</v>
      </c>
      <c r="P235">
        <v>240</v>
      </c>
      <c r="Q235" s="2">
        <v>46209</v>
      </c>
      <c r="T235" t="s">
        <v>1427</v>
      </c>
      <c r="U235" t="b">
        <v>0</v>
      </c>
      <c r="V235" t="b">
        <v>0</v>
      </c>
    </row>
    <row r="236" spans="2:22" hidden="1" x14ac:dyDescent="0.25">
      <c r="B236" t="s">
        <v>1428</v>
      </c>
      <c r="C236" t="s">
        <v>960</v>
      </c>
      <c r="D236" t="s">
        <v>960</v>
      </c>
      <c r="E236" t="s">
        <v>23</v>
      </c>
      <c r="F236" t="s">
        <v>897</v>
      </c>
      <c r="G236" t="s">
        <v>961</v>
      </c>
      <c r="J236">
        <v>0.99</v>
      </c>
      <c r="K236">
        <v>0</v>
      </c>
      <c r="L236" t="b">
        <v>0</v>
      </c>
      <c r="M236">
        <v>0.97</v>
      </c>
      <c r="N236" t="s">
        <v>499</v>
      </c>
      <c r="O236" t="s">
        <v>500</v>
      </c>
      <c r="P236">
        <v>241</v>
      </c>
      <c r="Q236" s="2">
        <v>46209</v>
      </c>
      <c r="T236" t="s">
        <v>1429</v>
      </c>
      <c r="U236" t="b">
        <v>0</v>
      </c>
      <c r="V236" t="b">
        <v>0</v>
      </c>
    </row>
    <row r="237" spans="2:22" hidden="1" x14ac:dyDescent="0.25">
      <c r="B237" t="s">
        <v>1430</v>
      </c>
      <c r="C237" t="s">
        <v>960</v>
      </c>
      <c r="D237" t="s">
        <v>960</v>
      </c>
      <c r="E237" t="s">
        <v>23</v>
      </c>
      <c r="F237" t="s">
        <v>897</v>
      </c>
      <c r="G237" t="s">
        <v>961</v>
      </c>
      <c r="J237">
        <v>0.99</v>
      </c>
      <c r="K237">
        <v>0</v>
      </c>
      <c r="L237" t="b">
        <v>0</v>
      </c>
      <c r="M237">
        <v>0.97</v>
      </c>
      <c r="N237" t="s">
        <v>499</v>
      </c>
      <c r="O237" t="s">
        <v>500</v>
      </c>
      <c r="P237">
        <v>242</v>
      </c>
      <c r="Q237" s="2">
        <v>46209</v>
      </c>
      <c r="T237" t="s">
        <v>1431</v>
      </c>
      <c r="U237" t="b">
        <v>0</v>
      </c>
      <c r="V237" t="b">
        <v>0</v>
      </c>
    </row>
    <row r="238" spans="2:22" hidden="1" x14ac:dyDescent="0.25">
      <c r="B238" t="s">
        <v>1432</v>
      </c>
      <c r="C238" t="s">
        <v>960</v>
      </c>
      <c r="D238" t="s">
        <v>960</v>
      </c>
      <c r="E238" t="s">
        <v>207</v>
      </c>
      <c r="F238" t="s">
        <v>95</v>
      </c>
      <c r="G238" t="s">
        <v>961</v>
      </c>
      <c r="J238">
        <v>0.99</v>
      </c>
      <c r="K238">
        <v>0</v>
      </c>
      <c r="L238" t="b">
        <v>0</v>
      </c>
      <c r="M238">
        <v>0.99</v>
      </c>
      <c r="N238" t="s">
        <v>499</v>
      </c>
      <c r="O238" t="s">
        <v>500</v>
      </c>
      <c r="P238">
        <v>243</v>
      </c>
      <c r="Q238" s="2">
        <v>46209</v>
      </c>
      <c r="T238" t="s">
        <v>1433</v>
      </c>
      <c r="U238" t="b">
        <v>0</v>
      </c>
      <c r="V238" t="b">
        <v>0</v>
      </c>
    </row>
    <row r="239" spans="2:22" hidden="1" x14ac:dyDescent="0.25">
      <c r="B239" t="s">
        <v>1434</v>
      </c>
      <c r="C239" t="s">
        <v>960</v>
      </c>
      <c r="D239" t="s">
        <v>960</v>
      </c>
      <c r="E239" t="s">
        <v>207</v>
      </c>
      <c r="F239" t="s">
        <v>95</v>
      </c>
      <c r="G239" t="s">
        <v>961</v>
      </c>
      <c r="J239">
        <v>0.99</v>
      </c>
      <c r="K239">
        <v>0</v>
      </c>
      <c r="L239" t="b">
        <v>0</v>
      </c>
      <c r="M239">
        <v>0.99</v>
      </c>
      <c r="N239" t="s">
        <v>499</v>
      </c>
      <c r="O239" t="s">
        <v>500</v>
      </c>
      <c r="P239">
        <v>244</v>
      </c>
      <c r="Q239" s="2">
        <v>46209</v>
      </c>
      <c r="T239" t="s">
        <v>1435</v>
      </c>
      <c r="U239" t="b">
        <v>0</v>
      </c>
      <c r="V239" t="b">
        <v>0</v>
      </c>
    </row>
    <row r="240" spans="2:22" hidden="1" x14ac:dyDescent="0.25">
      <c r="B240" t="s">
        <v>1436</v>
      </c>
      <c r="C240" t="s">
        <v>960</v>
      </c>
      <c r="D240" t="s">
        <v>960</v>
      </c>
      <c r="E240" t="s">
        <v>207</v>
      </c>
      <c r="F240" t="s">
        <v>579</v>
      </c>
      <c r="G240" t="s">
        <v>961</v>
      </c>
      <c r="J240">
        <v>0.99</v>
      </c>
      <c r="K240">
        <v>0</v>
      </c>
      <c r="L240" t="b">
        <v>0</v>
      </c>
      <c r="M240">
        <v>0.99</v>
      </c>
      <c r="N240" t="s">
        <v>499</v>
      </c>
      <c r="O240" t="s">
        <v>500</v>
      </c>
      <c r="P240">
        <v>245</v>
      </c>
      <c r="Q240" s="2">
        <v>46209</v>
      </c>
      <c r="T240" t="s">
        <v>1437</v>
      </c>
      <c r="U240" t="b">
        <v>0</v>
      </c>
      <c r="V240" t="b">
        <v>0</v>
      </c>
    </row>
    <row r="241" spans="1:22" hidden="1" x14ac:dyDescent="0.25">
      <c r="B241" t="s">
        <v>1438</v>
      </c>
      <c r="C241" t="s">
        <v>960</v>
      </c>
      <c r="D241" t="s">
        <v>960</v>
      </c>
      <c r="E241" t="s">
        <v>207</v>
      </c>
      <c r="F241" t="s">
        <v>822</v>
      </c>
      <c r="G241" t="s">
        <v>961</v>
      </c>
      <c r="J241">
        <v>0.9</v>
      </c>
      <c r="K241">
        <v>0</v>
      </c>
      <c r="L241" t="b">
        <v>0</v>
      </c>
      <c r="M241">
        <v>0.9</v>
      </c>
      <c r="N241" t="s">
        <v>499</v>
      </c>
      <c r="O241" t="s">
        <v>500</v>
      </c>
      <c r="P241">
        <v>246</v>
      </c>
      <c r="Q241" s="2">
        <v>46209</v>
      </c>
      <c r="T241" t="s">
        <v>1439</v>
      </c>
      <c r="U241" t="b">
        <v>0</v>
      </c>
      <c r="V241" t="b">
        <v>0</v>
      </c>
    </row>
    <row r="242" spans="1:22" hidden="1" x14ac:dyDescent="0.25">
      <c r="B242" t="s">
        <v>1440</v>
      </c>
      <c r="C242" t="s">
        <v>960</v>
      </c>
      <c r="D242" t="s">
        <v>960</v>
      </c>
      <c r="E242" t="s">
        <v>23</v>
      </c>
      <c r="F242" t="s">
        <v>822</v>
      </c>
      <c r="G242" t="s">
        <v>961</v>
      </c>
      <c r="J242">
        <v>12.557</v>
      </c>
      <c r="K242">
        <v>9.9000000000000005E-2</v>
      </c>
      <c r="L242" t="b">
        <v>0</v>
      </c>
      <c r="M242">
        <v>9.9</v>
      </c>
      <c r="N242" t="s">
        <v>499</v>
      </c>
      <c r="O242" t="s">
        <v>500</v>
      </c>
      <c r="P242">
        <v>247</v>
      </c>
      <c r="Q242" s="2">
        <v>46209</v>
      </c>
      <c r="T242" t="s">
        <v>1441</v>
      </c>
      <c r="U242" t="b">
        <v>0</v>
      </c>
      <c r="V242" t="b">
        <v>0</v>
      </c>
    </row>
    <row r="243" spans="1:22" hidden="1" x14ac:dyDescent="0.25">
      <c r="B243" t="s">
        <v>1442</v>
      </c>
      <c r="C243" t="s">
        <v>960</v>
      </c>
      <c r="D243" t="s">
        <v>960</v>
      </c>
      <c r="E243" t="s">
        <v>23</v>
      </c>
      <c r="F243" t="s">
        <v>95</v>
      </c>
      <c r="G243" t="s">
        <v>961</v>
      </c>
      <c r="J243">
        <v>12.7</v>
      </c>
      <c r="K243">
        <v>0</v>
      </c>
      <c r="L243" t="b">
        <v>0</v>
      </c>
      <c r="M243">
        <v>9.9</v>
      </c>
      <c r="N243" t="s">
        <v>499</v>
      </c>
      <c r="O243" t="s">
        <v>500</v>
      </c>
      <c r="P243">
        <v>248</v>
      </c>
      <c r="Q243" s="2">
        <v>46209</v>
      </c>
      <c r="T243" t="s">
        <v>1443</v>
      </c>
      <c r="U243" t="b">
        <v>0</v>
      </c>
      <c r="V243" t="b">
        <v>0</v>
      </c>
    </row>
    <row r="244" spans="1:22" hidden="1" x14ac:dyDescent="0.25">
      <c r="B244" t="s">
        <v>1444</v>
      </c>
      <c r="C244" t="s">
        <v>960</v>
      </c>
      <c r="D244" t="s">
        <v>960</v>
      </c>
      <c r="E244" t="s">
        <v>23</v>
      </c>
      <c r="F244" t="s">
        <v>897</v>
      </c>
      <c r="G244" t="s">
        <v>961</v>
      </c>
      <c r="J244">
        <v>4.99</v>
      </c>
      <c r="K244">
        <v>0</v>
      </c>
      <c r="L244" t="b">
        <v>0</v>
      </c>
      <c r="M244">
        <v>4.99</v>
      </c>
      <c r="N244" t="s">
        <v>499</v>
      </c>
      <c r="O244" t="s">
        <v>500</v>
      </c>
      <c r="P244">
        <v>249</v>
      </c>
      <c r="Q244" s="2">
        <v>46209</v>
      </c>
      <c r="T244" t="s">
        <v>1445</v>
      </c>
      <c r="U244" t="b">
        <v>0</v>
      </c>
      <c r="V244" t="b">
        <v>0</v>
      </c>
    </row>
    <row r="245" spans="1:22" hidden="1" x14ac:dyDescent="0.25">
      <c r="B245" t="s">
        <v>1446</v>
      </c>
      <c r="C245" t="s">
        <v>960</v>
      </c>
      <c r="D245" t="s">
        <v>960</v>
      </c>
      <c r="E245" t="s">
        <v>207</v>
      </c>
      <c r="F245" t="s">
        <v>239</v>
      </c>
      <c r="G245" t="s">
        <v>961</v>
      </c>
      <c r="J245">
        <v>0.109</v>
      </c>
      <c r="K245">
        <v>0</v>
      </c>
      <c r="L245" t="b">
        <v>0</v>
      </c>
      <c r="M245">
        <v>0.1</v>
      </c>
      <c r="N245" t="s">
        <v>499</v>
      </c>
      <c r="O245" t="s">
        <v>500</v>
      </c>
      <c r="P245">
        <v>250</v>
      </c>
      <c r="Q245" s="2">
        <v>46209</v>
      </c>
      <c r="T245" t="s">
        <v>1447</v>
      </c>
      <c r="U245" t="b">
        <v>0</v>
      </c>
      <c r="V245" t="b">
        <v>0</v>
      </c>
    </row>
    <row r="246" spans="1:22" hidden="1" x14ac:dyDescent="0.25">
      <c r="B246" t="s">
        <v>1448</v>
      </c>
      <c r="C246" t="s">
        <v>960</v>
      </c>
      <c r="D246" t="s">
        <v>960</v>
      </c>
      <c r="E246" t="s">
        <v>23</v>
      </c>
      <c r="F246" t="s">
        <v>240</v>
      </c>
      <c r="G246" t="s">
        <v>961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499</v>
      </c>
      <c r="O246" t="s">
        <v>500</v>
      </c>
      <c r="P246">
        <v>251</v>
      </c>
      <c r="Q246" s="2">
        <v>46209</v>
      </c>
      <c r="T246" t="s">
        <v>1449</v>
      </c>
      <c r="U246" t="b">
        <v>0</v>
      </c>
      <c r="V246" t="b">
        <v>0</v>
      </c>
    </row>
    <row r="247" spans="1:22" hidden="1" x14ac:dyDescent="0.25">
      <c r="B247" t="s">
        <v>1450</v>
      </c>
      <c r="C247" t="s">
        <v>960</v>
      </c>
      <c r="D247" t="s">
        <v>960</v>
      </c>
      <c r="E247" t="s">
        <v>207</v>
      </c>
      <c r="F247" t="s">
        <v>927</v>
      </c>
      <c r="G247" t="s">
        <v>961</v>
      </c>
      <c r="J247">
        <v>0.99</v>
      </c>
      <c r="K247">
        <v>0</v>
      </c>
      <c r="L247" t="b">
        <v>0</v>
      </c>
      <c r="M247">
        <v>0.99</v>
      </c>
      <c r="N247" t="s">
        <v>499</v>
      </c>
      <c r="O247" t="s">
        <v>500</v>
      </c>
      <c r="P247">
        <v>252</v>
      </c>
      <c r="Q247" s="2">
        <v>46209</v>
      </c>
      <c r="T247" t="s">
        <v>1451</v>
      </c>
      <c r="U247" t="b">
        <v>0</v>
      </c>
      <c r="V247" t="b">
        <v>0</v>
      </c>
    </row>
    <row r="248" spans="1:22" hidden="1" x14ac:dyDescent="0.25">
      <c r="B248" t="s">
        <v>1452</v>
      </c>
      <c r="C248" t="s">
        <v>960</v>
      </c>
      <c r="D248" t="s">
        <v>960</v>
      </c>
      <c r="E248" t="s">
        <v>23</v>
      </c>
      <c r="F248" t="s">
        <v>240</v>
      </c>
      <c r="G248" t="s">
        <v>961</v>
      </c>
      <c r="J248">
        <v>9.9</v>
      </c>
      <c r="K248">
        <v>0</v>
      </c>
      <c r="L248" t="b">
        <v>0</v>
      </c>
      <c r="M248">
        <v>9.1</v>
      </c>
      <c r="N248" t="s">
        <v>499</v>
      </c>
      <c r="O248" t="s">
        <v>500</v>
      </c>
      <c r="P248">
        <v>253</v>
      </c>
      <c r="Q248" s="2">
        <v>46209</v>
      </c>
      <c r="T248" t="s">
        <v>1453</v>
      </c>
      <c r="U248" t="b">
        <v>0</v>
      </c>
      <c r="V248" t="b">
        <v>0</v>
      </c>
    </row>
    <row r="249" spans="1:22" hidden="1" x14ac:dyDescent="0.25">
      <c r="B249" t="s">
        <v>1454</v>
      </c>
      <c r="C249" t="s">
        <v>960</v>
      </c>
      <c r="D249" t="s">
        <v>960</v>
      </c>
      <c r="E249" t="s">
        <v>23</v>
      </c>
      <c r="F249" t="s">
        <v>240</v>
      </c>
      <c r="G249" t="s">
        <v>961</v>
      </c>
      <c r="J249">
        <v>9.9</v>
      </c>
      <c r="K249">
        <v>0</v>
      </c>
      <c r="L249" t="b">
        <v>0</v>
      </c>
      <c r="M249">
        <v>9.1</v>
      </c>
      <c r="N249" t="s">
        <v>499</v>
      </c>
      <c r="O249" t="s">
        <v>500</v>
      </c>
      <c r="P249">
        <v>254</v>
      </c>
      <c r="Q249" s="2">
        <v>46209</v>
      </c>
      <c r="T249" t="s">
        <v>1455</v>
      </c>
      <c r="U249" t="b">
        <v>0</v>
      </c>
      <c r="V249" t="b">
        <v>0</v>
      </c>
    </row>
    <row r="250" spans="1:22" hidden="1" x14ac:dyDescent="0.25">
      <c r="B250" t="s">
        <v>1456</v>
      </c>
      <c r="C250" t="s">
        <v>960</v>
      </c>
      <c r="D250" t="s">
        <v>960</v>
      </c>
      <c r="E250" t="s">
        <v>207</v>
      </c>
      <c r="F250" t="s">
        <v>240</v>
      </c>
      <c r="G250" t="s">
        <v>961</v>
      </c>
      <c r="J250">
        <v>10.199999999999999</v>
      </c>
      <c r="K250">
        <v>0</v>
      </c>
      <c r="L250" t="b">
        <v>0</v>
      </c>
      <c r="M250">
        <v>9</v>
      </c>
      <c r="N250" t="s">
        <v>499</v>
      </c>
      <c r="O250" t="s">
        <v>500</v>
      </c>
      <c r="P250">
        <v>255</v>
      </c>
      <c r="Q250" s="2">
        <v>46209</v>
      </c>
      <c r="T250" t="s">
        <v>1457</v>
      </c>
      <c r="U250" t="b">
        <v>0</v>
      </c>
      <c r="V250" t="b">
        <v>0</v>
      </c>
    </row>
    <row r="251" spans="1:22" x14ac:dyDescent="0.25">
      <c r="A251" t="s">
        <v>1458</v>
      </c>
      <c r="B251" t="s">
        <v>1459</v>
      </c>
      <c r="C251" t="s">
        <v>960</v>
      </c>
      <c r="D251" t="s">
        <v>960</v>
      </c>
      <c r="E251" t="s">
        <v>207</v>
      </c>
      <c r="F251" t="s">
        <v>94</v>
      </c>
      <c r="G251" t="s">
        <v>961</v>
      </c>
      <c r="J251">
        <v>370</v>
      </c>
      <c r="K251">
        <v>5</v>
      </c>
      <c r="L251" t="b">
        <v>0</v>
      </c>
      <c r="M251">
        <v>370</v>
      </c>
      <c r="N251" t="s">
        <v>499</v>
      </c>
      <c r="O251" t="s">
        <v>500</v>
      </c>
      <c r="P251">
        <v>256</v>
      </c>
      <c r="Q251" s="2">
        <v>46209</v>
      </c>
      <c r="R251">
        <v>370</v>
      </c>
      <c r="T251" t="s">
        <v>1460</v>
      </c>
      <c r="U251" t="b">
        <v>0</v>
      </c>
      <c r="V251" t="b">
        <v>1</v>
      </c>
    </row>
    <row r="252" spans="1:22" x14ac:dyDescent="0.25">
      <c r="A252" t="s">
        <v>1461</v>
      </c>
      <c r="B252" t="s">
        <v>1462</v>
      </c>
      <c r="C252" t="s">
        <v>960</v>
      </c>
      <c r="D252" t="s">
        <v>960</v>
      </c>
      <c r="E252" t="s">
        <v>207</v>
      </c>
      <c r="F252" t="s">
        <v>94</v>
      </c>
      <c r="G252" t="s">
        <v>961</v>
      </c>
      <c r="J252">
        <v>200</v>
      </c>
      <c r="K252">
        <v>5</v>
      </c>
      <c r="L252" t="b">
        <v>0</v>
      </c>
      <c r="M252">
        <v>200</v>
      </c>
      <c r="N252" t="s">
        <v>499</v>
      </c>
      <c r="O252" t="s">
        <v>500</v>
      </c>
      <c r="P252">
        <v>257</v>
      </c>
      <c r="Q252" s="2">
        <v>46209</v>
      </c>
      <c r="R252">
        <v>180</v>
      </c>
      <c r="T252" t="s">
        <v>1463</v>
      </c>
      <c r="U252" t="b">
        <v>0</v>
      </c>
      <c r="V252" t="b">
        <v>1</v>
      </c>
    </row>
    <row r="253" spans="1:22" hidden="1" x14ac:dyDescent="0.25">
      <c r="B253" t="s">
        <v>1464</v>
      </c>
      <c r="C253" t="s">
        <v>960</v>
      </c>
      <c r="D253" t="s">
        <v>960</v>
      </c>
      <c r="E253" t="s">
        <v>23</v>
      </c>
      <c r="F253" t="s">
        <v>823</v>
      </c>
      <c r="G253" t="s">
        <v>961</v>
      </c>
      <c r="J253">
        <v>10.5</v>
      </c>
      <c r="K253">
        <v>0</v>
      </c>
      <c r="L253" t="b">
        <v>0</v>
      </c>
      <c r="M253">
        <v>9.9</v>
      </c>
      <c r="N253" t="s">
        <v>499</v>
      </c>
      <c r="O253" t="s">
        <v>500</v>
      </c>
      <c r="P253">
        <v>258</v>
      </c>
      <c r="Q253" s="2">
        <v>46209</v>
      </c>
      <c r="T253" t="s">
        <v>1465</v>
      </c>
      <c r="U253" t="b">
        <v>0</v>
      </c>
      <c r="V253" t="b">
        <v>0</v>
      </c>
    </row>
    <row r="254" spans="1:22" hidden="1" x14ac:dyDescent="0.25">
      <c r="B254" t="s">
        <v>1466</v>
      </c>
      <c r="C254" t="s">
        <v>960</v>
      </c>
      <c r="D254" t="s">
        <v>960</v>
      </c>
      <c r="E254" t="s">
        <v>23</v>
      </c>
      <c r="F254" t="s">
        <v>579</v>
      </c>
      <c r="G254" t="s">
        <v>961</v>
      </c>
      <c r="J254">
        <v>16</v>
      </c>
      <c r="K254">
        <v>0</v>
      </c>
      <c r="L254" t="b">
        <v>0</v>
      </c>
      <c r="M254">
        <v>16</v>
      </c>
      <c r="N254" t="s">
        <v>499</v>
      </c>
      <c r="O254" t="s">
        <v>500</v>
      </c>
      <c r="P254">
        <v>259</v>
      </c>
      <c r="Q254" s="2">
        <v>46209</v>
      </c>
      <c r="T254" t="s">
        <v>1467</v>
      </c>
      <c r="U254" t="b">
        <v>0</v>
      </c>
      <c r="V254" t="b">
        <v>0</v>
      </c>
    </row>
    <row r="255" spans="1:22" hidden="1" x14ac:dyDescent="0.25">
      <c r="B255" t="s">
        <v>1468</v>
      </c>
      <c r="C255" t="s">
        <v>960</v>
      </c>
      <c r="D255" t="s">
        <v>960</v>
      </c>
      <c r="E255" t="s">
        <v>23</v>
      </c>
      <c r="F255" t="s">
        <v>615</v>
      </c>
      <c r="G255" t="s">
        <v>961</v>
      </c>
      <c r="J255">
        <v>9.9</v>
      </c>
      <c r="K255">
        <v>0</v>
      </c>
      <c r="L255" t="b">
        <v>0</v>
      </c>
      <c r="M255">
        <v>9.9</v>
      </c>
      <c r="N255" t="s">
        <v>499</v>
      </c>
      <c r="O255" t="s">
        <v>500</v>
      </c>
      <c r="P255">
        <v>260</v>
      </c>
      <c r="Q255" s="2">
        <v>46209</v>
      </c>
      <c r="T255" t="s">
        <v>1469</v>
      </c>
      <c r="U255" t="b">
        <v>0</v>
      </c>
      <c r="V255" t="b">
        <v>0</v>
      </c>
    </row>
    <row r="256" spans="1:22" hidden="1" x14ac:dyDescent="0.25">
      <c r="B256" t="s">
        <v>1470</v>
      </c>
      <c r="C256" t="s">
        <v>960</v>
      </c>
      <c r="D256" t="s">
        <v>960</v>
      </c>
      <c r="E256" t="s">
        <v>23</v>
      </c>
      <c r="F256" t="s">
        <v>94</v>
      </c>
      <c r="G256" t="s">
        <v>961</v>
      </c>
      <c r="J256">
        <v>11.1</v>
      </c>
      <c r="K256">
        <v>0</v>
      </c>
      <c r="L256" t="b">
        <v>0</v>
      </c>
      <c r="M256">
        <v>9.9</v>
      </c>
      <c r="N256" t="s">
        <v>499</v>
      </c>
      <c r="O256" t="s">
        <v>500</v>
      </c>
      <c r="P256">
        <v>261</v>
      </c>
      <c r="Q256" s="2">
        <v>46209</v>
      </c>
      <c r="T256" t="s">
        <v>1471</v>
      </c>
      <c r="U256" t="b">
        <v>0</v>
      </c>
      <c r="V256" t="b">
        <v>0</v>
      </c>
    </row>
    <row r="257" spans="1:22" hidden="1" x14ac:dyDescent="0.25">
      <c r="B257" t="s">
        <v>1472</v>
      </c>
      <c r="C257" t="s">
        <v>960</v>
      </c>
      <c r="D257" t="s">
        <v>960</v>
      </c>
      <c r="E257" t="s">
        <v>207</v>
      </c>
      <c r="F257" t="s">
        <v>95</v>
      </c>
      <c r="G257" t="s">
        <v>961</v>
      </c>
      <c r="J257">
        <v>1.3149999999999999</v>
      </c>
      <c r="K257">
        <v>0</v>
      </c>
      <c r="L257" t="b">
        <v>0</v>
      </c>
      <c r="M257">
        <v>0.996</v>
      </c>
      <c r="N257" t="s">
        <v>499</v>
      </c>
      <c r="O257" t="s">
        <v>500</v>
      </c>
      <c r="P257">
        <v>262</v>
      </c>
      <c r="Q257" s="2">
        <v>46209</v>
      </c>
      <c r="T257" t="s">
        <v>1473</v>
      </c>
      <c r="U257" t="b">
        <v>0</v>
      </c>
      <c r="V257" t="b">
        <v>0</v>
      </c>
    </row>
    <row r="258" spans="1:22" hidden="1" x14ac:dyDescent="0.25">
      <c r="B258" t="s">
        <v>1474</v>
      </c>
      <c r="C258" t="s">
        <v>960</v>
      </c>
      <c r="D258" t="s">
        <v>960</v>
      </c>
      <c r="E258" t="s">
        <v>23</v>
      </c>
      <c r="F258" t="s">
        <v>615</v>
      </c>
      <c r="G258" t="s">
        <v>961</v>
      </c>
      <c r="J258">
        <v>12.02</v>
      </c>
      <c r="K258">
        <v>0</v>
      </c>
      <c r="L258" t="b">
        <v>0</v>
      </c>
      <c r="M258">
        <v>9.9</v>
      </c>
      <c r="N258" t="s">
        <v>499</v>
      </c>
      <c r="O258" t="s">
        <v>500</v>
      </c>
      <c r="P258">
        <v>263</v>
      </c>
      <c r="Q258" s="2">
        <v>46209</v>
      </c>
      <c r="T258" t="s">
        <v>1475</v>
      </c>
      <c r="U258" t="b">
        <v>0</v>
      </c>
      <c r="V258" t="b">
        <v>0</v>
      </c>
    </row>
    <row r="259" spans="1:22" x14ac:dyDescent="0.25">
      <c r="A259" t="s">
        <v>1476</v>
      </c>
      <c r="B259" t="s">
        <v>1477</v>
      </c>
      <c r="C259" t="s">
        <v>960</v>
      </c>
      <c r="D259" t="s">
        <v>960</v>
      </c>
      <c r="E259" t="s">
        <v>207</v>
      </c>
      <c r="F259" t="s">
        <v>927</v>
      </c>
      <c r="G259" t="s">
        <v>961</v>
      </c>
      <c r="J259">
        <v>84.38</v>
      </c>
      <c r="K259">
        <v>8</v>
      </c>
      <c r="L259" t="b">
        <v>0</v>
      </c>
      <c r="M259">
        <v>80</v>
      </c>
      <c r="N259" t="s">
        <v>499</v>
      </c>
      <c r="O259" t="s">
        <v>500</v>
      </c>
      <c r="P259">
        <v>264</v>
      </c>
      <c r="Q259" s="2">
        <v>46209</v>
      </c>
      <c r="R259">
        <v>80</v>
      </c>
      <c r="T259" t="s">
        <v>1478</v>
      </c>
      <c r="U259" t="b">
        <v>0</v>
      </c>
      <c r="V259" t="b">
        <v>1</v>
      </c>
    </row>
    <row r="260" spans="1:22" hidden="1" x14ac:dyDescent="0.25">
      <c r="B260" t="s">
        <v>1479</v>
      </c>
      <c r="C260" t="s">
        <v>960</v>
      </c>
      <c r="D260" t="s">
        <v>960</v>
      </c>
      <c r="E260" t="s">
        <v>23</v>
      </c>
      <c r="F260" t="s">
        <v>240</v>
      </c>
      <c r="G260" t="s">
        <v>961</v>
      </c>
      <c r="J260">
        <v>12.762</v>
      </c>
      <c r="K260">
        <v>9.9000000000000005E-2</v>
      </c>
      <c r="L260" t="b">
        <v>0</v>
      </c>
      <c r="M260">
        <v>9.9</v>
      </c>
      <c r="N260" t="s">
        <v>499</v>
      </c>
      <c r="O260" t="s">
        <v>500</v>
      </c>
      <c r="P260">
        <v>265</v>
      </c>
      <c r="Q260" s="2">
        <v>46209</v>
      </c>
      <c r="T260" t="s">
        <v>1480</v>
      </c>
      <c r="U260" t="b">
        <v>0</v>
      </c>
      <c r="V260" t="b">
        <v>0</v>
      </c>
    </row>
    <row r="261" spans="1:22" hidden="1" x14ac:dyDescent="0.25">
      <c r="B261" t="s">
        <v>1481</v>
      </c>
      <c r="C261" t="s">
        <v>960</v>
      </c>
      <c r="D261" t="s">
        <v>960</v>
      </c>
      <c r="E261" t="s">
        <v>207</v>
      </c>
      <c r="F261" t="s">
        <v>531</v>
      </c>
      <c r="G261" t="s">
        <v>961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499</v>
      </c>
      <c r="O261" t="s">
        <v>500</v>
      </c>
      <c r="P261">
        <v>266</v>
      </c>
      <c r="Q261" s="2">
        <v>46209</v>
      </c>
      <c r="T261" t="s">
        <v>1482</v>
      </c>
      <c r="U261" t="b">
        <v>0</v>
      </c>
      <c r="V261" t="b">
        <v>0</v>
      </c>
    </row>
    <row r="262" spans="1:22" hidden="1" x14ac:dyDescent="0.25">
      <c r="B262" t="s">
        <v>1483</v>
      </c>
      <c r="C262" t="s">
        <v>960</v>
      </c>
      <c r="D262" t="s">
        <v>960</v>
      </c>
      <c r="E262" t="s">
        <v>23</v>
      </c>
      <c r="F262" t="s">
        <v>95</v>
      </c>
      <c r="G262" t="s">
        <v>961</v>
      </c>
      <c r="J262">
        <v>12.567</v>
      </c>
      <c r="K262">
        <v>9.9000000000000005E-2</v>
      </c>
      <c r="L262" t="b">
        <v>0</v>
      </c>
      <c r="M262">
        <v>9.9</v>
      </c>
      <c r="N262" t="s">
        <v>499</v>
      </c>
      <c r="O262" t="s">
        <v>500</v>
      </c>
      <c r="P262">
        <v>267</v>
      </c>
      <c r="Q262" s="2">
        <v>46209</v>
      </c>
      <c r="T262" t="s">
        <v>1484</v>
      </c>
      <c r="U262" t="b">
        <v>0</v>
      </c>
      <c r="V262" t="b">
        <v>0</v>
      </c>
    </row>
    <row r="263" spans="1:22" hidden="1" x14ac:dyDescent="0.25">
      <c r="B263" t="s">
        <v>1485</v>
      </c>
      <c r="C263" t="s">
        <v>960</v>
      </c>
      <c r="D263" t="s">
        <v>960</v>
      </c>
      <c r="E263" t="s">
        <v>23</v>
      </c>
      <c r="F263" t="s">
        <v>531</v>
      </c>
      <c r="G263" t="s">
        <v>961</v>
      </c>
      <c r="J263">
        <v>22.43</v>
      </c>
      <c r="K263">
        <v>0</v>
      </c>
      <c r="L263" t="b">
        <v>0</v>
      </c>
      <c r="M263">
        <v>19.899999999999999</v>
      </c>
      <c r="N263" t="s">
        <v>499</v>
      </c>
      <c r="O263" t="s">
        <v>500</v>
      </c>
      <c r="P263">
        <v>268</v>
      </c>
      <c r="Q263" s="2">
        <v>46209</v>
      </c>
      <c r="T263" t="s">
        <v>1486</v>
      </c>
      <c r="U263" t="b">
        <v>0</v>
      </c>
      <c r="V263" t="b">
        <v>0</v>
      </c>
    </row>
    <row r="264" spans="1:22" hidden="1" x14ac:dyDescent="0.25">
      <c r="B264" t="s">
        <v>1487</v>
      </c>
      <c r="C264" t="s">
        <v>960</v>
      </c>
      <c r="D264" t="s">
        <v>960</v>
      </c>
      <c r="E264" t="s">
        <v>23</v>
      </c>
      <c r="F264" t="s">
        <v>531</v>
      </c>
      <c r="G264" t="s">
        <v>961</v>
      </c>
      <c r="J264">
        <v>22.8</v>
      </c>
      <c r="K264">
        <v>0</v>
      </c>
      <c r="L264" t="b">
        <v>0</v>
      </c>
      <c r="M264">
        <v>19.899999999999999</v>
      </c>
      <c r="N264" t="s">
        <v>499</v>
      </c>
      <c r="O264" t="s">
        <v>500</v>
      </c>
      <c r="P264">
        <v>269</v>
      </c>
      <c r="Q264" s="2">
        <v>46209</v>
      </c>
      <c r="T264" t="s">
        <v>1488</v>
      </c>
      <c r="U264" t="b">
        <v>0</v>
      </c>
      <c r="V264" t="b">
        <v>0</v>
      </c>
    </row>
    <row r="265" spans="1:22" x14ac:dyDescent="0.25">
      <c r="A265" t="s">
        <v>1489</v>
      </c>
      <c r="B265" t="s">
        <v>1490</v>
      </c>
      <c r="C265" t="s">
        <v>960</v>
      </c>
      <c r="D265" t="s">
        <v>960</v>
      </c>
      <c r="E265" t="s">
        <v>207</v>
      </c>
      <c r="F265" t="s">
        <v>95</v>
      </c>
      <c r="G265" t="s">
        <v>961</v>
      </c>
      <c r="J265">
        <v>150</v>
      </c>
      <c r="K265">
        <v>7.5</v>
      </c>
      <c r="L265" t="b">
        <v>0</v>
      </c>
      <c r="M265">
        <v>150</v>
      </c>
      <c r="N265" t="s">
        <v>499</v>
      </c>
      <c r="O265" t="s">
        <v>500</v>
      </c>
      <c r="P265">
        <v>270</v>
      </c>
      <c r="Q265" s="2">
        <v>46209</v>
      </c>
      <c r="R265">
        <v>150</v>
      </c>
      <c r="T265" t="s">
        <v>1491</v>
      </c>
      <c r="U265" t="b">
        <v>0</v>
      </c>
      <c r="V265" t="b">
        <v>1</v>
      </c>
    </row>
    <row r="266" spans="1:22" hidden="1" x14ac:dyDescent="0.25">
      <c r="B266" t="s">
        <v>1492</v>
      </c>
      <c r="C266" t="s">
        <v>960</v>
      </c>
      <c r="D266" t="s">
        <v>960</v>
      </c>
      <c r="E266" t="s">
        <v>23</v>
      </c>
      <c r="F266" t="s">
        <v>240</v>
      </c>
      <c r="G266" t="s">
        <v>961</v>
      </c>
      <c r="J266">
        <v>12.762</v>
      </c>
      <c r="K266">
        <v>9.9000000000000005E-2</v>
      </c>
      <c r="L266" t="b">
        <v>0</v>
      </c>
      <c r="M266">
        <v>9.9</v>
      </c>
      <c r="N266" t="s">
        <v>499</v>
      </c>
      <c r="O266" t="s">
        <v>500</v>
      </c>
      <c r="P266">
        <v>271</v>
      </c>
      <c r="Q266" s="2">
        <v>46209</v>
      </c>
      <c r="T266" t="s">
        <v>1493</v>
      </c>
      <c r="U266" t="b">
        <v>0</v>
      </c>
      <c r="V266" t="b">
        <v>0</v>
      </c>
    </row>
    <row r="267" spans="1:22" hidden="1" x14ac:dyDescent="0.25">
      <c r="B267" t="s">
        <v>1494</v>
      </c>
      <c r="C267" t="s">
        <v>960</v>
      </c>
      <c r="D267" t="s">
        <v>960</v>
      </c>
      <c r="E267" t="s">
        <v>23</v>
      </c>
      <c r="F267" t="s">
        <v>927</v>
      </c>
      <c r="G267" t="s">
        <v>961</v>
      </c>
      <c r="J267">
        <v>9.5</v>
      </c>
      <c r="K267">
        <v>2.1240000000000001</v>
      </c>
      <c r="L267" t="b">
        <v>0</v>
      </c>
      <c r="M267">
        <v>9.5</v>
      </c>
      <c r="N267" t="s">
        <v>499</v>
      </c>
      <c r="O267" t="s">
        <v>500</v>
      </c>
      <c r="P267">
        <v>272</v>
      </c>
      <c r="Q267" s="2">
        <v>46209</v>
      </c>
      <c r="T267" t="s">
        <v>1495</v>
      </c>
      <c r="U267" t="b">
        <v>0</v>
      </c>
      <c r="V267" t="b">
        <v>0</v>
      </c>
    </row>
    <row r="268" spans="1:22" hidden="1" x14ac:dyDescent="0.25">
      <c r="B268" t="s">
        <v>1496</v>
      </c>
      <c r="C268" t="s">
        <v>960</v>
      </c>
      <c r="D268" t="s">
        <v>960</v>
      </c>
      <c r="E268" t="s">
        <v>23</v>
      </c>
      <c r="F268" t="s">
        <v>95</v>
      </c>
      <c r="G268" t="s">
        <v>961</v>
      </c>
      <c r="J268">
        <v>0.99</v>
      </c>
      <c r="K268">
        <v>0</v>
      </c>
      <c r="L268" t="b">
        <v>0</v>
      </c>
      <c r="M268">
        <v>0.99</v>
      </c>
      <c r="N268" t="s">
        <v>499</v>
      </c>
      <c r="O268" t="s">
        <v>500</v>
      </c>
      <c r="P268">
        <v>273</v>
      </c>
      <c r="Q268" s="2">
        <v>46209</v>
      </c>
      <c r="T268" t="s">
        <v>1497</v>
      </c>
      <c r="U268" t="b">
        <v>0</v>
      </c>
      <c r="V268" t="b">
        <v>0</v>
      </c>
    </row>
    <row r="269" spans="1:22" hidden="1" x14ac:dyDescent="0.25">
      <c r="B269" t="s">
        <v>1498</v>
      </c>
      <c r="C269" t="s">
        <v>960</v>
      </c>
      <c r="D269" t="s">
        <v>960</v>
      </c>
      <c r="E269" t="s">
        <v>207</v>
      </c>
      <c r="F269" t="s">
        <v>95</v>
      </c>
      <c r="G269" t="s">
        <v>961</v>
      </c>
      <c r="J269">
        <v>0.99</v>
      </c>
      <c r="K269">
        <v>0</v>
      </c>
      <c r="L269" t="b">
        <v>0</v>
      </c>
      <c r="M269">
        <v>0.99</v>
      </c>
      <c r="N269" t="s">
        <v>499</v>
      </c>
      <c r="O269" t="s">
        <v>500</v>
      </c>
      <c r="P269">
        <v>274</v>
      </c>
      <c r="Q269" s="2">
        <v>46209</v>
      </c>
      <c r="T269" t="s">
        <v>1499</v>
      </c>
      <c r="U269" t="b">
        <v>0</v>
      </c>
      <c r="V269" t="b">
        <v>0</v>
      </c>
    </row>
    <row r="270" spans="1:22" hidden="1" x14ac:dyDescent="0.25">
      <c r="B270" t="s">
        <v>1500</v>
      </c>
      <c r="C270" t="s">
        <v>960</v>
      </c>
      <c r="D270" t="s">
        <v>960</v>
      </c>
      <c r="E270" t="s">
        <v>207</v>
      </c>
      <c r="F270" t="s">
        <v>95</v>
      </c>
      <c r="G270" t="s">
        <v>961</v>
      </c>
      <c r="J270">
        <v>0.99</v>
      </c>
      <c r="K270">
        <v>0</v>
      </c>
      <c r="L270" t="b">
        <v>0</v>
      </c>
      <c r="M270">
        <v>0.99</v>
      </c>
      <c r="N270" t="s">
        <v>499</v>
      </c>
      <c r="O270" t="s">
        <v>500</v>
      </c>
      <c r="P270">
        <v>275</v>
      </c>
      <c r="Q270" s="2">
        <v>46209</v>
      </c>
      <c r="T270" t="s">
        <v>1501</v>
      </c>
      <c r="U270" t="b">
        <v>0</v>
      </c>
      <c r="V270" t="b">
        <v>0</v>
      </c>
    </row>
    <row r="271" spans="1:22" hidden="1" x14ac:dyDescent="0.25">
      <c r="B271" t="s">
        <v>1502</v>
      </c>
      <c r="C271" t="s">
        <v>960</v>
      </c>
      <c r="D271" t="s">
        <v>960</v>
      </c>
      <c r="E271" t="s">
        <v>207</v>
      </c>
      <c r="F271" t="s">
        <v>95</v>
      </c>
      <c r="G271" t="s">
        <v>961</v>
      </c>
      <c r="J271">
        <v>1.339</v>
      </c>
      <c r="K271">
        <v>0</v>
      </c>
      <c r="L271" t="b">
        <v>0</v>
      </c>
      <c r="M271">
        <v>0.99</v>
      </c>
      <c r="N271" t="s">
        <v>499</v>
      </c>
      <c r="O271" t="s">
        <v>500</v>
      </c>
      <c r="P271">
        <v>276</v>
      </c>
      <c r="Q271" s="2">
        <v>46209</v>
      </c>
      <c r="T271" t="s">
        <v>1503</v>
      </c>
      <c r="U271" t="b">
        <v>0</v>
      </c>
      <c r="V271" t="b">
        <v>0</v>
      </c>
    </row>
    <row r="272" spans="1:22" hidden="1" x14ac:dyDescent="0.25">
      <c r="B272" t="s">
        <v>1504</v>
      </c>
      <c r="C272" t="s">
        <v>960</v>
      </c>
      <c r="D272" t="s">
        <v>960</v>
      </c>
      <c r="E272" t="s">
        <v>207</v>
      </c>
      <c r="F272" t="s">
        <v>95</v>
      </c>
      <c r="G272" t="s">
        <v>961</v>
      </c>
      <c r="J272">
        <v>1.3160000000000001</v>
      </c>
      <c r="K272">
        <v>0</v>
      </c>
      <c r="L272" t="b">
        <v>0</v>
      </c>
      <c r="M272">
        <v>0.996</v>
      </c>
      <c r="N272" t="s">
        <v>499</v>
      </c>
      <c r="O272" t="s">
        <v>500</v>
      </c>
      <c r="P272">
        <v>277</v>
      </c>
      <c r="Q272" s="2">
        <v>46209</v>
      </c>
      <c r="T272" t="s">
        <v>1505</v>
      </c>
      <c r="U272" t="b">
        <v>0</v>
      </c>
      <c r="V272" t="b">
        <v>0</v>
      </c>
    </row>
    <row r="273" spans="2:22" hidden="1" x14ac:dyDescent="0.25">
      <c r="B273" t="s">
        <v>1506</v>
      </c>
      <c r="C273" t="s">
        <v>960</v>
      </c>
      <c r="D273" t="s">
        <v>960</v>
      </c>
      <c r="E273" t="s">
        <v>207</v>
      </c>
      <c r="F273" t="s">
        <v>931</v>
      </c>
      <c r="G273" t="s">
        <v>961</v>
      </c>
      <c r="J273">
        <v>0.99</v>
      </c>
      <c r="K273">
        <v>0</v>
      </c>
      <c r="L273" t="b">
        <v>0</v>
      </c>
      <c r="M273">
        <v>0.99</v>
      </c>
      <c r="N273" t="s">
        <v>499</v>
      </c>
      <c r="O273" t="s">
        <v>500</v>
      </c>
      <c r="P273">
        <v>278</v>
      </c>
      <c r="Q273" s="2">
        <v>46209</v>
      </c>
      <c r="T273" t="s">
        <v>1507</v>
      </c>
      <c r="U273" t="b">
        <v>0</v>
      </c>
      <c r="V273" t="b">
        <v>0</v>
      </c>
    </row>
    <row r="274" spans="2:22" hidden="1" x14ac:dyDescent="0.25">
      <c r="B274" t="s">
        <v>1508</v>
      </c>
      <c r="C274" t="s">
        <v>960</v>
      </c>
      <c r="D274" t="s">
        <v>960</v>
      </c>
      <c r="E274" t="s">
        <v>207</v>
      </c>
      <c r="F274" t="s">
        <v>95</v>
      </c>
      <c r="G274" t="s">
        <v>961</v>
      </c>
      <c r="J274">
        <v>0.99</v>
      </c>
      <c r="K274">
        <v>0</v>
      </c>
      <c r="L274" t="b">
        <v>0</v>
      </c>
      <c r="M274">
        <v>0.99</v>
      </c>
      <c r="N274" t="s">
        <v>499</v>
      </c>
      <c r="O274" t="s">
        <v>500</v>
      </c>
      <c r="P274">
        <v>279</v>
      </c>
      <c r="Q274" s="2">
        <v>46209</v>
      </c>
      <c r="T274" t="s">
        <v>1509</v>
      </c>
      <c r="U274" t="b">
        <v>0</v>
      </c>
      <c r="V274" t="b">
        <v>0</v>
      </c>
    </row>
    <row r="275" spans="2:22" hidden="1" x14ac:dyDescent="0.25">
      <c r="B275" t="s">
        <v>1510</v>
      </c>
      <c r="C275" t="s">
        <v>960</v>
      </c>
      <c r="D275" t="s">
        <v>960</v>
      </c>
      <c r="E275" t="s">
        <v>207</v>
      </c>
      <c r="F275" t="s">
        <v>95</v>
      </c>
      <c r="G275" t="s">
        <v>961</v>
      </c>
      <c r="J275">
        <v>0.99</v>
      </c>
      <c r="K275">
        <v>0</v>
      </c>
      <c r="L275" t="b">
        <v>0</v>
      </c>
      <c r="M275">
        <v>0.99</v>
      </c>
      <c r="N275" t="s">
        <v>499</v>
      </c>
      <c r="O275" t="s">
        <v>500</v>
      </c>
      <c r="P275">
        <v>280</v>
      </c>
      <c r="Q275" s="2">
        <v>46209</v>
      </c>
      <c r="T275" t="s">
        <v>1511</v>
      </c>
      <c r="U275" t="b">
        <v>0</v>
      </c>
      <c r="V275" t="b">
        <v>0</v>
      </c>
    </row>
    <row r="276" spans="2:22" hidden="1" x14ac:dyDescent="0.25">
      <c r="B276" t="s">
        <v>1512</v>
      </c>
      <c r="C276" t="s">
        <v>960</v>
      </c>
      <c r="D276" t="s">
        <v>960</v>
      </c>
      <c r="E276" t="s">
        <v>207</v>
      </c>
      <c r="F276" t="s">
        <v>95</v>
      </c>
      <c r="G276" t="s">
        <v>961</v>
      </c>
      <c r="J276">
        <v>0.99</v>
      </c>
      <c r="K276">
        <v>0</v>
      </c>
      <c r="L276" t="b">
        <v>0</v>
      </c>
      <c r="M276">
        <v>0.99</v>
      </c>
      <c r="N276" t="s">
        <v>499</v>
      </c>
      <c r="O276" t="s">
        <v>500</v>
      </c>
      <c r="P276">
        <v>281</v>
      </c>
      <c r="Q276" s="2">
        <v>46209</v>
      </c>
      <c r="T276" t="s">
        <v>1513</v>
      </c>
      <c r="U276" t="b">
        <v>0</v>
      </c>
      <c r="V276" t="b">
        <v>0</v>
      </c>
    </row>
    <row r="277" spans="2:22" hidden="1" x14ac:dyDescent="0.25">
      <c r="B277" t="s">
        <v>1514</v>
      </c>
      <c r="C277" t="s">
        <v>960</v>
      </c>
      <c r="D277" t="s">
        <v>960</v>
      </c>
      <c r="E277" t="s">
        <v>207</v>
      </c>
      <c r="F277" t="s">
        <v>95</v>
      </c>
      <c r="G277" t="s">
        <v>961</v>
      </c>
      <c r="J277">
        <v>1.3180000000000001</v>
      </c>
      <c r="K277">
        <v>0</v>
      </c>
      <c r="L277" t="b">
        <v>0</v>
      </c>
      <c r="M277">
        <v>0.99</v>
      </c>
      <c r="N277" t="s">
        <v>499</v>
      </c>
      <c r="O277" t="s">
        <v>500</v>
      </c>
      <c r="P277">
        <v>282</v>
      </c>
      <c r="Q277" s="2">
        <v>46209</v>
      </c>
      <c r="T277" t="s">
        <v>1515</v>
      </c>
      <c r="U277" t="b">
        <v>0</v>
      </c>
      <c r="V277" t="b">
        <v>0</v>
      </c>
    </row>
    <row r="278" spans="2:22" hidden="1" x14ac:dyDescent="0.25">
      <c r="B278" t="s">
        <v>1516</v>
      </c>
      <c r="C278" t="s">
        <v>960</v>
      </c>
      <c r="D278" t="s">
        <v>960</v>
      </c>
      <c r="E278" t="s">
        <v>207</v>
      </c>
      <c r="F278" t="s">
        <v>95</v>
      </c>
      <c r="G278" t="s">
        <v>961</v>
      </c>
      <c r="J278">
        <v>1.339</v>
      </c>
      <c r="K278">
        <v>0</v>
      </c>
      <c r="L278" t="b">
        <v>0</v>
      </c>
      <c r="M278">
        <v>0.99</v>
      </c>
      <c r="N278" t="s">
        <v>499</v>
      </c>
      <c r="O278" t="s">
        <v>500</v>
      </c>
      <c r="P278">
        <v>283</v>
      </c>
      <c r="Q278" s="2">
        <v>46209</v>
      </c>
      <c r="T278" t="s">
        <v>1517</v>
      </c>
      <c r="U278" t="b">
        <v>0</v>
      </c>
      <c r="V278" t="b">
        <v>0</v>
      </c>
    </row>
    <row r="279" spans="2:22" hidden="1" x14ac:dyDescent="0.25">
      <c r="B279" t="s">
        <v>1518</v>
      </c>
      <c r="C279" t="s">
        <v>960</v>
      </c>
      <c r="D279" t="s">
        <v>960</v>
      </c>
      <c r="E279" t="s">
        <v>207</v>
      </c>
      <c r="F279" t="s">
        <v>95</v>
      </c>
      <c r="G279" t="s">
        <v>961</v>
      </c>
      <c r="J279">
        <v>1.329</v>
      </c>
      <c r="K279">
        <v>0</v>
      </c>
      <c r="L279" t="b">
        <v>0</v>
      </c>
      <c r="M279">
        <v>0.996</v>
      </c>
      <c r="N279" t="s">
        <v>499</v>
      </c>
      <c r="O279" t="s">
        <v>500</v>
      </c>
      <c r="P279">
        <v>284</v>
      </c>
      <c r="Q279" s="2">
        <v>46209</v>
      </c>
      <c r="T279" t="s">
        <v>1519</v>
      </c>
      <c r="U279" t="b">
        <v>0</v>
      </c>
      <c r="V279" t="b">
        <v>0</v>
      </c>
    </row>
    <row r="280" spans="2:22" hidden="1" x14ac:dyDescent="0.25">
      <c r="B280" t="s">
        <v>1520</v>
      </c>
      <c r="C280" t="s">
        <v>960</v>
      </c>
      <c r="D280" t="s">
        <v>960</v>
      </c>
      <c r="E280" t="s">
        <v>207</v>
      </c>
      <c r="F280" t="s">
        <v>95</v>
      </c>
      <c r="G280" t="s">
        <v>961</v>
      </c>
      <c r="J280">
        <v>1.339</v>
      </c>
      <c r="K280">
        <v>0</v>
      </c>
      <c r="L280" t="b">
        <v>0</v>
      </c>
      <c r="M280">
        <v>0.99</v>
      </c>
      <c r="N280" t="s">
        <v>499</v>
      </c>
      <c r="O280" t="s">
        <v>500</v>
      </c>
      <c r="P280">
        <v>285</v>
      </c>
      <c r="Q280" s="2">
        <v>46209</v>
      </c>
      <c r="T280" t="s">
        <v>1521</v>
      </c>
      <c r="U280" t="b">
        <v>0</v>
      </c>
      <c r="V280" t="b">
        <v>0</v>
      </c>
    </row>
    <row r="281" spans="2:22" hidden="1" x14ac:dyDescent="0.25">
      <c r="B281" t="s">
        <v>1522</v>
      </c>
      <c r="C281" t="s">
        <v>960</v>
      </c>
      <c r="D281" t="s">
        <v>960</v>
      </c>
      <c r="E281" t="s">
        <v>207</v>
      </c>
      <c r="F281" t="s">
        <v>95</v>
      </c>
      <c r="G281" t="s">
        <v>961</v>
      </c>
      <c r="J281">
        <v>1.339</v>
      </c>
      <c r="K281">
        <v>0</v>
      </c>
      <c r="L281" t="b">
        <v>0</v>
      </c>
      <c r="M281">
        <v>0.99</v>
      </c>
      <c r="N281" t="s">
        <v>499</v>
      </c>
      <c r="O281" t="s">
        <v>500</v>
      </c>
      <c r="P281">
        <v>286</v>
      </c>
      <c r="Q281" s="2">
        <v>46209</v>
      </c>
      <c r="T281" t="s">
        <v>1523</v>
      </c>
      <c r="U281" t="b">
        <v>0</v>
      </c>
      <c r="V281" t="b">
        <v>0</v>
      </c>
    </row>
    <row r="282" spans="2:22" hidden="1" x14ac:dyDescent="0.25">
      <c r="B282" t="s">
        <v>1524</v>
      </c>
      <c r="C282" t="s">
        <v>960</v>
      </c>
      <c r="D282" t="s">
        <v>960</v>
      </c>
      <c r="E282" t="s">
        <v>207</v>
      </c>
      <c r="F282" t="s">
        <v>931</v>
      </c>
      <c r="G282" t="s">
        <v>961</v>
      </c>
      <c r="J282">
        <v>0.99</v>
      </c>
      <c r="K282">
        <v>0</v>
      </c>
      <c r="L282" t="b">
        <v>0</v>
      </c>
      <c r="M282">
        <v>0.99</v>
      </c>
      <c r="N282" t="s">
        <v>499</v>
      </c>
      <c r="O282" t="s">
        <v>500</v>
      </c>
      <c r="P282">
        <v>287</v>
      </c>
      <c r="Q282" s="2">
        <v>46209</v>
      </c>
      <c r="T282" t="s">
        <v>1525</v>
      </c>
      <c r="U282" t="b">
        <v>0</v>
      </c>
      <c r="V282" t="b">
        <v>0</v>
      </c>
    </row>
    <row r="283" spans="2:22" hidden="1" x14ac:dyDescent="0.25">
      <c r="B283" t="s">
        <v>1526</v>
      </c>
      <c r="C283" t="s">
        <v>960</v>
      </c>
      <c r="D283" t="s">
        <v>960</v>
      </c>
      <c r="E283" t="s">
        <v>207</v>
      </c>
      <c r="F283" t="s">
        <v>95</v>
      </c>
      <c r="G283" t="s">
        <v>961</v>
      </c>
      <c r="J283">
        <v>0.99</v>
      </c>
      <c r="K283">
        <v>0</v>
      </c>
      <c r="L283" t="b">
        <v>0</v>
      </c>
      <c r="M283">
        <v>0.99</v>
      </c>
      <c r="N283" t="s">
        <v>499</v>
      </c>
      <c r="O283" t="s">
        <v>500</v>
      </c>
      <c r="P283">
        <v>288</v>
      </c>
      <c r="Q283" s="2">
        <v>46209</v>
      </c>
      <c r="T283" t="s">
        <v>1527</v>
      </c>
      <c r="U283" t="b">
        <v>0</v>
      </c>
      <c r="V283" t="b">
        <v>0</v>
      </c>
    </row>
    <row r="284" spans="2:22" hidden="1" x14ac:dyDescent="0.25">
      <c r="B284" t="s">
        <v>1528</v>
      </c>
      <c r="C284" t="s">
        <v>960</v>
      </c>
      <c r="D284" t="s">
        <v>960</v>
      </c>
      <c r="E284" t="s">
        <v>207</v>
      </c>
      <c r="F284" t="s">
        <v>531</v>
      </c>
      <c r="G284" t="s">
        <v>961</v>
      </c>
      <c r="J284">
        <v>1.35</v>
      </c>
      <c r="K284">
        <v>0</v>
      </c>
      <c r="L284" t="b">
        <v>0</v>
      </c>
      <c r="M284">
        <v>0.99590000000000001</v>
      </c>
      <c r="N284" t="s">
        <v>499</v>
      </c>
      <c r="O284" t="s">
        <v>500</v>
      </c>
      <c r="P284">
        <v>289</v>
      </c>
      <c r="Q284" s="2">
        <v>46209</v>
      </c>
      <c r="T284" t="s">
        <v>1529</v>
      </c>
      <c r="U284" t="b">
        <v>0</v>
      </c>
      <c r="V284" t="b">
        <v>0</v>
      </c>
    </row>
    <row r="285" spans="2:22" hidden="1" x14ac:dyDescent="0.25">
      <c r="B285" t="s">
        <v>1530</v>
      </c>
      <c r="C285" t="s">
        <v>960</v>
      </c>
      <c r="D285" t="s">
        <v>960</v>
      </c>
      <c r="E285" t="s">
        <v>207</v>
      </c>
      <c r="F285" t="s">
        <v>95</v>
      </c>
      <c r="G285" t="s">
        <v>961</v>
      </c>
      <c r="J285">
        <v>0.99</v>
      </c>
      <c r="K285">
        <v>0</v>
      </c>
      <c r="L285" t="b">
        <v>0</v>
      </c>
      <c r="M285">
        <v>0.99</v>
      </c>
      <c r="N285" t="s">
        <v>499</v>
      </c>
      <c r="O285" t="s">
        <v>500</v>
      </c>
      <c r="P285">
        <v>290</v>
      </c>
      <c r="Q285" s="2">
        <v>46209</v>
      </c>
      <c r="T285" t="s">
        <v>1531</v>
      </c>
      <c r="U285" t="b">
        <v>0</v>
      </c>
      <c r="V285" t="b">
        <v>0</v>
      </c>
    </row>
    <row r="286" spans="2:22" hidden="1" x14ac:dyDescent="0.25">
      <c r="B286" t="s">
        <v>1532</v>
      </c>
      <c r="C286" t="s">
        <v>960</v>
      </c>
      <c r="D286" t="s">
        <v>960</v>
      </c>
      <c r="E286" t="s">
        <v>207</v>
      </c>
      <c r="F286" t="s">
        <v>95</v>
      </c>
      <c r="G286" t="s">
        <v>961</v>
      </c>
      <c r="J286">
        <v>0.99</v>
      </c>
      <c r="K286">
        <v>0</v>
      </c>
      <c r="L286" t="b">
        <v>0</v>
      </c>
      <c r="M286">
        <v>0.99</v>
      </c>
      <c r="N286" t="s">
        <v>499</v>
      </c>
      <c r="O286" t="s">
        <v>500</v>
      </c>
      <c r="P286">
        <v>291</v>
      </c>
      <c r="Q286" s="2">
        <v>46209</v>
      </c>
      <c r="T286" t="s">
        <v>1533</v>
      </c>
      <c r="U286" t="b">
        <v>0</v>
      </c>
      <c r="V286" t="b">
        <v>0</v>
      </c>
    </row>
    <row r="287" spans="2:22" hidden="1" x14ac:dyDescent="0.25">
      <c r="B287" t="s">
        <v>1534</v>
      </c>
      <c r="C287" t="s">
        <v>960</v>
      </c>
      <c r="D287" t="s">
        <v>960</v>
      </c>
      <c r="E287" t="s">
        <v>207</v>
      </c>
      <c r="F287" t="s">
        <v>95</v>
      </c>
      <c r="G287" t="s">
        <v>961</v>
      </c>
      <c r="J287">
        <v>1.339</v>
      </c>
      <c r="K287">
        <v>0</v>
      </c>
      <c r="L287" t="b">
        <v>0</v>
      </c>
      <c r="M287">
        <v>0.99</v>
      </c>
      <c r="N287" t="s">
        <v>499</v>
      </c>
      <c r="O287" t="s">
        <v>500</v>
      </c>
      <c r="P287">
        <v>292</v>
      </c>
      <c r="Q287" s="2">
        <v>46209</v>
      </c>
      <c r="T287" t="s">
        <v>1535</v>
      </c>
      <c r="U287" t="b">
        <v>0</v>
      </c>
      <c r="V287" t="b">
        <v>0</v>
      </c>
    </row>
    <row r="288" spans="2:22" hidden="1" x14ac:dyDescent="0.25">
      <c r="B288" t="s">
        <v>1536</v>
      </c>
      <c r="C288" t="s">
        <v>960</v>
      </c>
      <c r="D288" t="s">
        <v>960</v>
      </c>
      <c r="E288" t="s">
        <v>23</v>
      </c>
      <c r="F288" t="s">
        <v>823</v>
      </c>
      <c r="G288" t="s">
        <v>961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499</v>
      </c>
      <c r="O288" t="s">
        <v>500</v>
      </c>
      <c r="P288">
        <v>293</v>
      </c>
      <c r="Q288" s="2">
        <v>46209</v>
      </c>
      <c r="T288" t="s">
        <v>1537</v>
      </c>
      <c r="U288" t="b">
        <v>0</v>
      </c>
      <c r="V288" t="b">
        <v>0</v>
      </c>
    </row>
    <row r="289" spans="1:22" hidden="1" x14ac:dyDescent="0.25">
      <c r="B289" t="s">
        <v>1538</v>
      </c>
      <c r="C289" t="s">
        <v>960</v>
      </c>
      <c r="D289" t="s">
        <v>960</v>
      </c>
      <c r="E289" t="s">
        <v>23</v>
      </c>
      <c r="F289" t="s">
        <v>240</v>
      </c>
      <c r="G289" t="s">
        <v>961</v>
      </c>
      <c r="J289">
        <v>11.1</v>
      </c>
      <c r="K289">
        <v>0</v>
      </c>
      <c r="L289" t="b">
        <v>0</v>
      </c>
      <c r="M289">
        <v>9.9</v>
      </c>
      <c r="N289" t="s">
        <v>499</v>
      </c>
      <c r="O289" t="s">
        <v>500</v>
      </c>
      <c r="P289">
        <v>294</v>
      </c>
      <c r="Q289" s="2">
        <v>46209</v>
      </c>
      <c r="T289" t="s">
        <v>1539</v>
      </c>
      <c r="U289" t="b">
        <v>0</v>
      </c>
      <c r="V289" t="b">
        <v>0</v>
      </c>
    </row>
    <row r="290" spans="1:22" hidden="1" x14ac:dyDescent="0.25">
      <c r="B290" t="s">
        <v>1540</v>
      </c>
      <c r="C290" t="s">
        <v>960</v>
      </c>
      <c r="D290" t="s">
        <v>960</v>
      </c>
      <c r="E290" t="s">
        <v>23</v>
      </c>
      <c r="F290" t="s">
        <v>531</v>
      </c>
      <c r="G290" t="s">
        <v>961</v>
      </c>
      <c r="J290">
        <v>2</v>
      </c>
      <c r="K290">
        <v>0</v>
      </c>
      <c r="L290" t="b">
        <v>0</v>
      </c>
      <c r="M290">
        <v>2</v>
      </c>
      <c r="N290" t="s">
        <v>499</v>
      </c>
      <c r="O290" t="s">
        <v>500</v>
      </c>
      <c r="P290">
        <v>295</v>
      </c>
      <c r="Q290" s="2">
        <v>46209</v>
      </c>
      <c r="T290" t="s">
        <v>1541</v>
      </c>
      <c r="U290" t="b">
        <v>0</v>
      </c>
      <c r="V290" t="b">
        <v>0</v>
      </c>
    </row>
    <row r="291" spans="1:22" hidden="1" x14ac:dyDescent="0.25">
      <c r="B291" t="s">
        <v>1542</v>
      </c>
      <c r="C291" t="s">
        <v>960</v>
      </c>
      <c r="D291" t="s">
        <v>960</v>
      </c>
      <c r="E291" t="s">
        <v>207</v>
      </c>
      <c r="F291" t="s">
        <v>94</v>
      </c>
      <c r="G291" t="s">
        <v>961</v>
      </c>
      <c r="J291">
        <v>23.5</v>
      </c>
      <c r="K291">
        <v>1.99</v>
      </c>
      <c r="L291" t="b">
        <v>0</v>
      </c>
      <c r="M291">
        <v>19.899999999999999</v>
      </c>
      <c r="N291" t="s">
        <v>499</v>
      </c>
      <c r="O291" t="s">
        <v>500</v>
      </c>
      <c r="P291">
        <v>296</v>
      </c>
      <c r="Q291" s="2">
        <v>46209</v>
      </c>
      <c r="T291" t="s">
        <v>1543</v>
      </c>
      <c r="U291" t="b">
        <v>0</v>
      </c>
      <c r="V291" t="b">
        <v>0</v>
      </c>
    </row>
    <row r="292" spans="1:22" hidden="1" x14ac:dyDescent="0.25">
      <c r="B292" t="s">
        <v>1544</v>
      </c>
      <c r="C292" t="s">
        <v>960</v>
      </c>
      <c r="D292" t="s">
        <v>960</v>
      </c>
      <c r="E292" t="s">
        <v>207</v>
      </c>
      <c r="F292" t="s">
        <v>94</v>
      </c>
      <c r="G292" t="s">
        <v>961</v>
      </c>
      <c r="J292">
        <v>9.9</v>
      </c>
      <c r="K292">
        <v>0</v>
      </c>
      <c r="L292" t="b">
        <v>0</v>
      </c>
      <c r="M292">
        <v>9.9</v>
      </c>
      <c r="N292" t="s">
        <v>499</v>
      </c>
      <c r="O292" t="s">
        <v>500</v>
      </c>
      <c r="P292">
        <v>297</v>
      </c>
      <c r="Q292" s="2">
        <v>46209</v>
      </c>
      <c r="T292" t="s">
        <v>1545</v>
      </c>
      <c r="U292" t="b">
        <v>0</v>
      </c>
      <c r="V292" t="b">
        <v>0</v>
      </c>
    </row>
    <row r="293" spans="1:22" hidden="1" x14ac:dyDescent="0.25">
      <c r="B293" t="s">
        <v>1546</v>
      </c>
      <c r="C293" t="s">
        <v>960</v>
      </c>
      <c r="D293" t="s">
        <v>960</v>
      </c>
      <c r="E293" t="s">
        <v>23</v>
      </c>
      <c r="F293" t="s">
        <v>94</v>
      </c>
      <c r="G293" t="s">
        <v>961</v>
      </c>
      <c r="J293">
        <v>11.4</v>
      </c>
      <c r="K293">
        <v>0</v>
      </c>
      <c r="L293" t="b">
        <v>0</v>
      </c>
      <c r="M293">
        <v>9.9</v>
      </c>
      <c r="N293" t="s">
        <v>499</v>
      </c>
      <c r="O293" t="s">
        <v>500</v>
      </c>
      <c r="P293">
        <v>298</v>
      </c>
      <c r="Q293" s="2">
        <v>46209</v>
      </c>
      <c r="T293" t="s">
        <v>1547</v>
      </c>
      <c r="U293" t="b">
        <v>0</v>
      </c>
      <c r="V293" t="b">
        <v>0</v>
      </c>
    </row>
    <row r="294" spans="1:22" hidden="1" x14ac:dyDescent="0.25">
      <c r="B294" t="s">
        <v>1548</v>
      </c>
      <c r="C294" t="s">
        <v>960</v>
      </c>
      <c r="D294" t="s">
        <v>960</v>
      </c>
      <c r="E294" t="s">
        <v>23</v>
      </c>
      <c r="F294" t="s">
        <v>579</v>
      </c>
      <c r="G294" t="s">
        <v>961</v>
      </c>
      <c r="J294">
        <v>9.8000000000000007</v>
      </c>
      <c r="K294">
        <v>0</v>
      </c>
      <c r="L294" t="b">
        <v>0</v>
      </c>
      <c r="M294">
        <v>9</v>
      </c>
      <c r="N294" t="s">
        <v>499</v>
      </c>
      <c r="O294" t="s">
        <v>500</v>
      </c>
      <c r="P294">
        <v>299</v>
      </c>
      <c r="Q294" s="2">
        <v>46209</v>
      </c>
      <c r="T294" t="s">
        <v>1549</v>
      </c>
      <c r="U294" t="b">
        <v>0</v>
      </c>
      <c r="V294" t="b">
        <v>0</v>
      </c>
    </row>
    <row r="295" spans="1:22" hidden="1" x14ac:dyDescent="0.25">
      <c r="B295" t="s">
        <v>1550</v>
      </c>
      <c r="C295" t="s">
        <v>960</v>
      </c>
      <c r="D295" t="s">
        <v>960</v>
      </c>
      <c r="E295" t="s">
        <v>23</v>
      </c>
      <c r="F295" t="s">
        <v>95</v>
      </c>
      <c r="G295" t="s">
        <v>961</v>
      </c>
      <c r="J295">
        <v>9.9</v>
      </c>
      <c r="K295">
        <v>0</v>
      </c>
      <c r="L295" t="b">
        <v>0</v>
      </c>
      <c r="M295">
        <v>9</v>
      </c>
      <c r="N295" t="s">
        <v>499</v>
      </c>
      <c r="O295" t="s">
        <v>500</v>
      </c>
      <c r="P295">
        <v>300</v>
      </c>
      <c r="Q295" s="2">
        <v>46209</v>
      </c>
      <c r="T295" t="s">
        <v>1551</v>
      </c>
      <c r="U295" t="b">
        <v>0</v>
      </c>
      <c r="V295" t="b">
        <v>0</v>
      </c>
    </row>
    <row r="296" spans="1:22" hidden="1" x14ac:dyDescent="0.25">
      <c r="B296" t="s">
        <v>1552</v>
      </c>
      <c r="C296" t="s">
        <v>960</v>
      </c>
      <c r="D296" t="s">
        <v>960</v>
      </c>
      <c r="E296" t="s">
        <v>23</v>
      </c>
      <c r="F296" t="s">
        <v>615</v>
      </c>
      <c r="G296" t="s">
        <v>961</v>
      </c>
      <c r="J296">
        <v>9.9</v>
      </c>
      <c r="K296">
        <v>0</v>
      </c>
      <c r="L296" t="b">
        <v>0</v>
      </c>
      <c r="M296">
        <v>9.4</v>
      </c>
      <c r="N296" t="s">
        <v>499</v>
      </c>
      <c r="O296" t="s">
        <v>500</v>
      </c>
      <c r="P296">
        <v>301</v>
      </c>
      <c r="Q296" s="2">
        <v>46209</v>
      </c>
      <c r="T296" t="s">
        <v>1553</v>
      </c>
      <c r="U296" t="b">
        <v>0</v>
      </c>
      <c r="V296" t="b">
        <v>0</v>
      </c>
    </row>
    <row r="297" spans="1:22" hidden="1" x14ac:dyDescent="0.25">
      <c r="B297" t="s">
        <v>1554</v>
      </c>
      <c r="C297" t="s">
        <v>960</v>
      </c>
      <c r="D297" t="s">
        <v>960</v>
      </c>
      <c r="E297" t="s">
        <v>23</v>
      </c>
      <c r="F297" t="s">
        <v>615</v>
      </c>
      <c r="G297" t="s">
        <v>961</v>
      </c>
      <c r="J297">
        <v>10.8</v>
      </c>
      <c r="K297">
        <v>0</v>
      </c>
      <c r="L297" t="b">
        <v>0</v>
      </c>
      <c r="M297">
        <v>9.9</v>
      </c>
      <c r="N297" t="s">
        <v>499</v>
      </c>
      <c r="O297" t="s">
        <v>500</v>
      </c>
      <c r="P297">
        <v>302</v>
      </c>
      <c r="Q297" s="2">
        <v>46209</v>
      </c>
      <c r="T297" t="s">
        <v>1555</v>
      </c>
      <c r="U297" t="b">
        <v>0</v>
      </c>
      <c r="V297" t="b">
        <v>0</v>
      </c>
    </row>
    <row r="298" spans="1:22" hidden="1" x14ac:dyDescent="0.25">
      <c r="B298" t="s">
        <v>1556</v>
      </c>
      <c r="C298" t="s">
        <v>960</v>
      </c>
      <c r="D298" t="s">
        <v>960</v>
      </c>
      <c r="E298" t="s">
        <v>23</v>
      </c>
      <c r="F298" t="s">
        <v>615</v>
      </c>
      <c r="G298" t="s">
        <v>961</v>
      </c>
      <c r="J298">
        <v>10.8</v>
      </c>
      <c r="K298">
        <v>0</v>
      </c>
      <c r="L298" t="b">
        <v>0</v>
      </c>
      <c r="M298">
        <v>9.9</v>
      </c>
      <c r="N298" t="s">
        <v>499</v>
      </c>
      <c r="O298" t="s">
        <v>500</v>
      </c>
      <c r="P298">
        <v>303</v>
      </c>
      <c r="Q298" s="2">
        <v>46209</v>
      </c>
      <c r="T298" t="s">
        <v>1557</v>
      </c>
      <c r="U298" t="b">
        <v>0</v>
      </c>
      <c r="V298" t="b">
        <v>0</v>
      </c>
    </row>
    <row r="299" spans="1:22" hidden="1" x14ac:dyDescent="0.25">
      <c r="B299" t="s">
        <v>1558</v>
      </c>
      <c r="C299" t="s">
        <v>960</v>
      </c>
      <c r="D299" t="s">
        <v>960</v>
      </c>
      <c r="E299" t="s">
        <v>23</v>
      </c>
      <c r="F299" t="s">
        <v>823</v>
      </c>
      <c r="G299" t="s">
        <v>961</v>
      </c>
      <c r="J299">
        <v>12.87</v>
      </c>
      <c r="K299">
        <v>0</v>
      </c>
      <c r="L299" t="b">
        <v>0</v>
      </c>
      <c r="M299">
        <v>9.9</v>
      </c>
      <c r="N299" t="s">
        <v>499</v>
      </c>
      <c r="O299" t="s">
        <v>500</v>
      </c>
      <c r="P299">
        <v>304</v>
      </c>
      <c r="Q299" s="2">
        <v>46209</v>
      </c>
      <c r="T299" t="s">
        <v>1559</v>
      </c>
      <c r="U299" t="b">
        <v>0</v>
      </c>
      <c r="V299" t="b">
        <v>0</v>
      </c>
    </row>
    <row r="300" spans="1:22" hidden="1" x14ac:dyDescent="0.25">
      <c r="B300" t="s">
        <v>1560</v>
      </c>
      <c r="C300" t="s">
        <v>960</v>
      </c>
      <c r="D300" t="s">
        <v>960</v>
      </c>
      <c r="E300" t="s">
        <v>23</v>
      </c>
      <c r="F300" t="s">
        <v>579</v>
      </c>
      <c r="G300" t="s">
        <v>961</v>
      </c>
      <c r="J300">
        <v>9.8000000000000007</v>
      </c>
      <c r="K300">
        <v>0</v>
      </c>
      <c r="L300" t="b">
        <v>0</v>
      </c>
      <c r="M300">
        <v>9</v>
      </c>
      <c r="N300" t="s">
        <v>499</v>
      </c>
      <c r="O300" t="s">
        <v>500</v>
      </c>
      <c r="P300">
        <v>305</v>
      </c>
      <c r="Q300" s="2">
        <v>46209</v>
      </c>
      <c r="T300" t="s">
        <v>1561</v>
      </c>
      <c r="U300" t="b">
        <v>0</v>
      </c>
      <c r="V300" t="b">
        <v>0</v>
      </c>
    </row>
    <row r="301" spans="1:22" x14ac:dyDescent="0.25">
      <c r="A301" t="s">
        <v>1562</v>
      </c>
      <c r="B301" t="s">
        <v>1563</v>
      </c>
      <c r="C301" t="s">
        <v>960</v>
      </c>
      <c r="D301" t="s">
        <v>960</v>
      </c>
      <c r="E301" t="s">
        <v>207</v>
      </c>
      <c r="F301" t="s">
        <v>531</v>
      </c>
      <c r="G301" t="s">
        <v>961</v>
      </c>
      <c r="J301">
        <v>106.3</v>
      </c>
      <c r="K301">
        <v>10</v>
      </c>
      <c r="L301" t="b">
        <v>0</v>
      </c>
      <c r="M301">
        <v>100</v>
      </c>
      <c r="N301" t="s">
        <v>499</v>
      </c>
      <c r="O301" t="s">
        <v>500</v>
      </c>
      <c r="P301">
        <v>306</v>
      </c>
      <c r="Q301" s="2">
        <v>46209</v>
      </c>
      <c r="R301">
        <v>100</v>
      </c>
      <c r="T301" t="s">
        <v>1564</v>
      </c>
      <c r="U301" t="b">
        <v>0</v>
      </c>
      <c r="V301" t="b">
        <v>1</v>
      </c>
    </row>
    <row r="302" spans="1:22" hidden="1" x14ac:dyDescent="0.25">
      <c r="B302" t="s">
        <v>1565</v>
      </c>
      <c r="C302" t="s">
        <v>960</v>
      </c>
      <c r="D302" t="s">
        <v>960</v>
      </c>
      <c r="E302" t="s">
        <v>207</v>
      </c>
      <c r="F302" t="s">
        <v>94</v>
      </c>
      <c r="G302" t="s">
        <v>961</v>
      </c>
      <c r="J302">
        <v>23.4</v>
      </c>
      <c r="K302">
        <v>0</v>
      </c>
      <c r="L302" t="b">
        <v>0</v>
      </c>
      <c r="M302">
        <v>19.899999999999999</v>
      </c>
      <c r="N302" t="s">
        <v>499</v>
      </c>
      <c r="O302" t="s">
        <v>500</v>
      </c>
      <c r="P302">
        <v>307</v>
      </c>
      <c r="Q302" s="2">
        <v>46209</v>
      </c>
      <c r="T302" t="s">
        <v>1566</v>
      </c>
      <c r="U302" t="b">
        <v>0</v>
      </c>
      <c r="V302" t="b">
        <v>0</v>
      </c>
    </row>
    <row r="303" spans="1:22" x14ac:dyDescent="0.25">
      <c r="A303" t="s">
        <v>1567</v>
      </c>
      <c r="B303" t="s">
        <v>1568</v>
      </c>
      <c r="C303" t="s">
        <v>960</v>
      </c>
      <c r="D303" t="s">
        <v>960</v>
      </c>
      <c r="E303" t="s">
        <v>207</v>
      </c>
      <c r="F303" t="s">
        <v>897</v>
      </c>
      <c r="G303" t="s">
        <v>961</v>
      </c>
      <c r="J303">
        <v>330</v>
      </c>
      <c r="K303">
        <v>0</v>
      </c>
      <c r="L303" t="b">
        <v>0</v>
      </c>
      <c r="M303">
        <v>300</v>
      </c>
      <c r="N303" t="s">
        <v>499</v>
      </c>
      <c r="O303" t="s">
        <v>500</v>
      </c>
      <c r="P303">
        <v>308</v>
      </c>
      <c r="Q303" s="2">
        <v>46209</v>
      </c>
      <c r="R303">
        <v>300</v>
      </c>
      <c r="T303" t="s">
        <v>1569</v>
      </c>
      <c r="U303" t="b">
        <v>0</v>
      </c>
      <c r="V303" t="b">
        <v>1</v>
      </c>
    </row>
    <row r="304" spans="1:22" hidden="1" x14ac:dyDescent="0.25">
      <c r="B304" t="s">
        <v>1570</v>
      </c>
      <c r="C304" t="s">
        <v>960</v>
      </c>
      <c r="D304" t="s">
        <v>960</v>
      </c>
      <c r="E304" t="s">
        <v>23</v>
      </c>
      <c r="F304" t="s">
        <v>95</v>
      </c>
      <c r="G304" t="s">
        <v>961</v>
      </c>
      <c r="J304">
        <v>11.4</v>
      </c>
      <c r="K304">
        <v>0</v>
      </c>
      <c r="L304" t="b">
        <v>0</v>
      </c>
      <c r="M304">
        <v>9.9</v>
      </c>
      <c r="N304" t="s">
        <v>499</v>
      </c>
      <c r="O304" t="s">
        <v>500</v>
      </c>
      <c r="P304">
        <v>309</v>
      </c>
      <c r="Q304" s="2">
        <v>46209</v>
      </c>
      <c r="T304" t="s">
        <v>1571</v>
      </c>
      <c r="U304" t="b">
        <v>0</v>
      </c>
      <c r="V304" t="b">
        <v>0</v>
      </c>
    </row>
    <row r="305" spans="1:22" x14ac:dyDescent="0.25">
      <c r="A305" t="s">
        <v>1572</v>
      </c>
      <c r="B305" t="s">
        <v>1573</v>
      </c>
      <c r="C305" t="s">
        <v>960</v>
      </c>
      <c r="D305" t="s">
        <v>960</v>
      </c>
      <c r="E305" t="s">
        <v>207</v>
      </c>
      <c r="F305" t="s">
        <v>897</v>
      </c>
      <c r="G305" t="s">
        <v>961</v>
      </c>
      <c r="J305">
        <v>96</v>
      </c>
      <c r="K305">
        <v>0</v>
      </c>
      <c r="L305" t="b">
        <v>0</v>
      </c>
      <c r="M305">
        <v>83</v>
      </c>
      <c r="N305" t="s">
        <v>499</v>
      </c>
      <c r="O305" t="s">
        <v>500</v>
      </c>
      <c r="P305">
        <v>310</v>
      </c>
      <c r="Q305" s="2">
        <v>46209</v>
      </c>
      <c r="R305">
        <v>83</v>
      </c>
      <c r="T305" t="s">
        <v>1574</v>
      </c>
      <c r="U305" t="b">
        <v>0</v>
      </c>
      <c r="V305" t="b">
        <v>1</v>
      </c>
    </row>
    <row r="306" spans="1:22" hidden="1" x14ac:dyDescent="0.25">
      <c r="B306" t="s">
        <v>1575</v>
      </c>
      <c r="C306" t="s">
        <v>960</v>
      </c>
      <c r="D306" t="s">
        <v>960</v>
      </c>
      <c r="E306" t="s">
        <v>23</v>
      </c>
      <c r="F306" t="s">
        <v>531</v>
      </c>
      <c r="G306" t="s">
        <v>961</v>
      </c>
      <c r="J306">
        <v>24.2</v>
      </c>
      <c r="K306">
        <v>0</v>
      </c>
      <c r="L306" t="b">
        <v>0</v>
      </c>
      <c r="M306">
        <v>20</v>
      </c>
      <c r="N306" t="s">
        <v>499</v>
      </c>
      <c r="O306" t="s">
        <v>500</v>
      </c>
      <c r="P306">
        <v>311</v>
      </c>
      <c r="Q306" s="2">
        <v>46209</v>
      </c>
      <c r="T306" t="s">
        <v>1576</v>
      </c>
      <c r="U306" t="b">
        <v>0</v>
      </c>
      <c r="V306" t="b">
        <v>0</v>
      </c>
    </row>
    <row r="307" spans="1:22" hidden="1" x14ac:dyDescent="0.25">
      <c r="B307" t="s">
        <v>1577</v>
      </c>
      <c r="C307" t="s">
        <v>960</v>
      </c>
      <c r="D307" t="s">
        <v>960</v>
      </c>
      <c r="E307" t="s">
        <v>23</v>
      </c>
      <c r="F307" t="s">
        <v>579</v>
      </c>
      <c r="G307" t="s">
        <v>961</v>
      </c>
      <c r="J307">
        <v>9.8000000000000007</v>
      </c>
      <c r="K307">
        <v>0</v>
      </c>
      <c r="L307" t="b">
        <v>0</v>
      </c>
      <c r="M307">
        <v>9</v>
      </c>
      <c r="N307" t="s">
        <v>499</v>
      </c>
      <c r="O307" t="s">
        <v>500</v>
      </c>
      <c r="P307">
        <v>312</v>
      </c>
      <c r="Q307" s="2">
        <v>46209</v>
      </c>
      <c r="T307" t="s">
        <v>1578</v>
      </c>
      <c r="U307" t="b">
        <v>0</v>
      </c>
      <c r="V307" t="b">
        <v>0</v>
      </c>
    </row>
    <row r="308" spans="1:22" hidden="1" x14ac:dyDescent="0.25">
      <c r="B308" t="s">
        <v>1579</v>
      </c>
      <c r="C308" t="s">
        <v>960</v>
      </c>
      <c r="D308" t="s">
        <v>960</v>
      </c>
      <c r="E308" t="s">
        <v>23</v>
      </c>
      <c r="F308" t="s">
        <v>531</v>
      </c>
      <c r="G308" t="s">
        <v>961</v>
      </c>
      <c r="J308">
        <v>10.8</v>
      </c>
      <c r="K308">
        <v>0</v>
      </c>
      <c r="L308" t="b">
        <v>0</v>
      </c>
      <c r="M308">
        <v>9.9</v>
      </c>
      <c r="N308" t="s">
        <v>499</v>
      </c>
      <c r="O308" t="s">
        <v>500</v>
      </c>
      <c r="P308">
        <v>313</v>
      </c>
      <c r="Q308" s="2">
        <v>46209</v>
      </c>
      <c r="T308" t="s">
        <v>1580</v>
      </c>
      <c r="U308" t="b">
        <v>0</v>
      </c>
      <c r="V308" t="b">
        <v>0</v>
      </c>
    </row>
    <row r="309" spans="1:22" hidden="1" x14ac:dyDescent="0.25">
      <c r="B309" t="s">
        <v>1581</v>
      </c>
      <c r="C309" t="s">
        <v>960</v>
      </c>
      <c r="D309" t="s">
        <v>960</v>
      </c>
      <c r="E309" t="s">
        <v>23</v>
      </c>
      <c r="F309" t="s">
        <v>95</v>
      </c>
      <c r="G309" t="s">
        <v>961</v>
      </c>
      <c r="J309">
        <v>12.762</v>
      </c>
      <c r="K309">
        <v>9.9000000000000005E-2</v>
      </c>
      <c r="L309" t="b">
        <v>0</v>
      </c>
      <c r="M309">
        <v>9.9</v>
      </c>
      <c r="N309" t="s">
        <v>499</v>
      </c>
      <c r="O309" t="s">
        <v>500</v>
      </c>
      <c r="P309">
        <v>314</v>
      </c>
      <c r="Q309" s="2">
        <v>46209</v>
      </c>
      <c r="T309" t="s">
        <v>1582</v>
      </c>
      <c r="U309" t="b">
        <v>0</v>
      </c>
      <c r="V309" t="b">
        <v>0</v>
      </c>
    </row>
    <row r="310" spans="1:22" hidden="1" x14ac:dyDescent="0.25">
      <c r="B310" t="s">
        <v>1583</v>
      </c>
      <c r="C310" t="s">
        <v>960</v>
      </c>
      <c r="D310" t="s">
        <v>960</v>
      </c>
      <c r="E310" t="s">
        <v>207</v>
      </c>
      <c r="F310" t="s">
        <v>927</v>
      </c>
      <c r="G310" t="s">
        <v>961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499</v>
      </c>
      <c r="O310" t="s">
        <v>500</v>
      </c>
      <c r="P310">
        <v>315</v>
      </c>
      <c r="Q310" s="2">
        <v>46209</v>
      </c>
      <c r="T310" t="s">
        <v>1584</v>
      </c>
      <c r="U310" t="b">
        <v>0</v>
      </c>
      <c r="V310" t="b">
        <v>0</v>
      </c>
    </row>
    <row r="311" spans="1:22" hidden="1" x14ac:dyDescent="0.25">
      <c r="B311" t="s">
        <v>1585</v>
      </c>
      <c r="C311" t="s">
        <v>960</v>
      </c>
      <c r="D311" t="s">
        <v>960</v>
      </c>
      <c r="E311" t="s">
        <v>207</v>
      </c>
      <c r="F311" t="s">
        <v>897</v>
      </c>
      <c r="G311" t="s">
        <v>961</v>
      </c>
      <c r="J311">
        <v>5.94</v>
      </c>
      <c r="K311">
        <v>0</v>
      </c>
      <c r="L311" t="b">
        <v>0</v>
      </c>
      <c r="M311">
        <v>4.3</v>
      </c>
      <c r="N311" t="s">
        <v>499</v>
      </c>
      <c r="O311" t="s">
        <v>500</v>
      </c>
      <c r="P311">
        <v>316</v>
      </c>
      <c r="Q311" s="2">
        <v>46209</v>
      </c>
      <c r="T311" t="s">
        <v>1586</v>
      </c>
      <c r="U311" t="b">
        <v>0</v>
      </c>
      <c r="V311" t="b">
        <v>0</v>
      </c>
    </row>
    <row r="312" spans="1:22" hidden="1" x14ac:dyDescent="0.25">
      <c r="B312" t="s">
        <v>1587</v>
      </c>
      <c r="C312" t="s">
        <v>960</v>
      </c>
      <c r="D312" t="s">
        <v>960</v>
      </c>
      <c r="E312" t="s">
        <v>23</v>
      </c>
      <c r="F312" t="s">
        <v>822</v>
      </c>
      <c r="G312" t="s">
        <v>961</v>
      </c>
      <c r="J312">
        <v>3.3</v>
      </c>
      <c r="K312">
        <v>1E-3</v>
      </c>
      <c r="L312" t="b">
        <v>0</v>
      </c>
      <c r="M312">
        <v>3</v>
      </c>
      <c r="N312" t="s">
        <v>499</v>
      </c>
      <c r="O312" t="s">
        <v>500</v>
      </c>
      <c r="P312">
        <v>317</v>
      </c>
      <c r="Q312" s="2">
        <v>46209</v>
      </c>
      <c r="T312" t="s">
        <v>1588</v>
      </c>
      <c r="U312" t="b">
        <v>0</v>
      </c>
      <c r="V312" t="b">
        <v>0</v>
      </c>
    </row>
    <row r="313" spans="1:22" hidden="1" x14ac:dyDescent="0.25">
      <c r="B313" t="s">
        <v>1589</v>
      </c>
      <c r="C313" t="s">
        <v>960</v>
      </c>
      <c r="D313" t="s">
        <v>960</v>
      </c>
      <c r="E313" t="s">
        <v>207</v>
      </c>
      <c r="F313" t="s">
        <v>897</v>
      </c>
      <c r="G313" t="s">
        <v>961</v>
      </c>
      <c r="J313">
        <v>6.6</v>
      </c>
      <c r="K313">
        <v>0</v>
      </c>
      <c r="L313" t="b">
        <v>0</v>
      </c>
      <c r="M313">
        <v>4.9000000000000004</v>
      </c>
      <c r="N313" t="s">
        <v>499</v>
      </c>
      <c r="O313" t="s">
        <v>500</v>
      </c>
      <c r="P313">
        <v>318</v>
      </c>
      <c r="Q313" s="2">
        <v>46209</v>
      </c>
      <c r="T313" t="s">
        <v>1590</v>
      </c>
      <c r="U313" t="b">
        <v>0</v>
      </c>
      <c r="V313" t="b">
        <v>0</v>
      </c>
    </row>
    <row r="314" spans="1:22" hidden="1" x14ac:dyDescent="0.25">
      <c r="B314" t="s">
        <v>1591</v>
      </c>
      <c r="C314" t="s">
        <v>960</v>
      </c>
      <c r="D314" t="s">
        <v>960</v>
      </c>
      <c r="E314" t="s">
        <v>207</v>
      </c>
      <c r="F314" t="s">
        <v>905</v>
      </c>
      <c r="G314" t="s">
        <v>961</v>
      </c>
      <c r="J314">
        <v>1.38</v>
      </c>
      <c r="K314">
        <v>0</v>
      </c>
      <c r="L314" t="b">
        <v>0</v>
      </c>
      <c r="M314">
        <v>0.99</v>
      </c>
      <c r="N314" t="s">
        <v>499</v>
      </c>
      <c r="O314" t="s">
        <v>500</v>
      </c>
      <c r="P314">
        <v>319</v>
      </c>
      <c r="Q314" s="2">
        <v>46209</v>
      </c>
      <c r="T314" t="s">
        <v>1592</v>
      </c>
      <c r="U314" t="b">
        <v>0</v>
      </c>
      <c r="V314" t="b">
        <v>0</v>
      </c>
    </row>
    <row r="315" spans="1:22" x14ac:dyDescent="0.25">
      <c r="A315" t="s">
        <v>1593</v>
      </c>
      <c r="B315" t="s">
        <v>1594</v>
      </c>
      <c r="C315" t="s">
        <v>960</v>
      </c>
      <c r="D315" t="s">
        <v>960</v>
      </c>
      <c r="E315" t="s">
        <v>207</v>
      </c>
      <c r="F315" t="s">
        <v>238</v>
      </c>
      <c r="G315" t="s">
        <v>961</v>
      </c>
      <c r="J315">
        <v>120</v>
      </c>
      <c r="K315">
        <v>0</v>
      </c>
      <c r="L315" t="b">
        <v>0</v>
      </c>
      <c r="M315">
        <v>102</v>
      </c>
      <c r="N315" t="s">
        <v>499</v>
      </c>
      <c r="O315" t="s">
        <v>500</v>
      </c>
      <c r="P315">
        <v>320</v>
      </c>
      <c r="Q315" s="2">
        <v>46209</v>
      </c>
      <c r="R315">
        <v>102</v>
      </c>
      <c r="T315" t="s">
        <v>1595</v>
      </c>
      <c r="U315" t="b">
        <v>0</v>
      </c>
      <c r="V315" t="b">
        <v>1</v>
      </c>
    </row>
    <row r="316" spans="1:22" hidden="1" x14ac:dyDescent="0.25">
      <c r="B316" t="s">
        <v>1596</v>
      </c>
      <c r="C316" t="s">
        <v>960</v>
      </c>
      <c r="D316" t="s">
        <v>960</v>
      </c>
      <c r="E316" t="s">
        <v>207</v>
      </c>
      <c r="F316" t="s">
        <v>240</v>
      </c>
      <c r="G316" t="s">
        <v>961</v>
      </c>
      <c r="J316">
        <v>10.989000000000001</v>
      </c>
      <c r="K316">
        <v>0</v>
      </c>
      <c r="L316" t="b">
        <v>0</v>
      </c>
      <c r="M316">
        <v>9.9</v>
      </c>
      <c r="N316" t="s">
        <v>499</v>
      </c>
      <c r="O316" t="s">
        <v>500</v>
      </c>
      <c r="P316">
        <v>321</v>
      </c>
      <c r="Q316" s="2">
        <v>46209</v>
      </c>
      <c r="T316" t="s">
        <v>1597</v>
      </c>
      <c r="U316" t="b">
        <v>0</v>
      </c>
      <c r="V316" t="b">
        <v>0</v>
      </c>
    </row>
    <row r="317" spans="1:22" hidden="1" x14ac:dyDescent="0.25">
      <c r="B317" t="s">
        <v>1598</v>
      </c>
      <c r="C317" t="s">
        <v>960</v>
      </c>
      <c r="D317" t="s">
        <v>960</v>
      </c>
      <c r="E317" t="s">
        <v>23</v>
      </c>
      <c r="F317" t="s">
        <v>240</v>
      </c>
      <c r="G317" t="s">
        <v>961</v>
      </c>
      <c r="J317">
        <v>3.2</v>
      </c>
      <c r="K317">
        <v>0</v>
      </c>
      <c r="L317" t="b">
        <v>0</v>
      </c>
      <c r="M317">
        <v>3.1</v>
      </c>
      <c r="N317" t="s">
        <v>499</v>
      </c>
      <c r="O317" t="s">
        <v>500</v>
      </c>
      <c r="P317">
        <v>322</v>
      </c>
      <c r="Q317" s="2">
        <v>46209</v>
      </c>
      <c r="T317" t="s">
        <v>1599</v>
      </c>
      <c r="U317" t="b">
        <v>0</v>
      </c>
      <c r="V317" t="b">
        <v>0</v>
      </c>
    </row>
    <row r="318" spans="1:22" hidden="1" x14ac:dyDescent="0.25">
      <c r="B318" t="s">
        <v>1600</v>
      </c>
      <c r="C318" t="s">
        <v>960</v>
      </c>
      <c r="D318" t="s">
        <v>960</v>
      </c>
      <c r="E318" t="s">
        <v>207</v>
      </c>
      <c r="F318" t="s">
        <v>531</v>
      </c>
      <c r="G318" t="s">
        <v>961</v>
      </c>
      <c r="J318">
        <v>0.99</v>
      </c>
      <c r="K318">
        <v>0</v>
      </c>
      <c r="L318" t="b">
        <v>0</v>
      </c>
      <c r="M318">
        <v>0.9</v>
      </c>
      <c r="N318" t="s">
        <v>499</v>
      </c>
      <c r="O318" t="s">
        <v>500</v>
      </c>
      <c r="P318">
        <v>323</v>
      </c>
      <c r="Q318" s="2">
        <v>46209</v>
      </c>
      <c r="T318" t="s">
        <v>1601</v>
      </c>
      <c r="U318" t="b">
        <v>0</v>
      </c>
      <c r="V318" t="b">
        <v>0</v>
      </c>
    </row>
    <row r="319" spans="1:22" x14ac:dyDescent="0.25">
      <c r="A319" t="s">
        <v>1602</v>
      </c>
      <c r="B319" t="s">
        <v>1603</v>
      </c>
      <c r="C319" t="s">
        <v>960</v>
      </c>
      <c r="D319" t="s">
        <v>960</v>
      </c>
      <c r="E319" t="s">
        <v>207</v>
      </c>
      <c r="F319" t="s">
        <v>240</v>
      </c>
      <c r="G319" t="s">
        <v>961</v>
      </c>
      <c r="J319">
        <v>160</v>
      </c>
      <c r="K319">
        <v>2.2000000000000002</v>
      </c>
      <c r="L319" t="b">
        <v>0</v>
      </c>
      <c r="M319">
        <v>160</v>
      </c>
      <c r="N319" t="s">
        <v>499</v>
      </c>
      <c r="O319" t="s">
        <v>500</v>
      </c>
      <c r="P319">
        <v>324</v>
      </c>
      <c r="Q319" s="2">
        <v>46209</v>
      </c>
      <c r="R319">
        <v>160</v>
      </c>
      <c r="T319" t="s">
        <v>1604</v>
      </c>
      <c r="U319" t="b">
        <v>0</v>
      </c>
      <c r="V319" t="b">
        <v>1</v>
      </c>
    </row>
    <row r="320" spans="1:22" hidden="1" x14ac:dyDescent="0.25">
      <c r="B320" t="s">
        <v>1605</v>
      </c>
      <c r="C320" t="s">
        <v>960</v>
      </c>
      <c r="D320" t="s">
        <v>960</v>
      </c>
      <c r="E320" t="s">
        <v>23</v>
      </c>
      <c r="F320" t="s">
        <v>531</v>
      </c>
      <c r="G320" t="s">
        <v>961</v>
      </c>
      <c r="J320">
        <v>19.899999999999999</v>
      </c>
      <c r="K320">
        <v>0</v>
      </c>
      <c r="L320" t="b">
        <v>0</v>
      </c>
      <c r="M320">
        <v>18.5</v>
      </c>
      <c r="N320" t="s">
        <v>499</v>
      </c>
      <c r="O320" t="s">
        <v>500</v>
      </c>
      <c r="P320">
        <v>325</v>
      </c>
      <c r="Q320" s="2">
        <v>46209</v>
      </c>
      <c r="T320" t="s">
        <v>1606</v>
      </c>
      <c r="U320" t="b">
        <v>0</v>
      </c>
      <c r="V320" t="b">
        <v>0</v>
      </c>
    </row>
    <row r="321" spans="2:22" hidden="1" x14ac:dyDescent="0.25">
      <c r="B321" t="s">
        <v>1607</v>
      </c>
      <c r="C321" t="s">
        <v>960</v>
      </c>
      <c r="D321" t="s">
        <v>960</v>
      </c>
      <c r="E321" t="s">
        <v>207</v>
      </c>
      <c r="F321" t="s">
        <v>95</v>
      </c>
      <c r="G321" t="s">
        <v>961</v>
      </c>
      <c r="J321">
        <v>12.7</v>
      </c>
      <c r="K321">
        <v>0</v>
      </c>
      <c r="L321" t="b">
        <v>0</v>
      </c>
      <c r="M321">
        <v>9.9</v>
      </c>
      <c r="N321" t="s">
        <v>499</v>
      </c>
      <c r="O321" t="s">
        <v>500</v>
      </c>
      <c r="P321">
        <v>326</v>
      </c>
      <c r="Q321" s="2">
        <v>46209</v>
      </c>
      <c r="T321" t="s">
        <v>1608</v>
      </c>
      <c r="U321" t="b">
        <v>0</v>
      </c>
      <c r="V321" t="b">
        <v>0</v>
      </c>
    </row>
    <row r="322" spans="2:22" hidden="1" x14ac:dyDescent="0.25">
      <c r="B322" t="s">
        <v>1609</v>
      </c>
      <c r="C322" t="s">
        <v>960</v>
      </c>
      <c r="D322" t="s">
        <v>960</v>
      </c>
      <c r="E322" t="s">
        <v>23</v>
      </c>
      <c r="F322" t="s">
        <v>823</v>
      </c>
      <c r="G322" t="s">
        <v>961</v>
      </c>
      <c r="J322">
        <v>12.7</v>
      </c>
      <c r="K322">
        <v>9.9000000000000005E-2</v>
      </c>
      <c r="L322" t="b">
        <v>0</v>
      </c>
      <c r="M322">
        <v>9.9</v>
      </c>
      <c r="N322" t="s">
        <v>499</v>
      </c>
      <c r="O322" t="s">
        <v>500</v>
      </c>
      <c r="P322">
        <v>327</v>
      </c>
      <c r="Q322" s="2">
        <v>46209</v>
      </c>
      <c r="T322" t="s">
        <v>1610</v>
      </c>
      <c r="U322" t="b">
        <v>0</v>
      </c>
      <c r="V322" t="b">
        <v>0</v>
      </c>
    </row>
    <row r="323" spans="2:22" hidden="1" x14ac:dyDescent="0.25">
      <c r="B323" t="s">
        <v>1611</v>
      </c>
      <c r="C323" t="s">
        <v>960</v>
      </c>
      <c r="D323" t="s">
        <v>960</v>
      </c>
      <c r="E323" t="s">
        <v>23</v>
      </c>
      <c r="F323" t="s">
        <v>531</v>
      </c>
      <c r="G323" t="s">
        <v>961</v>
      </c>
      <c r="J323">
        <v>11.4</v>
      </c>
      <c r="K323">
        <v>0</v>
      </c>
      <c r="L323" t="b">
        <v>0</v>
      </c>
      <c r="M323">
        <v>9.9</v>
      </c>
      <c r="N323" t="s">
        <v>499</v>
      </c>
      <c r="O323" t="s">
        <v>500</v>
      </c>
      <c r="P323">
        <v>328</v>
      </c>
      <c r="Q323" s="2">
        <v>46209</v>
      </c>
      <c r="T323" t="s">
        <v>1612</v>
      </c>
      <c r="U323" t="b">
        <v>0</v>
      </c>
      <c r="V323" t="b">
        <v>0</v>
      </c>
    </row>
    <row r="324" spans="2:22" hidden="1" x14ac:dyDescent="0.25">
      <c r="B324" t="s">
        <v>1613</v>
      </c>
      <c r="C324" t="s">
        <v>960</v>
      </c>
      <c r="D324" t="s">
        <v>960</v>
      </c>
      <c r="E324" t="s">
        <v>207</v>
      </c>
      <c r="F324" t="s">
        <v>531</v>
      </c>
      <c r="G324" t="s">
        <v>961</v>
      </c>
      <c r="J324">
        <v>0.99</v>
      </c>
      <c r="K324">
        <v>0</v>
      </c>
      <c r="L324" t="b">
        <v>0</v>
      </c>
      <c r="M324">
        <v>0.99</v>
      </c>
      <c r="N324" t="s">
        <v>499</v>
      </c>
      <c r="O324" t="s">
        <v>500</v>
      </c>
      <c r="P324">
        <v>329</v>
      </c>
      <c r="Q324" s="2">
        <v>46209</v>
      </c>
      <c r="T324" t="s">
        <v>1614</v>
      </c>
      <c r="U324" t="b">
        <v>0</v>
      </c>
      <c r="V324" t="b">
        <v>0</v>
      </c>
    </row>
    <row r="325" spans="2:22" hidden="1" x14ac:dyDescent="0.25">
      <c r="B325" t="s">
        <v>1615</v>
      </c>
      <c r="C325" t="s">
        <v>960</v>
      </c>
      <c r="D325" t="s">
        <v>960</v>
      </c>
      <c r="E325" t="s">
        <v>207</v>
      </c>
      <c r="F325" t="s">
        <v>531</v>
      </c>
      <c r="G325" t="s">
        <v>961</v>
      </c>
      <c r="J325">
        <v>0.99</v>
      </c>
      <c r="K325">
        <v>0</v>
      </c>
      <c r="L325" t="b">
        <v>0</v>
      </c>
      <c r="M325">
        <v>0.99</v>
      </c>
      <c r="N325" t="s">
        <v>499</v>
      </c>
      <c r="O325" t="s">
        <v>500</v>
      </c>
      <c r="P325">
        <v>330</v>
      </c>
      <c r="Q325" s="2">
        <v>46209</v>
      </c>
      <c r="T325" t="s">
        <v>1616</v>
      </c>
      <c r="U325" t="b">
        <v>0</v>
      </c>
      <c r="V325" t="b">
        <v>0</v>
      </c>
    </row>
    <row r="326" spans="2:22" hidden="1" x14ac:dyDescent="0.25">
      <c r="B326" t="s">
        <v>1617</v>
      </c>
      <c r="C326" t="s">
        <v>960</v>
      </c>
      <c r="D326" t="s">
        <v>960</v>
      </c>
      <c r="E326" t="s">
        <v>207</v>
      </c>
      <c r="F326" t="s">
        <v>823</v>
      </c>
      <c r="G326" t="s">
        <v>961</v>
      </c>
      <c r="J326">
        <v>0.99</v>
      </c>
      <c r="K326">
        <v>0</v>
      </c>
      <c r="L326" t="b">
        <v>0</v>
      </c>
      <c r="M326">
        <v>0.99</v>
      </c>
      <c r="N326" t="s">
        <v>499</v>
      </c>
      <c r="O326" t="s">
        <v>500</v>
      </c>
      <c r="P326">
        <v>331</v>
      </c>
      <c r="Q326" s="2">
        <v>46209</v>
      </c>
      <c r="T326" t="s">
        <v>1618</v>
      </c>
      <c r="U326" t="b">
        <v>0</v>
      </c>
      <c r="V326" t="b">
        <v>0</v>
      </c>
    </row>
    <row r="327" spans="2:22" hidden="1" x14ac:dyDescent="0.25">
      <c r="B327" t="s">
        <v>1619</v>
      </c>
      <c r="C327" t="s">
        <v>960</v>
      </c>
      <c r="D327" t="s">
        <v>960</v>
      </c>
      <c r="E327" t="s">
        <v>207</v>
      </c>
      <c r="F327" t="s">
        <v>531</v>
      </c>
      <c r="G327" t="s">
        <v>961</v>
      </c>
      <c r="J327">
        <v>0.99</v>
      </c>
      <c r="K327">
        <v>0</v>
      </c>
      <c r="L327" t="b">
        <v>0</v>
      </c>
      <c r="M327">
        <v>0.99</v>
      </c>
      <c r="N327" t="s">
        <v>499</v>
      </c>
      <c r="O327" t="s">
        <v>500</v>
      </c>
      <c r="P327">
        <v>332</v>
      </c>
      <c r="Q327" s="2">
        <v>46209</v>
      </c>
      <c r="T327" t="s">
        <v>1620</v>
      </c>
      <c r="U327" t="b">
        <v>0</v>
      </c>
      <c r="V327" t="b">
        <v>0</v>
      </c>
    </row>
    <row r="328" spans="2:22" hidden="1" x14ac:dyDescent="0.25">
      <c r="B328" t="s">
        <v>1621</v>
      </c>
      <c r="C328" t="s">
        <v>960</v>
      </c>
      <c r="D328" t="s">
        <v>960</v>
      </c>
      <c r="E328" t="s">
        <v>207</v>
      </c>
      <c r="F328" t="s">
        <v>531</v>
      </c>
      <c r="G328" t="s">
        <v>961</v>
      </c>
      <c r="J328">
        <v>0.99</v>
      </c>
      <c r="K328">
        <v>0</v>
      </c>
      <c r="L328" t="b">
        <v>0</v>
      </c>
      <c r="M328">
        <v>0.99</v>
      </c>
      <c r="N328" t="s">
        <v>499</v>
      </c>
      <c r="O328" t="s">
        <v>500</v>
      </c>
      <c r="P328">
        <v>333</v>
      </c>
      <c r="Q328" s="2">
        <v>46209</v>
      </c>
      <c r="T328" t="s">
        <v>1622</v>
      </c>
      <c r="U328" t="b">
        <v>0</v>
      </c>
      <c r="V328" t="b">
        <v>0</v>
      </c>
    </row>
    <row r="329" spans="2:22" hidden="1" x14ac:dyDescent="0.25">
      <c r="B329" t="s">
        <v>1623</v>
      </c>
      <c r="C329" t="s">
        <v>960</v>
      </c>
      <c r="D329" t="s">
        <v>960</v>
      </c>
      <c r="E329" t="s">
        <v>207</v>
      </c>
      <c r="F329" t="s">
        <v>531</v>
      </c>
      <c r="G329" t="s">
        <v>961</v>
      </c>
      <c r="J329">
        <v>0.99</v>
      </c>
      <c r="K329">
        <v>0</v>
      </c>
      <c r="L329" t="b">
        <v>0</v>
      </c>
      <c r="M329">
        <v>0.99</v>
      </c>
      <c r="N329" t="s">
        <v>499</v>
      </c>
      <c r="O329" t="s">
        <v>500</v>
      </c>
      <c r="P329">
        <v>334</v>
      </c>
      <c r="Q329" s="2">
        <v>46209</v>
      </c>
      <c r="T329" t="s">
        <v>1624</v>
      </c>
      <c r="U329" t="b">
        <v>0</v>
      </c>
      <c r="V329" t="b">
        <v>0</v>
      </c>
    </row>
    <row r="330" spans="2:22" hidden="1" x14ac:dyDescent="0.25">
      <c r="B330" t="s">
        <v>1625</v>
      </c>
      <c r="C330" t="s">
        <v>960</v>
      </c>
      <c r="D330" t="s">
        <v>960</v>
      </c>
      <c r="E330" t="s">
        <v>23</v>
      </c>
      <c r="F330" t="s">
        <v>531</v>
      </c>
      <c r="G330" t="s">
        <v>961</v>
      </c>
      <c r="J330">
        <v>9.9</v>
      </c>
      <c r="K330">
        <v>0</v>
      </c>
      <c r="L330" t="b">
        <v>0</v>
      </c>
      <c r="M330">
        <v>9.4</v>
      </c>
      <c r="N330" t="s">
        <v>499</v>
      </c>
      <c r="O330" t="s">
        <v>500</v>
      </c>
      <c r="P330">
        <v>335</v>
      </c>
      <c r="Q330" s="2">
        <v>46209</v>
      </c>
      <c r="T330" t="s">
        <v>1626</v>
      </c>
      <c r="U330" t="b">
        <v>0</v>
      </c>
      <c r="V330" t="b">
        <v>0</v>
      </c>
    </row>
    <row r="331" spans="2:22" hidden="1" x14ac:dyDescent="0.25">
      <c r="B331" t="s">
        <v>1627</v>
      </c>
      <c r="C331" t="s">
        <v>960</v>
      </c>
      <c r="D331" t="s">
        <v>960</v>
      </c>
      <c r="E331" t="s">
        <v>207</v>
      </c>
      <c r="F331" t="s">
        <v>905</v>
      </c>
      <c r="G331" t="s">
        <v>961</v>
      </c>
      <c r="J331">
        <v>9.9</v>
      </c>
      <c r="K331">
        <v>0</v>
      </c>
      <c r="L331" t="b">
        <v>0</v>
      </c>
      <c r="M331">
        <v>9.9</v>
      </c>
      <c r="N331" t="s">
        <v>499</v>
      </c>
      <c r="O331" t="s">
        <v>500</v>
      </c>
      <c r="P331">
        <v>336</v>
      </c>
      <c r="Q331" s="2">
        <v>46209</v>
      </c>
      <c r="T331" t="s">
        <v>1628</v>
      </c>
      <c r="U331" t="b">
        <v>0</v>
      </c>
      <c r="V331" t="b">
        <v>0</v>
      </c>
    </row>
    <row r="332" spans="2:22" hidden="1" x14ac:dyDescent="0.25">
      <c r="B332" t="s">
        <v>1629</v>
      </c>
      <c r="C332" t="s">
        <v>960</v>
      </c>
      <c r="D332" t="s">
        <v>960</v>
      </c>
      <c r="E332" t="s">
        <v>207</v>
      </c>
      <c r="F332" t="s">
        <v>905</v>
      </c>
      <c r="G332" t="s">
        <v>961</v>
      </c>
      <c r="J332">
        <v>9.9</v>
      </c>
      <c r="K332">
        <v>0</v>
      </c>
      <c r="L332" t="b">
        <v>0</v>
      </c>
      <c r="M332">
        <v>9.9</v>
      </c>
      <c r="N332" t="s">
        <v>499</v>
      </c>
      <c r="O332" t="s">
        <v>500</v>
      </c>
      <c r="P332">
        <v>337</v>
      </c>
      <c r="Q332" s="2">
        <v>46209</v>
      </c>
      <c r="T332" t="s">
        <v>1630</v>
      </c>
      <c r="U332" t="b">
        <v>0</v>
      </c>
      <c r="V332" t="b">
        <v>0</v>
      </c>
    </row>
    <row r="333" spans="2:22" hidden="1" x14ac:dyDescent="0.25">
      <c r="B333" t="s">
        <v>1631</v>
      </c>
      <c r="C333" t="s">
        <v>960</v>
      </c>
      <c r="D333" t="s">
        <v>960</v>
      </c>
      <c r="E333" t="s">
        <v>23</v>
      </c>
      <c r="F333" t="s">
        <v>531</v>
      </c>
      <c r="G333" t="s">
        <v>961</v>
      </c>
      <c r="J333">
        <v>9.9</v>
      </c>
      <c r="K333">
        <v>0</v>
      </c>
      <c r="L333" t="b">
        <v>0</v>
      </c>
      <c r="M333">
        <v>9.9</v>
      </c>
      <c r="N333" t="s">
        <v>499</v>
      </c>
      <c r="O333" t="s">
        <v>500</v>
      </c>
      <c r="P333">
        <v>338</v>
      </c>
      <c r="Q333" s="2">
        <v>46209</v>
      </c>
      <c r="T333" t="s">
        <v>1632</v>
      </c>
      <c r="U333" t="b">
        <v>0</v>
      </c>
      <c r="V333" t="b">
        <v>0</v>
      </c>
    </row>
    <row r="334" spans="2:22" hidden="1" x14ac:dyDescent="0.25">
      <c r="B334" t="s">
        <v>1633</v>
      </c>
      <c r="C334" t="s">
        <v>960</v>
      </c>
      <c r="D334" t="s">
        <v>960</v>
      </c>
      <c r="E334" t="s">
        <v>23</v>
      </c>
      <c r="F334" t="s">
        <v>239</v>
      </c>
      <c r="G334" t="s">
        <v>961</v>
      </c>
      <c r="J334">
        <v>14.36</v>
      </c>
      <c r="K334">
        <v>0</v>
      </c>
      <c r="L334" t="b">
        <v>0</v>
      </c>
      <c r="M334">
        <v>13</v>
      </c>
      <c r="N334" t="s">
        <v>499</v>
      </c>
      <c r="O334" t="s">
        <v>500</v>
      </c>
      <c r="P334">
        <v>339</v>
      </c>
      <c r="Q334" s="2">
        <v>46209</v>
      </c>
      <c r="T334" t="s">
        <v>1634</v>
      </c>
      <c r="U334" t="b">
        <v>0</v>
      </c>
      <c r="V334" t="b">
        <v>0</v>
      </c>
    </row>
    <row r="335" spans="2:22" hidden="1" x14ac:dyDescent="0.25">
      <c r="B335" t="s">
        <v>1635</v>
      </c>
      <c r="C335" t="s">
        <v>960</v>
      </c>
      <c r="D335" t="s">
        <v>960</v>
      </c>
      <c r="E335" t="s">
        <v>23</v>
      </c>
      <c r="F335" t="s">
        <v>239</v>
      </c>
      <c r="G335" t="s">
        <v>961</v>
      </c>
      <c r="J335">
        <v>12.95</v>
      </c>
      <c r="K335">
        <v>0</v>
      </c>
      <c r="L335" t="b">
        <v>0</v>
      </c>
      <c r="M335">
        <v>11.95</v>
      </c>
      <c r="N335" t="s">
        <v>499</v>
      </c>
      <c r="O335" t="s">
        <v>500</v>
      </c>
      <c r="P335">
        <v>340</v>
      </c>
      <c r="Q335" s="2">
        <v>46209</v>
      </c>
      <c r="T335" t="s">
        <v>1636</v>
      </c>
      <c r="U335" t="b">
        <v>0</v>
      </c>
      <c r="V335" t="b">
        <v>0</v>
      </c>
    </row>
    <row r="336" spans="2:22" hidden="1" x14ac:dyDescent="0.25">
      <c r="B336" t="s">
        <v>1637</v>
      </c>
      <c r="C336" t="s">
        <v>960</v>
      </c>
      <c r="D336" t="s">
        <v>960</v>
      </c>
      <c r="E336" t="s">
        <v>207</v>
      </c>
      <c r="F336" t="s">
        <v>823</v>
      </c>
      <c r="G336" t="s">
        <v>961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499</v>
      </c>
      <c r="O336" t="s">
        <v>500</v>
      </c>
      <c r="P336">
        <v>341</v>
      </c>
      <c r="Q336" s="2">
        <v>46209</v>
      </c>
      <c r="T336" t="s">
        <v>1638</v>
      </c>
      <c r="U336" t="b">
        <v>0</v>
      </c>
      <c r="V336" t="b">
        <v>0</v>
      </c>
    </row>
    <row r="337" spans="1:22" hidden="1" x14ac:dyDescent="0.25">
      <c r="B337" t="s">
        <v>1639</v>
      </c>
      <c r="C337" t="s">
        <v>960</v>
      </c>
      <c r="D337" t="s">
        <v>960</v>
      </c>
      <c r="E337" t="s">
        <v>23</v>
      </c>
      <c r="F337" t="s">
        <v>822</v>
      </c>
      <c r="G337" t="s">
        <v>961</v>
      </c>
      <c r="J337">
        <v>11.4</v>
      </c>
      <c r="K337">
        <v>0</v>
      </c>
      <c r="L337" t="b">
        <v>0</v>
      </c>
      <c r="M337">
        <v>9.9</v>
      </c>
      <c r="N337" t="s">
        <v>499</v>
      </c>
      <c r="O337" t="s">
        <v>500</v>
      </c>
      <c r="P337">
        <v>342</v>
      </c>
      <c r="Q337" s="2">
        <v>46209</v>
      </c>
      <c r="T337" t="s">
        <v>1640</v>
      </c>
      <c r="U337" t="b">
        <v>0</v>
      </c>
      <c r="V337" t="b">
        <v>0</v>
      </c>
    </row>
    <row r="338" spans="1:22" hidden="1" x14ac:dyDescent="0.25">
      <c r="B338" t="s">
        <v>1641</v>
      </c>
      <c r="C338" t="s">
        <v>960</v>
      </c>
      <c r="D338" t="s">
        <v>960</v>
      </c>
      <c r="E338" t="s">
        <v>23</v>
      </c>
      <c r="F338" t="s">
        <v>240</v>
      </c>
      <c r="G338" t="s">
        <v>961</v>
      </c>
      <c r="J338">
        <v>10.5</v>
      </c>
      <c r="K338">
        <v>0</v>
      </c>
      <c r="L338" t="b">
        <v>0</v>
      </c>
      <c r="M338">
        <v>8</v>
      </c>
      <c r="N338" t="s">
        <v>499</v>
      </c>
      <c r="O338" t="s">
        <v>500</v>
      </c>
      <c r="P338">
        <v>343</v>
      </c>
      <c r="Q338" s="2">
        <v>46209</v>
      </c>
      <c r="T338" t="s">
        <v>1642</v>
      </c>
      <c r="U338" t="b">
        <v>0</v>
      </c>
      <c r="V338" t="b">
        <v>0</v>
      </c>
    </row>
    <row r="339" spans="1:22" x14ac:dyDescent="0.25">
      <c r="A339" t="s">
        <v>1643</v>
      </c>
      <c r="B339" t="s">
        <v>1644</v>
      </c>
      <c r="C339" t="s">
        <v>960</v>
      </c>
      <c r="D339" t="s">
        <v>960</v>
      </c>
      <c r="E339" t="s">
        <v>207</v>
      </c>
      <c r="F339" t="s">
        <v>927</v>
      </c>
      <c r="G339" t="s">
        <v>961</v>
      </c>
      <c r="J339">
        <v>35</v>
      </c>
      <c r="K339">
        <v>1</v>
      </c>
      <c r="L339" t="b">
        <v>0</v>
      </c>
      <c r="M339">
        <v>35</v>
      </c>
      <c r="N339" t="s">
        <v>499</v>
      </c>
      <c r="O339" t="s">
        <v>500</v>
      </c>
      <c r="P339">
        <v>344</v>
      </c>
      <c r="Q339" s="2">
        <v>46209</v>
      </c>
      <c r="R339">
        <v>35</v>
      </c>
      <c r="T339" t="s">
        <v>1645</v>
      </c>
      <c r="U339" t="b">
        <v>0</v>
      </c>
      <c r="V339" t="b">
        <v>1</v>
      </c>
    </row>
    <row r="340" spans="1:22" hidden="1" x14ac:dyDescent="0.25">
      <c r="B340" t="s">
        <v>1646</v>
      </c>
      <c r="C340" t="s">
        <v>960</v>
      </c>
      <c r="D340" t="s">
        <v>960</v>
      </c>
      <c r="E340" t="s">
        <v>23</v>
      </c>
      <c r="F340" t="s">
        <v>927</v>
      </c>
      <c r="G340" t="s">
        <v>961</v>
      </c>
      <c r="J340">
        <v>4.5149999999999997</v>
      </c>
      <c r="K340">
        <v>0</v>
      </c>
      <c r="L340" t="b">
        <v>0</v>
      </c>
      <c r="M340">
        <v>4</v>
      </c>
      <c r="N340" t="s">
        <v>499</v>
      </c>
      <c r="O340" t="s">
        <v>500</v>
      </c>
      <c r="P340">
        <v>345</v>
      </c>
      <c r="Q340" s="2">
        <v>46209</v>
      </c>
      <c r="T340" t="s">
        <v>1647</v>
      </c>
      <c r="U340" t="b">
        <v>0</v>
      </c>
      <c r="V340" t="b">
        <v>0</v>
      </c>
    </row>
    <row r="341" spans="1:22" hidden="1" x14ac:dyDescent="0.25">
      <c r="B341" t="s">
        <v>1648</v>
      </c>
      <c r="C341" t="s">
        <v>960</v>
      </c>
      <c r="D341" t="s">
        <v>960</v>
      </c>
      <c r="E341" t="s">
        <v>23</v>
      </c>
      <c r="F341" t="s">
        <v>531</v>
      </c>
      <c r="G341" t="s">
        <v>961</v>
      </c>
      <c r="J341">
        <v>11.4</v>
      </c>
      <c r="K341">
        <v>0</v>
      </c>
      <c r="L341" t="b">
        <v>0</v>
      </c>
      <c r="M341">
        <v>9.9</v>
      </c>
      <c r="N341" t="s">
        <v>499</v>
      </c>
      <c r="O341" t="s">
        <v>500</v>
      </c>
      <c r="P341">
        <v>346</v>
      </c>
      <c r="Q341" s="2">
        <v>46209</v>
      </c>
      <c r="T341" t="s">
        <v>1649</v>
      </c>
      <c r="U341" t="b">
        <v>0</v>
      </c>
      <c r="V341" t="b">
        <v>0</v>
      </c>
    </row>
    <row r="342" spans="1:22" hidden="1" x14ac:dyDescent="0.25">
      <c r="B342" t="s">
        <v>1650</v>
      </c>
      <c r="C342" t="s">
        <v>960</v>
      </c>
      <c r="D342" t="s">
        <v>960</v>
      </c>
      <c r="E342" t="s">
        <v>23</v>
      </c>
      <c r="F342" t="s">
        <v>531</v>
      </c>
      <c r="G342" t="s">
        <v>961</v>
      </c>
      <c r="J342">
        <v>12.7</v>
      </c>
      <c r="K342">
        <v>0</v>
      </c>
      <c r="L342" t="b">
        <v>0</v>
      </c>
      <c r="M342">
        <v>9.9</v>
      </c>
      <c r="N342" t="s">
        <v>499</v>
      </c>
      <c r="O342" t="s">
        <v>500</v>
      </c>
      <c r="P342">
        <v>347</v>
      </c>
      <c r="Q342" s="2">
        <v>46209</v>
      </c>
      <c r="T342" t="s">
        <v>1651</v>
      </c>
      <c r="U342" t="b">
        <v>0</v>
      </c>
      <c r="V342" t="b">
        <v>0</v>
      </c>
    </row>
    <row r="343" spans="1:22" hidden="1" x14ac:dyDescent="0.25">
      <c r="B343" t="s">
        <v>544</v>
      </c>
      <c r="C343" t="s">
        <v>960</v>
      </c>
      <c r="D343" t="s">
        <v>960</v>
      </c>
      <c r="E343" t="s">
        <v>23</v>
      </c>
      <c r="F343" t="s">
        <v>579</v>
      </c>
      <c r="G343" t="s">
        <v>961</v>
      </c>
      <c r="J343">
        <v>23.31</v>
      </c>
      <c r="K343">
        <v>1.99</v>
      </c>
      <c r="L343" t="b">
        <v>0</v>
      </c>
      <c r="M343">
        <v>19.899999999999999</v>
      </c>
      <c r="N343" t="s">
        <v>499</v>
      </c>
      <c r="O343" t="s">
        <v>500</v>
      </c>
      <c r="P343">
        <v>348</v>
      </c>
      <c r="Q343" s="2">
        <v>46209</v>
      </c>
      <c r="T343" t="s">
        <v>1652</v>
      </c>
      <c r="U343" t="b">
        <v>0</v>
      </c>
      <c r="V343" t="b">
        <v>0</v>
      </c>
    </row>
    <row r="344" spans="1:22" hidden="1" x14ac:dyDescent="0.25">
      <c r="B344" t="s">
        <v>1653</v>
      </c>
      <c r="C344" t="s">
        <v>960</v>
      </c>
      <c r="D344" t="s">
        <v>960</v>
      </c>
      <c r="E344" t="s">
        <v>23</v>
      </c>
      <c r="F344" t="s">
        <v>579</v>
      </c>
      <c r="G344" t="s">
        <v>961</v>
      </c>
      <c r="J344">
        <v>23.32</v>
      </c>
      <c r="K344">
        <v>1.99</v>
      </c>
      <c r="L344" t="b">
        <v>0</v>
      </c>
      <c r="M344">
        <v>19.899999999999999</v>
      </c>
      <c r="N344" t="s">
        <v>499</v>
      </c>
      <c r="O344" t="s">
        <v>500</v>
      </c>
      <c r="P344">
        <v>349</v>
      </c>
      <c r="Q344" s="2">
        <v>46209</v>
      </c>
      <c r="T344" t="s">
        <v>1654</v>
      </c>
      <c r="U344" t="b">
        <v>0</v>
      </c>
      <c r="V344" t="b">
        <v>0</v>
      </c>
    </row>
    <row r="345" spans="1:22" hidden="1" x14ac:dyDescent="0.25">
      <c r="B345" t="s">
        <v>1655</v>
      </c>
      <c r="C345" t="s">
        <v>960</v>
      </c>
      <c r="D345" t="s">
        <v>960</v>
      </c>
      <c r="E345" t="s">
        <v>23</v>
      </c>
      <c r="F345" t="s">
        <v>579</v>
      </c>
      <c r="G345" t="s">
        <v>961</v>
      </c>
      <c r="J345">
        <v>23.31</v>
      </c>
      <c r="K345">
        <v>1.99</v>
      </c>
      <c r="L345" t="b">
        <v>0</v>
      </c>
      <c r="M345">
        <v>19.899999999999999</v>
      </c>
      <c r="N345" t="s">
        <v>499</v>
      </c>
      <c r="O345" t="s">
        <v>500</v>
      </c>
      <c r="P345">
        <v>350</v>
      </c>
      <c r="Q345" s="2">
        <v>46209</v>
      </c>
      <c r="T345" t="s">
        <v>1656</v>
      </c>
      <c r="U345" t="b">
        <v>0</v>
      </c>
      <c r="V345" t="b">
        <v>0</v>
      </c>
    </row>
    <row r="346" spans="1:22" hidden="1" x14ac:dyDescent="0.25">
      <c r="B346" t="s">
        <v>1657</v>
      </c>
      <c r="C346" t="s">
        <v>960</v>
      </c>
      <c r="D346" t="s">
        <v>960</v>
      </c>
      <c r="E346" t="s">
        <v>207</v>
      </c>
      <c r="F346" t="s">
        <v>94</v>
      </c>
      <c r="G346" t="s">
        <v>961</v>
      </c>
      <c r="J346">
        <v>1.38</v>
      </c>
      <c r="K346">
        <v>0</v>
      </c>
      <c r="L346" t="b">
        <v>0</v>
      </c>
      <c r="M346">
        <v>0.996</v>
      </c>
      <c r="N346" t="s">
        <v>499</v>
      </c>
      <c r="O346" t="s">
        <v>500</v>
      </c>
      <c r="P346">
        <v>351</v>
      </c>
      <c r="Q346" s="2">
        <v>46209</v>
      </c>
      <c r="T346" t="s">
        <v>1658</v>
      </c>
      <c r="U346" t="b">
        <v>0</v>
      </c>
      <c r="V346" t="b">
        <v>0</v>
      </c>
    </row>
    <row r="347" spans="1:22" hidden="1" x14ac:dyDescent="0.25">
      <c r="B347" t="s">
        <v>1659</v>
      </c>
      <c r="C347" t="s">
        <v>960</v>
      </c>
      <c r="D347" t="s">
        <v>960</v>
      </c>
      <c r="E347" t="s">
        <v>23</v>
      </c>
      <c r="F347" t="s">
        <v>95</v>
      </c>
      <c r="G347" t="s">
        <v>961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499</v>
      </c>
      <c r="O347" t="s">
        <v>500</v>
      </c>
      <c r="P347">
        <v>352</v>
      </c>
      <c r="Q347" s="2">
        <v>46209</v>
      </c>
      <c r="T347" t="s">
        <v>1660</v>
      </c>
      <c r="U347" t="b">
        <v>0</v>
      </c>
      <c r="V347" t="b">
        <v>0</v>
      </c>
    </row>
    <row r="348" spans="1:22" hidden="1" x14ac:dyDescent="0.25">
      <c r="B348" t="s">
        <v>1661</v>
      </c>
      <c r="C348" t="s">
        <v>960</v>
      </c>
      <c r="D348" t="s">
        <v>960</v>
      </c>
      <c r="E348" t="s">
        <v>23</v>
      </c>
      <c r="F348" t="s">
        <v>95</v>
      </c>
      <c r="G348" t="s">
        <v>961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499</v>
      </c>
      <c r="O348" t="s">
        <v>500</v>
      </c>
      <c r="P348">
        <v>353</v>
      </c>
      <c r="Q348" s="2">
        <v>46209</v>
      </c>
      <c r="T348" t="s">
        <v>1662</v>
      </c>
      <c r="U348" t="b">
        <v>0</v>
      </c>
      <c r="V348" t="b">
        <v>0</v>
      </c>
    </row>
    <row r="349" spans="1:22" hidden="1" x14ac:dyDescent="0.25">
      <c r="B349" t="s">
        <v>1663</v>
      </c>
      <c r="C349" t="s">
        <v>960</v>
      </c>
      <c r="D349" t="s">
        <v>960</v>
      </c>
      <c r="E349" t="s">
        <v>23</v>
      </c>
      <c r="F349" t="s">
        <v>95</v>
      </c>
      <c r="G349" t="s">
        <v>961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499</v>
      </c>
      <c r="O349" t="s">
        <v>500</v>
      </c>
      <c r="P349">
        <v>354</v>
      </c>
      <c r="Q349" s="2">
        <v>46209</v>
      </c>
      <c r="T349" t="s">
        <v>1664</v>
      </c>
      <c r="U349" t="b">
        <v>0</v>
      </c>
      <c r="V349" t="b">
        <v>0</v>
      </c>
    </row>
    <row r="350" spans="1:22" hidden="1" x14ac:dyDescent="0.25">
      <c r="B350" t="s">
        <v>1665</v>
      </c>
      <c r="C350" t="s">
        <v>960</v>
      </c>
      <c r="D350" t="s">
        <v>960</v>
      </c>
      <c r="E350" t="s">
        <v>23</v>
      </c>
      <c r="F350" t="s">
        <v>822</v>
      </c>
      <c r="G350" t="s">
        <v>961</v>
      </c>
      <c r="J350">
        <v>15.5</v>
      </c>
      <c r="K350">
        <v>0</v>
      </c>
      <c r="L350" t="b">
        <v>0</v>
      </c>
      <c r="M350">
        <v>15.5</v>
      </c>
      <c r="N350" t="s">
        <v>499</v>
      </c>
      <c r="O350" t="s">
        <v>500</v>
      </c>
      <c r="P350">
        <v>355</v>
      </c>
      <c r="Q350" s="2">
        <v>46209</v>
      </c>
      <c r="T350" t="s">
        <v>1666</v>
      </c>
      <c r="U350" t="b">
        <v>0</v>
      </c>
      <c r="V350" t="b">
        <v>0</v>
      </c>
    </row>
    <row r="351" spans="1:22" hidden="1" x14ac:dyDescent="0.25">
      <c r="B351" t="s">
        <v>16</v>
      </c>
      <c r="C351" t="s">
        <v>1667</v>
      </c>
      <c r="D351" t="s">
        <v>1667</v>
      </c>
      <c r="E351" t="s">
        <v>23</v>
      </c>
      <c r="F351" t="s">
        <v>94</v>
      </c>
      <c r="G351" t="s">
        <v>961</v>
      </c>
      <c r="H351" t="s">
        <v>29</v>
      </c>
      <c r="J351">
        <v>9.6</v>
      </c>
      <c r="K351">
        <v>0.48</v>
      </c>
      <c r="L351" t="b">
        <v>0</v>
      </c>
      <c r="M351">
        <v>9.1</v>
      </c>
      <c r="N351" t="s">
        <v>12</v>
      </c>
      <c r="O351" t="s">
        <v>13</v>
      </c>
      <c r="P351">
        <v>7</v>
      </c>
      <c r="Q351" s="2">
        <v>46209</v>
      </c>
      <c r="T351" t="s">
        <v>1668</v>
      </c>
      <c r="U351" t="b">
        <v>0</v>
      </c>
      <c r="V351" t="b">
        <v>0</v>
      </c>
    </row>
    <row r="352" spans="1:22" hidden="1" x14ac:dyDescent="0.25">
      <c r="B352" t="s">
        <v>17</v>
      </c>
      <c r="C352" t="s">
        <v>1667</v>
      </c>
      <c r="D352" t="s">
        <v>1667</v>
      </c>
      <c r="E352" t="s">
        <v>23</v>
      </c>
      <c r="F352" t="s">
        <v>95</v>
      </c>
      <c r="G352" t="s">
        <v>961</v>
      </c>
      <c r="H352" t="s">
        <v>30</v>
      </c>
      <c r="J352">
        <v>20</v>
      </c>
      <c r="K352">
        <v>0.4</v>
      </c>
      <c r="L352" t="b">
        <v>0</v>
      </c>
      <c r="M352">
        <v>19.899999999999999</v>
      </c>
      <c r="N352" t="s">
        <v>12</v>
      </c>
      <c r="O352" t="s">
        <v>13</v>
      </c>
      <c r="P352">
        <v>8</v>
      </c>
      <c r="Q352" s="2">
        <v>46209</v>
      </c>
      <c r="T352" t="s">
        <v>1669</v>
      </c>
      <c r="U352" t="b">
        <v>0</v>
      </c>
      <c r="V352" t="b">
        <v>0</v>
      </c>
    </row>
    <row r="353" spans="2:22" hidden="1" x14ac:dyDescent="0.25">
      <c r="B353" t="s">
        <v>18</v>
      </c>
      <c r="C353" t="s">
        <v>1667</v>
      </c>
      <c r="D353" t="s">
        <v>1667</v>
      </c>
      <c r="E353" t="s">
        <v>23</v>
      </c>
      <c r="F353" t="s">
        <v>95</v>
      </c>
      <c r="G353" t="s">
        <v>961</v>
      </c>
      <c r="H353" t="s">
        <v>31</v>
      </c>
      <c r="J353">
        <v>13.438000000000001</v>
      </c>
      <c r="K353">
        <v>0.35</v>
      </c>
      <c r="L353" t="b">
        <v>0</v>
      </c>
      <c r="M353">
        <v>12</v>
      </c>
      <c r="N353" t="s">
        <v>12</v>
      </c>
      <c r="O353" t="s">
        <v>13</v>
      </c>
      <c r="P353">
        <v>9</v>
      </c>
      <c r="Q353" s="2">
        <v>46209</v>
      </c>
      <c r="T353" t="s">
        <v>1670</v>
      </c>
      <c r="U353" t="b">
        <v>0</v>
      </c>
      <c r="V353" t="b">
        <v>0</v>
      </c>
    </row>
  </sheetData>
  <autoFilter ref="A1:T353" xr:uid="{00000000-0009-0000-0000-000002000000}">
    <filterColumn colId="0">
      <customFilters>
        <customFilter operator="notEqual" val=" "/>
      </customFilters>
    </filterColumn>
    <filterColumn colId="4">
      <filters>
        <filter val="Operación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900"/>
  <sheetViews>
    <sheetView workbookViewId="0">
      <pane ySplit="1" topLeftCell="A521" activePane="bottomLeft" state="frozen"/>
      <selection pane="bottomLeft" activeCell="C450" sqref="A1:Y900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943</v>
      </c>
      <c r="B1" s="1" t="s">
        <v>944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947</v>
      </c>
      <c r="H1" s="1" t="s">
        <v>834</v>
      </c>
      <c r="I1" s="1" t="s">
        <v>948</v>
      </c>
      <c r="J1" s="1" t="s">
        <v>949</v>
      </c>
      <c r="K1" s="1" t="s">
        <v>950</v>
      </c>
      <c r="L1" s="1" t="s">
        <v>952</v>
      </c>
      <c r="M1" s="1" t="s">
        <v>953</v>
      </c>
      <c r="N1" s="1" t="s">
        <v>954</v>
      </c>
      <c r="O1" s="1" t="s">
        <v>1675</v>
      </c>
      <c r="P1" s="1" t="s">
        <v>951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956</v>
      </c>
      <c r="Y1" s="1" t="s">
        <v>957</v>
      </c>
    </row>
    <row r="2" spans="1:25" hidden="1" x14ac:dyDescent="0.25">
      <c r="A2" t="s">
        <v>1095</v>
      </c>
      <c r="B2" t="s">
        <v>542</v>
      </c>
      <c r="C2" t="s">
        <v>960</v>
      </c>
      <c r="D2" t="s">
        <v>1683</v>
      </c>
      <c r="E2" t="s">
        <v>535</v>
      </c>
      <c r="F2" t="s">
        <v>542</v>
      </c>
      <c r="G2" t="s">
        <v>207</v>
      </c>
      <c r="H2" t="s">
        <v>95</v>
      </c>
      <c r="I2" t="s">
        <v>961</v>
      </c>
      <c r="L2" t="s">
        <v>532</v>
      </c>
      <c r="M2" t="s">
        <v>533</v>
      </c>
      <c r="N2">
        <v>7</v>
      </c>
      <c r="V2">
        <v>85086</v>
      </c>
      <c r="W2" t="b">
        <v>1</v>
      </c>
      <c r="Y2" t="s">
        <v>1684</v>
      </c>
    </row>
    <row r="3" spans="1:25" hidden="1" x14ac:dyDescent="0.25">
      <c r="B3" t="s">
        <v>543</v>
      </c>
      <c r="C3" t="s">
        <v>960</v>
      </c>
      <c r="D3" t="s">
        <v>1683</v>
      </c>
      <c r="E3" t="s">
        <v>536</v>
      </c>
      <c r="F3" t="s">
        <v>543</v>
      </c>
      <c r="G3" t="s">
        <v>23</v>
      </c>
      <c r="H3" t="s">
        <v>240</v>
      </c>
      <c r="I3" t="s">
        <v>961</v>
      </c>
      <c r="L3" t="s">
        <v>532</v>
      </c>
      <c r="M3" t="s">
        <v>533</v>
      </c>
      <c r="N3">
        <v>8</v>
      </c>
      <c r="W3" t="b">
        <v>0</v>
      </c>
      <c r="X3" t="s">
        <v>1685</v>
      </c>
      <c r="Y3" t="s">
        <v>1686</v>
      </c>
    </row>
    <row r="4" spans="1:25" hidden="1" x14ac:dyDescent="0.25">
      <c r="B4" t="s">
        <v>544</v>
      </c>
      <c r="C4" t="s">
        <v>960</v>
      </c>
      <c r="D4" t="s">
        <v>1683</v>
      </c>
      <c r="E4" t="s">
        <v>537</v>
      </c>
      <c r="F4" t="s">
        <v>544</v>
      </c>
      <c r="G4" t="s">
        <v>23</v>
      </c>
      <c r="H4" t="s">
        <v>579</v>
      </c>
      <c r="I4" t="s">
        <v>961</v>
      </c>
      <c r="L4" t="s">
        <v>532</v>
      </c>
      <c r="M4" t="s">
        <v>533</v>
      </c>
      <c r="N4">
        <v>9</v>
      </c>
      <c r="W4" t="b">
        <v>0</v>
      </c>
      <c r="X4" t="s">
        <v>1685</v>
      </c>
      <c r="Y4" t="s">
        <v>1687</v>
      </c>
    </row>
    <row r="5" spans="1:25" hidden="1" x14ac:dyDescent="0.25">
      <c r="B5" t="s">
        <v>1653</v>
      </c>
      <c r="C5" t="s">
        <v>960</v>
      </c>
      <c r="D5" t="s">
        <v>1683</v>
      </c>
      <c r="E5" t="s">
        <v>1688</v>
      </c>
      <c r="F5" t="s">
        <v>1653</v>
      </c>
      <c r="G5" t="s">
        <v>23</v>
      </c>
      <c r="H5" t="s">
        <v>579</v>
      </c>
      <c r="I5" t="s">
        <v>961</v>
      </c>
      <c r="L5" t="s">
        <v>532</v>
      </c>
      <c r="M5" t="s">
        <v>533</v>
      </c>
      <c r="N5">
        <v>10</v>
      </c>
      <c r="W5" t="b">
        <v>0</v>
      </c>
      <c r="X5" t="s">
        <v>1685</v>
      </c>
      <c r="Y5" t="s">
        <v>1689</v>
      </c>
    </row>
    <row r="6" spans="1:25" hidden="1" x14ac:dyDescent="0.25">
      <c r="B6" t="s">
        <v>1655</v>
      </c>
      <c r="C6" t="s">
        <v>960</v>
      </c>
      <c r="D6" t="s">
        <v>1683</v>
      </c>
      <c r="E6" t="s">
        <v>1690</v>
      </c>
      <c r="F6" t="s">
        <v>1655</v>
      </c>
      <c r="G6" t="s">
        <v>23</v>
      </c>
      <c r="H6" t="s">
        <v>579</v>
      </c>
      <c r="I6" t="s">
        <v>961</v>
      </c>
      <c r="L6" t="s">
        <v>532</v>
      </c>
      <c r="M6" t="s">
        <v>533</v>
      </c>
      <c r="N6">
        <v>11</v>
      </c>
      <c r="W6" t="b">
        <v>0</v>
      </c>
      <c r="X6" t="s">
        <v>1685</v>
      </c>
      <c r="Y6" t="s">
        <v>1691</v>
      </c>
    </row>
    <row r="7" spans="1:25" hidden="1" x14ac:dyDescent="0.25">
      <c r="B7" t="s">
        <v>1587</v>
      </c>
      <c r="C7" t="s">
        <v>960</v>
      </c>
      <c r="D7" t="s">
        <v>1683</v>
      </c>
      <c r="E7" t="s">
        <v>1692</v>
      </c>
      <c r="F7" t="s">
        <v>1587</v>
      </c>
      <c r="G7" t="s">
        <v>23</v>
      </c>
      <c r="H7" t="s">
        <v>822</v>
      </c>
      <c r="I7" t="s">
        <v>961</v>
      </c>
      <c r="L7" t="s">
        <v>532</v>
      </c>
      <c r="M7" t="s">
        <v>533</v>
      </c>
      <c r="N7">
        <v>12</v>
      </c>
      <c r="W7" t="b">
        <v>0</v>
      </c>
      <c r="X7" t="s">
        <v>1685</v>
      </c>
      <c r="Y7" t="s">
        <v>1693</v>
      </c>
    </row>
    <row r="8" spans="1:25" hidden="1" x14ac:dyDescent="0.25">
      <c r="A8" t="s">
        <v>1489</v>
      </c>
      <c r="B8" t="s">
        <v>1490</v>
      </c>
      <c r="C8" t="s">
        <v>960</v>
      </c>
      <c r="D8" t="s">
        <v>1683</v>
      </c>
      <c r="E8" t="s">
        <v>1694</v>
      </c>
      <c r="F8" t="s">
        <v>1490</v>
      </c>
      <c r="G8" t="s">
        <v>207</v>
      </c>
      <c r="H8" t="s">
        <v>95</v>
      </c>
      <c r="I8" t="s">
        <v>961</v>
      </c>
      <c r="L8" t="s">
        <v>532</v>
      </c>
      <c r="M8" t="s">
        <v>533</v>
      </c>
      <c r="N8">
        <v>13</v>
      </c>
      <c r="V8">
        <v>85086.01</v>
      </c>
      <c r="W8" t="b">
        <v>1</v>
      </c>
      <c r="Y8" t="s">
        <v>1695</v>
      </c>
    </row>
    <row r="9" spans="1:25" hidden="1" x14ac:dyDescent="0.25">
      <c r="B9" t="s">
        <v>1444</v>
      </c>
      <c r="C9" t="s">
        <v>960</v>
      </c>
      <c r="D9" t="s">
        <v>1683</v>
      </c>
      <c r="E9" t="s">
        <v>1696</v>
      </c>
      <c r="F9" t="s">
        <v>1444</v>
      </c>
      <c r="G9" t="s">
        <v>23</v>
      </c>
      <c r="H9" t="s">
        <v>897</v>
      </c>
      <c r="I9" t="s">
        <v>961</v>
      </c>
      <c r="L9" t="s">
        <v>532</v>
      </c>
      <c r="M9" t="s">
        <v>533</v>
      </c>
      <c r="N9">
        <v>14</v>
      </c>
      <c r="W9" t="b">
        <v>0</v>
      </c>
      <c r="X9" t="s">
        <v>1685</v>
      </c>
      <c r="Y9" t="s">
        <v>1697</v>
      </c>
    </row>
    <row r="10" spans="1:25" hidden="1" x14ac:dyDescent="0.25">
      <c r="B10" t="s">
        <v>1485</v>
      </c>
      <c r="C10" t="s">
        <v>960</v>
      </c>
      <c r="D10" t="s">
        <v>1683</v>
      </c>
      <c r="E10" t="s">
        <v>1698</v>
      </c>
      <c r="F10" t="s">
        <v>1485</v>
      </c>
      <c r="G10" t="s">
        <v>23</v>
      </c>
      <c r="H10" t="s">
        <v>531</v>
      </c>
      <c r="I10" t="s">
        <v>961</v>
      </c>
      <c r="L10" t="s">
        <v>532</v>
      </c>
      <c r="M10" t="s">
        <v>533</v>
      </c>
      <c r="N10">
        <v>15</v>
      </c>
      <c r="W10" t="b">
        <v>0</v>
      </c>
      <c r="X10" t="s">
        <v>1685</v>
      </c>
      <c r="Y10" t="s">
        <v>1699</v>
      </c>
    </row>
    <row r="11" spans="1:25" hidden="1" x14ac:dyDescent="0.25">
      <c r="B11" t="s">
        <v>1069</v>
      </c>
      <c r="C11" t="s">
        <v>960</v>
      </c>
      <c r="D11" t="s">
        <v>1683</v>
      </c>
      <c r="E11" t="s">
        <v>1700</v>
      </c>
      <c r="F11" t="s">
        <v>1069</v>
      </c>
      <c r="G11" t="s">
        <v>23</v>
      </c>
      <c r="H11" t="s">
        <v>239</v>
      </c>
      <c r="I11" t="s">
        <v>961</v>
      </c>
      <c r="L11" t="s">
        <v>532</v>
      </c>
      <c r="M11" t="s">
        <v>533</v>
      </c>
      <c r="N11">
        <v>16</v>
      </c>
      <c r="W11" t="b">
        <v>0</v>
      </c>
      <c r="X11" t="s">
        <v>1685</v>
      </c>
      <c r="Y11" t="s">
        <v>1701</v>
      </c>
    </row>
    <row r="12" spans="1:25" hidden="1" x14ac:dyDescent="0.25">
      <c r="B12" t="s">
        <v>1051</v>
      </c>
      <c r="C12" t="s">
        <v>960</v>
      </c>
      <c r="D12" t="s">
        <v>1683</v>
      </c>
      <c r="E12" t="s">
        <v>1702</v>
      </c>
      <c r="F12" t="s">
        <v>1051</v>
      </c>
      <c r="G12" t="s">
        <v>23</v>
      </c>
      <c r="H12" t="s">
        <v>822</v>
      </c>
      <c r="I12" t="s">
        <v>961</v>
      </c>
      <c r="L12" t="s">
        <v>532</v>
      </c>
      <c r="M12" t="s">
        <v>533</v>
      </c>
      <c r="N12">
        <v>17</v>
      </c>
      <c r="W12" t="b">
        <v>0</v>
      </c>
      <c r="X12" t="s">
        <v>1685</v>
      </c>
      <c r="Y12" t="s">
        <v>1703</v>
      </c>
    </row>
    <row r="13" spans="1:25" hidden="1" x14ac:dyDescent="0.25">
      <c r="B13" t="s">
        <v>1055</v>
      </c>
      <c r="C13" t="s">
        <v>960</v>
      </c>
      <c r="D13" t="s">
        <v>1683</v>
      </c>
      <c r="E13" t="s">
        <v>1704</v>
      </c>
      <c r="F13" t="s">
        <v>1055</v>
      </c>
      <c r="G13" t="s">
        <v>23</v>
      </c>
      <c r="H13" t="s">
        <v>239</v>
      </c>
      <c r="I13" t="s">
        <v>961</v>
      </c>
      <c r="L13" t="s">
        <v>532</v>
      </c>
      <c r="M13" t="s">
        <v>533</v>
      </c>
      <c r="N13">
        <v>18</v>
      </c>
      <c r="W13" t="b">
        <v>0</v>
      </c>
      <c r="X13" t="s">
        <v>1685</v>
      </c>
      <c r="Y13" t="s">
        <v>1705</v>
      </c>
    </row>
    <row r="14" spans="1:25" hidden="1" x14ac:dyDescent="0.25">
      <c r="B14" t="s">
        <v>992</v>
      </c>
      <c r="C14" t="s">
        <v>960</v>
      </c>
      <c r="D14" t="s">
        <v>1683</v>
      </c>
      <c r="E14" t="s">
        <v>1706</v>
      </c>
      <c r="F14" t="s">
        <v>992</v>
      </c>
      <c r="G14" t="s">
        <v>23</v>
      </c>
      <c r="H14" t="s">
        <v>239</v>
      </c>
      <c r="I14" t="s">
        <v>961</v>
      </c>
      <c r="L14" t="s">
        <v>532</v>
      </c>
      <c r="M14" t="s">
        <v>533</v>
      </c>
      <c r="N14">
        <v>19</v>
      </c>
      <c r="W14" t="b">
        <v>0</v>
      </c>
      <c r="X14" t="s">
        <v>1685</v>
      </c>
      <c r="Y14" t="s">
        <v>1707</v>
      </c>
    </row>
    <row r="15" spans="1:25" hidden="1" x14ac:dyDescent="0.25">
      <c r="B15" t="s">
        <v>1464</v>
      </c>
      <c r="C15" t="s">
        <v>960</v>
      </c>
      <c r="D15" t="s">
        <v>1683</v>
      </c>
      <c r="E15" t="s">
        <v>1708</v>
      </c>
      <c r="F15" t="s">
        <v>1464</v>
      </c>
      <c r="G15" t="s">
        <v>23</v>
      </c>
      <c r="H15" t="s">
        <v>823</v>
      </c>
      <c r="I15" t="s">
        <v>961</v>
      </c>
      <c r="L15" t="s">
        <v>532</v>
      </c>
      <c r="M15" t="s">
        <v>533</v>
      </c>
      <c r="N15">
        <v>20</v>
      </c>
      <c r="W15" t="b">
        <v>0</v>
      </c>
      <c r="X15" t="s">
        <v>1685</v>
      </c>
      <c r="Y15" t="s">
        <v>1709</v>
      </c>
    </row>
    <row r="16" spans="1:25" hidden="1" x14ac:dyDescent="0.25">
      <c r="B16" t="s">
        <v>1466</v>
      </c>
      <c r="C16" t="s">
        <v>960</v>
      </c>
      <c r="D16" t="s">
        <v>1683</v>
      </c>
      <c r="E16" t="s">
        <v>1710</v>
      </c>
      <c r="F16" t="s">
        <v>1466</v>
      </c>
      <c r="G16" t="s">
        <v>23</v>
      </c>
      <c r="H16" t="s">
        <v>579</v>
      </c>
      <c r="I16" t="s">
        <v>961</v>
      </c>
      <c r="L16" t="s">
        <v>532</v>
      </c>
      <c r="M16" t="s">
        <v>533</v>
      </c>
      <c r="N16">
        <v>21</v>
      </c>
      <c r="W16" t="b">
        <v>0</v>
      </c>
      <c r="X16" t="s">
        <v>1685</v>
      </c>
      <c r="Y16" t="s">
        <v>1711</v>
      </c>
    </row>
    <row r="17" spans="1:25" hidden="1" x14ac:dyDescent="0.25">
      <c r="B17" t="s">
        <v>1010</v>
      </c>
      <c r="C17" t="s">
        <v>960</v>
      </c>
      <c r="D17" t="s">
        <v>1683</v>
      </c>
      <c r="E17" t="s">
        <v>1712</v>
      </c>
      <c r="F17" t="s">
        <v>1010</v>
      </c>
      <c r="G17" t="s">
        <v>23</v>
      </c>
      <c r="H17" t="s">
        <v>238</v>
      </c>
      <c r="I17" t="s">
        <v>961</v>
      </c>
      <c r="L17" t="s">
        <v>532</v>
      </c>
      <c r="M17" t="s">
        <v>533</v>
      </c>
      <c r="N17">
        <v>22</v>
      </c>
      <c r="W17" t="b">
        <v>0</v>
      </c>
      <c r="X17" t="s">
        <v>1685</v>
      </c>
      <c r="Y17" t="s">
        <v>1713</v>
      </c>
    </row>
    <row r="18" spans="1:25" hidden="1" x14ac:dyDescent="0.25">
      <c r="B18" t="s">
        <v>994</v>
      </c>
      <c r="C18" t="s">
        <v>960</v>
      </c>
      <c r="D18" t="s">
        <v>1683</v>
      </c>
      <c r="E18" t="s">
        <v>1714</v>
      </c>
      <c r="F18" t="s">
        <v>994</v>
      </c>
      <c r="G18" t="s">
        <v>23</v>
      </c>
      <c r="H18" t="s">
        <v>238</v>
      </c>
      <c r="I18" t="s">
        <v>961</v>
      </c>
      <c r="L18" t="s">
        <v>532</v>
      </c>
      <c r="M18" t="s">
        <v>533</v>
      </c>
      <c r="N18">
        <v>23</v>
      </c>
      <c r="W18" t="b">
        <v>0</v>
      </c>
      <c r="X18" t="s">
        <v>1685</v>
      </c>
      <c r="Y18" t="s">
        <v>1715</v>
      </c>
    </row>
    <row r="19" spans="1:25" hidden="1" x14ac:dyDescent="0.25">
      <c r="B19" t="s">
        <v>982</v>
      </c>
      <c r="C19" t="s">
        <v>960</v>
      </c>
      <c r="D19" t="s">
        <v>1683</v>
      </c>
      <c r="E19" t="s">
        <v>1716</v>
      </c>
      <c r="F19" t="s">
        <v>982</v>
      </c>
      <c r="G19" t="s">
        <v>23</v>
      </c>
      <c r="H19" t="s">
        <v>239</v>
      </c>
      <c r="I19" t="s">
        <v>961</v>
      </c>
      <c r="L19" t="s">
        <v>532</v>
      </c>
      <c r="M19" t="s">
        <v>533</v>
      </c>
      <c r="N19">
        <v>24</v>
      </c>
      <c r="W19" t="b">
        <v>0</v>
      </c>
      <c r="X19" t="s">
        <v>1685</v>
      </c>
      <c r="Y19" t="s">
        <v>1717</v>
      </c>
    </row>
    <row r="20" spans="1:25" hidden="1" x14ac:dyDescent="0.25">
      <c r="B20" t="s">
        <v>1440</v>
      </c>
      <c r="C20" t="s">
        <v>960</v>
      </c>
      <c r="D20" t="s">
        <v>1683</v>
      </c>
      <c r="E20" t="s">
        <v>1718</v>
      </c>
      <c r="F20" t="s">
        <v>1440</v>
      </c>
      <c r="G20" t="s">
        <v>23</v>
      </c>
      <c r="H20" t="s">
        <v>822</v>
      </c>
      <c r="I20" t="s">
        <v>961</v>
      </c>
      <c r="L20" t="s">
        <v>532</v>
      </c>
      <c r="M20" t="s">
        <v>533</v>
      </c>
      <c r="N20">
        <v>25</v>
      </c>
      <c r="W20" t="b">
        <v>0</v>
      </c>
      <c r="X20" t="s">
        <v>1685</v>
      </c>
      <c r="Y20" t="s">
        <v>1719</v>
      </c>
    </row>
    <row r="21" spans="1:25" hidden="1" x14ac:dyDescent="0.25">
      <c r="B21" t="s">
        <v>1026</v>
      </c>
      <c r="C21" t="s">
        <v>960</v>
      </c>
      <c r="D21" t="s">
        <v>1683</v>
      </c>
      <c r="E21" t="s">
        <v>1720</v>
      </c>
      <c r="F21" t="s">
        <v>1026</v>
      </c>
      <c r="G21" t="s">
        <v>207</v>
      </c>
      <c r="H21" t="s">
        <v>579</v>
      </c>
      <c r="I21" t="s">
        <v>961</v>
      </c>
      <c r="L21" t="s">
        <v>532</v>
      </c>
      <c r="M21" t="s">
        <v>533</v>
      </c>
      <c r="N21">
        <v>26</v>
      </c>
      <c r="W21" t="b">
        <v>0</v>
      </c>
      <c r="X21" t="s">
        <v>1685</v>
      </c>
      <c r="Y21" t="s">
        <v>1721</v>
      </c>
    </row>
    <row r="22" spans="1:25" hidden="1" x14ac:dyDescent="0.25">
      <c r="B22" t="s">
        <v>1028</v>
      </c>
      <c r="C22" t="s">
        <v>960</v>
      </c>
      <c r="D22" t="s">
        <v>1683</v>
      </c>
      <c r="E22" t="s">
        <v>1722</v>
      </c>
      <c r="F22" t="s">
        <v>1028</v>
      </c>
      <c r="G22" t="s">
        <v>207</v>
      </c>
      <c r="H22" t="s">
        <v>579</v>
      </c>
      <c r="I22" t="s">
        <v>961</v>
      </c>
      <c r="L22" t="s">
        <v>532</v>
      </c>
      <c r="M22" t="s">
        <v>533</v>
      </c>
      <c r="N22">
        <v>27</v>
      </c>
      <c r="W22" t="b">
        <v>0</v>
      </c>
      <c r="X22" t="s">
        <v>1685</v>
      </c>
      <c r="Y22" t="s">
        <v>1723</v>
      </c>
    </row>
    <row r="23" spans="1:25" hidden="1" x14ac:dyDescent="0.25">
      <c r="B23" t="s">
        <v>1605</v>
      </c>
      <c r="C23" t="s">
        <v>960</v>
      </c>
      <c r="D23" t="s">
        <v>1683</v>
      </c>
      <c r="E23" t="s">
        <v>1724</v>
      </c>
      <c r="F23" t="s">
        <v>1605</v>
      </c>
      <c r="G23" t="s">
        <v>23</v>
      </c>
      <c r="H23" t="s">
        <v>531</v>
      </c>
      <c r="I23" t="s">
        <v>961</v>
      </c>
      <c r="L23" t="s">
        <v>532</v>
      </c>
      <c r="M23" t="s">
        <v>533</v>
      </c>
      <c r="N23">
        <v>28</v>
      </c>
      <c r="W23" t="b">
        <v>0</v>
      </c>
      <c r="X23" t="s">
        <v>1685</v>
      </c>
      <c r="Y23" t="s">
        <v>1725</v>
      </c>
    </row>
    <row r="24" spans="1:25" hidden="1" x14ac:dyDescent="0.25">
      <c r="B24" t="s">
        <v>980</v>
      </c>
      <c r="C24" t="s">
        <v>960</v>
      </c>
      <c r="D24" t="s">
        <v>1683</v>
      </c>
      <c r="E24" t="s">
        <v>1726</v>
      </c>
      <c r="F24" t="s">
        <v>980</v>
      </c>
      <c r="G24" t="s">
        <v>23</v>
      </c>
      <c r="H24" t="s">
        <v>239</v>
      </c>
      <c r="I24" t="s">
        <v>961</v>
      </c>
      <c r="L24" t="s">
        <v>532</v>
      </c>
      <c r="M24" t="s">
        <v>533</v>
      </c>
      <c r="N24">
        <v>29</v>
      </c>
      <c r="W24" t="b">
        <v>0</v>
      </c>
      <c r="X24" t="s">
        <v>1685</v>
      </c>
      <c r="Y24" t="s">
        <v>1727</v>
      </c>
    </row>
    <row r="25" spans="1:25" hidden="1" x14ac:dyDescent="0.25">
      <c r="B25" t="s">
        <v>1479</v>
      </c>
      <c r="C25" t="s">
        <v>960</v>
      </c>
      <c r="D25" t="s">
        <v>1683</v>
      </c>
      <c r="E25" t="s">
        <v>1728</v>
      </c>
      <c r="F25" t="s">
        <v>1479</v>
      </c>
      <c r="G25" t="s">
        <v>23</v>
      </c>
      <c r="H25" t="s">
        <v>897</v>
      </c>
      <c r="I25" t="s">
        <v>961</v>
      </c>
      <c r="L25" t="s">
        <v>532</v>
      </c>
      <c r="M25" t="s">
        <v>533</v>
      </c>
      <c r="N25">
        <v>30</v>
      </c>
      <c r="W25" t="b">
        <v>0</v>
      </c>
      <c r="X25" t="s">
        <v>1685</v>
      </c>
      <c r="Y25" t="s">
        <v>1729</v>
      </c>
    </row>
    <row r="26" spans="1:25" hidden="1" x14ac:dyDescent="0.25">
      <c r="B26" t="s">
        <v>1492</v>
      </c>
      <c r="C26" t="s">
        <v>960</v>
      </c>
      <c r="D26" t="s">
        <v>1683</v>
      </c>
      <c r="E26" t="s">
        <v>1730</v>
      </c>
      <c r="F26" t="s">
        <v>1492</v>
      </c>
      <c r="G26" t="s">
        <v>23</v>
      </c>
      <c r="H26" t="s">
        <v>897</v>
      </c>
      <c r="I26" t="s">
        <v>961</v>
      </c>
      <c r="L26" t="s">
        <v>532</v>
      </c>
      <c r="M26" t="s">
        <v>533</v>
      </c>
      <c r="N26">
        <v>31</v>
      </c>
      <c r="W26" t="b">
        <v>0</v>
      </c>
      <c r="X26" t="s">
        <v>1685</v>
      </c>
      <c r="Y26" t="s">
        <v>1731</v>
      </c>
    </row>
    <row r="27" spans="1:25" hidden="1" x14ac:dyDescent="0.25">
      <c r="B27" t="s">
        <v>1081</v>
      </c>
      <c r="C27" t="s">
        <v>960</v>
      </c>
      <c r="D27" t="s">
        <v>1683</v>
      </c>
      <c r="E27" t="s">
        <v>1732</v>
      </c>
      <c r="F27" t="s">
        <v>1081</v>
      </c>
      <c r="G27" t="s">
        <v>23</v>
      </c>
      <c r="H27" t="s">
        <v>897</v>
      </c>
      <c r="I27" t="s">
        <v>961</v>
      </c>
      <c r="L27" t="s">
        <v>532</v>
      </c>
      <c r="M27" t="s">
        <v>533</v>
      </c>
      <c r="N27">
        <v>32</v>
      </c>
      <c r="W27" t="b">
        <v>0</v>
      </c>
      <c r="X27" t="s">
        <v>1685</v>
      </c>
      <c r="Y27" t="s">
        <v>1733</v>
      </c>
    </row>
    <row r="28" spans="1:25" hidden="1" x14ac:dyDescent="0.25">
      <c r="B28" t="s">
        <v>1487</v>
      </c>
      <c r="C28" t="s">
        <v>960</v>
      </c>
      <c r="D28" t="s">
        <v>1683</v>
      </c>
      <c r="E28" t="s">
        <v>1734</v>
      </c>
      <c r="F28" t="s">
        <v>1487</v>
      </c>
      <c r="G28" t="s">
        <v>23</v>
      </c>
      <c r="H28" t="s">
        <v>531</v>
      </c>
      <c r="I28" t="s">
        <v>961</v>
      </c>
      <c r="L28" t="s">
        <v>532</v>
      </c>
      <c r="M28" t="s">
        <v>533</v>
      </c>
      <c r="N28">
        <v>33</v>
      </c>
      <c r="W28" t="b">
        <v>0</v>
      </c>
      <c r="X28" t="s">
        <v>1685</v>
      </c>
      <c r="Y28" t="s">
        <v>1735</v>
      </c>
    </row>
    <row r="29" spans="1:25" hidden="1" x14ac:dyDescent="0.25">
      <c r="B29" t="s">
        <v>1648</v>
      </c>
      <c r="C29" t="s">
        <v>960</v>
      </c>
      <c r="D29" t="s">
        <v>1683</v>
      </c>
      <c r="E29" t="s">
        <v>1736</v>
      </c>
      <c r="F29" t="s">
        <v>1648</v>
      </c>
      <c r="G29" t="s">
        <v>23</v>
      </c>
      <c r="H29" t="s">
        <v>531</v>
      </c>
      <c r="I29" t="s">
        <v>961</v>
      </c>
      <c r="L29" t="s">
        <v>532</v>
      </c>
      <c r="M29" t="s">
        <v>533</v>
      </c>
      <c r="N29">
        <v>34</v>
      </c>
      <c r="W29" t="b">
        <v>0</v>
      </c>
      <c r="X29" t="s">
        <v>1685</v>
      </c>
      <c r="Y29" t="s">
        <v>1737</v>
      </c>
    </row>
    <row r="30" spans="1:25" hidden="1" x14ac:dyDescent="0.25">
      <c r="A30" t="s">
        <v>1458</v>
      </c>
      <c r="B30" t="s">
        <v>1459</v>
      </c>
      <c r="C30" t="s">
        <v>960</v>
      </c>
      <c r="D30" t="s">
        <v>1683</v>
      </c>
      <c r="E30" t="s">
        <v>1738</v>
      </c>
      <c r="F30" t="s">
        <v>1459</v>
      </c>
      <c r="G30" t="s">
        <v>207</v>
      </c>
      <c r="H30" t="s">
        <v>94</v>
      </c>
      <c r="I30" t="s">
        <v>961</v>
      </c>
      <c r="L30" t="s">
        <v>532</v>
      </c>
      <c r="M30" t="s">
        <v>533</v>
      </c>
      <c r="N30">
        <v>35</v>
      </c>
      <c r="V30">
        <v>81242.01999999999</v>
      </c>
      <c r="W30" t="b">
        <v>1</v>
      </c>
      <c r="Y30" t="s">
        <v>1739</v>
      </c>
    </row>
    <row r="31" spans="1:25" hidden="1" x14ac:dyDescent="0.25">
      <c r="B31" t="s">
        <v>1646</v>
      </c>
      <c r="C31" t="s">
        <v>960</v>
      </c>
      <c r="D31" t="s">
        <v>1683</v>
      </c>
      <c r="E31" t="s">
        <v>1740</v>
      </c>
      <c r="F31" t="s">
        <v>1646</v>
      </c>
      <c r="G31" t="s">
        <v>23</v>
      </c>
      <c r="H31" t="s">
        <v>927</v>
      </c>
      <c r="I31" t="s">
        <v>961</v>
      </c>
      <c r="L31" t="s">
        <v>532</v>
      </c>
      <c r="M31" t="s">
        <v>533</v>
      </c>
      <c r="N31">
        <v>36</v>
      </c>
      <c r="W31" t="b">
        <v>0</v>
      </c>
      <c r="X31" t="s">
        <v>1685</v>
      </c>
      <c r="Y31" t="s">
        <v>1741</v>
      </c>
    </row>
    <row r="32" spans="1:25" hidden="1" x14ac:dyDescent="0.25">
      <c r="B32" t="s">
        <v>1446</v>
      </c>
      <c r="C32" t="s">
        <v>960</v>
      </c>
      <c r="D32" t="s">
        <v>1683</v>
      </c>
      <c r="E32" t="s">
        <v>1742</v>
      </c>
      <c r="F32" t="s">
        <v>1446</v>
      </c>
      <c r="G32" t="s">
        <v>207</v>
      </c>
      <c r="H32" t="s">
        <v>239</v>
      </c>
      <c r="I32" t="s">
        <v>961</v>
      </c>
      <c r="L32" t="s">
        <v>532</v>
      </c>
      <c r="M32" t="s">
        <v>533</v>
      </c>
      <c r="N32">
        <v>37</v>
      </c>
      <c r="W32" t="b">
        <v>0</v>
      </c>
      <c r="X32" t="s">
        <v>1685</v>
      </c>
      <c r="Y32" t="s">
        <v>1743</v>
      </c>
    </row>
    <row r="33" spans="1:25" hidden="1" x14ac:dyDescent="0.25">
      <c r="B33" t="s">
        <v>1454</v>
      </c>
      <c r="C33" t="s">
        <v>960</v>
      </c>
      <c r="D33" t="s">
        <v>1683</v>
      </c>
      <c r="E33" t="s">
        <v>1744</v>
      </c>
      <c r="F33" t="s">
        <v>1454</v>
      </c>
      <c r="G33" t="s">
        <v>23</v>
      </c>
      <c r="H33" t="s">
        <v>240</v>
      </c>
      <c r="I33" t="s">
        <v>961</v>
      </c>
      <c r="L33" t="s">
        <v>532</v>
      </c>
      <c r="M33" t="s">
        <v>533</v>
      </c>
      <c r="N33">
        <v>38</v>
      </c>
      <c r="W33" t="b">
        <v>0</v>
      </c>
      <c r="X33" t="s">
        <v>1685</v>
      </c>
      <c r="Y33" t="s">
        <v>1745</v>
      </c>
    </row>
    <row r="34" spans="1:25" hidden="1" x14ac:dyDescent="0.25">
      <c r="B34" t="s">
        <v>1452</v>
      </c>
      <c r="C34" t="s">
        <v>960</v>
      </c>
      <c r="D34" t="s">
        <v>1683</v>
      </c>
      <c r="E34" t="s">
        <v>1746</v>
      </c>
      <c r="F34" t="s">
        <v>1452</v>
      </c>
      <c r="G34" t="s">
        <v>23</v>
      </c>
      <c r="H34" t="s">
        <v>240</v>
      </c>
      <c r="I34" t="s">
        <v>961</v>
      </c>
      <c r="L34" t="s">
        <v>532</v>
      </c>
      <c r="M34" t="s">
        <v>533</v>
      </c>
      <c r="N34">
        <v>39</v>
      </c>
      <c r="W34" t="b">
        <v>0</v>
      </c>
      <c r="X34" t="s">
        <v>1685</v>
      </c>
      <c r="Y34" t="s">
        <v>1747</v>
      </c>
    </row>
    <row r="35" spans="1:25" hidden="1" x14ac:dyDescent="0.25">
      <c r="B35" t="s">
        <v>984</v>
      </c>
      <c r="C35" t="s">
        <v>960</v>
      </c>
      <c r="D35" t="s">
        <v>1683</v>
      </c>
      <c r="E35" t="s">
        <v>1748</v>
      </c>
      <c r="F35" t="s">
        <v>984</v>
      </c>
      <c r="G35" t="s">
        <v>23</v>
      </c>
      <c r="H35" t="s">
        <v>239</v>
      </c>
      <c r="I35" t="s">
        <v>961</v>
      </c>
      <c r="L35" t="s">
        <v>532</v>
      </c>
      <c r="M35" t="s">
        <v>533</v>
      </c>
      <c r="N35">
        <v>40</v>
      </c>
      <c r="W35" t="b">
        <v>0</v>
      </c>
      <c r="X35" t="s">
        <v>1685</v>
      </c>
      <c r="Y35" t="s">
        <v>1749</v>
      </c>
    </row>
    <row r="36" spans="1:25" hidden="1" x14ac:dyDescent="0.25">
      <c r="B36" t="s">
        <v>1536</v>
      </c>
      <c r="C36" t="s">
        <v>960</v>
      </c>
      <c r="D36" t="s">
        <v>1683</v>
      </c>
      <c r="E36" t="s">
        <v>1750</v>
      </c>
      <c r="F36" t="s">
        <v>1536</v>
      </c>
      <c r="G36" t="s">
        <v>23</v>
      </c>
      <c r="H36" t="s">
        <v>823</v>
      </c>
      <c r="I36" t="s">
        <v>961</v>
      </c>
      <c r="L36" t="s">
        <v>532</v>
      </c>
      <c r="M36" t="s">
        <v>533</v>
      </c>
      <c r="N36">
        <v>41</v>
      </c>
      <c r="W36" t="b">
        <v>0</v>
      </c>
      <c r="X36" t="s">
        <v>1685</v>
      </c>
      <c r="Y36" t="s">
        <v>1751</v>
      </c>
    </row>
    <row r="37" spans="1:25" hidden="1" x14ac:dyDescent="0.25">
      <c r="B37" t="s">
        <v>973</v>
      </c>
      <c r="C37" t="s">
        <v>960</v>
      </c>
      <c r="D37" t="s">
        <v>1683</v>
      </c>
      <c r="E37" t="s">
        <v>1752</v>
      </c>
      <c r="F37" t="s">
        <v>973</v>
      </c>
      <c r="G37" t="s">
        <v>23</v>
      </c>
      <c r="H37" t="s">
        <v>239</v>
      </c>
      <c r="I37" t="s">
        <v>961</v>
      </c>
      <c r="L37" t="s">
        <v>532</v>
      </c>
      <c r="M37" t="s">
        <v>533</v>
      </c>
      <c r="N37">
        <v>42</v>
      </c>
      <c r="W37" t="b">
        <v>0</v>
      </c>
      <c r="X37" t="s">
        <v>1685</v>
      </c>
      <c r="Y37" t="s">
        <v>1753</v>
      </c>
    </row>
    <row r="38" spans="1:25" hidden="1" x14ac:dyDescent="0.25">
      <c r="B38" t="s">
        <v>971</v>
      </c>
      <c r="C38" t="s">
        <v>960</v>
      </c>
      <c r="D38" t="s">
        <v>1683</v>
      </c>
      <c r="E38" t="s">
        <v>1754</v>
      </c>
      <c r="F38" t="s">
        <v>971</v>
      </c>
      <c r="G38" t="s">
        <v>23</v>
      </c>
      <c r="H38" t="s">
        <v>239</v>
      </c>
      <c r="I38" t="s">
        <v>961</v>
      </c>
      <c r="L38" t="s">
        <v>532</v>
      </c>
      <c r="M38" t="s">
        <v>533</v>
      </c>
      <c r="N38">
        <v>43</v>
      </c>
      <c r="W38" t="b">
        <v>0</v>
      </c>
      <c r="X38" t="s">
        <v>1685</v>
      </c>
      <c r="Y38" t="s">
        <v>1755</v>
      </c>
    </row>
    <row r="39" spans="1:25" hidden="1" x14ac:dyDescent="0.25">
      <c r="B39" t="s">
        <v>1448</v>
      </c>
      <c r="C39" t="s">
        <v>960</v>
      </c>
      <c r="D39" t="s">
        <v>1683</v>
      </c>
      <c r="E39" t="s">
        <v>1756</v>
      </c>
      <c r="F39" t="s">
        <v>1448</v>
      </c>
      <c r="G39" t="s">
        <v>23</v>
      </c>
      <c r="H39" t="s">
        <v>240</v>
      </c>
      <c r="I39" t="s">
        <v>961</v>
      </c>
      <c r="L39" t="s">
        <v>532</v>
      </c>
      <c r="M39" t="s">
        <v>533</v>
      </c>
      <c r="N39">
        <v>44</v>
      </c>
      <c r="W39" t="b">
        <v>0</v>
      </c>
      <c r="X39" t="s">
        <v>1685</v>
      </c>
      <c r="Y39" t="s">
        <v>1757</v>
      </c>
    </row>
    <row r="40" spans="1:25" hidden="1" x14ac:dyDescent="0.25">
      <c r="B40" t="s">
        <v>1057</v>
      </c>
      <c r="C40" t="s">
        <v>960</v>
      </c>
      <c r="D40" t="s">
        <v>1683</v>
      </c>
      <c r="E40" t="s">
        <v>1758</v>
      </c>
      <c r="F40" t="s">
        <v>1057</v>
      </c>
      <c r="G40" t="s">
        <v>23</v>
      </c>
      <c r="H40" t="s">
        <v>240</v>
      </c>
      <c r="I40" t="s">
        <v>961</v>
      </c>
      <c r="L40" t="s">
        <v>532</v>
      </c>
      <c r="M40" t="s">
        <v>533</v>
      </c>
      <c r="N40">
        <v>45</v>
      </c>
      <c r="W40" t="b">
        <v>0</v>
      </c>
      <c r="X40" t="s">
        <v>1685</v>
      </c>
      <c r="Y40" t="s">
        <v>1759</v>
      </c>
    </row>
    <row r="41" spans="1:25" hidden="1" x14ac:dyDescent="0.25">
      <c r="B41" t="s">
        <v>1077</v>
      </c>
      <c r="C41" t="s">
        <v>960</v>
      </c>
      <c r="D41" t="s">
        <v>1683</v>
      </c>
      <c r="E41" t="s">
        <v>1760</v>
      </c>
      <c r="F41" t="s">
        <v>1077</v>
      </c>
      <c r="G41" t="s">
        <v>23</v>
      </c>
      <c r="H41" t="s">
        <v>240</v>
      </c>
      <c r="I41" t="s">
        <v>961</v>
      </c>
      <c r="L41" t="s">
        <v>532</v>
      </c>
      <c r="M41" t="s">
        <v>533</v>
      </c>
      <c r="N41">
        <v>46</v>
      </c>
      <c r="W41" t="b">
        <v>0</v>
      </c>
      <c r="X41" t="s">
        <v>1685</v>
      </c>
      <c r="Y41" t="s">
        <v>1761</v>
      </c>
    </row>
    <row r="42" spans="1:25" hidden="1" x14ac:dyDescent="0.25">
      <c r="A42" t="s">
        <v>1643</v>
      </c>
      <c r="B42" t="s">
        <v>1644</v>
      </c>
      <c r="C42" t="s">
        <v>960</v>
      </c>
      <c r="D42" t="s">
        <v>1683</v>
      </c>
      <c r="E42" t="s">
        <v>1762</v>
      </c>
      <c r="F42" t="s">
        <v>1644</v>
      </c>
      <c r="G42" t="s">
        <v>207</v>
      </c>
      <c r="H42" t="s">
        <v>927</v>
      </c>
      <c r="I42" t="s">
        <v>961</v>
      </c>
      <c r="L42" t="s">
        <v>532</v>
      </c>
      <c r="M42" t="s">
        <v>533</v>
      </c>
      <c r="N42">
        <v>47</v>
      </c>
      <c r="V42">
        <v>76345</v>
      </c>
      <c r="W42" t="b">
        <v>1</v>
      </c>
      <c r="Y42" t="s">
        <v>1763</v>
      </c>
    </row>
    <row r="43" spans="1:25" hidden="1" x14ac:dyDescent="0.25">
      <c r="B43" t="s">
        <v>1637</v>
      </c>
      <c r="C43" t="s">
        <v>960</v>
      </c>
      <c r="D43" t="s">
        <v>1683</v>
      </c>
      <c r="E43" t="s">
        <v>1764</v>
      </c>
      <c r="F43" t="s">
        <v>1637</v>
      </c>
      <c r="G43" t="s">
        <v>207</v>
      </c>
      <c r="H43" t="s">
        <v>823</v>
      </c>
      <c r="I43" t="s">
        <v>961</v>
      </c>
      <c r="L43" t="s">
        <v>532</v>
      </c>
      <c r="M43" t="s">
        <v>533</v>
      </c>
      <c r="N43">
        <v>48</v>
      </c>
      <c r="W43" t="b">
        <v>0</v>
      </c>
      <c r="X43" t="s">
        <v>1685</v>
      </c>
      <c r="Y43" t="s">
        <v>1765</v>
      </c>
    </row>
    <row r="44" spans="1:25" hidden="1" x14ac:dyDescent="0.25">
      <c r="A44" t="s">
        <v>1562</v>
      </c>
      <c r="B44" t="s">
        <v>1563</v>
      </c>
      <c r="C44" t="s">
        <v>960</v>
      </c>
      <c r="D44" t="s">
        <v>1683</v>
      </c>
      <c r="E44" t="s">
        <v>1766</v>
      </c>
      <c r="F44" t="s">
        <v>1563</v>
      </c>
      <c r="G44" t="s">
        <v>207</v>
      </c>
      <c r="H44" t="s">
        <v>531</v>
      </c>
      <c r="I44" t="s">
        <v>961</v>
      </c>
      <c r="L44" t="s">
        <v>532</v>
      </c>
      <c r="M44" t="s">
        <v>533</v>
      </c>
      <c r="N44">
        <v>49</v>
      </c>
      <c r="V44">
        <v>78000.010000000009</v>
      </c>
      <c r="W44" t="b">
        <v>1</v>
      </c>
      <c r="Y44" t="s">
        <v>1767</v>
      </c>
    </row>
    <row r="45" spans="1:25" hidden="1" x14ac:dyDescent="0.25">
      <c r="A45" t="s">
        <v>1476</v>
      </c>
      <c r="B45" t="s">
        <v>1477</v>
      </c>
      <c r="C45" t="s">
        <v>960</v>
      </c>
      <c r="D45" t="s">
        <v>1683</v>
      </c>
      <c r="E45" t="s">
        <v>1768</v>
      </c>
      <c r="F45" t="s">
        <v>1477</v>
      </c>
      <c r="G45" t="s">
        <v>207</v>
      </c>
      <c r="H45" t="s">
        <v>927</v>
      </c>
      <c r="I45" t="s">
        <v>961</v>
      </c>
      <c r="L45" t="s">
        <v>532</v>
      </c>
      <c r="M45" t="s">
        <v>533</v>
      </c>
      <c r="N45">
        <v>50</v>
      </c>
      <c r="V45">
        <v>78000</v>
      </c>
      <c r="W45" t="b">
        <v>1</v>
      </c>
      <c r="Y45" t="s">
        <v>1769</v>
      </c>
    </row>
    <row r="46" spans="1:25" hidden="1" x14ac:dyDescent="0.25">
      <c r="B46" t="s">
        <v>986</v>
      </c>
      <c r="C46" t="s">
        <v>960</v>
      </c>
      <c r="D46" t="s">
        <v>1683</v>
      </c>
      <c r="E46" t="s">
        <v>1770</v>
      </c>
      <c r="F46" t="s">
        <v>986</v>
      </c>
      <c r="G46" t="s">
        <v>23</v>
      </c>
      <c r="H46" t="s">
        <v>239</v>
      </c>
      <c r="I46" t="s">
        <v>961</v>
      </c>
      <c r="L46" t="s">
        <v>532</v>
      </c>
      <c r="M46" t="s">
        <v>533</v>
      </c>
      <c r="N46">
        <v>51</v>
      </c>
      <c r="W46" t="b">
        <v>0</v>
      </c>
      <c r="X46" t="s">
        <v>1685</v>
      </c>
      <c r="Y46" t="s">
        <v>1771</v>
      </c>
    </row>
    <row r="47" spans="1:25" hidden="1" x14ac:dyDescent="0.25">
      <c r="B47" t="s">
        <v>1581</v>
      </c>
      <c r="C47" t="s">
        <v>960</v>
      </c>
      <c r="D47" t="s">
        <v>1683</v>
      </c>
      <c r="E47" t="s">
        <v>1772</v>
      </c>
      <c r="F47" t="s">
        <v>1581</v>
      </c>
      <c r="G47" t="s">
        <v>23</v>
      </c>
      <c r="H47" t="s">
        <v>95</v>
      </c>
      <c r="I47" t="s">
        <v>961</v>
      </c>
      <c r="L47" t="s">
        <v>532</v>
      </c>
      <c r="M47" t="s">
        <v>533</v>
      </c>
      <c r="N47">
        <v>52</v>
      </c>
      <c r="W47" t="b">
        <v>0</v>
      </c>
      <c r="X47" t="s">
        <v>1685</v>
      </c>
      <c r="Y47" t="s">
        <v>1773</v>
      </c>
    </row>
    <row r="48" spans="1:25" hidden="1" x14ac:dyDescent="0.25">
      <c r="B48" t="s">
        <v>1071</v>
      </c>
      <c r="C48" t="s">
        <v>960</v>
      </c>
      <c r="D48" t="s">
        <v>1683</v>
      </c>
      <c r="E48" t="s">
        <v>1774</v>
      </c>
      <c r="F48" t="s">
        <v>1071</v>
      </c>
      <c r="G48" t="s">
        <v>23</v>
      </c>
      <c r="H48" t="s">
        <v>239</v>
      </c>
      <c r="I48" t="s">
        <v>961</v>
      </c>
      <c r="L48" t="s">
        <v>532</v>
      </c>
      <c r="M48" t="s">
        <v>533</v>
      </c>
      <c r="N48">
        <v>53</v>
      </c>
      <c r="W48" t="b">
        <v>0</v>
      </c>
      <c r="X48" t="s">
        <v>1685</v>
      </c>
      <c r="Y48" t="s">
        <v>1775</v>
      </c>
    </row>
    <row r="49" spans="1:25" hidden="1" x14ac:dyDescent="0.25">
      <c r="B49" t="s">
        <v>1494</v>
      </c>
      <c r="C49" t="s">
        <v>960</v>
      </c>
      <c r="D49" t="s">
        <v>1683</v>
      </c>
      <c r="E49" t="s">
        <v>1776</v>
      </c>
      <c r="F49" t="s">
        <v>1494</v>
      </c>
      <c r="G49" t="s">
        <v>23</v>
      </c>
      <c r="H49" t="s">
        <v>927</v>
      </c>
      <c r="I49" t="s">
        <v>961</v>
      </c>
      <c r="L49" t="s">
        <v>532</v>
      </c>
      <c r="M49" t="s">
        <v>533</v>
      </c>
      <c r="N49">
        <v>54</v>
      </c>
      <c r="W49" t="b">
        <v>0</v>
      </c>
      <c r="X49" t="s">
        <v>1685</v>
      </c>
      <c r="Y49" t="s">
        <v>1777</v>
      </c>
    </row>
    <row r="50" spans="1:25" hidden="1" x14ac:dyDescent="0.25">
      <c r="B50" t="s">
        <v>1073</v>
      </c>
      <c r="C50" t="s">
        <v>960</v>
      </c>
      <c r="D50" t="s">
        <v>1683</v>
      </c>
      <c r="E50" t="s">
        <v>1778</v>
      </c>
      <c r="F50" t="s">
        <v>1073</v>
      </c>
      <c r="G50" t="s">
        <v>23</v>
      </c>
      <c r="H50" t="s">
        <v>239</v>
      </c>
      <c r="I50" t="s">
        <v>961</v>
      </c>
      <c r="L50" t="s">
        <v>532</v>
      </c>
      <c r="M50" t="s">
        <v>533</v>
      </c>
      <c r="N50">
        <v>55</v>
      </c>
      <c r="W50" t="b">
        <v>0</v>
      </c>
      <c r="X50" t="s">
        <v>1685</v>
      </c>
      <c r="Y50" t="s">
        <v>1779</v>
      </c>
    </row>
    <row r="51" spans="1:25" hidden="1" x14ac:dyDescent="0.25">
      <c r="B51" t="s">
        <v>1657</v>
      </c>
      <c r="C51" t="s">
        <v>960</v>
      </c>
      <c r="D51" t="s">
        <v>1683</v>
      </c>
      <c r="E51" t="s">
        <v>1780</v>
      </c>
      <c r="F51" t="s">
        <v>1657</v>
      </c>
      <c r="G51" t="s">
        <v>207</v>
      </c>
      <c r="H51" t="s">
        <v>94</v>
      </c>
      <c r="I51" t="s">
        <v>961</v>
      </c>
      <c r="L51" t="s">
        <v>532</v>
      </c>
      <c r="M51" t="s">
        <v>533</v>
      </c>
      <c r="N51">
        <v>56</v>
      </c>
      <c r="W51" t="b">
        <v>0</v>
      </c>
      <c r="X51" t="s">
        <v>1685</v>
      </c>
      <c r="Y51" t="s">
        <v>1781</v>
      </c>
    </row>
    <row r="52" spans="1:25" hidden="1" x14ac:dyDescent="0.25">
      <c r="A52" t="s">
        <v>1101</v>
      </c>
      <c r="B52" t="s">
        <v>1102</v>
      </c>
      <c r="C52" t="s">
        <v>960</v>
      </c>
      <c r="D52" t="s">
        <v>1683</v>
      </c>
      <c r="E52" t="s">
        <v>1782</v>
      </c>
      <c r="F52" t="s">
        <v>1102</v>
      </c>
      <c r="G52" t="s">
        <v>207</v>
      </c>
      <c r="H52" t="s">
        <v>95</v>
      </c>
      <c r="I52" t="s">
        <v>961</v>
      </c>
      <c r="L52" t="s">
        <v>532</v>
      </c>
      <c r="M52" t="s">
        <v>533</v>
      </c>
      <c r="N52">
        <v>57</v>
      </c>
      <c r="V52">
        <v>81242.009999999995</v>
      </c>
      <c r="W52" t="b">
        <v>1</v>
      </c>
      <c r="Y52" t="s">
        <v>1783</v>
      </c>
    </row>
    <row r="53" spans="1:25" hidden="1" x14ac:dyDescent="0.25">
      <c r="B53" t="s">
        <v>1085</v>
      </c>
      <c r="C53" t="s">
        <v>960</v>
      </c>
      <c r="D53" t="s">
        <v>1683</v>
      </c>
      <c r="E53" t="s">
        <v>1784</v>
      </c>
      <c r="F53" t="s">
        <v>1085</v>
      </c>
      <c r="G53" t="s">
        <v>207</v>
      </c>
      <c r="H53" t="s">
        <v>238</v>
      </c>
      <c r="I53" t="s">
        <v>961</v>
      </c>
      <c r="L53" t="s">
        <v>532</v>
      </c>
      <c r="M53" t="s">
        <v>533</v>
      </c>
      <c r="N53">
        <v>58</v>
      </c>
      <c r="W53" t="b">
        <v>0</v>
      </c>
      <c r="X53" t="s">
        <v>1685</v>
      </c>
      <c r="Y53" t="s">
        <v>1785</v>
      </c>
    </row>
    <row r="54" spans="1:25" hidden="1" x14ac:dyDescent="0.25">
      <c r="B54" t="s">
        <v>1087</v>
      </c>
      <c r="C54" t="s">
        <v>960</v>
      </c>
      <c r="D54" t="s">
        <v>1683</v>
      </c>
      <c r="E54" t="s">
        <v>1786</v>
      </c>
      <c r="F54" t="s">
        <v>1087</v>
      </c>
      <c r="G54" t="s">
        <v>207</v>
      </c>
      <c r="H54" t="s">
        <v>238</v>
      </c>
      <c r="I54" t="s">
        <v>961</v>
      </c>
      <c r="L54" t="s">
        <v>532</v>
      </c>
      <c r="M54" t="s">
        <v>533</v>
      </c>
      <c r="N54">
        <v>59</v>
      </c>
      <c r="W54" t="b">
        <v>0</v>
      </c>
      <c r="X54" t="s">
        <v>1685</v>
      </c>
      <c r="Y54" t="s">
        <v>1787</v>
      </c>
    </row>
    <row r="55" spans="1:25" hidden="1" x14ac:dyDescent="0.25">
      <c r="A55" t="s">
        <v>1593</v>
      </c>
      <c r="B55" t="s">
        <v>1594</v>
      </c>
      <c r="C55" t="s">
        <v>960</v>
      </c>
      <c r="D55" t="s">
        <v>1683</v>
      </c>
      <c r="E55" t="s">
        <v>1788</v>
      </c>
      <c r="F55" t="s">
        <v>1594</v>
      </c>
      <c r="G55" t="s">
        <v>207</v>
      </c>
      <c r="H55" t="s">
        <v>897</v>
      </c>
      <c r="I55" t="s">
        <v>961</v>
      </c>
      <c r="L55" t="s">
        <v>532</v>
      </c>
      <c r="M55" t="s">
        <v>533</v>
      </c>
      <c r="N55">
        <v>60</v>
      </c>
      <c r="V55">
        <v>76344</v>
      </c>
      <c r="W55" t="b">
        <v>1</v>
      </c>
      <c r="Y55" t="s">
        <v>1789</v>
      </c>
    </row>
    <row r="56" spans="1:25" hidden="1" x14ac:dyDescent="0.25">
      <c r="B56" t="s">
        <v>1030</v>
      </c>
      <c r="C56" t="s">
        <v>960</v>
      </c>
      <c r="D56" t="s">
        <v>1683</v>
      </c>
      <c r="E56" t="s">
        <v>1790</v>
      </c>
      <c r="F56" t="s">
        <v>1030</v>
      </c>
      <c r="G56" t="s">
        <v>207</v>
      </c>
      <c r="H56" t="s">
        <v>94</v>
      </c>
      <c r="I56" t="s">
        <v>961</v>
      </c>
      <c r="L56" t="s">
        <v>532</v>
      </c>
      <c r="M56" t="s">
        <v>533</v>
      </c>
      <c r="N56">
        <v>61</v>
      </c>
      <c r="W56" t="b">
        <v>0</v>
      </c>
      <c r="X56" t="s">
        <v>1685</v>
      </c>
      <c r="Y56" t="s">
        <v>1791</v>
      </c>
    </row>
    <row r="57" spans="1:25" hidden="1" x14ac:dyDescent="0.25">
      <c r="B57" t="s">
        <v>1032</v>
      </c>
      <c r="C57" t="s">
        <v>960</v>
      </c>
      <c r="D57" t="s">
        <v>1683</v>
      </c>
      <c r="E57" t="s">
        <v>1792</v>
      </c>
      <c r="F57" t="s">
        <v>1032</v>
      </c>
      <c r="G57" t="s">
        <v>207</v>
      </c>
      <c r="H57" t="s">
        <v>94</v>
      </c>
      <c r="I57" t="s">
        <v>961</v>
      </c>
      <c r="L57" t="s">
        <v>532</v>
      </c>
      <c r="M57" t="s">
        <v>533</v>
      </c>
      <c r="N57">
        <v>62</v>
      </c>
      <c r="W57" t="b">
        <v>0</v>
      </c>
      <c r="X57" t="s">
        <v>1685</v>
      </c>
      <c r="Y57" t="s">
        <v>1793</v>
      </c>
    </row>
    <row r="58" spans="1:25" hidden="1" x14ac:dyDescent="0.25">
      <c r="B58" t="s">
        <v>1036</v>
      </c>
      <c r="C58" t="s">
        <v>960</v>
      </c>
      <c r="D58" t="s">
        <v>1683</v>
      </c>
      <c r="E58" t="s">
        <v>1794</v>
      </c>
      <c r="F58" t="s">
        <v>1036</v>
      </c>
      <c r="G58" t="s">
        <v>207</v>
      </c>
      <c r="H58" t="s">
        <v>94</v>
      </c>
      <c r="I58" t="s">
        <v>961</v>
      </c>
      <c r="L58" t="s">
        <v>532</v>
      </c>
      <c r="M58" t="s">
        <v>533</v>
      </c>
      <c r="N58">
        <v>63</v>
      </c>
      <c r="W58" t="b">
        <v>0</v>
      </c>
      <c r="X58" t="s">
        <v>1685</v>
      </c>
      <c r="Y58" t="s">
        <v>1795</v>
      </c>
    </row>
    <row r="59" spans="1:25" hidden="1" x14ac:dyDescent="0.25">
      <c r="B59" t="s">
        <v>1034</v>
      </c>
      <c r="C59" t="s">
        <v>960</v>
      </c>
      <c r="D59" t="s">
        <v>1683</v>
      </c>
      <c r="E59" t="s">
        <v>1796</v>
      </c>
      <c r="F59" t="s">
        <v>1034</v>
      </c>
      <c r="G59" t="s">
        <v>207</v>
      </c>
      <c r="H59" t="s">
        <v>94</v>
      </c>
      <c r="I59" t="s">
        <v>961</v>
      </c>
      <c r="L59" t="s">
        <v>532</v>
      </c>
      <c r="M59" t="s">
        <v>533</v>
      </c>
      <c r="N59">
        <v>64</v>
      </c>
      <c r="W59" t="b">
        <v>0</v>
      </c>
      <c r="X59" t="s">
        <v>1685</v>
      </c>
      <c r="Y59" t="s">
        <v>1797</v>
      </c>
    </row>
    <row r="60" spans="1:25" hidden="1" x14ac:dyDescent="0.25">
      <c r="B60" t="s">
        <v>1038</v>
      </c>
      <c r="C60" t="s">
        <v>960</v>
      </c>
      <c r="D60" t="s">
        <v>1683</v>
      </c>
      <c r="E60" t="s">
        <v>1798</v>
      </c>
      <c r="F60" t="s">
        <v>1038</v>
      </c>
      <c r="G60" t="s">
        <v>207</v>
      </c>
      <c r="H60" t="s">
        <v>94</v>
      </c>
      <c r="I60" t="s">
        <v>961</v>
      </c>
      <c r="L60" t="s">
        <v>532</v>
      </c>
      <c r="M60" t="s">
        <v>533</v>
      </c>
      <c r="N60">
        <v>65</v>
      </c>
      <c r="W60" t="b">
        <v>0</v>
      </c>
      <c r="X60" t="s">
        <v>1685</v>
      </c>
      <c r="Y60" t="s">
        <v>1799</v>
      </c>
    </row>
    <row r="61" spans="1:25" hidden="1" x14ac:dyDescent="0.25">
      <c r="A61" t="s">
        <v>1046</v>
      </c>
      <c r="B61" t="s">
        <v>1047</v>
      </c>
      <c r="C61" t="s">
        <v>960</v>
      </c>
      <c r="D61" t="s">
        <v>1683</v>
      </c>
      <c r="E61" t="s">
        <v>1800</v>
      </c>
      <c r="F61" t="s">
        <v>1047</v>
      </c>
      <c r="G61" t="s">
        <v>207</v>
      </c>
      <c r="H61" t="s">
        <v>94</v>
      </c>
      <c r="I61" t="s">
        <v>961</v>
      </c>
      <c r="L61" t="s">
        <v>532</v>
      </c>
      <c r="M61" t="s">
        <v>533</v>
      </c>
      <c r="N61">
        <v>66</v>
      </c>
      <c r="V61">
        <v>81000</v>
      </c>
      <c r="W61" t="b">
        <v>1</v>
      </c>
      <c r="Y61" t="s">
        <v>1801</v>
      </c>
    </row>
    <row r="62" spans="1:25" hidden="1" x14ac:dyDescent="0.25">
      <c r="B62" t="s">
        <v>1540</v>
      </c>
      <c r="C62" t="s">
        <v>960</v>
      </c>
      <c r="D62" t="s">
        <v>1683</v>
      </c>
      <c r="E62" t="s">
        <v>1802</v>
      </c>
      <c r="F62" t="s">
        <v>1540</v>
      </c>
      <c r="G62" t="s">
        <v>23</v>
      </c>
      <c r="H62" t="s">
        <v>531</v>
      </c>
      <c r="I62" t="s">
        <v>961</v>
      </c>
      <c r="L62" t="s">
        <v>532</v>
      </c>
      <c r="M62" t="s">
        <v>533</v>
      </c>
      <c r="N62">
        <v>67</v>
      </c>
      <c r="W62" t="b">
        <v>0</v>
      </c>
      <c r="X62" t="s">
        <v>1685</v>
      </c>
      <c r="Y62" t="s">
        <v>1803</v>
      </c>
    </row>
    <row r="63" spans="1:25" hidden="1" x14ac:dyDescent="0.25">
      <c r="B63" t="s">
        <v>1548</v>
      </c>
      <c r="C63" t="s">
        <v>960</v>
      </c>
      <c r="D63" t="s">
        <v>1683</v>
      </c>
      <c r="E63" t="s">
        <v>1804</v>
      </c>
      <c r="F63" t="s">
        <v>1548</v>
      </c>
      <c r="G63" t="s">
        <v>23</v>
      </c>
      <c r="H63" t="s">
        <v>579</v>
      </c>
      <c r="I63" t="s">
        <v>961</v>
      </c>
      <c r="L63" t="s">
        <v>532</v>
      </c>
      <c r="M63" t="s">
        <v>533</v>
      </c>
      <c r="N63">
        <v>68</v>
      </c>
      <c r="W63" t="b">
        <v>0</v>
      </c>
      <c r="X63" t="s">
        <v>1685</v>
      </c>
      <c r="Y63" t="s">
        <v>1805</v>
      </c>
    </row>
    <row r="64" spans="1:25" hidden="1" x14ac:dyDescent="0.25">
      <c r="B64" t="s">
        <v>1577</v>
      </c>
      <c r="C64" t="s">
        <v>960</v>
      </c>
      <c r="D64" t="s">
        <v>1683</v>
      </c>
      <c r="E64" t="s">
        <v>1806</v>
      </c>
      <c r="F64" t="s">
        <v>1577</v>
      </c>
      <c r="G64" t="s">
        <v>23</v>
      </c>
      <c r="H64" t="s">
        <v>579</v>
      </c>
      <c r="I64" t="s">
        <v>961</v>
      </c>
      <c r="L64" t="s">
        <v>532</v>
      </c>
      <c r="M64" t="s">
        <v>533</v>
      </c>
      <c r="N64">
        <v>69</v>
      </c>
      <c r="W64" t="b">
        <v>0</v>
      </c>
      <c r="X64" t="s">
        <v>1685</v>
      </c>
      <c r="Y64" t="s">
        <v>1807</v>
      </c>
    </row>
    <row r="65" spans="1:25" hidden="1" x14ac:dyDescent="0.25">
      <c r="B65" t="s">
        <v>1560</v>
      </c>
      <c r="C65" t="s">
        <v>960</v>
      </c>
      <c r="D65" t="s">
        <v>1683</v>
      </c>
      <c r="E65" t="s">
        <v>1808</v>
      </c>
      <c r="F65" t="s">
        <v>1560</v>
      </c>
      <c r="G65" t="s">
        <v>23</v>
      </c>
      <c r="H65" t="s">
        <v>579</v>
      </c>
      <c r="I65" t="s">
        <v>961</v>
      </c>
      <c r="L65" t="s">
        <v>532</v>
      </c>
      <c r="M65" t="s">
        <v>533</v>
      </c>
      <c r="N65">
        <v>70</v>
      </c>
      <c r="W65" t="b">
        <v>0</v>
      </c>
      <c r="X65" t="s">
        <v>1685</v>
      </c>
      <c r="Y65" t="s">
        <v>1809</v>
      </c>
    </row>
    <row r="66" spans="1:25" hidden="1" x14ac:dyDescent="0.25">
      <c r="A66" t="s">
        <v>1572</v>
      </c>
      <c r="B66" t="s">
        <v>1573</v>
      </c>
      <c r="C66" t="s">
        <v>960</v>
      </c>
      <c r="D66" t="s">
        <v>1683</v>
      </c>
      <c r="E66" t="s">
        <v>1810</v>
      </c>
      <c r="F66" t="s">
        <v>1573</v>
      </c>
      <c r="G66" t="s">
        <v>207</v>
      </c>
      <c r="H66" t="s">
        <v>897</v>
      </c>
      <c r="I66" t="s">
        <v>961</v>
      </c>
      <c r="L66" t="s">
        <v>532</v>
      </c>
      <c r="M66" t="s">
        <v>533</v>
      </c>
      <c r="N66">
        <v>71</v>
      </c>
      <c r="V66">
        <v>81071</v>
      </c>
      <c r="W66" t="b">
        <v>1</v>
      </c>
      <c r="Y66" t="s">
        <v>1811</v>
      </c>
    </row>
    <row r="67" spans="1:25" hidden="1" x14ac:dyDescent="0.25">
      <c r="B67" t="s">
        <v>1579</v>
      </c>
      <c r="C67" t="s">
        <v>960</v>
      </c>
      <c r="D67" t="s">
        <v>1683</v>
      </c>
      <c r="E67" t="s">
        <v>1812</v>
      </c>
      <c r="F67" t="s">
        <v>1579</v>
      </c>
      <c r="G67" t="s">
        <v>23</v>
      </c>
      <c r="H67" t="s">
        <v>531</v>
      </c>
      <c r="I67" t="s">
        <v>961</v>
      </c>
      <c r="L67" t="s">
        <v>532</v>
      </c>
      <c r="M67" t="s">
        <v>533</v>
      </c>
      <c r="N67">
        <v>72</v>
      </c>
      <c r="W67" t="b">
        <v>0</v>
      </c>
      <c r="X67" t="s">
        <v>1685</v>
      </c>
      <c r="Y67" t="s">
        <v>1813</v>
      </c>
    </row>
    <row r="68" spans="1:25" hidden="1" x14ac:dyDescent="0.25">
      <c r="B68" t="s">
        <v>1016</v>
      </c>
      <c r="C68" t="s">
        <v>960</v>
      </c>
      <c r="D68" t="s">
        <v>1683</v>
      </c>
      <c r="E68" t="s">
        <v>1814</v>
      </c>
      <c r="F68" t="s">
        <v>1016</v>
      </c>
      <c r="G68" t="s">
        <v>207</v>
      </c>
      <c r="H68" t="s">
        <v>239</v>
      </c>
      <c r="I68" t="s">
        <v>961</v>
      </c>
      <c r="L68" t="s">
        <v>532</v>
      </c>
      <c r="M68" t="s">
        <v>533</v>
      </c>
      <c r="N68">
        <v>73</v>
      </c>
      <c r="W68" t="b">
        <v>0</v>
      </c>
      <c r="X68" t="s">
        <v>1685</v>
      </c>
      <c r="Y68" t="s">
        <v>1815</v>
      </c>
    </row>
    <row r="69" spans="1:25" hidden="1" x14ac:dyDescent="0.25">
      <c r="B69" t="s">
        <v>1042</v>
      </c>
      <c r="C69" t="s">
        <v>960</v>
      </c>
      <c r="D69" t="s">
        <v>1683</v>
      </c>
      <c r="E69" t="s">
        <v>1816</v>
      </c>
      <c r="F69" t="s">
        <v>1042</v>
      </c>
      <c r="G69" t="s">
        <v>23</v>
      </c>
      <c r="H69" t="s">
        <v>95</v>
      </c>
      <c r="I69" t="s">
        <v>961</v>
      </c>
      <c r="L69" t="s">
        <v>532</v>
      </c>
      <c r="M69" t="s">
        <v>533</v>
      </c>
      <c r="N69">
        <v>74</v>
      </c>
      <c r="W69" t="b">
        <v>0</v>
      </c>
      <c r="X69" t="s">
        <v>1685</v>
      </c>
      <c r="Y69" t="s">
        <v>1817</v>
      </c>
    </row>
    <row r="70" spans="1:25" hidden="1" x14ac:dyDescent="0.25">
      <c r="B70" t="s">
        <v>1554</v>
      </c>
      <c r="C70" t="s">
        <v>960</v>
      </c>
      <c r="D70" t="s">
        <v>1683</v>
      </c>
      <c r="E70" t="s">
        <v>1818</v>
      </c>
      <c r="F70" t="s">
        <v>1554</v>
      </c>
      <c r="G70" t="s">
        <v>23</v>
      </c>
      <c r="H70" t="s">
        <v>615</v>
      </c>
      <c r="I70" t="s">
        <v>961</v>
      </c>
      <c r="L70" t="s">
        <v>532</v>
      </c>
      <c r="M70" t="s">
        <v>533</v>
      </c>
      <c r="N70">
        <v>75</v>
      </c>
      <c r="W70" t="b">
        <v>0</v>
      </c>
      <c r="X70" t="s">
        <v>1685</v>
      </c>
      <c r="Y70" t="s">
        <v>1819</v>
      </c>
    </row>
    <row r="71" spans="1:25" hidden="1" x14ac:dyDescent="0.25">
      <c r="B71" t="s">
        <v>1556</v>
      </c>
      <c r="C71" t="s">
        <v>960</v>
      </c>
      <c r="D71" t="s">
        <v>1683</v>
      </c>
      <c r="E71" t="s">
        <v>1820</v>
      </c>
      <c r="F71" t="s">
        <v>1556</v>
      </c>
      <c r="G71" t="s">
        <v>23</v>
      </c>
      <c r="H71" t="s">
        <v>615</v>
      </c>
      <c r="I71" t="s">
        <v>961</v>
      </c>
      <c r="L71" t="s">
        <v>532</v>
      </c>
      <c r="M71" t="s">
        <v>533</v>
      </c>
      <c r="N71">
        <v>76</v>
      </c>
      <c r="W71" t="b">
        <v>0</v>
      </c>
      <c r="X71" t="s">
        <v>1685</v>
      </c>
      <c r="Y71" t="s">
        <v>1821</v>
      </c>
    </row>
    <row r="72" spans="1:25" hidden="1" x14ac:dyDescent="0.25">
      <c r="B72" t="s">
        <v>1538</v>
      </c>
      <c r="C72" t="s">
        <v>960</v>
      </c>
      <c r="D72" t="s">
        <v>1683</v>
      </c>
      <c r="E72" t="s">
        <v>1822</v>
      </c>
      <c r="F72" t="s">
        <v>1538</v>
      </c>
      <c r="G72" t="s">
        <v>23</v>
      </c>
      <c r="H72" t="s">
        <v>240</v>
      </c>
      <c r="I72" t="s">
        <v>961</v>
      </c>
      <c r="L72" t="s">
        <v>532</v>
      </c>
      <c r="M72" t="s">
        <v>533</v>
      </c>
      <c r="N72">
        <v>77</v>
      </c>
      <c r="W72" t="b">
        <v>0</v>
      </c>
      <c r="X72" t="s">
        <v>1685</v>
      </c>
      <c r="Y72" t="s">
        <v>1823</v>
      </c>
    </row>
    <row r="73" spans="1:25" hidden="1" x14ac:dyDescent="0.25">
      <c r="B73" t="s">
        <v>1456</v>
      </c>
      <c r="C73" t="s">
        <v>960</v>
      </c>
      <c r="D73" t="s">
        <v>1683</v>
      </c>
      <c r="E73" t="s">
        <v>1824</v>
      </c>
      <c r="F73" t="s">
        <v>1456</v>
      </c>
      <c r="G73" t="s">
        <v>207</v>
      </c>
      <c r="H73" t="s">
        <v>240</v>
      </c>
      <c r="I73" t="s">
        <v>961</v>
      </c>
      <c r="L73" t="s">
        <v>532</v>
      </c>
      <c r="M73" t="s">
        <v>533</v>
      </c>
      <c r="N73">
        <v>78</v>
      </c>
      <c r="W73" t="b">
        <v>0</v>
      </c>
      <c r="X73" t="s">
        <v>1685</v>
      </c>
      <c r="Y73" t="s">
        <v>1825</v>
      </c>
    </row>
    <row r="74" spans="1:25" hidden="1" x14ac:dyDescent="0.25">
      <c r="B74" t="s">
        <v>1000</v>
      </c>
      <c r="C74" t="s">
        <v>960</v>
      </c>
      <c r="D74" t="s">
        <v>1683</v>
      </c>
      <c r="E74" t="s">
        <v>1826</v>
      </c>
      <c r="F74" t="s">
        <v>1000</v>
      </c>
      <c r="G74" t="s">
        <v>23</v>
      </c>
      <c r="H74" t="s">
        <v>95</v>
      </c>
      <c r="I74" t="s">
        <v>961</v>
      </c>
      <c r="L74" t="s">
        <v>532</v>
      </c>
      <c r="M74" t="s">
        <v>533</v>
      </c>
      <c r="N74">
        <v>79</v>
      </c>
      <c r="W74" t="b">
        <v>0</v>
      </c>
      <c r="X74" t="s">
        <v>1685</v>
      </c>
      <c r="Y74" t="s">
        <v>1827</v>
      </c>
    </row>
    <row r="75" spans="1:25" hidden="1" x14ac:dyDescent="0.25">
      <c r="B75" t="s">
        <v>1481</v>
      </c>
      <c r="C75" t="s">
        <v>960</v>
      </c>
      <c r="D75" t="s">
        <v>1683</v>
      </c>
      <c r="E75" t="s">
        <v>1828</v>
      </c>
      <c r="F75" t="s">
        <v>1481</v>
      </c>
      <c r="G75" t="s">
        <v>207</v>
      </c>
      <c r="H75" t="s">
        <v>531</v>
      </c>
      <c r="I75" t="s">
        <v>961</v>
      </c>
      <c r="L75" t="s">
        <v>532</v>
      </c>
      <c r="M75" t="s">
        <v>533</v>
      </c>
      <c r="N75">
        <v>80</v>
      </c>
      <c r="W75" t="b">
        <v>0</v>
      </c>
      <c r="X75" t="s">
        <v>1685</v>
      </c>
      <c r="Y75" t="s">
        <v>1829</v>
      </c>
    </row>
    <row r="76" spans="1:25" hidden="1" x14ac:dyDescent="0.25">
      <c r="B76" t="s">
        <v>1053</v>
      </c>
      <c r="C76" t="s">
        <v>960</v>
      </c>
      <c r="D76" t="s">
        <v>1683</v>
      </c>
      <c r="E76" t="s">
        <v>1830</v>
      </c>
      <c r="F76" t="s">
        <v>1053</v>
      </c>
      <c r="G76" t="s">
        <v>23</v>
      </c>
      <c r="H76" t="s">
        <v>239</v>
      </c>
      <c r="I76" t="s">
        <v>961</v>
      </c>
      <c r="L76" t="s">
        <v>532</v>
      </c>
      <c r="M76" t="s">
        <v>533</v>
      </c>
      <c r="N76">
        <v>81</v>
      </c>
      <c r="W76" t="b">
        <v>0</v>
      </c>
      <c r="X76" t="s">
        <v>1685</v>
      </c>
      <c r="Y76" t="s">
        <v>1831</v>
      </c>
    </row>
    <row r="77" spans="1:25" hidden="1" x14ac:dyDescent="0.25">
      <c r="B77" t="s">
        <v>1014</v>
      </c>
      <c r="C77" t="s">
        <v>960</v>
      </c>
      <c r="D77" t="s">
        <v>1683</v>
      </c>
      <c r="E77" t="s">
        <v>1832</v>
      </c>
      <c r="F77" t="s">
        <v>1014</v>
      </c>
      <c r="G77" t="s">
        <v>23</v>
      </c>
      <c r="H77" t="s">
        <v>927</v>
      </c>
      <c r="I77" t="s">
        <v>961</v>
      </c>
      <c r="L77" t="s">
        <v>532</v>
      </c>
      <c r="M77" t="s">
        <v>533</v>
      </c>
      <c r="N77">
        <v>82</v>
      </c>
      <c r="W77" t="b">
        <v>0</v>
      </c>
      <c r="X77" t="s">
        <v>1685</v>
      </c>
      <c r="Y77" t="s">
        <v>1833</v>
      </c>
    </row>
    <row r="78" spans="1:25" hidden="1" x14ac:dyDescent="0.25">
      <c r="B78" t="s">
        <v>1020</v>
      </c>
      <c r="C78" t="s">
        <v>960</v>
      </c>
      <c r="D78" t="s">
        <v>1683</v>
      </c>
      <c r="E78" t="s">
        <v>1834</v>
      </c>
      <c r="F78" t="s">
        <v>1020</v>
      </c>
      <c r="G78" t="s">
        <v>23</v>
      </c>
      <c r="H78" t="s">
        <v>238</v>
      </c>
      <c r="I78" t="s">
        <v>961</v>
      </c>
      <c r="L78" t="s">
        <v>532</v>
      </c>
      <c r="M78" t="s">
        <v>533</v>
      </c>
      <c r="N78">
        <v>83</v>
      </c>
      <c r="W78" t="b">
        <v>0</v>
      </c>
      <c r="X78" t="s">
        <v>1685</v>
      </c>
      <c r="Y78" t="s">
        <v>1835</v>
      </c>
    </row>
    <row r="79" spans="1:25" hidden="1" x14ac:dyDescent="0.25">
      <c r="B79" t="s">
        <v>1611</v>
      </c>
      <c r="C79" t="s">
        <v>960</v>
      </c>
      <c r="D79" t="s">
        <v>1683</v>
      </c>
      <c r="E79" t="s">
        <v>1836</v>
      </c>
      <c r="F79" t="s">
        <v>1611</v>
      </c>
      <c r="G79" t="s">
        <v>23</v>
      </c>
      <c r="H79" t="s">
        <v>531</v>
      </c>
      <c r="I79" t="s">
        <v>961</v>
      </c>
      <c r="L79" t="s">
        <v>532</v>
      </c>
      <c r="M79" t="s">
        <v>533</v>
      </c>
      <c r="N79">
        <v>84</v>
      </c>
      <c r="W79" t="b">
        <v>0</v>
      </c>
      <c r="X79" t="s">
        <v>1685</v>
      </c>
      <c r="Y79" t="s">
        <v>1837</v>
      </c>
    </row>
    <row r="80" spans="1:25" hidden="1" x14ac:dyDescent="0.25">
      <c r="B80" t="s">
        <v>1468</v>
      </c>
      <c r="C80" t="s">
        <v>960</v>
      </c>
      <c r="D80" t="s">
        <v>1683</v>
      </c>
      <c r="E80" t="s">
        <v>1838</v>
      </c>
      <c r="F80" t="s">
        <v>1468</v>
      </c>
      <c r="G80" t="s">
        <v>23</v>
      </c>
      <c r="H80" t="s">
        <v>615</v>
      </c>
      <c r="I80" t="s">
        <v>961</v>
      </c>
      <c r="L80" t="s">
        <v>532</v>
      </c>
      <c r="M80" t="s">
        <v>533</v>
      </c>
      <c r="N80">
        <v>85</v>
      </c>
      <c r="W80" t="b">
        <v>0</v>
      </c>
      <c r="X80" t="s">
        <v>1685</v>
      </c>
      <c r="Y80" t="s">
        <v>1839</v>
      </c>
    </row>
    <row r="81" spans="2:25" hidden="1" x14ac:dyDescent="0.25">
      <c r="B81" t="s">
        <v>1528</v>
      </c>
      <c r="C81" t="s">
        <v>960</v>
      </c>
      <c r="D81" t="s">
        <v>1683</v>
      </c>
      <c r="E81" t="s">
        <v>1840</v>
      </c>
      <c r="F81" t="s">
        <v>1528</v>
      </c>
      <c r="G81" t="s">
        <v>207</v>
      </c>
      <c r="H81" t="s">
        <v>531</v>
      </c>
      <c r="I81" t="s">
        <v>961</v>
      </c>
      <c r="L81" t="s">
        <v>532</v>
      </c>
      <c r="M81" t="s">
        <v>533</v>
      </c>
      <c r="N81">
        <v>86</v>
      </c>
      <c r="W81" t="b">
        <v>0</v>
      </c>
      <c r="X81" t="s">
        <v>1685</v>
      </c>
      <c r="Y81" t="s">
        <v>1841</v>
      </c>
    </row>
    <row r="82" spans="2:25" hidden="1" x14ac:dyDescent="0.25">
      <c r="B82" t="s">
        <v>1625</v>
      </c>
      <c r="C82" t="s">
        <v>960</v>
      </c>
      <c r="D82" t="s">
        <v>1683</v>
      </c>
      <c r="E82" t="s">
        <v>1842</v>
      </c>
      <c r="F82" t="s">
        <v>1625</v>
      </c>
      <c r="G82" t="s">
        <v>23</v>
      </c>
      <c r="H82" t="s">
        <v>823</v>
      </c>
      <c r="I82" t="s">
        <v>961</v>
      </c>
      <c r="L82" t="s">
        <v>532</v>
      </c>
      <c r="M82" t="s">
        <v>533</v>
      </c>
      <c r="N82">
        <v>87</v>
      </c>
      <c r="W82" t="b">
        <v>0</v>
      </c>
      <c r="X82" t="s">
        <v>1685</v>
      </c>
      <c r="Y82" t="s">
        <v>1843</v>
      </c>
    </row>
    <row r="83" spans="2:25" hidden="1" x14ac:dyDescent="0.25">
      <c r="B83" t="s">
        <v>1024</v>
      </c>
      <c r="C83" t="s">
        <v>960</v>
      </c>
      <c r="D83" t="s">
        <v>1683</v>
      </c>
      <c r="E83" t="s">
        <v>1844</v>
      </c>
      <c r="F83" t="s">
        <v>1024</v>
      </c>
      <c r="G83" t="s">
        <v>207</v>
      </c>
      <c r="H83" t="s">
        <v>531</v>
      </c>
      <c r="I83" t="s">
        <v>961</v>
      </c>
      <c r="L83" t="s">
        <v>532</v>
      </c>
      <c r="M83" t="s">
        <v>533</v>
      </c>
      <c r="N83">
        <v>88</v>
      </c>
      <c r="W83" t="b">
        <v>0</v>
      </c>
      <c r="X83" t="s">
        <v>1685</v>
      </c>
      <c r="Y83" t="s">
        <v>1845</v>
      </c>
    </row>
    <row r="84" spans="2:25" hidden="1" x14ac:dyDescent="0.25">
      <c r="B84" t="s">
        <v>1089</v>
      </c>
      <c r="C84" t="s">
        <v>960</v>
      </c>
      <c r="D84" t="s">
        <v>1683</v>
      </c>
      <c r="E84" t="s">
        <v>1846</v>
      </c>
      <c r="F84" t="s">
        <v>1089</v>
      </c>
      <c r="G84" t="s">
        <v>23</v>
      </c>
      <c r="H84" t="s">
        <v>615</v>
      </c>
      <c r="I84" t="s">
        <v>961</v>
      </c>
      <c r="L84" t="s">
        <v>532</v>
      </c>
      <c r="M84" t="s">
        <v>533</v>
      </c>
      <c r="N84">
        <v>89</v>
      </c>
      <c r="W84" t="b">
        <v>0</v>
      </c>
      <c r="X84" t="s">
        <v>1685</v>
      </c>
      <c r="Y84" t="s">
        <v>1847</v>
      </c>
    </row>
    <row r="85" spans="2:25" hidden="1" x14ac:dyDescent="0.25">
      <c r="B85" t="s">
        <v>1044</v>
      </c>
      <c r="C85" t="s">
        <v>960</v>
      </c>
      <c r="D85" t="s">
        <v>1683</v>
      </c>
      <c r="E85" t="s">
        <v>1848</v>
      </c>
      <c r="F85" t="s">
        <v>1044</v>
      </c>
      <c r="G85" t="s">
        <v>207</v>
      </c>
      <c r="H85" t="s">
        <v>95</v>
      </c>
      <c r="I85" t="s">
        <v>961</v>
      </c>
      <c r="L85" t="s">
        <v>532</v>
      </c>
      <c r="M85" t="s">
        <v>533</v>
      </c>
      <c r="N85">
        <v>90</v>
      </c>
      <c r="W85" t="b">
        <v>0</v>
      </c>
      <c r="X85" t="s">
        <v>1685</v>
      </c>
      <c r="Y85" t="s">
        <v>1849</v>
      </c>
    </row>
    <row r="86" spans="2:25" hidden="1" x14ac:dyDescent="0.25">
      <c r="B86" t="s">
        <v>1104</v>
      </c>
      <c r="C86" t="s">
        <v>960</v>
      </c>
      <c r="D86" t="s">
        <v>1683</v>
      </c>
      <c r="E86" t="s">
        <v>1850</v>
      </c>
      <c r="F86" t="s">
        <v>1104</v>
      </c>
      <c r="G86" t="s">
        <v>207</v>
      </c>
      <c r="H86" t="s">
        <v>95</v>
      </c>
      <c r="I86" t="s">
        <v>961</v>
      </c>
      <c r="L86" t="s">
        <v>532</v>
      </c>
      <c r="M86" t="s">
        <v>533</v>
      </c>
      <c r="N86">
        <v>91</v>
      </c>
      <c r="W86" t="b">
        <v>0</v>
      </c>
      <c r="X86" t="s">
        <v>1685</v>
      </c>
      <c r="Y86" t="s">
        <v>1851</v>
      </c>
    </row>
    <row r="87" spans="2:25" hidden="1" x14ac:dyDescent="0.25">
      <c r="B87" t="s">
        <v>1124</v>
      </c>
      <c r="C87" t="s">
        <v>960</v>
      </c>
      <c r="D87" t="s">
        <v>1683</v>
      </c>
      <c r="E87" t="s">
        <v>1852</v>
      </c>
      <c r="F87" t="s">
        <v>1124</v>
      </c>
      <c r="G87" t="s">
        <v>207</v>
      </c>
      <c r="H87" t="s">
        <v>239</v>
      </c>
      <c r="I87" t="s">
        <v>961</v>
      </c>
      <c r="L87" t="s">
        <v>532</v>
      </c>
      <c r="M87" t="s">
        <v>533</v>
      </c>
      <c r="N87">
        <v>92</v>
      </c>
      <c r="W87" t="b">
        <v>0</v>
      </c>
      <c r="X87" t="s">
        <v>1685</v>
      </c>
      <c r="Y87" t="s">
        <v>1853</v>
      </c>
    </row>
    <row r="88" spans="2:25" hidden="1" x14ac:dyDescent="0.25">
      <c r="B88" t="s">
        <v>1120</v>
      </c>
      <c r="C88" t="s">
        <v>960</v>
      </c>
      <c r="D88" t="s">
        <v>1683</v>
      </c>
      <c r="E88" t="s">
        <v>1854</v>
      </c>
      <c r="F88" t="s">
        <v>1120</v>
      </c>
      <c r="G88" t="s">
        <v>207</v>
      </c>
      <c r="H88" t="s">
        <v>239</v>
      </c>
      <c r="I88" t="s">
        <v>961</v>
      </c>
      <c r="L88" t="s">
        <v>532</v>
      </c>
      <c r="M88" t="s">
        <v>533</v>
      </c>
      <c r="N88">
        <v>93</v>
      </c>
      <c r="W88" t="b">
        <v>0</v>
      </c>
      <c r="X88" t="s">
        <v>1685</v>
      </c>
      <c r="Y88" t="s">
        <v>1855</v>
      </c>
    </row>
    <row r="89" spans="2:25" hidden="1" x14ac:dyDescent="0.25">
      <c r="B89" t="s">
        <v>1270</v>
      </c>
      <c r="C89" t="s">
        <v>960</v>
      </c>
      <c r="D89" t="s">
        <v>1683</v>
      </c>
      <c r="E89" t="s">
        <v>1856</v>
      </c>
      <c r="F89" t="s">
        <v>1270</v>
      </c>
      <c r="G89" t="s">
        <v>207</v>
      </c>
      <c r="H89" t="s">
        <v>239</v>
      </c>
      <c r="I89" t="s">
        <v>961</v>
      </c>
      <c r="L89" t="s">
        <v>532</v>
      </c>
      <c r="M89" t="s">
        <v>533</v>
      </c>
      <c r="N89">
        <v>94</v>
      </c>
      <c r="W89" t="b">
        <v>0</v>
      </c>
      <c r="X89" t="s">
        <v>1685</v>
      </c>
      <c r="Y89" t="s">
        <v>1857</v>
      </c>
    </row>
    <row r="90" spans="2:25" hidden="1" x14ac:dyDescent="0.25">
      <c r="B90" t="s">
        <v>1276</v>
      </c>
      <c r="C90" t="s">
        <v>960</v>
      </c>
      <c r="D90" t="s">
        <v>1683</v>
      </c>
      <c r="E90" t="s">
        <v>1858</v>
      </c>
      <c r="F90" t="s">
        <v>1276</v>
      </c>
      <c r="G90" t="s">
        <v>207</v>
      </c>
      <c r="H90" t="s">
        <v>239</v>
      </c>
      <c r="I90" t="s">
        <v>961</v>
      </c>
      <c r="L90" t="s">
        <v>532</v>
      </c>
      <c r="M90" t="s">
        <v>533</v>
      </c>
      <c r="N90">
        <v>95</v>
      </c>
      <c r="W90" t="b">
        <v>0</v>
      </c>
      <c r="X90" t="s">
        <v>1685</v>
      </c>
      <c r="Y90" t="s">
        <v>1859</v>
      </c>
    </row>
    <row r="91" spans="2:25" hidden="1" x14ac:dyDescent="0.25">
      <c r="B91" t="s">
        <v>1168</v>
      </c>
      <c r="C91" t="s">
        <v>960</v>
      </c>
      <c r="D91" t="s">
        <v>1683</v>
      </c>
      <c r="E91" t="s">
        <v>1860</v>
      </c>
      <c r="F91" t="s">
        <v>1168</v>
      </c>
      <c r="G91" t="s">
        <v>207</v>
      </c>
      <c r="H91" t="s">
        <v>240</v>
      </c>
      <c r="I91" t="s">
        <v>961</v>
      </c>
      <c r="L91" t="s">
        <v>532</v>
      </c>
      <c r="M91" t="s">
        <v>533</v>
      </c>
      <c r="N91">
        <v>96</v>
      </c>
      <c r="W91" t="b">
        <v>0</v>
      </c>
      <c r="X91" t="s">
        <v>1685</v>
      </c>
      <c r="Y91" t="s">
        <v>1861</v>
      </c>
    </row>
    <row r="92" spans="2:25" hidden="1" x14ac:dyDescent="0.25">
      <c r="B92" t="s">
        <v>1188</v>
      </c>
      <c r="C92" t="s">
        <v>960</v>
      </c>
      <c r="D92" t="s">
        <v>1683</v>
      </c>
      <c r="E92" t="s">
        <v>1862</v>
      </c>
      <c r="F92" t="s">
        <v>1188</v>
      </c>
      <c r="G92" t="s">
        <v>207</v>
      </c>
      <c r="H92" t="s">
        <v>240</v>
      </c>
      <c r="I92" t="s">
        <v>961</v>
      </c>
      <c r="L92" t="s">
        <v>532</v>
      </c>
      <c r="M92" t="s">
        <v>533</v>
      </c>
      <c r="N92">
        <v>97</v>
      </c>
      <c r="W92" t="b">
        <v>0</v>
      </c>
      <c r="X92" t="s">
        <v>1685</v>
      </c>
      <c r="Y92" t="s">
        <v>1863</v>
      </c>
    </row>
    <row r="93" spans="2:25" hidden="1" x14ac:dyDescent="0.25">
      <c r="B93" t="s">
        <v>1286</v>
      </c>
      <c r="C93" t="s">
        <v>960</v>
      </c>
      <c r="D93" t="s">
        <v>1683</v>
      </c>
      <c r="E93" t="s">
        <v>1864</v>
      </c>
      <c r="F93" t="s">
        <v>1286</v>
      </c>
      <c r="G93" t="s">
        <v>207</v>
      </c>
      <c r="H93" t="s">
        <v>240</v>
      </c>
      <c r="I93" t="s">
        <v>961</v>
      </c>
      <c r="L93" t="s">
        <v>532</v>
      </c>
      <c r="M93" t="s">
        <v>533</v>
      </c>
      <c r="N93">
        <v>98</v>
      </c>
      <c r="W93" t="b">
        <v>0</v>
      </c>
      <c r="X93" t="s">
        <v>1685</v>
      </c>
      <c r="Y93" t="s">
        <v>1865</v>
      </c>
    </row>
    <row r="94" spans="2:25" hidden="1" x14ac:dyDescent="0.25">
      <c r="B94" t="s">
        <v>1166</v>
      </c>
      <c r="C94" t="s">
        <v>960</v>
      </c>
      <c r="D94" t="s">
        <v>1683</v>
      </c>
      <c r="E94" t="s">
        <v>1866</v>
      </c>
      <c r="F94" t="s">
        <v>1166</v>
      </c>
      <c r="G94" t="s">
        <v>207</v>
      </c>
      <c r="H94" t="s">
        <v>240</v>
      </c>
      <c r="I94" t="s">
        <v>961</v>
      </c>
      <c r="L94" t="s">
        <v>532</v>
      </c>
      <c r="M94" t="s">
        <v>533</v>
      </c>
      <c r="N94">
        <v>99</v>
      </c>
      <c r="W94" t="b">
        <v>0</v>
      </c>
      <c r="X94" t="s">
        <v>1685</v>
      </c>
      <c r="Y94" t="s">
        <v>1867</v>
      </c>
    </row>
    <row r="95" spans="2:25" hidden="1" x14ac:dyDescent="0.25">
      <c r="B95" t="s">
        <v>1316</v>
      </c>
      <c r="C95" t="s">
        <v>960</v>
      </c>
      <c r="D95" t="s">
        <v>1683</v>
      </c>
      <c r="E95" t="s">
        <v>1868</v>
      </c>
      <c r="F95" t="s">
        <v>1316</v>
      </c>
      <c r="G95" t="s">
        <v>207</v>
      </c>
      <c r="H95" t="s">
        <v>240</v>
      </c>
      <c r="I95" t="s">
        <v>961</v>
      </c>
      <c r="L95" t="s">
        <v>532</v>
      </c>
      <c r="M95" t="s">
        <v>533</v>
      </c>
      <c r="N95">
        <v>100</v>
      </c>
      <c r="W95" t="b">
        <v>0</v>
      </c>
      <c r="X95" t="s">
        <v>1685</v>
      </c>
      <c r="Y95" t="s">
        <v>1869</v>
      </c>
    </row>
    <row r="96" spans="2:25" hidden="1" x14ac:dyDescent="0.25">
      <c r="B96" t="s">
        <v>1472</v>
      </c>
      <c r="C96" t="s">
        <v>960</v>
      </c>
      <c r="D96" t="s">
        <v>1683</v>
      </c>
      <c r="E96" t="s">
        <v>1870</v>
      </c>
      <c r="F96" t="s">
        <v>1472</v>
      </c>
      <c r="G96" t="s">
        <v>207</v>
      </c>
      <c r="H96" t="s">
        <v>95</v>
      </c>
      <c r="I96" t="s">
        <v>961</v>
      </c>
      <c r="L96" t="s">
        <v>532</v>
      </c>
      <c r="M96" t="s">
        <v>533</v>
      </c>
      <c r="N96">
        <v>101</v>
      </c>
      <c r="W96" t="b">
        <v>0</v>
      </c>
      <c r="X96" t="s">
        <v>1685</v>
      </c>
      <c r="Y96" t="s">
        <v>1871</v>
      </c>
    </row>
    <row r="97" spans="2:25" hidden="1" x14ac:dyDescent="0.25">
      <c r="B97" t="s">
        <v>1040</v>
      </c>
      <c r="C97" t="s">
        <v>960</v>
      </c>
      <c r="D97" t="s">
        <v>1683</v>
      </c>
      <c r="E97" t="s">
        <v>1872</v>
      </c>
      <c r="F97" t="s">
        <v>1040</v>
      </c>
      <c r="G97" t="s">
        <v>23</v>
      </c>
      <c r="H97" t="s">
        <v>823</v>
      </c>
      <c r="I97" t="s">
        <v>961</v>
      </c>
      <c r="L97" t="s">
        <v>532</v>
      </c>
      <c r="M97" t="s">
        <v>533</v>
      </c>
      <c r="N97">
        <v>102</v>
      </c>
      <c r="W97" t="b">
        <v>0</v>
      </c>
      <c r="X97" t="s">
        <v>1685</v>
      </c>
      <c r="Y97" t="s">
        <v>1873</v>
      </c>
    </row>
    <row r="98" spans="2:25" hidden="1" x14ac:dyDescent="0.25">
      <c r="B98" t="s">
        <v>1049</v>
      </c>
      <c r="C98" t="s">
        <v>960</v>
      </c>
      <c r="D98" t="s">
        <v>1683</v>
      </c>
      <c r="E98" t="s">
        <v>1874</v>
      </c>
      <c r="F98" t="s">
        <v>1049</v>
      </c>
      <c r="G98" t="s">
        <v>23</v>
      </c>
      <c r="H98" t="s">
        <v>239</v>
      </c>
      <c r="I98" t="s">
        <v>961</v>
      </c>
      <c r="L98" t="s">
        <v>532</v>
      </c>
      <c r="M98" t="s">
        <v>533</v>
      </c>
      <c r="N98">
        <v>103</v>
      </c>
      <c r="W98" t="b">
        <v>0</v>
      </c>
      <c r="X98" t="s">
        <v>1685</v>
      </c>
      <c r="Y98" t="s">
        <v>1875</v>
      </c>
    </row>
    <row r="99" spans="2:25" hidden="1" x14ac:dyDescent="0.25">
      <c r="B99" t="s">
        <v>1631</v>
      </c>
      <c r="C99" t="s">
        <v>960</v>
      </c>
      <c r="D99" t="s">
        <v>1683</v>
      </c>
      <c r="E99" t="s">
        <v>1876</v>
      </c>
      <c r="F99" t="s">
        <v>1631</v>
      </c>
      <c r="G99" t="s">
        <v>23</v>
      </c>
      <c r="H99" t="s">
        <v>531</v>
      </c>
      <c r="I99" t="s">
        <v>961</v>
      </c>
      <c r="L99" t="s">
        <v>532</v>
      </c>
      <c r="M99" t="s">
        <v>533</v>
      </c>
      <c r="N99">
        <v>104</v>
      </c>
      <c r="W99" t="b">
        <v>0</v>
      </c>
      <c r="X99" t="s">
        <v>1685</v>
      </c>
      <c r="Y99" t="s">
        <v>1877</v>
      </c>
    </row>
    <row r="100" spans="2:25" hidden="1" x14ac:dyDescent="0.25">
      <c r="B100" t="s">
        <v>1598</v>
      </c>
      <c r="C100" t="s">
        <v>960</v>
      </c>
      <c r="D100" t="s">
        <v>1683</v>
      </c>
      <c r="E100" t="s">
        <v>1878</v>
      </c>
      <c r="F100" t="s">
        <v>1598</v>
      </c>
      <c r="G100" t="s">
        <v>23</v>
      </c>
      <c r="H100" t="s">
        <v>240</v>
      </c>
      <c r="I100" t="s">
        <v>961</v>
      </c>
      <c r="L100" t="s">
        <v>532</v>
      </c>
      <c r="M100" t="s">
        <v>533</v>
      </c>
      <c r="N100">
        <v>105</v>
      </c>
      <c r="W100" t="b">
        <v>0</v>
      </c>
      <c r="X100" t="s">
        <v>1685</v>
      </c>
      <c r="Y100" t="s">
        <v>1879</v>
      </c>
    </row>
    <row r="101" spans="2:25" hidden="1" x14ac:dyDescent="0.25">
      <c r="B101" t="s">
        <v>967</v>
      </c>
      <c r="C101" t="s">
        <v>960</v>
      </c>
      <c r="D101" t="s">
        <v>1683</v>
      </c>
      <c r="E101" t="s">
        <v>1880</v>
      </c>
      <c r="F101" t="s">
        <v>967</v>
      </c>
      <c r="G101" t="s">
        <v>23</v>
      </c>
      <c r="H101" t="s">
        <v>240</v>
      </c>
      <c r="I101" t="s">
        <v>961</v>
      </c>
      <c r="L101" t="s">
        <v>532</v>
      </c>
      <c r="M101" t="s">
        <v>533</v>
      </c>
      <c r="N101">
        <v>106</v>
      </c>
      <c r="W101" t="b">
        <v>0</v>
      </c>
      <c r="X101" t="s">
        <v>1685</v>
      </c>
      <c r="Y101" t="s">
        <v>1881</v>
      </c>
    </row>
    <row r="102" spans="2:25" hidden="1" x14ac:dyDescent="0.25">
      <c r="B102" t="s">
        <v>965</v>
      </c>
      <c r="C102" t="s">
        <v>960</v>
      </c>
      <c r="D102" t="s">
        <v>1683</v>
      </c>
      <c r="E102" t="s">
        <v>1882</v>
      </c>
      <c r="F102" t="s">
        <v>965</v>
      </c>
      <c r="G102" t="s">
        <v>23</v>
      </c>
      <c r="H102" t="s">
        <v>239</v>
      </c>
      <c r="I102" t="s">
        <v>961</v>
      </c>
      <c r="L102" t="s">
        <v>532</v>
      </c>
      <c r="M102" t="s">
        <v>533</v>
      </c>
      <c r="N102">
        <v>107</v>
      </c>
      <c r="W102" t="b">
        <v>0</v>
      </c>
      <c r="X102" t="s">
        <v>1685</v>
      </c>
      <c r="Y102" t="s">
        <v>1883</v>
      </c>
    </row>
    <row r="103" spans="2:25" hidden="1" x14ac:dyDescent="0.25">
      <c r="B103" t="s">
        <v>504</v>
      </c>
      <c r="C103" t="s">
        <v>960</v>
      </c>
      <c r="D103" t="s">
        <v>1683</v>
      </c>
      <c r="E103" t="s">
        <v>511</v>
      </c>
      <c r="F103" t="s">
        <v>504</v>
      </c>
      <c r="G103" t="s">
        <v>23</v>
      </c>
      <c r="H103" t="s">
        <v>531</v>
      </c>
      <c r="I103" t="s">
        <v>961</v>
      </c>
      <c r="L103" t="s">
        <v>532</v>
      </c>
      <c r="M103" t="s">
        <v>533</v>
      </c>
      <c r="N103">
        <v>108</v>
      </c>
      <c r="W103" t="b">
        <v>0</v>
      </c>
      <c r="X103" t="s">
        <v>1685</v>
      </c>
      <c r="Y103" t="s">
        <v>1884</v>
      </c>
    </row>
    <row r="104" spans="2:25" hidden="1" x14ac:dyDescent="0.25">
      <c r="B104" t="s">
        <v>1504</v>
      </c>
      <c r="C104" t="s">
        <v>960</v>
      </c>
      <c r="D104" t="s">
        <v>1683</v>
      </c>
      <c r="E104" t="s">
        <v>1885</v>
      </c>
      <c r="F104" t="s">
        <v>1504</v>
      </c>
      <c r="G104" t="s">
        <v>207</v>
      </c>
      <c r="H104" t="s">
        <v>95</v>
      </c>
      <c r="I104" t="s">
        <v>961</v>
      </c>
      <c r="L104" t="s">
        <v>532</v>
      </c>
      <c r="M104" t="s">
        <v>533</v>
      </c>
      <c r="N104">
        <v>109</v>
      </c>
      <c r="W104" t="b">
        <v>0</v>
      </c>
      <c r="X104" t="s">
        <v>1685</v>
      </c>
      <c r="Y104" t="s">
        <v>1886</v>
      </c>
    </row>
    <row r="105" spans="2:25" hidden="1" x14ac:dyDescent="0.25">
      <c r="B105" t="s">
        <v>1518</v>
      </c>
      <c r="C105" t="s">
        <v>960</v>
      </c>
      <c r="D105" t="s">
        <v>1683</v>
      </c>
      <c r="E105" t="s">
        <v>1887</v>
      </c>
      <c r="F105" t="s">
        <v>1518</v>
      </c>
      <c r="G105" t="s">
        <v>207</v>
      </c>
      <c r="H105" t="s">
        <v>95</v>
      </c>
      <c r="I105" t="s">
        <v>961</v>
      </c>
      <c r="L105" t="s">
        <v>532</v>
      </c>
      <c r="M105" t="s">
        <v>533</v>
      </c>
      <c r="N105">
        <v>110</v>
      </c>
      <c r="W105" t="b">
        <v>0</v>
      </c>
      <c r="X105" t="s">
        <v>1685</v>
      </c>
      <c r="Y105" t="s">
        <v>1888</v>
      </c>
    </row>
    <row r="106" spans="2:25" hidden="1" x14ac:dyDescent="0.25">
      <c r="B106" t="s">
        <v>1075</v>
      </c>
      <c r="C106" t="s">
        <v>960</v>
      </c>
      <c r="D106" t="s">
        <v>1683</v>
      </c>
      <c r="E106" t="s">
        <v>1889</v>
      </c>
      <c r="F106" t="s">
        <v>1075</v>
      </c>
      <c r="G106" t="s">
        <v>207</v>
      </c>
      <c r="H106" t="s">
        <v>905</v>
      </c>
      <c r="I106" t="s">
        <v>961</v>
      </c>
      <c r="L106" t="s">
        <v>532</v>
      </c>
      <c r="M106" t="s">
        <v>533</v>
      </c>
      <c r="N106">
        <v>111</v>
      </c>
      <c r="W106" t="b">
        <v>0</v>
      </c>
      <c r="X106" t="s">
        <v>1685</v>
      </c>
      <c r="Y106" t="s">
        <v>1890</v>
      </c>
    </row>
    <row r="107" spans="2:25" hidden="1" x14ac:dyDescent="0.25">
      <c r="B107" t="s">
        <v>1470</v>
      </c>
      <c r="C107" t="s">
        <v>960</v>
      </c>
      <c r="D107" t="s">
        <v>1683</v>
      </c>
      <c r="E107" t="s">
        <v>1891</v>
      </c>
      <c r="F107" t="s">
        <v>1470</v>
      </c>
      <c r="G107" t="s">
        <v>23</v>
      </c>
      <c r="H107" t="s">
        <v>94</v>
      </c>
      <c r="I107" t="s">
        <v>961</v>
      </c>
      <c r="L107" t="s">
        <v>532</v>
      </c>
      <c r="M107" t="s">
        <v>533</v>
      </c>
      <c r="N107">
        <v>112</v>
      </c>
      <c r="W107" t="b">
        <v>0</v>
      </c>
      <c r="X107" t="s">
        <v>1685</v>
      </c>
      <c r="Y107" t="s">
        <v>1892</v>
      </c>
    </row>
    <row r="108" spans="2:25" hidden="1" x14ac:dyDescent="0.25">
      <c r="B108" t="s">
        <v>1022</v>
      </c>
      <c r="C108" t="s">
        <v>960</v>
      </c>
      <c r="D108" t="s">
        <v>1683</v>
      </c>
      <c r="E108" t="s">
        <v>1893</v>
      </c>
      <c r="F108" t="s">
        <v>1022</v>
      </c>
      <c r="G108" t="s">
        <v>23</v>
      </c>
      <c r="H108" t="s">
        <v>615</v>
      </c>
      <c r="I108" t="s">
        <v>961</v>
      </c>
      <c r="L108" t="s">
        <v>532</v>
      </c>
      <c r="M108" t="s">
        <v>533</v>
      </c>
      <c r="N108">
        <v>113</v>
      </c>
      <c r="W108" t="b">
        <v>0</v>
      </c>
      <c r="X108" t="s">
        <v>1685</v>
      </c>
      <c r="Y108" t="s">
        <v>1894</v>
      </c>
    </row>
    <row r="109" spans="2:25" hidden="1" x14ac:dyDescent="0.25">
      <c r="B109" t="s">
        <v>1004</v>
      </c>
      <c r="C109" t="s">
        <v>960</v>
      </c>
      <c r="D109" t="s">
        <v>1683</v>
      </c>
      <c r="E109" t="s">
        <v>1895</v>
      </c>
      <c r="F109" t="s">
        <v>1004</v>
      </c>
      <c r="G109" t="s">
        <v>23</v>
      </c>
      <c r="H109" t="s">
        <v>615</v>
      </c>
      <c r="I109" t="s">
        <v>961</v>
      </c>
      <c r="L109" t="s">
        <v>532</v>
      </c>
      <c r="M109" t="s">
        <v>533</v>
      </c>
      <c r="N109">
        <v>114</v>
      </c>
      <c r="W109" t="b">
        <v>0</v>
      </c>
      <c r="X109" t="s">
        <v>1685</v>
      </c>
      <c r="Y109" t="s">
        <v>1896</v>
      </c>
    </row>
    <row r="110" spans="2:25" hidden="1" x14ac:dyDescent="0.25">
      <c r="B110" t="s">
        <v>1302</v>
      </c>
      <c r="C110" t="s">
        <v>960</v>
      </c>
      <c r="D110" t="s">
        <v>1683</v>
      </c>
      <c r="E110" t="s">
        <v>1897</v>
      </c>
      <c r="F110" t="s">
        <v>1302</v>
      </c>
      <c r="G110" t="s">
        <v>207</v>
      </c>
      <c r="H110" t="s">
        <v>905</v>
      </c>
      <c r="I110" t="s">
        <v>961</v>
      </c>
      <c r="L110" t="s">
        <v>532</v>
      </c>
      <c r="M110" t="s">
        <v>533</v>
      </c>
      <c r="N110">
        <v>115</v>
      </c>
      <c r="W110" t="b">
        <v>0</v>
      </c>
      <c r="X110" t="s">
        <v>1685</v>
      </c>
      <c r="Y110" t="s">
        <v>1898</v>
      </c>
    </row>
    <row r="111" spans="2:25" hidden="1" x14ac:dyDescent="0.25">
      <c r="B111" t="s">
        <v>1240</v>
      </c>
      <c r="C111" t="s">
        <v>960</v>
      </c>
      <c r="D111" t="s">
        <v>1683</v>
      </c>
      <c r="E111" t="s">
        <v>1899</v>
      </c>
      <c r="F111" t="s">
        <v>1240</v>
      </c>
      <c r="G111" t="s">
        <v>207</v>
      </c>
      <c r="H111" t="s">
        <v>240</v>
      </c>
      <c r="I111" t="s">
        <v>961</v>
      </c>
      <c r="L111" t="s">
        <v>532</v>
      </c>
      <c r="M111" t="s">
        <v>533</v>
      </c>
      <c r="N111">
        <v>116</v>
      </c>
      <c r="W111" t="b">
        <v>0</v>
      </c>
      <c r="X111" t="s">
        <v>1685</v>
      </c>
      <c r="Y111" t="s">
        <v>1900</v>
      </c>
    </row>
    <row r="112" spans="2:25" hidden="1" x14ac:dyDescent="0.25">
      <c r="B112" t="s">
        <v>969</v>
      </c>
      <c r="C112" t="s">
        <v>960</v>
      </c>
      <c r="D112" t="s">
        <v>1683</v>
      </c>
      <c r="E112" t="s">
        <v>1901</v>
      </c>
      <c r="F112" t="s">
        <v>969</v>
      </c>
      <c r="G112" t="s">
        <v>23</v>
      </c>
      <c r="H112" t="s">
        <v>239</v>
      </c>
      <c r="I112" t="s">
        <v>961</v>
      </c>
      <c r="L112" t="s">
        <v>532</v>
      </c>
      <c r="M112" t="s">
        <v>533</v>
      </c>
      <c r="N112">
        <v>117</v>
      </c>
      <c r="W112" t="b">
        <v>0</v>
      </c>
      <c r="X112" t="s">
        <v>1685</v>
      </c>
      <c r="Y112" t="s">
        <v>1902</v>
      </c>
    </row>
    <row r="113" spans="2:25" hidden="1" x14ac:dyDescent="0.25">
      <c r="B113" t="s">
        <v>1236</v>
      </c>
      <c r="C113" t="s">
        <v>960</v>
      </c>
      <c r="D113" t="s">
        <v>1683</v>
      </c>
      <c r="E113" t="s">
        <v>1903</v>
      </c>
      <c r="F113" t="s">
        <v>1236</v>
      </c>
      <c r="G113" t="s">
        <v>207</v>
      </c>
      <c r="H113" t="s">
        <v>240</v>
      </c>
      <c r="I113" t="s">
        <v>961</v>
      </c>
      <c r="L113" t="s">
        <v>532</v>
      </c>
      <c r="M113" t="s">
        <v>533</v>
      </c>
      <c r="N113">
        <v>118</v>
      </c>
      <c r="W113" t="b">
        <v>0</v>
      </c>
      <c r="X113" t="s">
        <v>1685</v>
      </c>
      <c r="Y113" t="s">
        <v>1904</v>
      </c>
    </row>
    <row r="114" spans="2:25" hidden="1" x14ac:dyDescent="0.25">
      <c r="B114" t="s">
        <v>1238</v>
      </c>
      <c r="C114" t="s">
        <v>960</v>
      </c>
      <c r="D114" t="s">
        <v>1683</v>
      </c>
      <c r="E114" t="s">
        <v>1905</v>
      </c>
      <c r="F114" t="s">
        <v>1238</v>
      </c>
      <c r="G114" t="s">
        <v>207</v>
      </c>
      <c r="H114" t="s">
        <v>240</v>
      </c>
      <c r="I114" t="s">
        <v>961</v>
      </c>
      <c r="L114" t="s">
        <v>532</v>
      </c>
      <c r="M114" t="s">
        <v>533</v>
      </c>
      <c r="N114">
        <v>119</v>
      </c>
      <c r="W114" t="b">
        <v>0</v>
      </c>
      <c r="X114" t="s">
        <v>1685</v>
      </c>
      <c r="Y114" t="s">
        <v>1906</v>
      </c>
    </row>
    <row r="115" spans="2:25" hidden="1" x14ac:dyDescent="0.25">
      <c r="B115" t="s">
        <v>1665</v>
      </c>
      <c r="C115" t="s">
        <v>960</v>
      </c>
      <c r="D115" t="s">
        <v>1683</v>
      </c>
      <c r="E115" t="s">
        <v>1907</v>
      </c>
      <c r="F115" t="s">
        <v>1665</v>
      </c>
      <c r="G115" t="s">
        <v>23</v>
      </c>
      <c r="H115" t="s">
        <v>531</v>
      </c>
      <c r="I115" t="s">
        <v>961</v>
      </c>
      <c r="L115" t="s">
        <v>532</v>
      </c>
      <c r="M115" t="s">
        <v>533</v>
      </c>
      <c r="N115">
        <v>120</v>
      </c>
      <c r="W115" t="b">
        <v>0</v>
      </c>
      <c r="X115" t="s">
        <v>1685</v>
      </c>
      <c r="Y115" t="s">
        <v>1908</v>
      </c>
    </row>
    <row r="116" spans="2:25" hidden="1" x14ac:dyDescent="0.25">
      <c r="B116" t="s">
        <v>1250</v>
      </c>
      <c r="C116" t="s">
        <v>960</v>
      </c>
      <c r="D116" t="s">
        <v>1683</v>
      </c>
      <c r="E116" t="s">
        <v>1909</v>
      </c>
      <c r="F116" t="s">
        <v>1250</v>
      </c>
      <c r="G116" t="s">
        <v>207</v>
      </c>
      <c r="H116" t="s">
        <v>94</v>
      </c>
      <c r="I116" t="s">
        <v>961</v>
      </c>
      <c r="L116" t="s">
        <v>532</v>
      </c>
      <c r="M116" t="s">
        <v>533</v>
      </c>
      <c r="N116">
        <v>121</v>
      </c>
      <c r="W116" t="b">
        <v>0</v>
      </c>
      <c r="X116" t="s">
        <v>1685</v>
      </c>
      <c r="Y116" t="s">
        <v>1910</v>
      </c>
    </row>
    <row r="117" spans="2:25" hidden="1" x14ac:dyDescent="0.25">
      <c r="B117" t="s">
        <v>1248</v>
      </c>
      <c r="C117" t="s">
        <v>960</v>
      </c>
      <c r="D117" t="s">
        <v>1683</v>
      </c>
      <c r="E117" t="s">
        <v>1911</v>
      </c>
      <c r="F117" t="s">
        <v>1248</v>
      </c>
      <c r="G117" t="s">
        <v>207</v>
      </c>
      <c r="H117" t="s">
        <v>94</v>
      </c>
      <c r="I117" t="s">
        <v>961</v>
      </c>
      <c r="L117" t="s">
        <v>532</v>
      </c>
      <c r="M117" t="s">
        <v>533</v>
      </c>
      <c r="N117">
        <v>122</v>
      </c>
      <c r="W117" t="b">
        <v>0</v>
      </c>
      <c r="X117" t="s">
        <v>1685</v>
      </c>
      <c r="Y117" t="s">
        <v>1912</v>
      </c>
    </row>
    <row r="118" spans="2:25" hidden="1" x14ac:dyDescent="0.25">
      <c r="B118" t="s">
        <v>1596</v>
      </c>
      <c r="C118" t="s">
        <v>960</v>
      </c>
      <c r="D118" t="s">
        <v>1683</v>
      </c>
      <c r="E118" t="s">
        <v>1913</v>
      </c>
      <c r="F118" t="s">
        <v>1596</v>
      </c>
      <c r="G118" t="s">
        <v>207</v>
      </c>
      <c r="H118" t="s">
        <v>240</v>
      </c>
      <c r="I118" t="s">
        <v>961</v>
      </c>
      <c r="L118" t="s">
        <v>532</v>
      </c>
      <c r="M118" t="s">
        <v>533</v>
      </c>
      <c r="N118">
        <v>123</v>
      </c>
      <c r="W118" t="b">
        <v>0</v>
      </c>
      <c r="X118" t="s">
        <v>1685</v>
      </c>
      <c r="Y118" t="s">
        <v>1914</v>
      </c>
    </row>
    <row r="119" spans="2:25" hidden="1" x14ac:dyDescent="0.25">
      <c r="B119" t="s">
        <v>1079</v>
      </c>
      <c r="C119" t="s">
        <v>960</v>
      </c>
      <c r="D119" t="s">
        <v>1683</v>
      </c>
      <c r="E119" t="s">
        <v>1915</v>
      </c>
      <c r="F119" t="s">
        <v>1079</v>
      </c>
      <c r="G119" t="s">
        <v>23</v>
      </c>
      <c r="H119" t="s">
        <v>823</v>
      </c>
      <c r="I119" t="s">
        <v>961</v>
      </c>
      <c r="L119" t="s">
        <v>532</v>
      </c>
      <c r="M119" t="s">
        <v>533</v>
      </c>
      <c r="N119">
        <v>124</v>
      </c>
      <c r="W119" t="b">
        <v>0</v>
      </c>
      <c r="X119" t="s">
        <v>1685</v>
      </c>
      <c r="Y119" t="s">
        <v>1916</v>
      </c>
    </row>
    <row r="120" spans="2:25" hidden="1" x14ac:dyDescent="0.25">
      <c r="B120" t="s">
        <v>1609</v>
      </c>
      <c r="C120" t="s">
        <v>960</v>
      </c>
      <c r="D120" t="s">
        <v>1683</v>
      </c>
      <c r="E120" t="s">
        <v>1917</v>
      </c>
      <c r="F120" t="s">
        <v>1609</v>
      </c>
      <c r="G120" t="s">
        <v>23</v>
      </c>
      <c r="H120" t="s">
        <v>823</v>
      </c>
      <c r="I120" t="s">
        <v>961</v>
      </c>
      <c r="L120" t="s">
        <v>532</v>
      </c>
      <c r="M120" t="s">
        <v>533</v>
      </c>
      <c r="N120">
        <v>125</v>
      </c>
      <c r="W120" t="b">
        <v>0</v>
      </c>
      <c r="X120" t="s">
        <v>1685</v>
      </c>
      <c r="Y120" t="s">
        <v>1918</v>
      </c>
    </row>
    <row r="121" spans="2:25" hidden="1" x14ac:dyDescent="0.25">
      <c r="B121" t="s">
        <v>1093</v>
      </c>
      <c r="C121" t="s">
        <v>960</v>
      </c>
      <c r="D121" t="s">
        <v>1683</v>
      </c>
      <c r="E121" t="s">
        <v>1919</v>
      </c>
      <c r="F121" t="s">
        <v>1093</v>
      </c>
      <c r="G121" t="s">
        <v>23</v>
      </c>
      <c r="H121" t="s">
        <v>931</v>
      </c>
      <c r="I121" t="s">
        <v>961</v>
      </c>
      <c r="L121" t="s">
        <v>532</v>
      </c>
      <c r="M121" t="s">
        <v>533</v>
      </c>
      <c r="N121">
        <v>126</v>
      </c>
      <c r="W121" t="b">
        <v>0</v>
      </c>
      <c r="X121" t="s">
        <v>1685</v>
      </c>
      <c r="Y121" t="s">
        <v>1920</v>
      </c>
    </row>
    <row r="122" spans="2:25" hidden="1" x14ac:dyDescent="0.25">
      <c r="B122" t="s">
        <v>1514</v>
      </c>
      <c r="C122" t="s">
        <v>960</v>
      </c>
      <c r="D122" t="s">
        <v>1683</v>
      </c>
      <c r="E122" t="s">
        <v>1921</v>
      </c>
      <c r="F122" t="s">
        <v>1514</v>
      </c>
      <c r="G122" t="s">
        <v>207</v>
      </c>
      <c r="H122" t="s">
        <v>95</v>
      </c>
      <c r="I122" t="s">
        <v>961</v>
      </c>
      <c r="L122" t="s">
        <v>532</v>
      </c>
      <c r="M122" t="s">
        <v>533</v>
      </c>
      <c r="N122">
        <v>127</v>
      </c>
      <c r="W122" t="b">
        <v>0</v>
      </c>
      <c r="X122" t="s">
        <v>1685</v>
      </c>
      <c r="Y122" t="s">
        <v>1922</v>
      </c>
    </row>
    <row r="123" spans="2:25" hidden="1" x14ac:dyDescent="0.25">
      <c r="B123" t="s">
        <v>1520</v>
      </c>
      <c r="C123" t="s">
        <v>960</v>
      </c>
      <c r="D123" t="s">
        <v>1683</v>
      </c>
      <c r="E123" t="s">
        <v>1923</v>
      </c>
      <c r="F123" t="s">
        <v>1520</v>
      </c>
      <c r="G123" t="s">
        <v>207</v>
      </c>
      <c r="H123" t="s">
        <v>95</v>
      </c>
      <c r="I123" t="s">
        <v>961</v>
      </c>
      <c r="L123" t="s">
        <v>532</v>
      </c>
      <c r="M123" t="s">
        <v>533</v>
      </c>
      <c r="N123">
        <v>128</v>
      </c>
      <c r="W123" t="b">
        <v>0</v>
      </c>
      <c r="X123" t="s">
        <v>1685</v>
      </c>
      <c r="Y123" t="s">
        <v>1924</v>
      </c>
    </row>
    <row r="124" spans="2:25" hidden="1" x14ac:dyDescent="0.25">
      <c r="B124" t="s">
        <v>1018</v>
      </c>
      <c r="C124" t="s">
        <v>960</v>
      </c>
      <c r="D124" t="s">
        <v>1683</v>
      </c>
      <c r="E124" t="s">
        <v>1925</v>
      </c>
      <c r="F124" t="s">
        <v>1018</v>
      </c>
      <c r="G124" t="s">
        <v>207</v>
      </c>
      <c r="H124" t="s">
        <v>239</v>
      </c>
      <c r="I124" t="s">
        <v>961</v>
      </c>
      <c r="L124" t="s">
        <v>532</v>
      </c>
      <c r="M124" t="s">
        <v>533</v>
      </c>
      <c r="N124">
        <v>129</v>
      </c>
      <c r="W124" t="b">
        <v>0</v>
      </c>
      <c r="X124" t="s">
        <v>1685</v>
      </c>
      <c r="Y124" t="s">
        <v>1926</v>
      </c>
    </row>
    <row r="125" spans="2:25" hidden="1" x14ac:dyDescent="0.25">
      <c r="B125" t="s">
        <v>1516</v>
      </c>
      <c r="C125" t="s">
        <v>960</v>
      </c>
      <c r="D125" t="s">
        <v>1683</v>
      </c>
      <c r="E125" t="s">
        <v>1927</v>
      </c>
      <c r="F125" t="s">
        <v>1516</v>
      </c>
      <c r="G125" t="s">
        <v>207</v>
      </c>
      <c r="H125" t="s">
        <v>95</v>
      </c>
      <c r="I125" t="s">
        <v>961</v>
      </c>
      <c r="L125" t="s">
        <v>532</v>
      </c>
      <c r="M125" t="s">
        <v>533</v>
      </c>
      <c r="N125">
        <v>130</v>
      </c>
      <c r="W125" t="b">
        <v>0</v>
      </c>
      <c r="X125" t="s">
        <v>1685</v>
      </c>
      <c r="Y125" t="s">
        <v>1928</v>
      </c>
    </row>
    <row r="126" spans="2:25" hidden="1" x14ac:dyDescent="0.25">
      <c r="B126" t="s">
        <v>1204</v>
      </c>
      <c r="C126" t="s">
        <v>960</v>
      </c>
      <c r="D126" t="s">
        <v>1683</v>
      </c>
      <c r="E126" t="s">
        <v>1929</v>
      </c>
      <c r="F126" t="s">
        <v>1204</v>
      </c>
      <c r="G126" t="s">
        <v>207</v>
      </c>
      <c r="H126" t="s">
        <v>531</v>
      </c>
      <c r="I126" t="s">
        <v>961</v>
      </c>
      <c r="L126" t="s">
        <v>532</v>
      </c>
      <c r="M126" t="s">
        <v>533</v>
      </c>
      <c r="N126">
        <v>131</v>
      </c>
      <c r="W126" t="b">
        <v>0</v>
      </c>
      <c r="X126" t="s">
        <v>1685</v>
      </c>
      <c r="Y126" t="s">
        <v>1930</v>
      </c>
    </row>
    <row r="127" spans="2:25" hidden="1" x14ac:dyDescent="0.25">
      <c r="B127" t="s">
        <v>988</v>
      </c>
      <c r="C127" t="s">
        <v>960</v>
      </c>
      <c r="D127" t="s">
        <v>1683</v>
      </c>
      <c r="E127" t="s">
        <v>1931</v>
      </c>
      <c r="F127" t="s">
        <v>988</v>
      </c>
      <c r="G127" t="s">
        <v>23</v>
      </c>
      <c r="H127" t="s">
        <v>905</v>
      </c>
      <c r="I127" t="s">
        <v>961</v>
      </c>
      <c r="L127" t="s">
        <v>532</v>
      </c>
      <c r="M127" t="s">
        <v>533</v>
      </c>
      <c r="N127">
        <v>132</v>
      </c>
      <c r="W127" t="b">
        <v>0</v>
      </c>
      <c r="X127" t="s">
        <v>1685</v>
      </c>
      <c r="Y127" t="s">
        <v>1932</v>
      </c>
    </row>
    <row r="128" spans="2:25" hidden="1" x14ac:dyDescent="0.25">
      <c r="B128" t="s">
        <v>1138</v>
      </c>
      <c r="C128" t="s">
        <v>960</v>
      </c>
      <c r="D128" t="s">
        <v>1683</v>
      </c>
      <c r="E128" t="s">
        <v>1933</v>
      </c>
      <c r="F128" t="s">
        <v>1138</v>
      </c>
      <c r="G128" t="s">
        <v>207</v>
      </c>
      <c r="H128" t="s">
        <v>905</v>
      </c>
      <c r="I128" t="s">
        <v>961</v>
      </c>
      <c r="L128" t="s">
        <v>532</v>
      </c>
      <c r="M128" t="s">
        <v>533</v>
      </c>
      <c r="N128">
        <v>133</v>
      </c>
      <c r="W128" t="b">
        <v>0</v>
      </c>
      <c r="X128" t="s">
        <v>1685</v>
      </c>
      <c r="Y128" t="s">
        <v>1934</v>
      </c>
    </row>
    <row r="129" spans="2:25" hidden="1" x14ac:dyDescent="0.25">
      <c r="B129" t="s">
        <v>1483</v>
      </c>
      <c r="C129" t="s">
        <v>960</v>
      </c>
      <c r="D129" t="s">
        <v>1683</v>
      </c>
      <c r="E129" t="s">
        <v>1935</v>
      </c>
      <c r="F129" t="s">
        <v>1483</v>
      </c>
      <c r="G129" t="s">
        <v>23</v>
      </c>
      <c r="H129" t="s">
        <v>95</v>
      </c>
      <c r="I129" t="s">
        <v>961</v>
      </c>
      <c r="L129" t="s">
        <v>532</v>
      </c>
      <c r="M129" t="s">
        <v>533</v>
      </c>
      <c r="N129">
        <v>134</v>
      </c>
      <c r="W129" t="b">
        <v>0</v>
      </c>
      <c r="X129" t="s">
        <v>1685</v>
      </c>
      <c r="Y129" t="s">
        <v>1936</v>
      </c>
    </row>
    <row r="130" spans="2:25" hidden="1" x14ac:dyDescent="0.25">
      <c r="B130" t="s">
        <v>1442</v>
      </c>
      <c r="C130" t="s">
        <v>960</v>
      </c>
      <c r="D130" t="s">
        <v>1683</v>
      </c>
      <c r="E130" t="s">
        <v>1937</v>
      </c>
      <c r="F130" t="s">
        <v>1442</v>
      </c>
      <c r="G130" t="s">
        <v>23</v>
      </c>
      <c r="H130" t="s">
        <v>95</v>
      </c>
      <c r="I130" t="s">
        <v>961</v>
      </c>
      <c r="L130" t="s">
        <v>532</v>
      </c>
      <c r="M130" t="s">
        <v>533</v>
      </c>
      <c r="N130">
        <v>135</v>
      </c>
      <c r="W130" t="b">
        <v>0</v>
      </c>
      <c r="X130" t="s">
        <v>1685</v>
      </c>
      <c r="Y130" t="s">
        <v>1938</v>
      </c>
    </row>
    <row r="131" spans="2:25" hidden="1" x14ac:dyDescent="0.25">
      <c r="B131" t="s">
        <v>1607</v>
      </c>
      <c r="C131" t="s">
        <v>960</v>
      </c>
      <c r="D131" t="s">
        <v>1683</v>
      </c>
      <c r="E131" t="s">
        <v>1939</v>
      </c>
      <c r="F131" t="s">
        <v>1607</v>
      </c>
      <c r="G131" t="s">
        <v>207</v>
      </c>
      <c r="H131" t="s">
        <v>95</v>
      </c>
      <c r="I131" t="s">
        <v>961</v>
      </c>
      <c r="L131" t="s">
        <v>532</v>
      </c>
      <c r="M131" t="s">
        <v>533</v>
      </c>
      <c r="N131">
        <v>136</v>
      </c>
      <c r="W131" t="b">
        <v>0</v>
      </c>
      <c r="X131" t="s">
        <v>1685</v>
      </c>
      <c r="Y131" t="s">
        <v>1940</v>
      </c>
    </row>
    <row r="132" spans="2:25" hidden="1" x14ac:dyDescent="0.25">
      <c r="B132" t="s">
        <v>1216</v>
      </c>
      <c r="C132" t="s">
        <v>960</v>
      </c>
      <c r="D132" t="s">
        <v>1683</v>
      </c>
      <c r="E132" t="s">
        <v>1941</v>
      </c>
      <c r="F132" t="s">
        <v>1216</v>
      </c>
      <c r="G132" t="s">
        <v>207</v>
      </c>
      <c r="H132" t="s">
        <v>240</v>
      </c>
      <c r="I132" t="s">
        <v>961</v>
      </c>
      <c r="L132" t="s">
        <v>532</v>
      </c>
      <c r="M132" t="s">
        <v>533</v>
      </c>
      <c r="N132">
        <v>137</v>
      </c>
      <c r="W132" t="b">
        <v>0</v>
      </c>
      <c r="X132" t="s">
        <v>1685</v>
      </c>
      <c r="Y132" t="s">
        <v>1942</v>
      </c>
    </row>
    <row r="133" spans="2:25" hidden="1" x14ac:dyDescent="0.25">
      <c r="B133" t="s">
        <v>1218</v>
      </c>
      <c r="C133" t="s">
        <v>960</v>
      </c>
      <c r="D133" t="s">
        <v>1683</v>
      </c>
      <c r="E133" t="s">
        <v>1943</v>
      </c>
      <c r="F133" t="s">
        <v>1218</v>
      </c>
      <c r="G133" t="s">
        <v>207</v>
      </c>
      <c r="H133" t="s">
        <v>240</v>
      </c>
      <c r="I133" t="s">
        <v>961</v>
      </c>
      <c r="L133" t="s">
        <v>532</v>
      </c>
      <c r="M133" t="s">
        <v>533</v>
      </c>
      <c r="N133">
        <v>138</v>
      </c>
      <c r="W133" t="b">
        <v>0</v>
      </c>
      <c r="X133" t="s">
        <v>1685</v>
      </c>
      <c r="Y133" t="s">
        <v>1944</v>
      </c>
    </row>
    <row r="134" spans="2:25" hidden="1" x14ac:dyDescent="0.25">
      <c r="B134" t="s">
        <v>1220</v>
      </c>
      <c r="C134" t="s">
        <v>960</v>
      </c>
      <c r="D134" t="s">
        <v>1683</v>
      </c>
      <c r="E134" t="s">
        <v>1945</v>
      </c>
      <c r="F134" t="s">
        <v>1220</v>
      </c>
      <c r="G134" t="s">
        <v>207</v>
      </c>
      <c r="H134" t="s">
        <v>240</v>
      </c>
      <c r="I134" t="s">
        <v>961</v>
      </c>
      <c r="L134" t="s">
        <v>532</v>
      </c>
      <c r="M134" t="s">
        <v>533</v>
      </c>
      <c r="N134">
        <v>139</v>
      </c>
      <c r="W134" t="b">
        <v>0</v>
      </c>
      <c r="X134" t="s">
        <v>1685</v>
      </c>
      <c r="Y134" t="s">
        <v>1946</v>
      </c>
    </row>
    <row r="135" spans="2:25" hidden="1" x14ac:dyDescent="0.25">
      <c r="B135" t="s">
        <v>1222</v>
      </c>
      <c r="C135" t="s">
        <v>960</v>
      </c>
      <c r="D135" t="s">
        <v>1683</v>
      </c>
      <c r="E135" t="s">
        <v>1947</v>
      </c>
      <c r="F135" t="s">
        <v>1222</v>
      </c>
      <c r="G135" t="s">
        <v>207</v>
      </c>
      <c r="H135" t="s">
        <v>240</v>
      </c>
      <c r="I135" t="s">
        <v>961</v>
      </c>
      <c r="L135" t="s">
        <v>532</v>
      </c>
      <c r="M135" t="s">
        <v>533</v>
      </c>
      <c r="N135">
        <v>140</v>
      </c>
      <c r="W135" t="b">
        <v>0</v>
      </c>
      <c r="X135" t="s">
        <v>1685</v>
      </c>
      <c r="Y135" t="s">
        <v>1948</v>
      </c>
    </row>
    <row r="136" spans="2:25" hidden="1" x14ac:dyDescent="0.25">
      <c r="B136" t="s">
        <v>1002</v>
      </c>
      <c r="C136" t="s">
        <v>960</v>
      </c>
      <c r="D136" t="s">
        <v>1683</v>
      </c>
      <c r="E136" t="s">
        <v>1949</v>
      </c>
      <c r="F136" t="s">
        <v>1002</v>
      </c>
      <c r="G136" t="s">
        <v>207</v>
      </c>
      <c r="H136" t="s">
        <v>614</v>
      </c>
      <c r="I136" t="s">
        <v>961</v>
      </c>
      <c r="L136" t="s">
        <v>532</v>
      </c>
      <c r="M136" t="s">
        <v>533</v>
      </c>
      <c r="N136">
        <v>141</v>
      </c>
      <c r="W136" t="b">
        <v>0</v>
      </c>
      <c r="X136" t="s">
        <v>1685</v>
      </c>
      <c r="Y136" t="s">
        <v>1950</v>
      </c>
    </row>
    <row r="137" spans="2:25" hidden="1" x14ac:dyDescent="0.25">
      <c r="B137" t="s">
        <v>1542</v>
      </c>
      <c r="C137" t="s">
        <v>960</v>
      </c>
      <c r="D137" t="s">
        <v>1683</v>
      </c>
      <c r="E137" t="s">
        <v>1951</v>
      </c>
      <c r="F137" t="s">
        <v>1542</v>
      </c>
      <c r="G137" t="s">
        <v>207</v>
      </c>
      <c r="H137" t="s">
        <v>94</v>
      </c>
      <c r="I137" t="s">
        <v>961</v>
      </c>
      <c r="L137" t="s">
        <v>532</v>
      </c>
      <c r="M137" t="s">
        <v>533</v>
      </c>
      <c r="N137">
        <v>142</v>
      </c>
      <c r="W137" t="b">
        <v>0</v>
      </c>
      <c r="X137" t="s">
        <v>1685</v>
      </c>
      <c r="Y137" t="s">
        <v>1952</v>
      </c>
    </row>
    <row r="138" spans="2:25" hidden="1" x14ac:dyDescent="0.25">
      <c r="B138" t="s">
        <v>1639</v>
      </c>
      <c r="C138" t="s">
        <v>960</v>
      </c>
      <c r="D138" t="s">
        <v>1683</v>
      </c>
      <c r="E138" t="s">
        <v>1953</v>
      </c>
      <c r="F138" t="s">
        <v>1639</v>
      </c>
      <c r="G138" t="s">
        <v>23</v>
      </c>
      <c r="H138" t="s">
        <v>822</v>
      </c>
      <c r="I138" t="s">
        <v>961</v>
      </c>
      <c r="L138" t="s">
        <v>532</v>
      </c>
      <c r="M138" t="s">
        <v>533</v>
      </c>
      <c r="N138">
        <v>143</v>
      </c>
      <c r="W138" t="b">
        <v>0</v>
      </c>
      <c r="X138" t="s">
        <v>1685</v>
      </c>
      <c r="Y138" t="s">
        <v>1954</v>
      </c>
    </row>
    <row r="139" spans="2:25" hidden="1" x14ac:dyDescent="0.25">
      <c r="B139" t="s">
        <v>1534</v>
      </c>
      <c r="C139" t="s">
        <v>960</v>
      </c>
      <c r="D139" t="s">
        <v>1683</v>
      </c>
      <c r="E139" t="s">
        <v>1955</v>
      </c>
      <c r="F139" t="s">
        <v>1534</v>
      </c>
      <c r="G139" t="s">
        <v>207</v>
      </c>
      <c r="H139" t="s">
        <v>95</v>
      </c>
      <c r="I139" t="s">
        <v>961</v>
      </c>
      <c r="L139" t="s">
        <v>532</v>
      </c>
      <c r="M139" t="s">
        <v>533</v>
      </c>
      <c r="N139">
        <v>144</v>
      </c>
      <c r="W139" t="b">
        <v>0</v>
      </c>
      <c r="X139" t="s">
        <v>1685</v>
      </c>
      <c r="Y139" t="s">
        <v>1956</v>
      </c>
    </row>
    <row r="140" spans="2:25" hidden="1" x14ac:dyDescent="0.25">
      <c r="B140" t="s">
        <v>1230</v>
      </c>
      <c r="C140" t="s">
        <v>960</v>
      </c>
      <c r="D140" t="s">
        <v>1683</v>
      </c>
      <c r="E140" t="s">
        <v>1957</v>
      </c>
      <c r="F140" t="s">
        <v>1230</v>
      </c>
      <c r="G140" t="s">
        <v>207</v>
      </c>
      <c r="H140" t="s">
        <v>95</v>
      </c>
      <c r="I140" t="s">
        <v>961</v>
      </c>
      <c r="L140" t="s">
        <v>532</v>
      </c>
      <c r="M140" t="s">
        <v>533</v>
      </c>
      <c r="N140">
        <v>145</v>
      </c>
      <c r="W140" t="b">
        <v>0</v>
      </c>
      <c r="X140" t="s">
        <v>1685</v>
      </c>
      <c r="Y140" t="s">
        <v>1958</v>
      </c>
    </row>
    <row r="141" spans="2:25" hidden="1" x14ac:dyDescent="0.25">
      <c r="B141" t="s">
        <v>1502</v>
      </c>
      <c r="C141" t="s">
        <v>960</v>
      </c>
      <c r="D141" t="s">
        <v>1683</v>
      </c>
      <c r="E141" t="s">
        <v>1959</v>
      </c>
      <c r="F141" t="s">
        <v>1502</v>
      </c>
      <c r="G141" t="s">
        <v>207</v>
      </c>
      <c r="H141" t="s">
        <v>95</v>
      </c>
      <c r="I141" t="s">
        <v>961</v>
      </c>
      <c r="L141" t="s">
        <v>532</v>
      </c>
      <c r="M141" t="s">
        <v>533</v>
      </c>
      <c r="N141">
        <v>146</v>
      </c>
      <c r="W141" t="b">
        <v>0</v>
      </c>
      <c r="X141" t="s">
        <v>1685</v>
      </c>
      <c r="Y141" t="s">
        <v>1960</v>
      </c>
    </row>
    <row r="142" spans="2:25" hidden="1" x14ac:dyDescent="0.25">
      <c r="B142" t="s">
        <v>1182</v>
      </c>
      <c r="C142" t="s">
        <v>960</v>
      </c>
      <c r="D142" t="s">
        <v>1683</v>
      </c>
      <c r="E142" t="s">
        <v>1961</v>
      </c>
      <c r="F142" t="s">
        <v>1182</v>
      </c>
      <c r="G142" t="s">
        <v>207</v>
      </c>
      <c r="H142" t="s">
        <v>95</v>
      </c>
      <c r="I142" t="s">
        <v>961</v>
      </c>
      <c r="L142" t="s">
        <v>532</v>
      </c>
      <c r="M142" t="s">
        <v>533</v>
      </c>
      <c r="N142">
        <v>147</v>
      </c>
      <c r="W142" t="b">
        <v>0</v>
      </c>
      <c r="X142" t="s">
        <v>1685</v>
      </c>
      <c r="Y142" t="s">
        <v>1962</v>
      </c>
    </row>
    <row r="143" spans="2:25" hidden="1" x14ac:dyDescent="0.25">
      <c r="B143" t="s">
        <v>1615</v>
      </c>
      <c r="C143" t="s">
        <v>960</v>
      </c>
      <c r="D143" t="s">
        <v>1683</v>
      </c>
      <c r="E143" t="s">
        <v>1963</v>
      </c>
      <c r="F143" t="s">
        <v>1615</v>
      </c>
      <c r="G143" t="s">
        <v>207</v>
      </c>
      <c r="H143" t="s">
        <v>531</v>
      </c>
      <c r="I143" t="s">
        <v>961</v>
      </c>
      <c r="L143" t="s">
        <v>532</v>
      </c>
      <c r="M143" t="s">
        <v>533</v>
      </c>
      <c r="N143">
        <v>148</v>
      </c>
      <c r="W143" t="b">
        <v>0</v>
      </c>
      <c r="X143" t="s">
        <v>1685</v>
      </c>
      <c r="Y143" t="s">
        <v>1964</v>
      </c>
    </row>
    <row r="144" spans="2:25" hidden="1" x14ac:dyDescent="0.25">
      <c r="B144" t="s">
        <v>1617</v>
      </c>
      <c r="C144" t="s">
        <v>960</v>
      </c>
      <c r="D144" t="s">
        <v>1683</v>
      </c>
      <c r="E144" t="s">
        <v>1965</v>
      </c>
      <c r="F144" t="s">
        <v>1617</v>
      </c>
      <c r="G144" t="s">
        <v>207</v>
      </c>
      <c r="H144" t="s">
        <v>823</v>
      </c>
      <c r="I144" t="s">
        <v>961</v>
      </c>
      <c r="L144" t="s">
        <v>532</v>
      </c>
      <c r="M144" t="s">
        <v>533</v>
      </c>
      <c r="N144">
        <v>149</v>
      </c>
      <c r="W144" t="b">
        <v>0</v>
      </c>
      <c r="X144" t="s">
        <v>1685</v>
      </c>
      <c r="Y144" t="s">
        <v>1966</v>
      </c>
    </row>
    <row r="145" spans="1:25" hidden="1" x14ac:dyDescent="0.25">
      <c r="B145" t="s">
        <v>1613</v>
      </c>
      <c r="C145" t="s">
        <v>960</v>
      </c>
      <c r="D145" t="s">
        <v>1683</v>
      </c>
      <c r="E145" t="s">
        <v>1967</v>
      </c>
      <c r="F145" t="s">
        <v>1613</v>
      </c>
      <c r="G145" t="s">
        <v>207</v>
      </c>
      <c r="H145" t="s">
        <v>531</v>
      </c>
      <c r="I145" t="s">
        <v>961</v>
      </c>
      <c r="L145" t="s">
        <v>532</v>
      </c>
      <c r="M145" t="s">
        <v>533</v>
      </c>
      <c r="N145">
        <v>150</v>
      </c>
      <c r="W145" t="b">
        <v>0</v>
      </c>
      <c r="X145" t="s">
        <v>1685</v>
      </c>
      <c r="Y145" t="s">
        <v>1968</v>
      </c>
    </row>
    <row r="146" spans="1:25" hidden="1" x14ac:dyDescent="0.25">
      <c r="B146" t="s">
        <v>1508</v>
      </c>
      <c r="C146" t="s">
        <v>960</v>
      </c>
      <c r="D146" t="s">
        <v>1683</v>
      </c>
      <c r="E146" t="s">
        <v>1969</v>
      </c>
      <c r="F146" t="s">
        <v>1508</v>
      </c>
      <c r="G146" t="s">
        <v>207</v>
      </c>
      <c r="H146" t="s">
        <v>95</v>
      </c>
      <c r="I146" t="s">
        <v>961</v>
      </c>
      <c r="L146" t="s">
        <v>532</v>
      </c>
      <c r="M146" t="s">
        <v>533</v>
      </c>
      <c r="N146">
        <v>151</v>
      </c>
      <c r="W146" t="b">
        <v>0</v>
      </c>
      <c r="X146" t="s">
        <v>1685</v>
      </c>
      <c r="Y146" t="s">
        <v>1970</v>
      </c>
    </row>
    <row r="147" spans="1:25" hidden="1" x14ac:dyDescent="0.25">
      <c r="B147" t="s">
        <v>1522</v>
      </c>
      <c r="C147" t="s">
        <v>960</v>
      </c>
      <c r="D147" t="s">
        <v>1683</v>
      </c>
      <c r="E147" t="s">
        <v>1971</v>
      </c>
      <c r="F147" t="s">
        <v>1522</v>
      </c>
      <c r="G147" t="s">
        <v>207</v>
      </c>
      <c r="H147" t="s">
        <v>95</v>
      </c>
      <c r="I147" t="s">
        <v>961</v>
      </c>
      <c r="L147" t="s">
        <v>532</v>
      </c>
      <c r="M147" t="s">
        <v>533</v>
      </c>
      <c r="N147">
        <v>152</v>
      </c>
      <c r="W147" t="b">
        <v>0</v>
      </c>
      <c r="X147" t="s">
        <v>1685</v>
      </c>
      <c r="Y147" t="s">
        <v>1972</v>
      </c>
    </row>
    <row r="148" spans="1:25" hidden="1" x14ac:dyDescent="0.25">
      <c r="B148" t="s">
        <v>1575</v>
      </c>
      <c r="C148" t="s">
        <v>960</v>
      </c>
      <c r="D148" t="s">
        <v>1683</v>
      </c>
      <c r="E148" t="s">
        <v>1973</v>
      </c>
      <c r="F148" t="s">
        <v>1575</v>
      </c>
      <c r="G148" t="s">
        <v>23</v>
      </c>
      <c r="H148" t="s">
        <v>531</v>
      </c>
      <c r="I148" t="s">
        <v>961</v>
      </c>
      <c r="L148" t="s">
        <v>532</v>
      </c>
      <c r="M148" t="s">
        <v>533</v>
      </c>
      <c r="N148">
        <v>153</v>
      </c>
      <c r="W148" t="b">
        <v>0</v>
      </c>
      <c r="X148" t="s">
        <v>1685</v>
      </c>
      <c r="Y148" t="s">
        <v>1974</v>
      </c>
    </row>
    <row r="149" spans="1:25" hidden="1" x14ac:dyDescent="0.25">
      <c r="B149" t="s">
        <v>1474</v>
      </c>
      <c r="C149" t="s">
        <v>960</v>
      </c>
      <c r="D149" t="s">
        <v>1683</v>
      </c>
      <c r="E149" t="s">
        <v>1975</v>
      </c>
      <c r="F149" t="s">
        <v>1474</v>
      </c>
      <c r="G149" t="s">
        <v>23</v>
      </c>
      <c r="H149" t="s">
        <v>579</v>
      </c>
      <c r="I149" t="s">
        <v>961</v>
      </c>
      <c r="L149" t="s">
        <v>532</v>
      </c>
      <c r="M149" t="s">
        <v>533</v>
      </c>
      <c r="N149">
        <v>154</v>
      </c>
      <c r="W149" t="b">
        <v>0</v>
      </c>
      <c r="X149" t="s">
        <v>1685</v>
      </c>
      <c r="Y149" t="s">
        <v>1976</v>
      </c>
    </row>
    <row r="150" spans="1:25" hidden="1" x14ac:dyDescent="0.25">
      <c r="B150" t="s">
        <v>1619</v>
      </c>
      <c r="C150" t="s">
        <v>960</v>
      </c>
      <c r="D150" t="s">
        <v>1683</v>
      </c>
      <c r="E150" t="s">
        <v>1977</v>
      </c>
      <c r="F150" t="s">
        <v>1619</v>
      </c>
      <c r="G150" t="s">
        <v>207</v>
      </c>
      <c r="H150" t="s">
        <v>531</v>
      </c>
      <c r="I150" t="s">
        <v>961</v>
      </c>
      <c r="L150" t="s">
        <v>532</v>
      </c>
      <c r="M150" t="s">
        <v>533</v>
      </c>
      <c r="N150">
        <v>155</v>
      </c>
      <c r="W150" t="b">
        <v>0</v>
      </c>
      <c r="X150" t="s">
        <v>1685</v>
      </c>
      <c r="Y150" t="s">
        <v>1978</v>
      </c>
    </row>
    <row r="151" spans="1:25" hidden="1" x14ac:dyDescent="0.25">
      <c r="B151" t="s">
        <v>1304</v>
      </c>
      <c r="C151" t="s">
        <v>960</v>
      </c>
      <c r="D151" t="s">
        <v>1683</v>
      </c>
      <c r="E151" t="s">
        <v>1979</v>
      </c>
      <c r="F151" t="s">
        <v>1304</v>
      </c>
      <c r="G151" t="s">
        <v>207</v>
      </c>
      <c r="H151" t="s">
        <v>905</v>
      </c>
      <c r="I151" t="s">
        <v>961</v>
      </c>
      <c r="L151" t="s">
        <v>532</v>
      </c>
      <c r="M151" t="s">
        <v>533</v>
      </c>
      <c r="N151">
        <v>156</v>
      </c>
      <c r="W151" t="b">
        <v>0</v>
      </c>
      <c r="X151" t="s">
        <v>1685</v>
      </c>
      <c r="Y151" t="s">
        <v>1980</v>
      </c>
    </row>
    <row r="152" spans="1:25" hidden="1" x14ac:dyDescent="0.25">
      <c r="B152" t="s">
        <v>1008</v>
      </c>
      <c r="C152" t="s">
        <v>960</v>
      </c>
      <c r="D152" t="s">
        <v>1683</v>
      </c>
      <c r="E152" t="s">
        <v>1981</v>
      </c>
      <c r="F152" t="s">
        <v>1008</v>
      </c>
      <c r="G152" t="s">
        <v>23</v>
      </c>
      <c r="H152" t="s">
        <v>95</v>
      </c>
      <c r="I152" t="s">
        <v>961</v>
      </c>
      <c r="L152" t="s">
        <v>532</v>
      </c>
      <c r="M152" t="s">
        <v>533</v>
      </c>
      <c r="N152">
        <v>157</v>
      </c>
      <c r="W152" t="b">
        <v>0</v>
      </c>
      <c r="X152" t="s">
        <v>1685</v>
      </c>
      <c r="Y152" t="s">
        <v>1982</v>
      </c>
    </row>
    <row r="153" spans="1:25" hidden="1" x14ac:dyDescent="0.25">
      <c r="A153" t="s">
        <v>1602</v>
      </c>
      <c r="B153" t="s">
        <v>1603</v>
      </c>
      <c r="C153" t="s">
        <v>960</v>
      </c>
      <c r="D153" t="s">
        <v>1683</v>
      </c>
      <c r="E153" t="s">
        <v>1983</v>
      </c>
      <c r="F153" t="s">
        <v>1603</v>
      </c>
      <c r="G153" t="s">
        <v>207</v>
      </c>
      <c r="H153" t="s">
        <v>240</v>
      </c>
      <c r="I153" t="s">
        <v>961</v>
      </c>
      <c r="L153" t="s">
        <v>532</v>
      </c>
      <c r="M153" t="s">
        <v>533</v>
      </c>
      <c r="N153">
        <v>158</v>
      </c>
      <c r="V153">
        <v>79564</v>
      </c>
      <c r="W153" t="b">
        <v>1</v>
      </c>
      <c r="Y153" t="s">
        <v>1984</v>
      </c>
    </row>
    <row r="154" spans="1:25" hidden="1" x14ac:dyDescent="0.25">
      <c r="B154" t="s">
        <v>1526</v>
      </c>
      <c r="C154" t="s">
        <v>960</v>
      </c>
      <c r="D154" t="s">
        <v>1683</v>
      </c>
      <c r="E154" t="s">
        <v>1985</v>
      </c>
      <c r="F154" t="s">
        <v>1526</v>
      </c>
      <c r="G154" t="s">
        <v>207</v>
      </c>
      <c r="H154" t="s">
        <v>95</v>
      </c>
      <c r="I154" t="s">
        <v>961</v>
      </c>
      <c r="L154" t="s">
        <v>532</v>
      </c>
      <c r="M154" t="s">
        <v>533</v>
      </c>
      <c r="N154">
        <v>159</v>
      </c>
      <c r="W154" t="b">
        <v>0</v>
      </c>
      <c r="X154" t="s">
        <v>1685</v>
      </c>
      <c r="Y154" t="s">
        <v>1986</v>
      </c>
    </row>
    <row r="155" spans="1:25" hidden="1" x14ac:dyDescent="0.25">
      <c r="B155" t="s">
        <v>1496</v>
      </c>
      <c r="C155" t="s">
        <v>960</v>
      </c>
      <c r="D155" t="s">
        <v>1683</v>
      </c>
      <c r="E155" t="s">
        <v>1987</v>
      </c>
      <c r="F155" t="s">
        <v>1496</v>
      </c>
      <c r="G155" t="s">
        <v>23</v>
      </c>
      <c r="H155" t="s">
        <v>95</v>
      </c>
      <c r="I155" t="s">
        <v>961</v>
      </c>
      <c r="L155" t="s">
        <v>532</v>
      </c>
      <c r="M155" t="s">
        <v>533</v>
      </c>
      <c r="N155">
        <v>160</v>
      </c>
      <c r="W155" t="b">
        <v>0</v>
      </c>
      <c r="X155" t="s">
        <v>1685</v>
      </c>
      <c r="Y155" t="s">
        <v>1988</v>
      </c>
    </row>
    <row r="156" spans="1:25" hidden="1" x14ac:dyDescent="0.25">
      <c r="B156" t="s">
        <v>1524</v>
      </c>
      <c r="C156" t="s">
        <v>960</v>
      </c>
      <c r="D156" t="s">
        <v>1683</v>
      </c>
      <c r="E156" t="s">
        <v>1989</v>
      </c>
      <c r="F156" t="s">
        <v>1524</v>
      </c>
      <c r="G156" t="s">
        <v>207</v>
      </c>
      <c r="H156" t="s">
        <v>931</v>
      </c>
      <c r="I156" t="s">
        <v>961</v>
      </c>
      <c r="L156" t="s">
        <v>532</v>
      </c>
      <c r="M156" t="s">
        <v>533</v>
      </c>
      <c r="N156">
        <v>161</v>
      </c>
      <c r="W156" t="b">
        <v>0</v>
      </c>
      <c r="X156" t="s">
        <v>1685</v>
      </c>
      <c r="Y156" t="s">
        <v>1990</v>
      </c>
    </row>
    <row r="157" spans="1:25" hidden="1" x14ac:dyDescent="0.25">
      <c r="B157" t="s">
        <v>1506</v>
      </c>
      <c r="C157" t="s">
        <v>960</v>
      </c>
      <c r="D157" t="s">
        <v>1683</v>
      </c>
      <c r="E157" t="s">
        <v>1991</v>
      </c>
      <c r="F157" t="s">
        <v>1506</v>
      </c>
      <c r="G157" t="s">
        <v>207</v>
      </c>
      <c r="H157" t="s">
        <v>931</v>
      </c>
      <c r="I157" t="s">
        <v>961</v>
      </c>
      <c r="L157" t="s">
        <v>532</v>
      </c>
      <c r="M157" t="s">
        <v>533</v>
      </c>
      <c r="N157">
        <v>162</v>
      </c>
      <c r="W157" t="b">
        <v>0</v>
      </c>
      <c r="X157" t="s">
        <v>1685</v>
      </c>
      <c r="Y157" t="s">
        <v>1992</v>
      </c>
    </row>
    <row r="158" spans="1:25" hidden="1" x14ac:dyDescent="0.25">
      <c r="B158" t="s">
        <v>1498</v>
      </c>
      <c r="C158" t="s">
        <v>960</v>
      </c>
      <c r="D158" t="s">
        <v>1683</v>
      </c>
      <c r="E158" t="s">
        <v>1993</v>
      </c>
      <c r="F158" t="s">
        <v>1498</v>
      </c>
      <c r="G158" t="s">
        <v>207</v>
      </c>
      <c r="H158" t="s">
        <v>95</v>
      </c>
      <c r="I158" t="s">
        <v>961</v>
      </c>
      <c r="L158" t="s">
        <v>532</v>
      </c>
      <c r="M158" t="s">
        <v>533</v>
      </c>
      <c r="N158">
        <v>163</v>
      </c>
      <c r="W158" t="b">
        <v>0</v>
      </c>
      <c r="X158" t="s">
        <v>1685</v>
      </c>
      <c r="Y158" t="s">
        <v>1994</v>
      </c>
    </row>
    <row r="159" spans="1:25" hidden="1" x14ac:dyDescent="0.25">
      <c r="B159" t="s">
        <v>1633</v>
      </c>
      <c r="C159" t="s">
        <v>960</v>
      </c>
      <c r="D159" t="s">
        <v>1683</v>
      </c>
      <c r="E159" t="s">
        <v>1995</v>
      </c>
      <c r="F159" t="s">
        <v>1633</v>
      </c>
      <c r="G159" t="s">
        <v>23</v>
      </c>
      <c r="H159" t="s">
        <v>239</v>
      </c>
      <c r="I159" t="s">
        <v>961</v>
      </c>
      <c r="L159" t="s">
        <v>532</v>
      </c>
      <c r="M159" t="s">
        <v>533</v>
      </c>
      <c r="N159">
        <v>164</v>
      </c>
      <c r="W159" t="b">
        <v>0</v>
      </c>
      <c r="X159" t="s">
        <v>1685</v>
      </c>
      <c r="Y159" t="s">
        <v>1996</v>
      </c>
    </row>
    <row r="160" spans="1:25" hidden="1" x14ac:dyDescent="0.25">
      <c r="B160" t="s">
        <v>1635</v>
      </c>
      <c r="C160" t="s">
        <v>960</v>
      </c>
      <c r="D160" t="s">
        <v>1683</v>
      </c>
      <c r="E160" t="s">
        <v>1997</v>
      </c>
      <c r="F160" t="s">
        <v>1635</v>
      </c>
      <c r="G160" t="s">
        <v>23</v>
      </c>
      <c r="H160" t="s">
        <v>239</v>
      </c>
      <c r="I160" t="s">
        <v>961</v>
      </c>
      <c r="L160" t="s">
        <v>532</v>
      </c>
      <c r="M160" t="s">
        <v>533</v>
      </c>
      <c r="N160">
        <v>165</v>
      </c>
      <c r="W160" t="b">
        <v>0</v>
      </c>
      <c r="X160" t="s">
        <v>1685</v>
      </c>
      <c r="Y160" t="s">
        <v>1998</v>
      </c>
    </row>
    <row r="161" spans="2:25" hidden="1" x14ac:dyDescent="0.25">
      <c r="B161" t="s">
        <v>1570</v>
      </c>
      <c r="C161" t="s">
        <v>960</v>
      </c>
      <c r="D161" t="s">
        <v>1683</v>
      </c>
      <c r="E161" t="s">
        <v>1999</v>
      </c>
      <c r="F161" t="s">
        <v>1570</v>
      </c>
      <c r="G161" t="s">
        <v>23</v>
      </c>
      <c r="H161" t="s">
        <v>95</v>
      </c>
      <c r="I161" t="s">
        <v>961</v>
      </c>
      <c r="L161" t="s">
        <v>532</v>
      </c>
      <c r="M161" t="s">
        <v>533</v>
      </c>
      <c r="N161">
        <v>166</v>
      </c>
      <c r="W161" t="b">
        <v>0</v>
      </c>
      <c r="X161" t="s">
        <v>1685</v>
      </c>
      <c r="Y161" t="s">
        <v>2000</v>
      </c>
    </row>
    <row r="162" spans="2:25" hidden="1" x14ac:dyDescent="0.25">
      <c r="B162" t="s">
        <v>1583</v>
      </c>
      <c r="C162" t="s">
        <v>960</v>
      </c>
      <c r="D162" t="s">
        <v>1683</v>
      </c>
      <c r="E162" t="s">
        <v>2001</v>
      </c>
      <c r="F162" t="s">
        <v>1583</v>
      </c>
      <c r="G162" t="s">
        <v>207</v>
      </c>
      <c r="H162" t="s">
        <v>931</v>
      </c>
      <c r="I162" t="s">
        <v>961</v>
      </c>
      <c r="L162" t="s">
        <v>532</v>
      </c>
      <c r="M162" t="s">
        <v>533</v>
      </c>
      <c r="N162">
        <v>167</v>
      </c>
      <c r="W162" t="b">
        <v>0</v>
      </c>
      <c r="X162" t="s">
        <v>1685</v>
      </c>
      <c r="Y162" t="s">
        <v>2002</v>
      </c>
    </row>
    <row r="163" spans="2:25" hidden="1" x14ac:dyDescent="0.25">
      <c r="B163" t="s">
        <v>1510</v>
      </c>
      <c r="C163" t="s">
        <v>960</v>
      </c>
      <c r="D163" t="s">
        <v>1683</v>
      </c>
      <c r="E163" t="s">
        <v>2003</v>
      </c>
      <c r="F163" t="s">
        <v>1510</v>
      </c>
      <c r="G163" t="s">
        <v>207</v>
      </c>
      <c r="H163" t="s">
        <v>95</v>
      </c>
      <c r="I163" t="s">
        <v>961</v>
      </c>
      <c r="L163" t="s">
        <v>532</v>
      </c>
      <c r="M163" t="s">
        <v>533</v>
      </c>
      <c r="N163">
        <v>168</v>
      </c>
      <c r="W163" t="b">
        <v>0</v>
      </c>
      <c r="X163" t="s">
        <v>1685</v>
      </c>
      <c r="Y163" t="s">
        <v>2004</v>
      </c>
    </row>
    <row r="164" spans="2:25" hidden="1" x14ac:dyDescent="0.25">
      <c r="B164" t="s">
        <v>1558</v>
      </c>
      <c r="C164" t="s">
        <v>960</v>
      </c>
      <c r="D164" t="s">
        <v>1683</v>
      </c>
      <c r="E164" t="s">
        <v>2005</v>
      </c>
      <c r="F164" t="s">
        <v>1558</v>
      </c>
      <c r="G164" t="s">
        <v>23</v>
      </c>
      <c r="H164" t="s">
        <v>823</v>
      </c>
      <c r="I164" t="s">
        <v>961</v>
      </c>
      <c r="L164" t="s">
        <v>532</v>
      </c>
      <c r="M164" t="s">
        <v>533</v>
      </c>
      <c r="N164">
        <v>169</v>
      </c>
      <c r="W164" t="b">
        <v>0</v>
      </c>
      <c r="X164" t="s">
        <v>1685</v>
      </c>
      <c r="Y164" t="s">
        <v>2006</v>
      </c>
    </row>
    <row r="165" spans="2:25" hidden="1" x14ac:dyDescent="0.25">
      <c r="B165" t="s">
        <v>1627</v>
      </c>
      <c r="C165" t="s">
        <v>960</v>
      </c>
      <c r="D165" t="s">
        <v>1683</v>
      </c>
      <c r="E165" t="s">
        <v>2007</v>
      </c>
      <c r="F165" t="s">
        <v>1627</v>
      </c>
      <c r="G165" t="s">
        <v>207</v>
      </c>
      <c r="H165" t="s">
        <v>905</v>
      </c>
      <c r="I165" t="s">
        <v>961</v>
      </c>
      <c r="L165" t="s">
        <v>532</v>
      </c>
      <c r="M165" t="s">
        <v>533</v>
      </c>
      <c r="N165">
        <v>170</v>
      </c>
      <c r="W165" t="b">
        <v>0</v>
      </c>
      <c r="X165" t="s">
        <v>1685</v>
      </c>
      <c r="Y165" t="s">
        <v>2008</v>
      </c>
    </row>
    <row r="166" spans="2:25" hidden="1" x14ac:dyDescent="0.25">
      <c r="B166" t="s">
        <v>1629</v>
      </c>
      <c r="C166" t="s">
        <v>960</v>
      </c>
      <c r="D166" t="s">
        <v>1683</v>
      </c>
      <c r="E166" t="s">
        <v>2009</v>
      </c>
      <c r="F166" t="s">
        <v>1629</v>
      </c>
      <c r="G166" t="s">
        <v>207</v>
      </c>
      <c r="H166" t="s">
        <v>905</v>
      </c>
      <c r="I166" t="s">
        <v>961</v>
      </c>
      <c r="L166" t="s">
        <v>532</v>
      </c>
      <c r="M166" t="s">
        <v>533</v>
      </c>
      <c r="N166">
        <v>171</v>
      </c>
      <c r="W166" t="b">
        <v>0</v>
      </c>
      <c r="X166" t="s">
        <v>1685</v>
      </c>
      <c r="Y166" t="s">
        <v>2010</v>
      </c>
    </row>
    <row r="167" spans="2:25" hidden="1" x14ac:dyDescent="0.25">
      <c r="B167" t="s">
        <v>1059</v>
      </c>
      <c r="C167" t="s">
        <v>960</v>
      </c>
      <c r="D167" t="s">
        <v>1683</v>
      </c>
      <c r="E167" t="s">
        <v>2011</v>
      </c>
      <c r="F167" t="s">
        <v>1059</v>
      </c>
      <c r="G167" t="s">
        <v>23</v>
      </c>
      <c r="H167" t="s">
        <v>240</v>
      </c>
      <c r="I167" t="s">
        <v>961</v>
      </c>
      <c r="L167" t="s">
        <v>532</v>
      </c>
      <c r="M167" t="s">
        <v>533</v>
      </c>
      <c r="N167">
        <v>172</v>
      </c>
      <c r="W167" t="b">
        <v>0</v>
      </c>
      <c r="X167" t="s">
        <v>1685</v>
      </c>
      <c r="Y167" t="s">
        <v>2012</v>
      </c>
    </row>
    <row r="168" spans="2:25" hidden="1" x14ac:dyDescent="0.25">
      <c r="B168" t="s">
        <v>1061</v>
      </c>
      <c r="C168" t="s">
        <v>960</v>
      </c>
      <c r="D168" t="s">
        <v>1683</v>
      </c>
      <c r="E168" t="s">
        <v>2013</v>
      </c>
      <c r="F168" t="s">
        <v>1061</v>
      </c>
      <c r="G168" t="s">
        <v>23</v>
      </c>
      <c r="H168" t="s">
        <v>240</v>
      </c>
      <c r="I168" t="s">
        <v>961</v>
      </c>
      <c r="L168" t="s">
        <v>532</v>
      </c>
      <c r="M168" t="s">
        <v>533</v>
      </c>
      <c r="N168">
        <v>173</v>
      </c>
      <c r="W168" t="b">
        <v>0</v>
      </c>
      <c r="X168" t="s">
        <v>1685</v>
      </c>
      <c r="Y168" t="s">
        <v>2014</v>
      </c>
    </row>
    <row r="169" spans="2:25" hidden="1" x14ac:dyDescent="0.25">
      <c r="B169" t="s">
        <v>1063</v>
      </c>
      <c r="C169" t="s">
        <v>960</v>
      </c>
      <c r="D169" t="s">
        <v>1683</v>
      </c>
      <c r="E169" t="s">
        <v>2015</v>
      </c>
      <c r="F169" t="s">
        <v>1063</v>
      </c>
      <c r="G169" t="s">
        <v>23</v>
      </c>
      <c r="H169" t="s">
        <v>240</v>
      </c>
      <c r="I169" t="s">
        <v>961</v>
      </c>
      <c r="L169" t="s">
        <v>532</v>
      </c>
      <c r="M169" t="s">
        <v>533</v>
      </c>
      <c r="N169">
        <v>174</v>
      </c>
      <c r="W169" t="b">
        <v>0</v>
      </c>
      <c r="X169" t="s">
        <v>1685</v>
      </c>
      <c r="Y169" t="s">
        <v>2016</v>
      </c>
    </row>
    <row r="170" spans="2:25" hidden="1" x14ac:dyDescent="0.25">
      <c r="B170" t="s">
        <v>1065</v>
      </c>
      <c r="C170" t="s">
        <v>960</v>
      </c>
      <c r="D170" t="s">
        <v>1683</v>
      </c>
      <c r="E170" t="s">
        <v>2017</v>
      </c>
      <c r="F170" t="s">
        <v>1065</v>
      </c>
      <c r="G170" t="s">
        <v>23</v>
      </c>
      <c r="H170" t="s">
        <v>240</v>
      </c>
      <c r="I170" t="s">
        <v>961</v>
      </c>
      <c r="L170" t="s">
        <v>532</v>
      </c>
      <c r="M170" t="s">
        <v>533</v>
      </c>
      <c r="N170">
        <v>175</v>
      </c>
      <c r="W170" t="b">
        <v>0</v>
      </c>
      <c r="X170" t="s">
        <v>1685</v>
      </c>
      <c r="Y170" t="s">
        <v>2018</v>
      </c>
    </row>
    <row r="171" spans="2:25" hidden="1" x14ac:dyDescent="0.25">
      <c r="B171" t="s">
        <v>1067</v>
      </c>
      <c r="C171" t="s">
        <v>960</v>
      </c>
      <c r="D171" t="s">
        <v>1683</v>
      </c>
      <c r="E171" t="s">
        <v>2019</v>
      </c>
      <c r="F171" t="s">
        <v>1067</v>
      </c>
      <c r="G171" t="s">
        <v>23</v>
      </c>
      <c r="H171" t="s">
        <v>240</v>
      </c>
      <c r="I171" t="s">
        <v>961</v>
      </c>
      <c r="L171" t="s">
        <v>532</v>
      </c>
      <c r="M171" t="s">
        <v>533</v>
      </c>
      <c r="N171">
        <v>176</v>
      </c>
      <c r="W171" t="b">
        <v>0</v>
      </c>
      <c r="X171" t="s">
        <v>1685</v>
      </c>
      <c r="Y171" t="s">
        <v>2020</v>
      </c>
    </row>
    <row r="172" spans="2:25" hidden="1" x14ac:dyDescent="0.25">
      <c r="B172" t="s">
        <v>1530</v>
      </c>
      <c r="C172" t="s">
        <v>960</v>
      </c>
      <c r="D172" t="s">
        <v>1683</v>
      </c>
      <c r="E172" t="s">
        <v>2021</v>
      </c>
      <c r="F172" t="s">
        <v>1530</v>
      </c>
      <c r="G172" t="s">
        <v>207</v>
      </c>
      <c r="H172" t="s">
        <v>95</v>
      </c>
      <c r="I172" t="s">
        <v>961</v>
      </c>
      <c r="L172" t="s">
        <v>532</v>
      </c>
      <c r="M172" t="s">
        <v>533</v>
      </c>
      <c r="N172">
        <v>177</v>
      </c>
      <c r="W172" t="b">
        <v>0</v>
      </c>
      <c r="X172" t="s">
        <v>1685</v>
      </c>
      <c r="Y172" t="s">
        <v>2022</v>
      </c>
    </row>
    <row r="173" spans="2:25" hidden="1" x14ac:dyDescent="0.25">
      <c r="B173" t="s">
        <v>1532</v>
      </c>
      <c r="C173" t="s">
        <v>960</v>
      </c>
      <c r="D173" t="s">
        <v>1683</v>
      </c>
      <c r="E173" t="s">
        <v>2023</v>
      </c>
      <c r="F173" t="s">
        <v>1532</v>
      </c>
      <c r="G173" t="s">
        <v>207</v>
      </c>
      <c r="H173" t="s">
        <v>95</v>
      </c>
      <c r="I173" t="s">
        <v>961</v>
      </c>
      <c r="L173" t="s">
        <v>532</v>
      </c>
      <c r="M173" t="s">
        <v>533</v>
      </c>
      <c r="N173">
        <v>178</v>
      </c>
      <c r="W173" t="b">
        <v>0</v>
      </c>
      <c r="X173" t="s">
        <v>1685</v>
      </c>
      <c r="Y173" t="s">
        <v>2024</v>
      </c>
    </row>
    <row r="174" spans="2:25" hidden="1" x14ac:dyDescent="0.25">
      <c r="B174" t="s">
        <v>1621</v>
      </c>
      <c r="C174" t="s">
        <v>960</v>
      </c>
      <c r="D174" t="s">
        <v>1683</v>
      </c>
      <c r="E174" t="s">
        <v>2025</v>
      </c>
      <c r="F174" t="s">
        <v>1621</v>
      </c>
      <c r="G174" t="s">
        <v>207</v>
      </c>
      <c r="H174" t="s">
        <v>531</v>
      </c>
      <c r="I174" t="s">
        <v>961</v>
      </c>
      <c r="L174" t="s">
        <v>532</v>
      </c>
      <c r="M174" t="s">
        <v>533</v>
      </c>
      <c r="N174">
        <v>179</v>
      </c>
      <c r="W174" t="b">
        <v>0</v>
      </c>
      <c r="X174" t="s">
        <v>1685</v>
      </c>
      <c r="Y174" t="s">
        <v>2026</v>
      </c>
    </row>
    <row r="175" spans="2:25" hidden="1" x14ac:dyDescent="0.25">
      <c r="B175" t="s">
        <v>1306</v>
      </c>
      <c r="C175" t="s">
        <v>960</v>
      </c>
      <c r="D175" t="s">
        <v>1683</v>
      </c>
      <c r="E175" t="s">
        <v>2027</v>
      </c>
      <c r="F175" t="s">
        <v>1306</v>
      </c>
      <c r="G175" t="s">
        <v>207</v>
      </c>
      <c r="H175" t="s">
        <v>905</v>
      </c>
      <c r="I175" t="s">
        <v>961</v>
      </c>
      <c r="L175" t="s">
        <v>532</v>
      </c>
      <c r="M175" t="s">
        <v>533</v>
      </c>
      <c r="N175">
        <v>180</v>
      </c>
      <c r="W175" t="b">
        <v>0</v>
      </c>
      <c r="X175" t="s">
        <v>1685</v>
      </c>
      <c r="Y175" t="s">
        <v>2028</v>
      </c>
    </row>
    <row r="176" spans="2:25" hidden="1" x14ac:dyDescent="0.25">
      <c r="B176" t="s">
        <v>1012</v>
      </c>
      <c r="C176" t="s">
        <v>960</v>
      </c>
      <c r="D176" t="s">
        <v>1683</v>
      </c>
      <c r="E176" t="s">
        <v>2029</v>
      </c>
      <c r="F176" t="s">
        <v>1012</v>
      </c>
      <c r="G176" t="s">
        <v>207</v>
      </c>
      <c r="H176" t="s">
        <v>239</v>
      </c>
      <c r="I176" t="s">
        <v>961</v>
      </c>
      <c r="L176" t="s">
        <v>532</v>
      </c>
      <c r="M176" t="s">
        <v>533</v>
      </c>
      <c r="N176">
        <v>181</v>
      </c>
      <c r="W176" t="b">
        <v>0</v>
      </c>
      <c r="X176" t="s">
        <v>1685</v>
      </c>
      <c r="Y176" t="s">
        <v>2030</v>
      </c>
    </row>
    <row r="177" spans="1:25" hidden="1" x14ac:dyDescent="0.25">
      <c r="B177" t="s">
        <v>996</v>
      </c>
      <c r="C177" t="s">
        <v>960</v>
      </c>
      <c r="D177" t="s">
        <v>1683</v>
      </c>
      <c r="E177" t="s">
        <v>2031</v>
      </c>
      <c r="F177" t="s">
        <v>996</v>
      </c>
      <c r="G177" t="s">
        <v>207</v>
      </c>
      <c r="H177" t="s">
        <v>239</v>
      </c>
      <c r="I177" t="s">
        <v>961</v>
      </c>
      <c r="L177" t="s">
        <v>532</v>
      </c>
      <c r="M177" t="s">
        <v>533</v>
      </c>
      <c r="N177">
        <v>182</v>
      </c>
      <c r="W177" t="b">
        <v>0</v>
      </c>
      <c r="X177" t="s">
        <v>1685</v>
      </c>
      <c r="Y177" t="s">
        <v>2032</v>
      </c>
    </row>
    <row r="178" spans="1:25" hidden="1" x14ac:dyDescent="0.25">
      <c r="B178" t="s">
        <v>1006</v>
      </c>
      <c r="C178" t="s">
        <v>960</v>
      </c>
      <c r="D178" t="s">
        <v>1683</v>
      </c>
      <c r="E178" t="s">
        <v>2033</v>
      </c>
      <c r="F178" t="s">
        <v>1006</v>
      </c>
      <c r="G178" t="s">
        <v>207</v>
      </c>
      <c r="H178" t="s">
        <v>239</v>
      </c>
      <c r="I178" t="s">
        <v>961</v>
      </c>
      <c r="L178" t="s">
        <v>532</v>
      </c>
      <c r="M178" t="s">
        <v>533</v>
      </c>
      <c r="N178">
        <v>183</v>
      </c>
      <c r="W178" t="b">
        <v>0</v>
      </c>
      <c r="X178" t="s">
        <v>1685</v>
      </c>
      <c r="Y178" t="s">
        <v>2034</v>
      </c>
    </row>
    <row r="179" spans="1:25" hidden="1" x14ac:dyDescent="0.25">
      <c r="A179" t="s">
        <v>1461</v>
      </c>
      <c r="B179" t="s">
        <v>1462</v>
      </c>
      <c r="C179" t="s">
        <v>960</v>
      </c>
      <c r="D179" t="s">
        <v>1683</v>
      </c>
      <c r="E179" t="s">
        <v>2035</v>
      </c>
      <c r="F179" t="s">
        <v>1462</v>
      </c>
      <c r="G179" t="s">
        <v>207</v>
      </c>
      <c r="H179" t="s">
        <v>94</v>
      </c>
      <c r="I179" t="s">
        <v>961</v>
      </c>
      <c r="L179" t="s">
        <v>532</v>
      </c>
      <c r="M179" t="s">
        <v>533</v>
      </c>
      <c r="N179">
        <v>184</v>
      </c>
      <c r="V179">
        <v>81242</v>
      </c>
      <c r="W179" t="b">
        <v>1</v>
      </c>
      <c r="Y179" t="s">
        <v>2036</v>
      </c>
    </row>
    <row r="180" spans="1:25" hidden="1" x14ac:dyDescent="0.25">
      <c r="B180" t="s">
        <v>977</v>
      </c>
      <c r="C180" t="s">
        <v>960</v>
      </c>
      <c r="D180" t="s">
        <v>1683</v>
      </c>
      <c r="E180" t="s">
        <v>2037</v>
      </c>
      <c r="F180" t="s">
        <v>977</v>
      </c>
      <c r="G180" t="s">
        <v>23</v>
      </c>
      <c r="H180" t="s">
        <v>240</v>
      </c>
      <c r="I180" t="s">
        <v>961</v>
      </c>
      <c r="L180" t="s">
        <v>532</v>
      </c>
      <c r="M180" t="s">
        <v>533</v>
      </c>
      <c r="N180">
        <v>185</v>
      </c>
      <c r="W180" t="b">
        <v>0</v>
      </c>
      <c r="X180" t="s">
        <v>1685</v>
      </c>
      <c r="Y180" t="s">
        <v>2038</v>
      </c>
    </row>
    <row r="181" spans="1:25" hidden="1" x14ac:dyDescent="0.25">
      <c r="B181" t="s">
        <v>1364</v>
      </c>
      <c r="C181" t="s">
        <v>960</v>
      </c>
      <c r="D181" t="s">
        <v>1683</v>
      </c>
      <c r="E181" t="s">
        <v>2039</v>
      </c>
      <c r="F181" t="s">
        <v>1364</v>
      </c>
      <c r="G181" t="s">
        <v>207</v>
      </c>
      <c r="H181" t="s">
        <v>579</v>
      </c>
      <c r="I181" t="s">
        <v>961</v>
      </c>
      <c r="L181" t="s">
        <v>532</v>
      </c>
      <c r="M181" t="s">
        <v>533</v>
      </c>
      <c r="N181">
        <v>186</v>
      </c>
      <c r="W181" t="b">
        <v>0</v>
      </c>
      <c r="X181" t="s">
        <v>1685</v>
      </c>
      <c r="Y181" t="s">
        <v>2040</v>
      </c>
    </row>
    <row r="182" spans="1:25" hidden="1" x14ac:dyDescent="0.25">
      <c r="B182" t="s">
        <v>1232</v>
      </c>
      <c r="C182" t="s">
        <v>960</v>
      </c>
      <c r="D182" t="s">
        <v>1683</v>
      </c>
      <c r="E182" t="s">
        <v>2041</v>
      </c>
      <c r="F182" t="s">
        <v>1232</v>
      </c>
      <c r="G182" t="s">
        <v>207</v>
      </c>
      <c r="H182" t="s">
        <v>95</v>
      </c>
      <c r="I182" t="s">
        <v>961</v>
      </c>
      <c r="L182" t="s">
        <v>532</v>
      </c>
      <c r="M182" t="s">
        <v>533</v>
      </c>
      <c r="N182">
        <v>187</v>
      </c>
      <c r="W182" t="b">
        <v>0</v>
      </c>
      <c r="X182" t="s">
        <v>1685</v>
      </c>
      <c r="Y182" t="s">
        <v>2042</v>
      </c>
    </row>
    <row r="183" spans="1:25" hidden="1" x14ac:dyDescent="0.25">
      <c r="B183" t="s">
        <v>1512</v>
      </c>
      <c r="C183" t="s">
        <v>960</v>
      </c>
      <c r="D183" t="s">
        <v>1683</v>
      </c>
      <c r="E183" t="s">
        <v>2043</v>
      </c>
      <c r="F183" t="s">
        <v>1512</v>
      </c>
      <c r="G183" t="s">
        <v>207</v>
      </c>
      <c r="H183" t="s">
        <v>95</v>
      </c>
      <c r="I183" t="s">
        <v>961</v>
      </c>
      <c r="L183" t="s">
        <v>532</v>
      </c>
      <c r="M183" t="s">
        <v>533</v>
      </c>
      <c r="N183">
        <v>188</v>
      </c>
      <c r="W183" t="b">
        <v>0</v>
      </c>
      <c r="X183" t="s">
        <v>1685</v>
      </c>
      <c r="Y183" t="s">
        <v>2044</v>
      </c>
    </row>
    <row r="184" spans="1:25" hidden="1" x14ac:dyDescent="0.25">
      <c r="B184" t="s">
        <v>1368</v>
      </c>
      <c r="C184" t="s">
        <v>960</v>
      </c>
      <c r="D184" t="s">
        <v>1683</v>
      </c>
      <c r="E184" t="s">
        <v>2045</v>
      </c>
      <c r="F184" t="s">
        <v>1368</v>
      </c>
      <c r="G184" t="s">
        <v>207</v>
      </c>
      <c r="H184" t="s">
        <v>579</v>
      </c>
      <c r="I184" t="s">
        <v>961</v>
      </c>
      <c r="L184" t="s">
        <v>532</v>
      </c>
      <c r="M184" t="s">
        <v>533</v>
      </c>
      <c r="N184">
        <v>189</v>
      </c>
      <c r="W184" t="b">
        <v>0</v>
      </c>
      <c r="X184" t="s">
        <v>1685</v>
      </c>
      <c r="Y184" t="s">
        <v>2046</v>
      </c>
    </row>
    <row r="185" spans="1:25" hidden="1" x14ac:dyDescent="0.25">
      <c r="B185" t="s">
        <v>1352</v>
      </c>
      <c r="C185" t="s">
        <v>960</v>
      </c>
      <c r="D185" t="s">
        <v>1683</v>
      </c>
      <c r="E185" t="s">
        <v>2047</v>
      </c>
      <c r="F185" t="s">
        <v>1352</v>
      </c>
      <c r="G185" t="s">
        <v>207</v>
      </c>
      <c r="H185" t="s">
        <v>94</v>
      </c>
      <c r="I185" t="s">
        <v>961</v>
      </c>
      <c r="L185" t="s">
        <v>532</v>
      </c>
      <c r="M185" t="s">
        <v>533</v>
      </c>
      <c r="N185">
        <v>190</v>
      </c>
      <c r="W185" t="b">
        <v>0</v>
      </c>
      <c r="X185" t="s">
        <v>1685</v>
      </c>
      <c r="Y185" t="s">
        <v>2048</v>
      </c>
    </row>
    <row r="186" spans="1:25" hidden="1" x14ac:dyDescent="0.25">
      <c r="B186" t="s">
        <v>1370</v>
      </c>
      <c r="C186" t="s">
        <v>960</v>
      </c>
      <c r="D186" t="s">
        <v>1683</v>
      </c>
      <c r="E186" t="s">
        <v>2049</v>
      </c>
      <c r="F186" t="s">
        <v>1370</v>
      </c>
      <c r="G186" t="s">
        <v>207</v>
      </c>
      <c r="H186" t="s">
        <v>579</v>
      </c>
      <c r="I186" t="s">
        <v>961</v>
      </c>
      <c r="L186" t="s">
        <v>532</v>
      </c>
      <c r="M186" t="s">
        <v>533</v>
      </c>
      <c r="N186">
        <v>191</v>
      </c>
      <c r="W186" t="b">
        <v>0</v>
      </c>
      <c r="X186" t="s">
        <v>1685</v>
      </c>
      <c r="Y186" t="s">
        <v>2050</v>
      </c>
    </row>
    <row r="187" spans="1:25" hidden="1" x14ac:dyDescent="0.25">
      <c r="A187" t="s">
        <v>1567</v>
      </c>
      <c r="B187" t="s">
        <v>1568</v>
      </c>
      <c r="C187" t="s">
        <v>960</v>
      </c>
      <c r="D187" t="s">
        <v>1683</v>
      </c>
      <c r="E187" t="s">
        <v>2051</v>
      </c>
      <c r="F187" t="s">
        <v>1568</v>
      </c>
      <c r="G187" t="s">
        <v>207</v>
      </c>
      <c r="H187" t="s">
        <v>897</v>
      </c>
      <c r="I187" t="s">
        <v>961</v>
      </c>
      <c r="L187" t="s">
        <v>532</v>
      </c>
      <c r="M187" t="s">
        <v>533</v>
      </c>
      <c r="N187">
        <v>192</v>
      </c>
      <c r="V187">
        <v>77000</v>
      </c>
      <c r="W187" t="b">
        <v>1</v>
      </c>
      <c r="Y187" t="s">
        <v>2052</v>
      </c>
    </row>
    <row r="188" spans="1:25" hidden="1" x14ac:dyDescent="0.25">
      <c r="B188" t="s">
        <v>1083</v>
      </c>
      <c r="C188" t="s">
        <v>960</v>
      </c>
      <c r="D188" t="s">
        <v>1683</v>
      </c>
      <c r="E188" t="s">
        <v>2053</v>
      </c>
      <c r="F188" t="s">
        <v>1083</v>
      </c>
      <c r="G188" t="s">
        <v>23</v>
      </c>
      <c r="H188" t="s">
        <v>240</v>
      </c>
      <c r="I188" t="s">
        <v>961</v>
      </c>
      <c r="L188" t="s">
        <v>532</v>
      </c>
      <c r="M188" t="s">
        <v>533</v>
      </c>
      <c r="N188">
        <v>193</v>
      </c>
      <c r="W188" t="b">
        <v>0</v>
      </c>
      <c r="X188" t="s">
        <v>1685</v>
      </c>
      <c r="Y188" t="s">
        <v>2054</v>
      </c>
    </row>
    <row r="189" spans="1:25" hidden="1" x14ac:dyDescent="0.25">
      <c r="B189" t="s">
        <v>1500</v>
      </c>
      <c r="C189" t="s">
        <v>960</v>
      </c>
      <c r="D189" t="s">
        <v>1683</v>
      </c>
      <c r="E189" t="s">
        <v>2055</v>
      </c>
      <c r="F189" t="s">
        <v>1500</v>
      </c>
      <c r="G189" t="s">
        <v>207</v>
      </c>
      <c r="H189" t="s">
        <v>95</v>
      </c>
      <c r="I189" t="s">
        <v>961</v>
      </c>
      <c r="L189" t="s">
        <v>532</v>
      </c>
      <c r="M189" t="s">
        <v>533</v>
      </c>
      <c r="N189">
        <v>194</v>
      </c>
      <c r="W189" t="b">
        <v>0</v>
      </c>
      <c r="X189" t="s">
        <v>1685</v>
      </c>
      <c r="Y189" t="s">
        <v>2056</v>
      </c>
    </row>
    <row r="190" spans="1:25" hidden="1" x14ac:dyDescent="0.25">
      <c r="B190" t="s">
        <v>1258</v>
      </c>
      <c r="C190" t="s">
        <v>960</v>
      </c>
      <c r="D190" t="s">
        <v>1683</v>
      </c>
      <c r="E190" t="s">
        <v>2057</v>
      </c>
      <c r="F190" t="s">
        <v>1258</v>
      </c>
      <c r="G190" t="s">
        <v>207</v>
      </c>
      <c r="H190" t="s">
        <v>531</v>
      </c>
      <c r="I190" t="s">
        <v>961</v>
      </c>
      <c r="L190" t="s">
        <v>532</v>
      </c>
      <c r="M190" t="s">
        <v>533</v>
      </c>
      <c r="N190">
        <v>195</v>
      </c>
      <c r="W190" t="b">
        <v>0</v>
      </c>
      <c r="X190" t="s">
        <v>1685</v>
      </c>
      <c r="Y190" t="s">
        <v>2058</v>
      </c>
    </row>
    <row r="191" spans="1:25" hidden="1" x14ac:dyDescent="0.25">
      <c r="B191" t="s">
        <v>1546</v>
      </c>
      <c r="C191" t="s">
        <v>960</v>
      </c>
      <c r="D191" t="s">
        <v>1683</v>
      </c>
      <c r="E191" t="s">
        <v>2059</v>
      </c>
      <c r="F191" t="s">
        <v>1546</v>
      </c>
      <c r="G191" t="s">
        <v>23</v>
      </c>
      <c r="H191" t="s">
        <v>94</v>
      </c>
      <c r="I191" t="s">
        <v>961</v>
      </c>
      <c r="L191" t="s">
        <v>532</v>
      </c>
      <c r="M191" t="s">
        <v>533</v>
      </c>
      <c r="N191">
        <v>196</v>
      </c>
      <c r="W191" t="b">
        <v>0</v>
      </c>
      <c r="X191" t="s">
        <v>1685</v>
      </c>
      <c r="Y191" t="s">
        <v>2060</v>
      </c>
    </row>
    <row r="192" spans="1:25" hidden="1" x14ac:dyDescent="0.25">
      <c r="B192" t="s">
        <v>1114</v>
      </c>
      <c r="C192" t="s">
        <v>960</v>
      </c>
      <c r="D192" t="s">
        <v>1683</v>
      </c>
      <c r="E192" t="s">
        <v>2061</v>
      </c>
      <c r="F192" t="s">
        <v>1114</v>
      </c>
      <c r="G192" t="s">
        <v>207</v>
      </c>
      <c r="H192" t="s">
        <v>931</v>
      </c>
      <c r="I192" t="s">
        <v>961</v>
      </c>
      <c r="L192" t="s">
        <v>532</v>
      </c>
      <c r="M192" t="s">
        <v>533</v>
      </c>
      <c r="N192">
        <v>197</v>
      </c>
      <c r="W192" t="b">
        <v>0</v>
      </c>
      <c r="X192" t="s">
        <v>1685</v>
      </c>
      <c r="Y192" t="s">
        <v>2062</v>
      </c>
    </row>
    <row r="193" spans="2:25" hidden="1" x14ac:dyDescent="0.25">
      <c r="B193" t="s">
        <v>1116</v>
      </c>
      <c r="C193" t="s">
        <v>960</v>
      </c>
      <c r="D193" t="s">
        <v>1683</v>
      </c>
      <c r="E193" t="s">
        <v>2063</v>
      </c>
      <c r="F193" t="s">
        <v>1116</v>
      </c>
      <c r="G193" t="s">
        <v>207</v>
      </c>
      <c r="H193" t="s">
        <v>931</v>
      </c>
      <c r="I193" t="s">
        <v>961</v>
      </c>
      <c r="L193" t="s">
        <v>532</v>
      </c>
      <c r="M193" t="s">
        <v>533</v>
      </c>
      <c r="N193">
        <v>198</v>
      </c>
      <c r="W193" t="b">
        <v>0</v>
      </c>
      <c r="X193" t="s">
        <v>1685</v>
      </c>
      <c r="Y193" t="s">
        <v>2064</v>
      </c>
    </row>
    <row r="194" spans="2:25" hidden="1" x14ac:dyDescent="0.25">
      <c r="B194" t="s">
        <v>1118</v>
      </c>
      <c r="C194" t="s">
        <v>960</v>
      </c>
      <c r="D194" t="s">
        <v>1683</v>
      </c>
      <c r="E194" t="s">
        <v>2065</v>
      </c>
      <c r="F194" t="s">
        <v>1118</v>
      </c>
      <c r="G194" t="s">
        <v>207</v>
      </c>
      <c r="H194" t="s">
        <v>931</v>
      </c>
      <c r="I194" t="s">
        <v>961</v>
      </c>
      <c r="L194" t="s">
        <v>532</v>
      </c>
      <c r="M194" t="s">
        <v>533</v>
      </c>
      <c r="N194">
        <v>199</v>
      </c>
      <c r="W194" t="b">
        <v>0</v>
      </c>
      <c r="X194" t="s">
        <v>1685</v>
      </c>
      <c r="Y194" t="s">
        <v>2066</v>
      </c>
    </row>
    <row r="195" spans="2:25" hidden="1" x14ac:dyDescent="0.25">
      <c r="B195" t="s">
        <v>1600</v>
      </c>
      <c r="C195" t="s">
        <v>960</v>
      </c>
      <c r="D195" t="s">
        <v>1683</v>
      </c>
      <c r="E195" t="s">
        <v>2067</v>
      </c>
      <c r="F195" t="s">
        <v>1600</v>
      </c>
      <c r="G195" t="s">
        <v>207</v>
      </c>
      <c r="H195" t="s">
        <v>531</v>
      </c>
      <c r="I195" t="s">
        <v>961</v>
      </c>
      <c r="L195" t="s">
        <v>532</v>
      </c>
      <c r="M195" t="s">
        <v>533</v>
      </c>
      <c r="N195">
        <v>200</v>
      </c>
      <c r="W195" t="b">
        <v>0</v>
      </c>
      <c r="X195" t="s">
        <v>1685</v>
      </c>
      <c r="Y195" t="s">
        <v>2068</v>
      </c>
    </row>
    <row r="196" spans="2:25" hidden="1" x14ac:dyDescent="0.25">
      <c r="B196" t="s">
        <v>1591</v>
      </c>
      <c r="C196" t="s">
        <v>960</v>
      </c>
      <c r="D196" t="s">
        <v>1683</v>
      </c>
      <c r="E196" t="s">
        <v>2069</v>
      </c>
      <c r="F196" t="s">
        <v>1591</v>
      </c>
      <c r="G196" t="s">
        <v>207</v>
      </c>
      <c r="H196" t="s">
        <v>905</v>
      </c>
      <c r="I196" t="s">
        <v>961</v>
      </c>
      <c r="L196" t="s">
        <v>532</v>
      </c>
      <c r="M196" t="s">
        <v>533</v>
      </c>
      <c r="N196">
        <v>201</v>
      </c>
      <c r="W196" t="b">
        <v>0</v>
      </c>
      <c r="X196" t="s">
        <v>1685</v>
      </c>
      <c r="Y196" t="s">
        <v>2070</v>
      </c>
    </row>
    <row r="197" spans="2:25" hidden="1" x14ac:dyDescent="0.25">
      <c r="B197" t="s">
        <v>1091</v>
      </c>
      <c r="C197" t="s">
        <v>960</v>
      </c>
      <c r="D197" t="s">
        <v>1683</v>
      </c>
      <c r="E197" t="s">
        <v>2071</v>
      </c>
      <c r="F197" t="s">
        <v>1091</v>
      </c>
      <c r="G197" t="s">
        <v>207</v>
      </c>
      <c r="H197" t="s">
        <v>905</v>
      </c>
      <c r="I197" t="s">
        <v>961</v>
      </c>
      <c r="L197" t="s">
        <v>532</v>
      </c>
      <c r="M197" t="s">
        <v>533</v>
      </c>
      <c r="N197">
        <v>202</v>
      </c>
      <c r="W197" t="b">
        <v>0</v>
      </c>
      <c r="X197" t="s">
        <v>1685</v>
      </c>
      <c r="Y197" t="s">
        <v>2072</v>
      </c>
    </row>
    <row r="198" spans="2:25" hidden="1" x14ac:dyDescent="0.25">
      <c r="B198" t="s">
        <v>998</v>
      </c>
      <c r="C198" t="s">
        <v>960</v>
      </c>
      <c r="D198" t="s">
        <v>1683</v>
      </c>
      <c r="E198" t="s">
        <v>2073</v>
      </c>
      <c r="F198" t="s">
        <v>998</v>
      </c>
      <c r="G198" t="s">
        <v>23</v>
      </c>
      <c r="H198" t="s">
        <v>615</v>
      </c>
      <c r="I198" t="s">
        <v>961</v>
      </c>
      <c r="L198" t="s">
        <v>532</v>
      </c>
      <c r="M198" t="s">
        <v>533</v>
      </c>
      <c r="N198">
        <v>203</v>
      </c>
      <c r="W198" t="b">
        <v>0</v>
      </c>
      <c r="X198" t="s">
        <v>1685</v>
      </c>
      <c r="Y198" t="s">
        <v>2074</v>
      </c>
    </row>
    <row r="199" spans="2:25" hidden="1" x14ac:dyDescent="0.25">
      <c r="B199" t="s">
        <v>1210</v>
      </c>
      <c r="C199" t="s">
        <v>960</v>
      </c>
      <c r="D199" t="s">
        <v>1683</v>
      </c>
      <c r="E199" t="s">
        <v>2075</v>
      </c>
      <c r="F199" t="s">
        <v>1210</v>
      </c>
      <c r="G199" t="s">
        <v>207</v>
      </c>
      <c r="H199" t="s">
        <v>94</v>
      </c>
      <c r="I199" t="s">
        <v>961</v>
      </c>
      <c r="L199" t="s">
        <v>532</v>
      </c>
      <c r="M199" t="s">
        <v>533</v>
      </c>
      <c r="N199">
        <v>204</v>
      </c>
      <c r="W199" t="b">
        <v>0</v>
      </c>
      <c r="X199" t="s">
        <v>1685</v>
      </c>
      <c r="Y199" t="s">
        <v>2076</v>
      </c>
    </row>
    <row r="200" spans="2:25" hidden="1" x14ac:dyDescent="0.25">
      <c r="B200" t="s">
        <v>502</v>
      </c>
      <c r="C200" t="s">
        <v>960</v>
      </c>
      <c r="D200" t="s">
        <v>1683</v>
      </c>
      <c r="E200" t="s">
        <v>509</v>
      </c>
      <c r="F200" t="s">
        <v>502</v>
      </c>
      <c r="G200" t="s">
        <v>207</v>
      </c>
      <c r="H200" t="s">
        <v>530</v>
      </c>
      <c r="I200" t="s">
        <v>961</v>
      </c>
      <c r="L200" t="s">
        <v>532</v>
      </c>
      <c r="M200" t="s">
        <v>533</v>
      </c>
      <c r="N200">
        <v>205</v>
      </c>
      <c r="W200" t="b">
        <v>0</v>
      </c>
      <c r="X200" t="s">
        <v>1685</v>
      </c>
      <c r="Y200" t="s">
        <v>2077</v>
      </c>
    </row>
    <row r="201" spans="2:25" hidden="1" x14ac:dyDescent="0.25">
      <c r="B201" t="s">
        <v>1224</v>
      </c>
      <c r="C201" t="s">
        <v>960</v>
      </c>
      <c r="D201" t="s">
        <v>1683</v>
      </c>
      <c r="E201" t="s">
        <v>2078</v>
      </c>
      <c r="F201" t="s">
        <v>1224</v>
      </c>
      <c r="G201" t="s">
        <v>207</v>
      </c>
      <c r="H201" t="s">
        <v>927</v>
      </c>
      <c r="I201" t="s">
        <v>961</v>
      </c>
      <c r="L201" t="s">
        <v>532</v>
      </c>
      <c r="M201" t="s">
        <v>533</v>
      </c>
      <c r="N201">
        <v>206</v>
      </c>
      <c r="W201" t="b">
        <v>0</v>
      </c>
      <c r="X201" t="s">
        <v>1685</v>
      </c>
      <c r="Y201" t="s">
        <v>2079</v>
      </c>
    </row>
    <row r="202" spans="2:25" hidden="1" x14ac:dyDescent="0.25">
      <c r="B202" t="s">
        <v>1348</v>
      </c>
      <c r="C202" t="s">
        <v>960</v>
      </c>
      <c r="D202" t="s">
        <v>1683</v>
      </c>
      <c r="E202" t="s">
        <v>2080</v>
      </c>
      <c r="F202" t="s">
        <v>1348</v>
      </c>
      <c r="G202" t="s">
        <v>207</v>
      </c>
      <c r="H202" t="s">
        <v>905</v>
      </c>
      <c r="I202" t="s">
        <v>961</v>
      </c>
      <c r="L202" t="s">
        <v>532</v>
      </c>
      <c r="M202" t="s">
        <v>533</v>
      </c>
      <c r="N202">
        <v>207</v>
      </c>
      <c r="W202" t="b">
        <v>0</v>
      </c>
      <c r="X202" t="s">
        <v>1685</v>
      </c>
      <c r="Y202" t="s">
        <v>2081</v>
      </c>
    </row>
    <row r="203" spans="2:25" hidden="1" x14ac:dyDescent="0.25">
      <c r="B203" t="s">
        <v>1260</v>
      </c>
      <c r="C203" t="s">
        <v>960</v>
      </c>
      <c r="D203" t="s">
        <v>1683</v>
      </c>
      <c r="E203" t="s">
        <v>2082</v>
      </c>
      <c r="F203" t="s">
        <v>1260</v>
      </c>
      <c r="G203" t="s">
        <v>207</v>
      </c>
      <c r="H203" t="s">
        <v>531</v>
      </c>
      <c r="I203" t="s">
        <v>961</v>
      </c>
      <c r="L203" t="s">
        <v>532</v>
      </c>
      <c r="M203" t="s">
        <v>533</v>
      </c>
      <c r="N203">
        <v>208</v>
      </c>
      <c r="W203" t="b">
        <v>0</v>
      </c>
      <c r="X203" t="s">
        <v>1685</v>
      </c>
      <c r="Y203" t="s">
        <v>2083</v>
      </c>
    </row>
    <row r="204" spans="2:25" hidden="1" x14ac:dyDescent="0.25">
      <c r="B204" t="s">
        <v>1128</v>
      </c>
      <c r="C204" t="s">
        <v>960</v>
      </c>
      <c r="D204" t="s">
        <v>1683</v>
      </c>
      <c r="E204" t="s">
        <v>2084</v>
      </c>
      <c r="F204" t="s">
        <v>1128</v>
      </c>
      <c r="G204" t="s">
        <v>207</v>
      </c>
      <c r="H204" t="s">
        <v>95</v>
      </c>
      <c r="I204" t="s">
        <v>961</v>
      </c>
      <c r="L204" t="s">
        <v>532</v>
      </c>
      <c r="M204" t="s">
        <v>533</v>
      </c>
      <c r="N204">
        <v>209</v>
      </c>
      <c r="W204" t="b">
        <v>0</v>
      </c>
      <c r="X204" t="s">
        <v>1685</v>
      </c>
      <c r="Y204" t="s">
        <v>2085</v>
      </c>
    </row>
    <row r="205" spans="2:25" hidden="1" x14ac:dyDescent="0.25">
      <c r="B205" t="s">
        <v>1130</v>
      </c>
      <c r="C205" t="s">
        <v>960</v>
      </c>
      <c r="D205" t="s">
        <v>1683</v>
      </c>
      <c r="E205" t="s">
        <v>2086</v>
      </c>
      <c r="F205" t="s">
        <v>1130</v>
      </c>
      <c r="G205" t="s">
        <v>207</v>
      </c>
      <c r="H205" t="s">
        <v>95</v>
      </c>
      <c r="I205" t="s">
        <v>961</v>
      </c>
      <c r="L205" t="s">
        <v>532</v>
      </c>
      <c r="M205" t="s">
        <v>533</v>
      </c>
      <c r="N205">
        <v>210</v>
      </c>
      <c r="W205" t="b">
        <v>0</v>
      </c>
      <c r="X205" t="s">
        <v>1685</v>
      </c>
      <c r="Y205" t="s">
        <v>2087</v>
      </c>
    </row>
    <row r="206" spans="2:25" hidden="1" x14ac:dyDescent="0.25">
      <c r="B206" t="s">
        <v>1565</v>
      </c>
      <c r="C206" t="s">
        <v>960</v>
      </c>
      <c r="D206" t="s">
        <v>1683</v>
      </c>
      <c r="E206" t="s">
        <v>2088</v>
      </c>
      <c r="F206" t="s">
        <v>1565</v>
      </c>
      <c r="G206" t="s">
        <v>207</v>
      </c>
      <c r="H206" t="s">
        <v>94</v>
      </c>
      <c r="I206" t="s">
        <v>961</v>
      </c>
      <c r="L206" t="s">
        <v>532</v>
      </c>
      <c r="M206" t="s">
        <v>533</v>
      </c>
      <c r="N206">
        <v>211</v>
      </c>
      <c r="W206" t="b">
        <v>0</v>
      </c>
      <c r="X206" t="s">
        <v>1685</v>
      </c>
      <c r="Y206" t="s">
        <v>2089</v>
      </c>
    </row>
    <row r="207" spans="2:25" hidden="1" x14ac:dyDescent="0.25">
      <c r="B207" t="s">
        <v>1384</v>
      </c>
      <c r="C207" t="s">
        <v>960</v>
      </c>
      <c r="D207" t="s">
        <v>1683</v>
      </c>
      <c r="E207" t="s">
        <v>2090</v>
      </c>
      <c r="F207" t="s">
        <v>1384</v>
      </c>
      <c r="G207" t="s">
        <v>207</v>
      </c>
      <c r="H207" t="s">
        <v>95</v>
      </c>
      <c r="I207" t="s">
        <v>961</v>
      </c>
      <c r="L207" t="s">
        <v>532</v>
      </c>
      <c r="M207" t="s">
        <v>533</v>
      </c>
      <c r="N207">
        <v>212</v>
      </c>
      <c r="W207" t="b">
        <v>0</v>
      </c>
      <c r="X207" t="s">
        <v>1685</v>
      </c>
      <c r="Y207" t="s">
        <v>2091</v>
      </c>
    </row>
    <row r="208" spans="2:25" hidden="1" x14ac:dyDescent="0.25">
      <c r="B208" t="s">
        <v>1659</v>
      </c>
      <c r="C208" t="s">
        <v>960</v>
      </c>
      <c r="D208" t="s">
        <v>1683</v>
      </c>
      <c r="E208" t="s">
        <v>2092</v>
      </c>
      <c r="F208" t="s">
        <v>1659</v>
      </c>
      <c r="G208" t="s">
        <v>23</v>
      </c>
      <c r="H208" t="s">
        <v>95</v>
      </c>
      <c r="I208" t="s">
        <v>961</v>
      </c>
      <c r="L208" t="s">
        <v>532</v>
      </c>
      <c r="M208" t="s">
        <v>533</v>
      </c>
      <c r="N208">
        <v>213</v>
      </c>
      <c r="W208" t="b">
        <v>0</v>
      </c>
      <c r="X208" t="s">
        <v>1685</v>
      </c>
      <c r="Y208" t="s">
        <v>2093</v>
      </c>
    </row>
    <row r="209" spans="2:25" hidden="1" x14ac:dyDescent="0.25">
      <c r="B209" t="s">
        <v>1661</v>
      </c>
      <c r="C209" t="s">
        <v>960</v>
      </c>
      <c r="D209" t="s">
        <v>1683</v>
      </c>
      <c r="E209" t="s">
        <v>2094</v>
      </c>
      <c r="F209" t="s">
        <v>1661</v>
      </c>
      <c r="G209" t="s">
        <v>23</v>
      </c>
      <c r="H209" t="s">
        <v>95</v>
      </c>
      <c r="I209" t="s">
        <v>961</v>
      </c>
      <c r="L209" t="s">
        <v>532</v>
      </c>
      <c r="M209" t="s">
        <v>533</v>
      </c>
      <c r="N209">
        <v>214</v>
      </c>
      <c r="W209" t="b">
        <v>0</v>
      </c>
      <c r="X209" t="s">
        <v>1685</v>
      </c>
      <c r="Y209" t="s">
        <v>2095</v>
      </c>
    </row>
    <row r="210" spans="2:25" hidden="1" x14ac:dyDescent="0.25">
      <c r="B210" t="s">
        <v>1663</v>
      </c>
      <c r="C210" t="s">
        <v>960</v>
      </c>
      <c r="D210" t="s">
        <v>1683</v>
      </c>
      <c r="E210" t="s">
        <v>2096</v>
      </c>
      <c r="F210" t="s">
        <v>1663</v>
      </c>
      <c r="G210" t="s">
        <v>23</v>
      </c>
      <c r="H210" t="s">
        <v>95</v>
      </c>
      <c r="I210" t="s">
        <v>961</v>
      </c>
      <c r="L210" t="s">
        <v>532</v>
      </c>
      <c r="M210" t="s">
        <v>533</v>
      </c>
      <c r="N210">
        <v>215</v>
      </c>
      <c r="W210" t="b">
        <v>0</v>
      </c>
      <c r="X210" t="s">
        <v>1685</v>
      </c>
      <c r="Y210" t="s">
        <v>2097</v>
      </c>
    </row>
    <row r="211" spans="2:25" hidden="1" x14ac:dyDescent="0.25">
      <c r="B211" t="s">
        <v>1552</v>
      </c>
      <c r="C211" t="s">
        <v>960</v>
      </c>
      <c r="D211" t="s">
        <v>1683</v>
      </c>
      <c r="E211" t="s">
        <v>2098</v>
      </c>
      <c r="F211" t="s">
        <v>1552</v>
      </c>
      <c r="G211" t="s">
        <v>23</v>
      </c>
      <c r="H211" t="s">
        <v>615</v>
      </c>
      <c r="I211" t="s">
        <v>961</v>
      </c>
      <c r="L211" t="s">
        <v>532</v>
      </c>
      <c r="M211" t="s">
        <v>533</v>
      </c>
      <c r="N211">
        <v>216</v>
      </c>
      <c r="W211" t="b">
        <v>0</v>
      </c>
      <c r="X211" t="s">
        <v>1685</v>
      </c>
      <c r="Y211" t="s">
        <v>2099</v>
      </c>
    </row>
    <row r="212" spans="2:25" hidden="1" x14ac:dyDescent="0.25">
      <c r="B212" t="s">
        <v>1544</v>
      </c>
      <c r="C212" t="s">
        <v>960</v>
      </c>
      <c r="D212" t="s">
        <v>1683</v>
      </c>
      <c r="E212" t="s">
        <v>2100</v>
      </c>
      <c r="F212" t="s">
        <v>1544</v>
      </c>
      <c r="G212" t="s">
        <v>207</v>
      </c>
      <c r="H212" t="s">
        <v>94</v>
      </c>
      <c r="I212" t="s">
        <v>961</v>
      </c>
      <c r="L212" t="s">
        <v>532</v>
      </c>
      <c r="M212" t="s">
        <v>533</v>
      </c>
      <c r="N212">
        <v>217</v>
      </c>
      <c r="W212" t="b">
        <v>0</v>
      </c>
      <c r="X212" t="s">
        <v>1685</v>
      </c>
      <c r="Y212" t="s">
        <v>2101</v>
      </c>
    </row>
    <row r="213" spans="2:25" hidden="1" x14ac:dyDescent="0.25">
      <c r="B213" t="s">
        <v>1132</v>
      </c>
      <c r="C213" t="s">
        <v>960</v>
      </c>
      <c r="D213" t="s">
        <v>1683</v>
      </c>
      <c r="E213" t="s">
        <v>2102</v>
      </c>
      <c r="F213" t="s">
        <v>1132</v>
      </c>
      <c r="G213" t="s">
        <v>207</v>
      </c>
      <c r="H213" t="s">
        <v>95</v>
      </c>
      <c r="I213" t="s">
        <v>961</v>
      </c>
      <c r="L213" t="s">
        <v>532</v>
      </c>
      <c r="M213" t="s">
        <v>533</v>
      </c>
      <c r="N213">
        <v>218</v>
      </c>
      <c r="W213" t="b">
        <v>0</v>
      </c>
      <c r="X213" t="s">
        <v>1685</v>
      </c>
      <c r="Y213" t="s">
        <v>2103</v>
      </c>
    </row>
    <row r="214" spans="2:25" hidden="1" x14ac:dyDescent="0.25">
      <c r="B214" t="s">
        <v>1326</v>
      </c>
      <c r="C214" t="s">
        <v>960</v>
      </c>
      <c r="D214" t="s">
        <v>1683</v>
      </c>
      <c r="E214" t="s">
        <v>2104</v>
      </c>
      <c r="F214" t="s">
        <v>1326</v>
      </c>
      <c r="G214" t="s">
        <v>207</v>
      </c>
      <c r="H214" t="s">
        <v>579</v>
      </c>
      <c r="I214" t="s">
        <v>961</v>
      </c>
      <c r="L214" t="s">
        <v>532</v>
      </c>
      <c r="M214" t="s">
        <v>533</v>
      </c>
      <c r="N214">
        <v>219</v>
      </c>
      <c r="W214" t="b">
        <v>0</v>
      </c>
      <c r="X214" t="s">
        <v>1685</v>
      </c>
      <c r="Y214" t="s">
        <v>2105</v>
      </c>
    </row>
    <row r="215" spans="2:25" hidden="1" x14ac:dyDescent="0.25">
      <c r="B215" t="s">
        <v>1358</v>
      </c>
      <c r="C215" t="s">
        <v>960</v>
      </c>
      <c r="D215" t="s">
        <v>1683</v>
      </c>
      <c r="E215" t="s">
        <v>2106</v>
      </c>
      <c r="F215" t="s">
        <v>1358</v>
      </c>
      <c r="G215" t="s">
        <v>207</v>
      </c>
      <c r="H215" t="s">
        <v>931</v>
      </c>
      <c r="I215" t="s">
        <v>961</v>
      </c>
      <c r="L215" t="s">
        <v>532</v>
      </c>
      <c r="M215" t="s">
        <v>533</v>
      </c>
      <c r="N215">
        <v>220</v>
      </c>
      <c r="W215" t="b">
        <v>0</v>
      </c>
      <c r="X215" t="s">
        <v>1685</v>
      </c>
      <c r="Y215" t="s">
        <v>2107</v>
      </c>
    </row>
    <row r="216" spans="2:25" hidden="1" x14ac:dyDescent="0.25">
      <c r="B216" t="s">
        <v>1354</v>
      </c>
      <c r="C216" t="s">
        <v>960</v>
      </c>
      <c r="D216" t="s">
        <v>1683</v>
      </c>
      <c r="E216" t="s">
        <v>2108</v>
      </c>
      <c r="F216" t="s">
        <v>1354</v>
      </c>
      <c r="G216" t="s">
        <v>207</v>
      </c>
      <c r="H216" t="s">
        <v>931</v>
      </c>
      <c r="I216" t="s">
        <v>961</v>
      </c>
      <c r="L216" t="s">
        <v>532</v>
      </c>
      <c r="M216" t="s">
        <v>533</v>
      </c>
      <c r="N216">
        <v>221</v>
      </c>
      <c r="W216" t="b">
        <v>0</v>
      </c>
      <c r="X216" t="s">
        <v>1685</v>
      </c>
      <c r="Y216" t="s">
        <v>2109</v>
      </c>
    </row>
    <row r="217" spans="2:25" hidden="1" x14ac:dyDescent="0.25">
      <c r="B217" t="s">
        <v>1180</v>
      </c>
      <c r="C217" t="s">
        <v>960</v>
      </c>
      <c r="D217" t="s">
        <v>1683</v>
      </c>
      <c r="E217" t="s">
        <v>2110</v>
      </c>
      <c r="F217" t="s">
        <v>1180</v>
      </c>
      <c r="G217" t="s">
        <v>207</v>
      </c>
      <c r="H217" t="s">
        <v>905</v>
      </c>
      <c r="I217" t="s">
        <v>961</v>
      </c>
      <c r="L217" t="s">
        <v>532</v>
      </c>
      <c r="M217" t="s">
        <v>533</v>
      </c>
      <c r="N217">
        <v>222</v>
      </c>
      <c r="W217" t="b">
        <v>0</v>
      </c>
      <c r="X217" t="s">
        <v>1685</v>
      </c>
      <c r="Y217" t="s">
        <v>2111</v>
      </c>
    </row>
    <row r="218" spans="2:25" hidden="1" x14ac:dyDescent="0.25">
      <c r="B218" t="s">
        <v>1106</v>
      </c>
      <c r="C218" t="s">
        <v>960</v>
      </c>
      <c r="D218" t="s">
        <v>1683</v>
      </c>
      <c r="E218" t="s">
        <v>2112</v>
      </c>
      <c r="F218" t="s">
        <v>1106</v>
      </c>
      <c r="G218" t="s">
        <v>207</v>
      </c>
      <c r="H218" t="s">
        <v>927</v>
      </c>
      <c r="I218" t="s">
        <v>961</v>
      </c>
      <c r="L218" t="s">
        <v>532</v>
      </c>
      <c r="M218" t="s">
        <v>533</v>
      </c>
      <c r="N218">
        <v>223</v>
      </c>
      <c r="W218" t="b">
        <v>0</v>
      </c>
      <c r="X218" t="s">
        <v>1685</v>
      </c>
      <c r="Y218" t="s">
        <v>2113</v>
      </c>
    </row>
    <row r="219" spans="2:25" hidden="1" x14ac:dyDescent="0.25">
      <c r="B219" t="s">
        <v>1300</v>
      </c>
      <c r="C219" t="s">
        <v>960</v>
      </c>
      <c r="D219" t="s">
        <v>1683</v>
      </c>
      <c r="E219" t="s">
        <v>2114</v>
      </c>
      <c r="F219" t="s">
        <v>1300</v>
      </c>
      <c r="G219" t="s">
        <v>207</v>
      </c>
      <c r="H219" t="s">
        <v>931</v>
      </c>
      <c r="I219" t="s">
        <v>961</v>
      </c>
      <c r="L219" t="s">
        <v>532</v>
      </c>
      <c r="M219" t="s">
        <v>533</v>
      </c>
      <c r="N219">
        <v>224</v>
      </c>
      <c r="W219" t="b">
        <v>0</v>
      </c>
      <c r="X219" t="s">
        <v>1685</v>
      </c>
      <c r="Y219" t="s">
        <v>2115</v>
      </c>
    </row>
    <row r="220" spans="2:25" hidden="1" x14ac:dyDescent="0.25">
      <c r="B220" t="s">
        <v>1350</v>
      </c>
      <c r="C220" t="s">
        <v>960</v>
      </c>
      <c r="D220" t="s">
        <v>1683</v>
      </c>
      <c r="E220" t="s">
        <v>2116</v>
      </c>
      <c r="F220" t="s">
        <v>1350</v>
      </c>
      <c r="G220" t="s">
        <v>207</v>
      </c>
      <c r="H220" t="s">
        <v>905</v>
      </c>
      <c r="I220" t="s">
        <v>961</v>
      </c>
      <c r="L220" t="s">
        <v>532</v>
      </c>
      <c r="M220" t="s">
        <v>533</v>
      </c>
      <c r="N220">
        <v>225</v>
      </c>
      <c r="W220" t="b">
        <v>0</v>
      </c>
      <c r="X220" t="s">
        <v>1685</v>
      </c>
      <c r="Y220" t="s">
        <v>2117</v>
      </c>
    </row>
    <row r="221" spans="2:25" hidden="1" x14ac:dyDescent="0.25">
      <c r="B221" t="s">
        <v>1278</v>
      </c>
      <c r="C221" t="s">
        <v>960</v>
      </c>
      <c r="D221" t="s">
        <v>1683</v>
      </c>
      <c r="E221" t="s">
        <v>2118</v>
      </c>
      <c r="F221" t="s">
        <v>1278</v>
      </c>
      <c r="G221" t="s">
        <v>207</v>
      </c>
      <c r="H221" t="s">
        <v>95</v>
      </c>
      <c r="I221" t="s">
        <v>961</v>
      </c>
      <c r="L221" t="s">
        <v>532</v>
      </c>
      <c r="M221" t="s">
        <v>533</v>
      </c>
      <c r="N221">
        <v>226</v>
      </c>
      <c r="W221" t="b">
        <v>0</v>
      </c>
      <c r="X221" t="s">
        <v>1685</v>
      </c>
      <c r="Y221" t="s">
        <v>2119</v>
      </c>
    </row>
    <row r="222" spans="2:25" hidden="1" x14ac:dyDescent="0.25">
      <c r="B222" t="s">
        <v>1280</v>
      </c>
      <c r="C222" t="s">
        <v>960</v>
      </c>
      <c r="D222" t="s">
        <v>1683</v>
      </c>
      <c r="E222" t="s">
        <v>2120</v>
      </c>
      <c r="F222" t="s">
        <v>1280</v>
      </c>
      <c r="G222" t="s">
        <v>207</v>
      </c>
      <c r="H222" t="s">
        <v>95</v>
      </c>
      <c r="I222" t="s">
        <v>961</v>
      </c>
      <c r="L222" t="s">
        <v>532</v>
      </c>
      <c r="M222" t="s">
        <v>533</v>
      </c>
      <c r="N222">
        <v>227</v>
      </c>
      <c r="W222" t="b">
        <v>0</v>
      </c>
      <c r="X222" t="s">
        <v>1685</v>
      </c>
      <c r="Y222" t="s">
        <v>2121</v>
      </c>
    </row>
    <row r="223" spans="2:25" hidden="1" x14ac:dyDescent="0.25">
      <c r="B223" t="s">
        <v>503</v>
      </c>
      <c r="C223" t="s">
        <v>960</v>
      </c>
      <c r="D223" t="s">
        <v>1683</v>
      </c>
      <c r="E223" t="s">
        <v>510</v>
      </c>
      <c r="F223" t="s">
        <v>503</v>
      </c>
      <c r="G223" t="s">
        <v>23</v>
      </c>
      <c r="H223" t="s">
        <v>94</v>
      </c>
      <c r="I223" t="s">
        <v>961</v>
      </c>
      <c r="L223" t="s">
        <v>532</v>
      </c>
      <c r="M223" t="s">
        <v>533</v>
      </c>
      <c r="N223">
        <v>228</v>
      </c>
      <c r="W223" t="b">
        <v>0</v>
      </c>
      <c r="X223" t="s">
        <v>1685</v>
      </c>
      <c r="Y223" t="s">
        <v>2122</v>
      </c>
    </row>
    <row r="224" spans="2:25" hidden="1" x14ac:dyDescent="0.25">
      <c r="B224" t="s">
        <v>1641</v>
      </c>
      <c r="C224" t="s">
        <v>960</v>
      </c>
      <c r="D224" t="s">
        <v>1683</v>
      </c>
      <c r="E224" t="s">
        <v>2123</v>
      </c>
      <c r="F224" t="s">
        <v>1641</v>
      </c>
      <c r="G224" t="s">
        <v>23</v>
      </c>
      <c r="H224" t="s">
        <v>240</v>
      </c>
      <c r="I224" t="s">
        <v>961</v>
      </c>
      <c r="L224" t="s">
        <v>532</v>
      </c>
      <c r="M224" t="s">
        <v>533</v>
      </c>
      <c r="N224">
        <v>229</v>
      </c>
      <c r="W224" t="b">
        <v>0</v>
      </c>
      <c r="X224" t="s">
        <v>1685</v>
      </c>
      <c r="Y224" t="s">
        <v>2124</v>
      </c>
    </row>
    <row r="225" spans="2:25" hidden="1" x14ac:dyDescent="0.25">
      <c r="B225" t="s">
        <v>1438</v>
      </c>
      <c r="C225" t="s">
        <v>960</v>
      </c>
      <c r="D225" t="s">
        <v>1683</v>
      </c>
      <c r="E225" t="s">
        <v>2125</v>
      </c>
      <c r="F225" t="s">
        <v>1438</v>
      </c>
      <c r="G225" t="s">
        <v>207</v>
      </c>
      <c r="H225" t="s">
        <v>822</v>
      </c>
      <c r="I225" t="s">
        <v>961</v>
      </c>
      <c r="L225" t="s">
        <v>532</v>
      </c>
      <c r="M225" t="s">
        <v>533</v>
      </c>
      <c r="N225">
        <v>230</v>
      </c>
      <c r="W225" t="b">
        <v>0</v>
      </c>
      <c r="X225" t="s">
        <v>1685</v>
      </c>
      <c r="Y225" t="s">
        <v>2126</v>
      </c>
    </row>
    <row r="226" spans="2:25" hidden="1" x14ac:dyDescent="0.25">
      <c r="B226" t="s">
        <v>990</v>
      </c>
      <c r="C226" t="s">
        <v>960</v>
      </c>
      <c r="D226" t="s">
        <v>1683</v>
      </c>
      <c r="E226" t="s">
        <v>2127</v>
      </c>
      <c r="F226" t="s">
        <v>990</v>
      </c>
      <c r="G226" t="s">
        <v>23</v>
      </c>
      <c r="H226" t="s">
        <v>905</v>
      </c>
      <c r="I226" t="s">
        <v>961</v>
      </c>
      <c r="L226" t="s">
        <v>532</v>
      </c>
      <c r="M226" t="s">
        <v>533</v>
      </c>
      <c r="N226">
        <v>231</v>
      </c>
      <c r="W226" t="b">
        <v>0</v>
      </c>
      <c r="X226" t="s">
        <v>1685</v>
      </c>
      <c r="Y226" t="s">
        <v>2128</v>
      </c>
    </row>
    <row r="227" spans="2:25" hidden="1" x14ac:dyDescent="0.25">
      <c r="B227" t="s">
        <v>1378</v>
      </c>
      <c r="C227" t="s">
        <v>960</v>
      </c>
      <c r="D227" t="s">
        <v>1683</v>
      </c>
      <c r="E227" t="s">
        <v>2129</v>
      </c>
      <c r="F227" t="s">
        <v>1378</v>
      </c>
      <c r="G227" t="s">
        <v>207</v>
      </c>
      <c r="H227" t="s">
        <v>531</v>
      </c>
      <c r="I227" t="s">
        <v>961</v>
      </c>
      <c r="L227" t="s">
        <v>532</v>
      </c>
      <c r="M227" t="s">
        <v>533</v>
      </c>
      <c r="N227">
        <v>232</v>
      </c>
      <c r="W227" t="b">
        <v>0</v>
      </c>
      <c r="X227" t="s">
        <v>1685</v>
      </c>
      <c r="Y227" t="s">
        <v>2130</v>
      </c>
    </row>
    <row r="228" spans="2:25" hidden="1" x14ac:dyDescent="0.25">
      <c r="B228" t="s">
        <v>1550</v>
      </c>
      <c r="C228" t="s">
        <v>960</v>
      </c>
      <c r="D228" t="s">
        <v>1683</v>
      </c>
      <c r="E228" t="s">
        <v>2131</v>
      </c>
      <c r="F228" t="s">
        <v>1550</v>
      </c>
      <c r="G228" t="s">
        <v>23</v>
      </c>
      <c r="H228" t="s">
        <v>95</v>
      </c>
      <c r="I228" t="s">
        <v>961</v>
      </c>
      <c r="L228" t="s">
        <v>532</v>
      </c>
      <c r="M228" t="s">
        <v>533</v>
      </c>
      <c r="N228">
        <v>233</v>
      </c>
      <c r="W228" t="b">
        <v>0</v>
      </c>
      <c r="X228" t="s">
        <v>1685</v>
      </c>
      <c r="Y228" t="s">
        <v>2132</v>
      </c>
    </row>
    <row r="229" spans="2:25" hidden="1" x14ac:dyDescent="0.25">
      <c r="B229" t="s">
        <v>1432</v>
      </c>
      <c r="C229" t="s">
        <v>960</v>
      </c>
      <c r="D229" t="s">
        <v>1683</v>
      </c>
      <c r="E229" t="s">
        <v>2133</v>
      </c>
      <c r="F229" t="s">
        <v>1432</v>
      </c>
      <c r="G229" t="s">
        <v>207</v>
      </c>
      <c r="H229" t="s">
        <v>95</v>
      </c>
      <c r="I229" t="s">
        <v>961</v>
      </c>
      <c r="L229" t="s">
        <v>532</v>
      </c>
      <c r="M229" t="s">
        <v>533</v>
      </c>
      <c r="N229">
        <v>234</v>
      </c>
      <c r="W229" t="b">
        <v>0</v>
      </c>
      <c r="X229" t="s">
        <v>1685</v>
      </c>
      <c r="Y229" t="s">
        <v>2134</v>
      </c>
    </row>
    <row r="230" spans="2:25" hidden="1" x14ac:dyDescent="0.25">
      <c r="B230" t="s">
        <v>1434</v>
      </c>
      <c r="C230" t="s">
        <v>960</v>
      </c>
      <c r="D230" t="s">
        <v>1683</v>
      </c>
      <c r="E230" t="s">
        <v>2135</v>
      </c>
      <c r="F230" t="s">
        <v>1434</v>
      </c>
      <c r="G230" t="s">
        <v>207</v>
      </c>
      <c r="H230" t="s">
        <v>95</v>
      </c>
      <c r="I230" t="s">
        <v>961</v>
      </c>
      <c r="L230" t="s">
        <v>532</v>
      </c>
      <c r="M230" t="s">
        <v>533</v>
      </c>
      <c r="N230">
        <v>235</v>
      </c>
      <c r="W230" t="b">
        <v>0</v>
      </c>
      <c r="X230" t="s">
        <v>1685</v>
      </c>
      <c r="Y230" t="s">
        <v>2136</v>
      </c>
    </row>
    <row r="231" spans="2:25" hidden="1" x14ac:dyDescent="0.25">
      <c r="B231" t="s">
        <v>975</v>
      </c>
      <c r="C231" t="s">
        <v>960</v>
      </c>
      <c r="D231" t="s">
        <v>1683</v>
      </c>
      <c r="E231" t="s">
        <v>2137</v>
      </c>
      <c r="F231" t="s">
        <v>975</v>
      </c>
      <c r="G231" t="s">
        <v>23</v>
      </c>
      <c r="H231" t="s">
        <v>239</v>
      </c>
      <c r="I231" t="s">
        <v>961</v>
      </c>
      <c r="L231" t="s">
        <v>532</v>
      </c>
      <c r="M231" t="s">
        <v>533</v>
      </c>
      <c r="N231">
        <v>236</v>
      </c>
      <c r="W231" t="b">
        <v>0</v>
      </c>
      <c r="X231" t="s">
        <v>1685</v>
      </c>
      <c r="Y231" t="s">
        <v>2138</v>
      </c>
    </row>
    <row r="232" spans="2:25" hidden="1" x14ac:dyDescent="0.25">
      <c r="B232" t="s">
        <v>1126</v>
      </c>
      <c r="C232" t="s">
        <v>960</v>
      </c>
      <c r="D232" t="s">
        <v>1683</v>
      </c>
      <c r="E232" t="s">
        <v>2139</v>
      </c>
      <c r="F232" t="s">
        <v>1126</v>
      </c>
      <c r="G232" t="s">
        <v>207</v>
      </c>
      <c r="H232" t="s">
        <v>927</v>
      </c>
      <c r="I232" t="s">
        <v>961</v>
      </c>
      <c r="L232" t="s">
        <v>532</v>
      </c>
      <c r="M232" t="s">
        <v>533</v>
      </c>
      <c r="N232">
        <v>237</v>
      </c>
      <c r="W232" t="b">
        <v>0</v>
      </c>
      <c r="X232" t="s">
        <v>1685</v>
      </c>
      <c r="Y232" t="s">
        <v>2140</v>
      </c>
    </row>
    <row r="233" spans="2:25" hidden="1" x14ac:dyDescent="0.25">
      <c r="B233" t="s">
        <v>1122</v>
      </c>
      <c r="C233" t="s">
        <v>960</v>
      </c>
      <c r="D233" t="s">
        <v>1683</v>
      </c>
      <c r="E233" t="s">
        <v>2141</v>
      </c>
      <c r="F233" t="s">
        <v>1122</v>
      </c>
      <c r="G233" t="s">
        <v>207</v>
      </c>
      <c r="H233" t="s">
        <v>927</v>
      </c>
      <c r="I233" t="s">
        <v>961</v>
      </c>
      <c r="L233" t="s">
        <v>532</v>
      </c>
      <c r="M233" t="s">
        <v>533</v>
      </c>
      <c r="N233">
        <v>238</v>
      </c>
      <c r="W233" t="b">
        <v>0</v>
      </c>
      <c r="X233" t="s">
        <v>1685</v>
      </c>
      <c r="Y233" t="s">
        <v>2142</v>
      </c>
    </row>
    <row r="234" spans="2:25" hidden="1" x14ac:dyDescent="0.25">
      <c r="B234" t="s">
        <v>1623</v>
      </c>
      <c r="C234" t="s">
        <v>960</v>
      </c>
      <c r="D234" t="s">
        <v>1683</v>
      </c>
      <c r="E234" t="s">
        <v>2143</v>
      </c>
      <c r="F234" t="s">
        <v>1623</v>
      </c>
      <c r="G234" t="s">
        <v>207</v>
      </c>
      <c r="H234" t="s">
        <v>531</v>
      </c>
      <c r="I234" t="s">
        <v>961</v>
      </c>
      <c r="L234" t="s">
        <v>532</v>
      </c>
      <c r="M234" t="s">
        <v>533</v>
      </c>
      <c r="N234">
        <v>239</v>
      </c>
      <c r="W234" t="b">
        <v>0</v>
      </c>
      <c r="X234" t="s">
        <v>1685</v>
      </c>
      <c r="Y234" t="s">
        <v>2144</v>
      </c>
    </row>
    <row r="235" spans="2:25" hidden="1" x14ac:dyDescent="0.25">
      <c r="B235" t="s">
        <v>1097</v>
      </c>
      <c r="C235" t="s">
        <v>960</v>
      </c>
      <c r="D235" t="s">
        <v>1683</v>
      </c>
      <c r="E235" t="s">
        <v>2145</v>
      </c>
      <c r="F235" t="s">
        <v>1097</v>
      </c>
      <c r="G235" t="s">
        <v>23</v>
      </c>
      <c r="H235" t="s">
        <v>531</v>
      </c>
      <c r="I235" t="s">
        <v>961</v>
      </c>
      <c r="L235" t="s">
        <v>532</v>
      </c>
      <c r="M235" t="s">
        <v>533</v>
      </c>
      <c r="N235">
        <v>240</v>
      </c>
      <c r="W235" t="b">
        <v>0</v>
      </c>
      <c r="X235" t="s">
        <v>1685</v>
      </c>
      <c r="Y235" t="s">
        <v>2146</v>
      </c>
    </row>
    <row r="236" spans="2:25" hidden="1" x14ac:dyDescent="0.25">
      <c r="B236" t="s">
        <v>1099</v>
      </c>
      <c r="C236" t="s">
        <v>960</v>
      </c>
      <c r="D236" t="s">
        <v>1683</v>
      </c>
      <c r="E236" t="s">
        <v>2147</v>
      </c>
      <c r="F236" t="s">
        <v>1099</v>
      </c>
      <c r="G236" t="s">
        <v>23</v>
      </c>
      <c r="H236" t="s">
        <v>531</v>
      </c>
      <c r="I236" t="s">
        <v>961</v>
      </c>
      <c r="L236" t="s">
        <v>532</v>
      </c>
      <c r="M236" t="s">
        <v>533</v>
      </c>
      <c r="N236">
        <v>241</v>
      </c>
      <c r="W236" t="b">
        <v>0</v>
      </c>
      <c r="X236" t="s">
        <v>1685</v>
      </c>
      <c r="Y236" t="s">
        <v>2148</v>
      </c>
    </row>
    <row r="237" spans="2:25" hidden="1" x14ac:dyDescent="0.25">
      <c r="B237" t="s">
        <v>1450</v>
      </c>
      <c r="C237" t="s">
        <v>960</v>
      </c>
      <c r="D237" t="s">
        <v>1683</v>
      </c>
      <c r="E237" t="s">
        <v>2149</v>
      </c>
      <c r="F237" t="s">
        <v>1450</v>
      </c>
      <c r="G237" t="s">
        <v>207</v>
      </c>
      <c r="H237" t="s">
        <v>927</v>
      </c>
      <c r="I237" t="s">
        <v>961</v>
      </c>
      <c r="L237" t="s">
        <v>532</v>
      </c>
      <c r="M237" t="s">
        <v>533</v>
      </c>
      <c r="N237">
        <v>242</v>
      </c>
      <c r="W237" t="b">
        <v>0</v>
      </c>
      <c r="X237" t="s">
        <v>1685</v>
      </c>
      <c r="Y237" t="s">
        <v>2150</v>
      </c>
    </row>
    <row r="238" spans="2:25" hidden="1" x14ac:dyDescent="0.25">
      <c r="B238" t="s">
        <v>1268</v>
      </c>
      <c r="C238" t="s">
        <v>960</v>
      </c>
      <c r="D238" t="s">
        <v>1683</v>
      </c>
      <c r="E238" t="s">
        <v>2151</v>
      </c>
      <c r="F238" t="s">
        <v>1268</v>
      </c>
      <c r="G238" t="s">
        <v>207</v>
      </c>
      <c r="H238" t="s">
        <v>822</v>
      </c>
      <c r="I238" t="s">
        <v>961</v>
      </c>
      <c r="L238" t="s">
        <v>532</v>
      </c>
      <c r="M238" t="s">
        <v>533</v>
      </c>
      <c r="N238">
        <v>243</v>
      </c>
      <c r="W238" t="b">
        <v>0</v>
      </c>
      <c r="X238" t="s">
        <v>1685</v>
      </c>
      <c r="Y238" t="s">
        <v>2152</v>
      </c>
    </row>
    <row r="239" spans="2:25" hidden="1" x14ac:dyDescent="0.25">
      <c r="B239" t="s">
        <v>1178</v>
      </c>
      <c r="C239" t="s">
        <v>960</v>
      </c>
      <c r="D239" t="s">
        <v>1683</v>
      </c>
      <c r="E239" t="s">
        <v>2153</v>
      </c>
      <c r="F239" t="s">
        <v>1178</v>
      </c>
      <c r="G239" t="s">
        <v>207</v>
      </c>
      <c r="H239" t="s">
        <v>238</v>
      </c>
      <c r="I239" t="s">
        <v>961</v>
      </c>
      <c r="L239" t="s">
        <v>532</v>
      </c>
      <c r="M239" t="s">
        <v>533</v>
      </c>
      <c r="N239">
        <v>244</v>
      </c>
      <c r="W239" t="b">
        <v>0</v>
      </c>
      <c r="X239" t="s">
        <v>1685</v>
      </c>
      <c r="Y239" t="s">
        <v>2154</v>
      </c>
    </row>
    <row r="240" spans="2:25" hidden="1" x14ac:dyDescent="0.25">
      <c r="B240" t="s">
        <v>1134</v>
      </c>
      <c r="C240" t="s">
        <v>960</v>
      </c>
      <c r="D240" t="s">
        <v>1683</v>
      </c>
      <c r="E240" t="s">
        <v>2155</v>
      </c>
      <c r="F240" t="s">
        <v>1134</v>
      </c>
      <c r="G240" t="s">
        <v>207</v>
      </c>
      <c r="H240" t="s">
        <v>95</v>
      </c>
      <c r="I240" t="s">
        <v>961</v>
      </c>
      <c r="L240" t="s">
        <v>532</v>
      </c>
      <c r="M240" t="s">
        <v>533</v>
      </c>
      <c r="N240">
        <v>245</v>
      </c>
      <c r="W240" t="b">
        <v>0</v>
      </c>
      <c r="X240" t="s">
        <v>1685</v>
      </c>
      <c r="Y240" t="s">
        <v>2156</v>
      </c>
    </row>
    <row r="241" spans="2:25" hidden="1" x14ac:dyDescent="0.25">
      <c r="B241" t="s">
        <v>1136</v>
      </c>
      <c r="C241" t="s">
        <v>960</v>
      </c>
      <c r="D241" t="s">
        <v>1683</v>
      </c>
      <c r="E241" t="s">
        <v>2157</v>
      </c>
      <c r="F241" t="s">
        <v>1136</v>
      </c>
      <c r="G241" t="s">
        <v>207</v>
      </c>
      <c r="H241" t="s">
        <v>95</v>
      </c>
      <c r="I241" t="s">
        <v>961</v>
      </c>
      <c r="L241" t="s">
        <v>532</v>
      </c>
      <c r="M241" t="s">
        <v>533</v>
      </c>
      <c r="N241">
        <v>246</v>
      </c>
      <c r="W241" t="b">
        <v>0</v>
      </c>
      <c r="X241" t="s">
        <v>1685</v>
      </c>
      <c r="Y241" t="s">
        <v>2158</v>
      </c>
    </row>
    <row r="242" spans="2:25" hidden="1" x14ac:dyDescent="0.25">
      <c r="B242" t="s">
        <v>1150</v>
      </c>
      <c r="C242" t="s">
        <v>960</v>
      </c>
      <c r="D242" t="s">
        <v>1683</v>
      </c>
      <c r="E242" t="s">
        <v>2159</v>
      </c>
      <c r="F242" t="s">
        <v>1150</v>
      </c>
      <c r="G242" t="s">
        <v>207</v>
      </c>
      <c r="H242" t="s">
        <v>94</v>
      </c>
      <c r="I242" t="s">
        <v>961</v>
      </c>
      <c r="L242" t="s">
        <v>532</v>
      </c>
      <c r="M242" t="s">
        <v>533</v>
      </c>
      <c r="N242">
        <v>247</v>
      </c>
      <c r="W242" t="b">
        <v>0</v>
      </c>
      <c r="X242" t="s">
        <v>1685</v>
      </c>
      <c r="Y242" t="s">
        <v>2160</v>
      </c>
    </row>
    <row r="243" spans="2:25" hidden="1" x14ac:dyDescent="0.25">
      <c r="B243" t="s">
        <v>1264</v>
      </c>
      <c r="C243" t="s">
        <v>960</v>
      </c>
      <c r="D243" t="s">
        <v>1683</v>
      </c>
      <c r="E243" t="s">
        <v>2161</v>
      </c>
      <c r="F243" t="s">
        <v>1264</v>
      </c>
      <c r="G243" t="s">
        <v>207</v>
      </c>
      <c r="H243" t="s">
        <v>95</v>
      </c>
      <c r="I243" t="s">
        <v>961</v>
      </c>
      <c r="L243" t="s">
        <v>532</v>
      </c>
      <c r="M243" t="s">
        <v>533</v>
      </c>
      <c r="N243">
        <v>248</v>
      </c>
      <c r="W243" t="b">
        <v>0</v>
      </c>
      <c r="X243" t="s">
        <v>1685</v>
      </c>
      <c r="Y243" t="s">
        <v>2162</v>
      </c>
    </row>
    <row r="244" spans="2:25" hidden="1" x14ac:dyDescent="0.25">
      <c r="B244" t="s">
        <v>1160</v>
      </c>
      <c r="C244" t="s">
        <v>960</v>
      </c>
      <c r="D244" t="s">
        <v>1683</v>
      </c>
      <c r="E244" t="s">
        <v>2163</v>
      </c>
      <c r="F244" t="s">
        <v>1160</v>
      </c>
      <c r="G244" t="s">
        <v>207</v>
      </c>
      <c r="H244" t="s">
        <v>94</v>
      </c>
      <c r="I244" t="s">
        <v>961</v>
      </c>
      <c r="L244" t="s">
        <v>532</v>
      </c>
      <c r="M244" t="s">
        <v>533</v>
      </c>
      <c r="N244">
        <v>249</v>
      </c>
      <c r="W244" t="b">
        <v>0</v>
      </c>
      <c r="X244" t="s">
        <v>1685</v>
      </c>
      <c r="Y244" t="s">
        <v>2164</v>
      </c>
    </row>
    <row r="245" spans="2:25" hidden="1" x14ac:dyDescent="0.25">
      <c r="B245" t="s">
        <v>1162</v>
      </c>
      <c r="C245" t="s">
        <v>960</v>
      </c>
      <c r="D245" t="s">
        <v>1683</v>
      </c>
      <c r="E245" t="s">
        <v>2165</v>
      </c>
      <c r="F245" t="s">
        <v>1162</v>
      </c>
      <c r="G245" t="s">
        <v>207</v>
      </c>
      <c r="H245" t="s">
        <v>94</v>
      </c>
      <c r="I245" t="s">
        <v>961</v>
      </c>
      <c r="L245" t="s">
        <v>532</v>
      </c>
      <c r="M245" t="s">
        <v>533</v>
      </c>
      <c r="N245">
        <v>250</v>
      </c>
      <c r="W245" t="b">
        <v>0</v>
      </c>
      <c r="X245" t="s">
        <v>1685</v>
      </c>
      <c r="Y245" t="s">
        <v>2166</v>
      </c>
    </row>
    <row r="246" spans="2:25" hidden="1" x14ac:dyDescent="0.25">
      <c r="B246" t="s">
        <v>1164</v>
      </c>
      <c r="C246" t="s">
        <v>960</v>
      </c>
      <c r="D246" t="s">
        <v>1683</v>
      </c>
      <c r="E246" t="s">
        <v>2167</v>
      </c>
      <c r="F246" t="s">
        <v>1164</v>
      </c>
      <c r="G246" t="s">
        <v>207</v>
      </c>
      <c r="H246" t="s">
        <v>94</v>
      </c>
      <c r="I246" t="s">
        <v>961</v>
      </c>
      <c r="L246" t="s">
        <v>532</v>
      </c>
      <c r="M246" t="s">
        <v>533</v>
      </c>
      <c r="N246">
        <v>251</v>
      </c>
      <c r="W246" t="b">
        <v>0</v>
      </c>
      <c r="X246" t="s">
        <v>1685</v>
      </c>
      <c r="Y246" t="s">
        <v>2168</v>
      </c>
    </row>
    <row r="247" spans="2:25" hidden="1" x14ac:dyDescent="0.25">
      <c r="B247" t="s">
        <v>1246</v>
      </c>
      <c r="C247" t="s">
        <v>960</v>
      </c>
      <c r="D247" t="s">
        <v>1683</v>
      </c>
      <c r="E247" t="s">
        <v>2169</v>
      </c>
      <c r="F247" t="s">
        <v>1246</v>
      </c>
      <c r="G247" t="s">
        <v>207</v>
      </c>
      <c r="H247" t="s">
        <v>240</v>
      </c>
      <c r="I247" t="s">
        <v>961</v>
      </c>
      <c r="L247" t="s">
        <v>532</v>
      </c>
      <c r="M247" t="s">
        <v>533</v>
      </c>
      <c r="N247">
        <v>252</v>
      </c>
      <c r="W247" t="b">
        <v>0</v>
      </c>
      <c r="X247" t="s">
        <v>1685</v>
      </c>
      <c r="Y247" t="s">
        <v>2170</v>
      </c>
    </row>
    <row r="248" spans="2:25" hidden="1" x14ac:dyDescent="0.25">
      <c r="B248" t="s">
        <v>1282</v>
      </c>
      <c r="C248" t="s">
        <v>960</v>
      </c>
      <c r="D248" t="s">
        <v>1683</v>
      </c>
      <c r="E248" t="s">
        <v>2171</v>
      </c>
      <c r="F248" t="s">
        <v>1282</v>
      </c>
      <c r="G248" t="s">
        <v>207</v>
      </c>
      <c r="H248" t="s">
        <v>95</v>
      </c>
      <c r="I248" t="s">
        <v>961</v>
      </c>
      <c r="L248" t="s">
        <v>532</v>
      </c>
      <c r="M248" t="s">
        <v>533</v>
      </c>
      <c r="N248">
        <v>253</v>
      </c>
      <c r="W248" t="b">
        <v>0</v>
      </c>
      <c r="X248" t="s">
        <v>1685</v>
      </c>
      <c r="Y248" t="s">
        <v>2172</v>
      </c>
    </row>
    <row r="249" spans="2:25" hidden="1" x14ac:dyDescent="0.25">
      <c r="B249" t="s">
        <v>1318</v>
      </c>
      <c r="C249" t="s">
        <v>960</v>
      </c>
      <c r="D249" t="s">
        <v>1683</v>
      </c>
      <c r="E249" t="s">
        <v>2173</v>
      </c>
      <c r="F249" t="s">
        <v>1318</v>
      </c>
      <c r="G249" t="s">
        <v>207</v>
      </c>
      <c r="H249" t="s">
        <v>94</v>
      </c>
      <c r="I249" t="s">
        <v>961</v>
      </c>
      <c r="L249" t="s">
        <v>532</v>
      </c>
      <c r="M249" t="s">
        <v>533</v>
      </c>
      <c r="N249">
        <v>254</v>
      </c>
      <c r="W249" t="b">
        <v>0</v>
      </c>
      <c r="X249" t="s">
        <v>1685</v>
      </c>
      <c r="Y249" t="s">
        <v>2174</v>
      </c>
    </row>
    <row r="250" spans="2:25" hidden="1" x14ac:dyDescent="0.25">
      <c r="B250" t="s">
        <v>1320</v>
      </c>
      <c r="C250" t="s">
        <v>960</v>
      </c>
      <c r="D250" t="s">
        <v>1683</v>
      </c>
      <c r="E250" t="s">
        <v>2175</v>
      </c>
      <c r="F250" t="s">
        <v>1320</v>
      </c>
      <c r="G250" t="s">
        <v>207</v>
      </c>
      <c r="H250" t="s">
        <v>94</v>
      </c>
      <c r="I250" t="s">
        <v>961</v>
      </c>
      <c r="L250" t="s">
        <v>532</v>
      </c>
      <c r="M250" t="s">
        <v>533</v>
      </c>
      <c r="N250">
        <v>255</v>
      </c>
      <c r="W250" t="b">
        <v>0</v>
      </c>
      <c r="X250" t="s">
        <v>1685</v>
      </c>
      <c r="Y250" t="s">
        <v>2176</v>
      </c>
    </row>
    <row r="251" spans="2:25" hidden="1" x14ac:dyDescent="0.25">
      <c r="B251" t="s">
        <v>1322</v>
      </c>
      <c r="C251" t="s">
        <v>960</v>
      </c>
      <c r="D251" t="s">
        <v>1683</v>
      </c>
      <c r="E251" t="s">
        <v>2177</v>
      </c>
      <c r="F251" t="s">
        <v>1322</v>
      </c>
      <c r="G251" t="s">
        <v>207</v>
      </c>
      <c r="H251" t="s">
        <v>94</v>
      </c>
      <c r="I251" t="s">
        <v>961</v>
      </c>
      <c r="L251" t="s">
        <v>532</v>
      </c>
      <c r="M251" t="s">
        <v>533</v>
      </c>
      <c r="N251">
        <v>256</v>
      </c>
      <c r="W251" t="b">
        <v>0</v>
      </c>
      <c r="X251" t="s">
        <v>1685</v>
      </c>
      <c r="Y251" t="s">
        <v>2178</v>
      </c>
    </row>
    <row r="252" spans="2:25" hidden="1" x14ac:dyDescent="0.25">
      <c r="B252" t="s">
        <v>1324</v>
      </c>
      <c r="C252" t="s">
        <v>960</v>
      </c>
      <c r="D252" t="s">
        <v>1683</v>
      </c>
      <c r="E252" t="s">
        <v>2179</v>
      </c>
      <c r="F252" t="s">
        <v>1324</v>
      </c>
      <c r="G252" t="s">
        <v>207</v>
      </c>
      <c r="H252" t="s">
        <v>94</v>
      </c>
      <c r="I252" t="s">
        <v>961</v>
      </c>
      <c r="L252" t="s">
        <v>532</v>
      </c>
      <c r="M252" t="s">
        <v>533</v>
      </c>
      <c r="N252">
        <v>257</v>
      </c>
      <c r="W252" t="b">
        <v>0</v>
      </c>
      <c r="X252" t="s">
        <v>1685</v>
      </c>
      <c r="Y252" t="s">
        <v>2180</v>
      </c>
    </row>
    <row r="253" spans="2:25" hidden="1" x14ac:dyDescent="0.25">
      <c r="B253" t="s">
        <v>1242</v>
      </c>
      <c r="C253" t="s">
        <v>960</v>
      </c>
      <c r="D253" t="s">
        <v>1683</v>
      </c>
      <c r="E253" t="s">
        <v>2181</v>
      </c>
      <c r="F253" t="s">
        <v>1242</v>
      </c>
      <c r="G253" t="s">
        <v>207</v>
      </c>
      <c r="H253" t="s">
        <v>240</v>
      </c>
      <c r="I253" t="s">
        <v>961</v>
      </c>
      <c r="L253" t="s">
        <v>532</v>
      </c>
      <c r="M253" t="s">
        <v>533</v>
      </c>
      <c r="N253">
        <v>258</v>
      </c>
      <c r="W253" t="b">
        <v>0</v>
      </c>
      <c r="X253" t="s">
        <v>1685</v>
      </c>
      <c r="Y253" t="s">
        <v>2182</v>
      </c>
    </row>
    <row r="254" spans="2:25" hidden="1" x14ac:dyDescent="0.25">
      <c r="B254" t="s">
        <v>1436</v>
      </c>
      <c r="C254" t="s">
        <v>960</v>
      </c>
      <c r="D254" t="s">
        <v>1683</v>
      </c>
      <c r="E254" t="s">
        <v>2183</v>
      </c>
      <c r="F254" t="s">
        <v>1436</v>
      </c>
      <c r="G254" t="s">
        <v>207</v>
      </c>
      <c r="H254" t="s">
        <v>614</v>
      </c>
      <c r="I254" t="s">
        <v>961</v>
      </c>
      <c r="L254" t="s">
        <v>532</v>
      </c>
      <c r="M254" t="s">
        <v>533</v>
      </c>
      <c r="N254">
        <v>259</v>
      </c>
      <c r="W254" t="b">
        <v>0</v>
      </c>
      <c r="X254" t="s">
        <v>1685</v>
      </c>
      <c r="Y254" t="s">
        <v>2184</v>
      </c>
    </row>
    <row r="255" spans="2:25" hidden="1" x14ac:dyDescent="0.25">
      <c r="B255" t="s">
        <v>1266</v>
      </c>
      <c r="C255" t="s">
        <v>960</v>
      </c>
      <c r="D255" t="s">
        <v>1683</v>
      </c>
      <c r="E255" t="s">
        <v>2185</v>
      </c>
      <c r="F255" t="s">
        <v>1266</v>
      </c>
      <c r="G255" t="s">
        <v>207</v>
      </c>
      <c r="H255" t="s">
        <v>95</v>
      </c>
      <c r="I255" t="s">
        <v>961</v>
      </c>
      <c r="L255" t="s">
        <v>532</v>
      </c>
      <c r="M255" t="s">
        <v>533</v>
      </c>
      <c r="N255">
        <v>260</v>
      </c>
      <c r="W255" t="b">
        <v>0</v>
      </c>
      <c r="X255" t="s">
        <v>1685</v>
      </c>
      <c r="Y255" t="s">
        <v>2186</v>
      </c>
    </row>
    <row r="256" spans="2:25" hidden="1" x14ac:dyDescent="0.25">
      <c r="B256" t="s">
        <v>1400</v>
      </c>
      <c r="C256" t="s">
        <v>960</v>
      </c>
      <c r="D256" t="s">
        <v>1683</v>
      </c>
      <c r="E256" t="s">
        <v>2187</v>
      </c>
      <c r="F256" t="s">
        <v>1400</v>
      </c>
      <c r="G256" t="s">
        <v>207</v>
      </c>
      <c r="H256" t="s">
        <v>240</v>
      </c>
      <c r="I256" t="s">
        <v>961</v>
      </c>
      <c r="L256" t="s">
        <v>532</v>
      </c>
      <c r="M256" t="s">
        <v>533</v>
      </c>
      <c r="N256">
        <v>261</v>
      </c>
      <c r="W256" t="b">
        <v>0</v>
      </c>
      <c r="X256" t="s">
        <v>1685</v>
      </c>
      <c r="Y256" t="s">
        <v>2188</v>
      </c>
    </row>
    <row r="257" spans="2:25" hidden="1" x14ac:dyDescent="0.25">
      <c r="B257" t="s">
        <v>1192</v>
      </c>
      <c r="C257" t="s">
        <v>960</v>
      </c>
      <c r="D257" t="s">
        <v>1683</v>
      </c>
      <c r="E257" t="s">
        <v>2189</v>
      </c>
      <c r="F257" t="s">
        <v>1192</v>
      </c>
      <c r="G257" t="s">
        <v>207</v>
      </c>
      <c r="H257" t="s">
        <v>531</v>
      </c>
      <c r="I257" t="s">
        <v>961</v>
      </c>
      <c r="L257" t="s">
        <v>532</v>
      </c>
      <c r="M257" t="s">
        <v>533</v>
      </c>
      <c r="N257">
        <v>262</v>
      </c>
      <c r="W257" t="b">
        <v>0</v>
      </c>
      <c r="X257" t="s">
        <v>1685</v>
      </c>
      <c r="Y257" t="s">
        <v>2190</v>
      </c>
    </row>
    <row r="258" spans="2:25" hidden="1" x14ac:dyDescent="0.25">
      <c r="B258" t="s">
        <v>1294</v>
      </c>
      <c r="C258" t="s">
        <v>960</v>
      </c>
      <c r="D258" t="s">
        <v>1683</v>
      </c>
      <c r="E258" t="s">
        <v>2191</v>
      </c>
      <c r="F258" t="s">
        <v>1294</v>
      </c>
      <c r="G258" t="s">
        <v>207</v>
      </c>
      <c r="H258" t="s">
        <v>905</v>
      </c>
      <c r="I258" t="s">
        <v>961</v>
      </c>
      <c r="L258" t="s">
        <v>532</v>
      </c>
      <c r="M258" t="s">
        <v>533</v>
      </c>
      <c r="N258">
        <v>263</v>
      </c>
      <c r="W258" t="b">
        <v>0</v>
      </c>
      <c r="X258" t="s">
        <v>1685</v>
      </c>
      <c r="Y258" t="s">
        <v>2192</v>
      </c>
    </row>
    <row r="259" spans="2:25" hidden="1" x14ac:dyDescent="0.25">
      <c r="B259" t="s">
        <v>1184</v>
      </c>
      <c r="C259" t="s">
        <v>960</v>
      </c>
      <c r="D259" t="s">
        <v>1683</v>
      </c>
      <c r="E259" t="s">
        <v>2193</v>
      </c>
      <c r="F259" t="s">
        <v>1184</v>
      </c>
      <c r="G259" t="s">
        <v>207</v>
      </c>
      <c r="H259" t="s">
        <v>897</v>
      </c>
      <c r="I259" t="s">
        <v>961</v>
      </c>
      <c r="L259" t="s">
        <v>532</v>
      </c>
      <c r="M259" t="s">
        <v>533</v>
      </c>
      <c r="N259">
        <v>264</v>
      </c>
      <c r="W259" t="b">
        <v>0</v>
      </c>
      <c r="X259" t="s">
        <v>1685</v>
      </c>
      <c r="Y259" t="s">
        <v>2194</v>
      </c>
    </row>
    <row r="260" spans="2:25" hidden="1" x14ac:dyDescent="0.25">
      <c r="B260" t="s">
        <v>1186</v>
      </c>
      <c r="C260" t="s">
        <v>960</v>
      </c>
      <c r="D260" t="s">
        <v>1683</v>
      </c>
      <c r="E260" t="s">
        <v>2195</v>
      </c>
      <c r="F260" t="s">
        <v>1186</v>
      </c>
      <c r="G260" t="s">
        <v>207</v>
      </c>
      <c r="H260" t="s">
        <v>897</v>
      </c>
      <c r="I260" t="s">
        <v>961</v>
      </c>
      <c r="L260" t="s">
        <v>532</v>
      </c>
      <c r="M260" t="s">
        <v>533</v>
      </c>
      <c r="N260">
        <v>265</v>
      </c>
      <c r="W260" t="b">
        <v>0</v>
      </c>
      <c r="X260" t="s">
        <v>1685</v>
      </c>
      <c r="Y260" t="s">
        <v>2196</v>
      </c>
    </row>
    <row r="261" spans="2:25" hidden="1" x14ac:dyDescent="0.25">
      <c r="B261" t="s">
        <v>1140</v>
      </c>
      <c r="C261" t="s">
        <v>960</v>
      </c>
      <c r="D261" t="s">
        <v>1683</v>
      </c>
      <c r="E261" t="s">
        <v>2197</v>
      </c>
      <c r="F261" t="s">
        <v>1140</v>
      </c>
      <c r="G261" t="s">
        <v>207</v>
      </c>
      <c r="H261" t="s">
        <v>94</v>
      </c>
      <c r="I261" t="s">
        <v>961</v>
      </c>
      <c r="L261" t="s">
        <v>532</v>
      </c>
      <c r="M261" t="s">
        <v>533</v>
      </c>
      <c r="N261">
        <v>266</v>
      </c>
      <c r="W261" t="b">
        <v>0</v>
      </c>
      <c r="X261" t="s">
        <v>1685</v>
      </c>
      <c r="Y261" t="s">
        <v>2198</v>
      </c>
    </row>
    <row r="262" spans="2:25" hidden="1" x14ac:dyDescent="0.25">
      <c r="B262" t="s">
        <v>1142</v>
      </c>
      <c r="C262" t="s">
        <v>960</v>
      </c>
      <c r="D262" t="s">
        <v>1683</v>
      </c>
      <c r="E262" t="s">
        <v>2199</v>
      </c>
      <c r="F262" t="s">
        <v>1142</v>
      </c>
      <c r="G262" t="s">
        <v>207</v>
      </c>
      <c r="H262" t="s">
        <v>94</v>
      </c>
      <c r="I262" t="s">
        <v>961</v>
      </c>
      <c r="L262" t="s">
        <v>532</v>
      </c>
      <c r="M262" t="s">
        <v>533</v>
      </c>
      <c r="N262">
        <v>267</v>
      </c>
      <c r="W262" t="b">
        <v>0</v>
      </c>
      <c r="X262" t="s">
        <v>1685</v>
      </c>
      <c r="Y262" t="s">
        <v>2200</v>
      </c>
    </row>
    <row r="263" spans="2:25" hidden="1" x14ac:dyDescent="0.25">
      <c r="B263" t="s">
        <v>1144</v>
      </c>
      <c r="C263" t="s">
        <v>960</v>
      </c>
      <c r="D263" t="s">
        <v>1683</v>
      </c>
      <c r="E263" t="s">
        <v>2201</v>
      </c>
      <c r="F263" t="s">
        <v>1144</v>
      </c>
      <c r="G263" t="s">
        <v>207</v>
      </c>
      <c r="H263" t="s">
        <v>94</v>
      </c>
      <c r="I263" t="s">
        <v>961</v>
      </c>
      <c r="L263" t="s">
        <v>532</v>
      </c>
      <c r="M263" t="s">
        <v>533</v>
      </c>
      <c r="N263">
        <v>268</v>
      </c>
      <c r="W263" t="b">
        <v>0</v>
      </c>
      <c r="X263" t="s">
        <v>1685</v>
      </c>
      <c r="Y263" t="s">
        <v>2202</v>
      </c>
    </row>
    <row r="264" spans="2:25" hidden="1" x14ac:dyDescent="0.25">
      <c r="B264" t="s">
        <v>1148</v>
      </c>
      <c r="C264" t="s">
        <v>960</v>
      </c>
      <c r="D264" t="s">
        <v>1683</v>
      </c>
      <c r="E264" t="s">
        <v>2203</v>
      </c>
      <c r="F264" t="s">
        <v>1148</v>
      </c>
      <c r="G264" t="s">
        <v>207</v>
      </c>
      <c r="H264" t="s">
        <v>94</v>
      </c>
      <c r="I264" t="s">
        <v>961</v>
      </c>
      <c r="L264" t="s">
        <v>532</v>
      </c>
      <c r="M264" t="s">
        <v>533</v>
      </c>
      <c r="N264">
        <v>269</v>
      </c>
      <c r="W264" t="b">
        <v>0</v>
      </c>
      <c r="X264" t="s">
        <v>1685</v>
      </c>
      <c r="Y264" t="s">
        <v>2204</v>
      </c>
    </row>
    <row r="265" spans="2:25" hidden="1" x14ac:dyDescent="0.25">
      <c r="B265" t="s">
        <v>1154</v>
      </c>
      <c r="C265" t="s">
        <v>960</v>
      </c>
      <c r="D265" t="s">
        <v>1683</v>
      </c>
      <c r="E265" t="s">
        <v>2205</v>
      </c>
      <c r="F265" t="s">
        <v>1154</v>
      </c>
      <c r="G265" t="s">
        <v>207</v>
      </c>
      <c r="H265" t="s">
        <v>531</v>
      </c>
      <c r="I265" t="s">
        <v>961</v>
      </c>
      <c r="L265" t="s">
        <v>532</v>
      </c>
      <c r="M265" t="s">
        <v>533</v>
      </c>
      <c r="N265">
        <v>270</v>
      </c>
      <c r="W265" t="b">
        <v>0</v>
      </c>
      <c r="X265" t="s">
        <v>1685</v>
      </c>
      <c r="Y265" t="s">
        <v>2206</v>
      </c>
    </row>
    <row r="266" spans="2:25" hidden="1" x14ac:dyDescent="0.25">
      <c r="B266" t="s">
        <v>1212</v>
      </c>
      <c r="C266" t="s">
        <v>960</v>
      </c>
      <c r="D266" t="s">
        <v>1683</v>
      </c>
      <c r="E266" t="s">
        <v>2207</v>
      </c>
      <c r="F266" t="s">
        <v>1212</v>
      </c>
      <c r="G266" t="s">
        <v>23</v>
      </c>
      <c r="H266" t="s">
        <v>531</v>
      </c>
      <c r="I266" t="s">
        <v>961</v>
      </c>
      <c r="L266" t="s">
        <v>532</v>
      </c>
      <c r="M266" t="s">
        <v>533</v>
      </c>
      <c r="N266">
        <v>271</v>
      </c>
      <c r="W266" t="b">
        <v>0</v>
      </c>
      <c r="X266" t="s">
        <v>1685</v>
      </c>
      <c r="Y266" t="s">
        <v>2208</v>
      </c>
    </row>
    <row r="267" spans="2:25" hidden="1" x14ac:dyDescent="0.25">
      <c r="B267" t="s">
        <v>1336</v>
      </c>
      <c r="C267" t="s">
        <v>960</v>
      </c>
      <c r="D267" t="s">
        <v>1683</v>
      </c>
      <c r="E267" t="s">
        <v>2209</v>
      </c>
      <c r="F267" t="s">
        <v>1336</v>
      </c>
      <c r="G267" t="s">
        <v>207</v>
      </c>
      <c r="H267" t="s">
        <v>531</v>
      </c>
      <c r="I267" t="s">
        <v>961</v>
      </c>
      <c r="L267" t="s">
        <v>532</v>
      </c>
      <c r="M267" t="s">
        <v>533</v>
      </c>
      <c r="N267">
        <v>272</v>
      </c>
      <c r="W267" t="b">
        <v>0</v>
      </c>
      <c r="X267" t="s">
        <v>1685</v>
      </c>
      <c r="Y267" t="s">
        <v>2210</v>
      </c>
    </row>
    <row r="268" spans="2:25" hidden="1" x14ac:dyDescent="0.25">
      <c r="B268" t="s">
        <v>1254</v>
      </c>
      <c r="C268" t="s">
        <v>960</v>
      </c>
      <c r="D268" t="s">
        <v>1683</v>
      </c>
      <c r="E268" t="s">
        <v>2211</v>
      </c>
      <c r="F268" t="s">
        <v>1254</v>
      </c>
      <c r="G268" t="s">
        <v>207</v>
      </c>
      <c r="H268" t="s">
        <v>531</v>
      </c>
      <c r="I268" t="s">
        <v>961</v>
      </c>
      <c r="L268" t="s">
        <v>532</v>
      </c>
      <c r="M268" t="s">
        <v>533</v>
      </c>
      <c r="N268">
        <v>273</v>
      </c>
      <c r="W268" t="b">
        <v>0</v>
      </c>
      <c r="X268" t="s">
        <v>1685</v>
      </c>
      <c r="Y268" t="s">
        <v>2212</v>
      </c>
    </row>
    <row r="269" spans="2:25" hidden="1" x14ac:dyDescent="0.25">
      <c r="B269" t="s">
        <v>1392</v>
      </c>
      <c r="C269" t="s">
        <v>960</v>
      </c>
      <c r="D269" t="s">
        <v>1683</v>
      </c>
      <c r="E269" t="s">
        <v>2213</v>
      </c>
      <c r="F269" t="s">
        <v>1392</v>
      </c>
      <c r="G269" t="s">
        <v>207</v>
      </c>
      <c r="H269" t="s">
        <v>531</v>
      </c>
      <c r="I269" t="s">
        <v>961</v>
      </c>
      <c r="L269" t="s">
        <v>532</v>
      </c>
      <c r="M269" t="s">
        <v>533</v>
      </c>
      <c r="N269">
        <v>274</v>
      </c>
      <c r="W269" t="b">
        <v>0</v>
      </c>
      <c r="X269" t="s">
        <v>1685</v>
      </c>
      <c r="Y269" t="s">
        <v>2214</v>
      </c>
    </row>
    <row r="270" spans="2:25" hidden="1" x14ac:dyDescent="0.25">
      <c r="B270" t="s">
        <v>1394</v>
      </c>
      <c r="C270" t="s">
        <v>960</v>
      </c>
      <c r="D270" t="s">
        <v>1683</v>
      </c>
      <c r="E270" t="s">
        <v>2215</v>
      </c>
      <c r="F270" t="s">
        <v>1394</v>
      </c>
      <c r="G270" t="s">
        <v>207</v>
      </c>
      <c r="H270" t="s">
        <v>531</v>
      </c>
      <c r="I270" t="s">
        <v>961</v>
      </c>
      <c r="L270" t="s">
        <v>532</v>
      </c>
      <c r="M270" t="s">
        <v>533</v>
      </c>
      <c r="N270">
        <v>275</v>
      </c>
      <c r="W270" t="b">
        <v>0</v>
      </c>
      <c r="X270" t="s">
        <v>1685</v>
      </c>
      <c r="Y270" t="s">
        <v>2216</v>
      </c>
    </row>
    <row r="271" spans="2:25" hidden="1" x14ac:dyDescent="0.25">
      <c r="B271" t="s">
        <v>1314</v>
      </c>
      <c r="C271" t="s">
        <v>960</v>
      </c>
      <c r="D271" t="s">
        <v>1683</v>
      </c>
      <c r="E271" t="s">
        <v>2217</v>
      </c>
      <c r="F271" t="s">
        <v>1314</v>
      </c>
      <c r="G271" t="s">
        <v>207</v>
      </c>
      <c r="H271" t="s">
        <v>905</v>
      </c>
      <c r="I271" t="s">
        <v>961</v>
      </c>
      <c r="L271" t="s">
        <v>532</v>
      </c>
      <c r="M271" t="s">
        <v>533</v>
      </c>
      <c r="N271">
        <v>276</v>
      </c>
      <c r="W271" t="b">
        <v>0</v>
      </c>
      <c r="X271" t="s">
        <v>1685</v>
      </c>
      <c r="Y271" t="s">
        <v>2218</v>
      </c>
    </row>
    <row r="272" spans="2:25" hidden="1" x14ac:dyDescent="0.25">
      <c r="B272" t="s">
        <v>1412</v>
      </c>
      <c r="C272" t="s">
        <v>960</v>
      </c>
      <c r="D272" t="s">
        <v>1683</v>
      </c>
      <c r="E272" t="s">
        <v>2219</v>
      </c>
      <c r="F272" t="s">
        <v>1412</v>
      </c>
      <c r="G272" t="s">
        <v>207</v>
      </c>
      <c r="H272" t="s">
        <v>531</v>
      </c>
      <c r="I272" t="s">
        <v>961</v>
      </c>
      <c r="L272" t="s">
        <v>532</v>
      </c>
      <c r="M272" t="s">
        <v>533</v>
      </c>
      <c r="N272">
        <v>277</v>
      </c>
      <c r="W272" t="b">
        <v>0</v>
      </c>
      <c r="X272" t="s">
        <v>1685</v>
      </c>
      <c r="Y272" t="s">
        <v>2220</v>
      </c>
    </row>
    <row r="273" spans="2:25" hidden="1" x14ac:dyDescent="0.25">
      <c r="B273" t="s">
        <v>1274</v>
      </c>
      <c r="C273" t="s">
        <v>960</v>
      </c>
      <c r="D273" t="s">
        <v>1683</v>
      </c>
      <c r="E273" t="s">
        <v>2221</v>
      </c>
      <c r="F273" t="s">
        <v>1274</v>
      </c>
      <c r="G273" t="s">
        <v>207</v>
      </c>
      <c r="H273" t="s">
        <v>897</v>
      </c>
      <c r="I273" t="s">
        <v>961</v>
      </c>
      <c r="L273" t="s">
        <v>532</v>
      </c>
      <c r="M273" t="s">
        <v>533</v>
      </c>
      <c r="N273">
        <v>278</v>
      </c>
      <c r="W273" t="b">
        <v>0</v>
      </c>
      <c r="X273" t="s">
        <v>1685</v>
      </c>
      <c r="Y273" t="s">
        <v>2222</v>
      </c>
    </row>
    <row r="274" spans="2:25" hidden="1" x14ac:dyDescent="0.25">
      <c r="B274" t="s">
        <v>1328</v>
      </c>
      <c r="C274" t="s">
        <v>960</v>
      </c>
      <c r="D274" t="s">
        <v>1683</v>
      </c>
      <c r="E274" t="s">
        <v>2223</v>
      </c>
      <c r="F274" t="s">
        <v>1328</v>
      </c>
      <c r="G274" t="s">
        <v>207</v>
      </c>
      <c r="H274" t="s">
        <v>579</v>
      </c>
      <c r="I274" t="s">
        <v>961</v>
      </c>
      <c r="L274" t="s">
        <v>532</v>
      </c>
      <c r="M274" t="s">
        <v>533</v>
      </c>
      <c r="N274">
        <v>279</v>
      </c>
      <c r="W274" t="b">
        <v>0</v>
      </c>
      <c r="X274" t="s">
        <v>1685</v>
      </c>
      <c r="Y274" t="s">
        <v>2224</v>
      </c>
    </row>
    <row r="275" spans="2:25" hidden="1" x14ac:dyDescent="0.25">
      <c r="B275" t="s">
        <v>1206</v>
      </c>
      <c r="C275" t="s">
        <v>960</v>
      </c>
      <c r="D275" t="s">
        <v>1683</v>
      </c>
      <c r="E275" t="s">
        <v>2225</v>
      </c>
      <c r="F275" t="s">
        <v>1206</v>
      </c>
      <c r="G275" t="s">
        <v>207</v>
      </c>
      <c r="H275" t="s">
        <v>531</v>
      </c>
      <c r="I275" t="s">
        <v>961</v>
      </c>
      <c r="L275" t="s">
        <v>532</v>
      </c>
      <c r="M275" t="s">
        <v>533</v>
      </c>
      <c r="N275">
        <v>280</v>
      </c>
      <c r="W275" t="b">
        <v>0</v>
      </c>
      <c r="X275" t="s">
        <v>1685</v>
      </c>
      <c r="Y275" t="s">
        <v>2226</v>
      </c>
    </row>
    <row r="276" spans="2:25" hidden="1" x14ac:dyDescent="0.25">
      <c r="B276" t="s">
        <v>1208</v>
      </c>
      <c r="C276" t="s">
        <v>960</v>
      </c>
      <c r="D276" t="s">
        <v>1683</v>
      </c>
      <c r="E276" t="s">
        <v>2227</v>
      </c>
      <c r="F276" t="s">
        <v>1208</v>
      </c>
      <c r="G276" t="s">
        <v>207</v>
      </c>
      <c r="H276" t="s">
        <v>531</v>
      </c>
      <c r="I276" t="s">
        <v>961</v>
      </c>
      <c r="L276" t="s">
        <v>532</v>
      </c>
      <c r="M276" t="s">
        <v>533</v>
      </c>
      <c r="N276">
        <v>281</v>
      </c>
      <c r="W276" t="b">
        <v>0</v>
      </c>
      <c r="X276" t="s">
        <v>1685</v>
      </c>
      <c r="Y276" t="s">
        <v>2228</v>
      </c>
    </row>
    <row r="277" spans="2:25" hidden="1" x14ac:dyDescent="0.25">
      <c r="B277" t="s">
        <v>1176</v>
      </c>
      <c r="C277" t="s">
        <v>960</v>
      </c>
      <c r="D277" t="s">
        <v>1683</v>
      </c>
      <c r="E277" t="s">
        <v>2229</v>
      </c>
      <c r="F277" t="s">
        <v>1176</v>
      </c>
      <c r="G277" t="s">
        <v>207</v>
      </c>
      <c r="H277" t="s">
        <v>531</v>
      </c>
      <c r="I277" t="s">
        <v>961</v>
      </c>
      <c r="L277" t="s">
        <v>532</v>
      </c>
      <c r="M277" t="s">
        <v>533</v>
      </c>
      <c r="N277">
        <v>282</v>
      </c>
      <c r="W277" t="b">
        <v>0</v>
      </c>
      <c r="X277" t="s">
        <v>1685</v>
      </c>
      <c r="Y277" t="s">
        <v>2230</v>
      </c>
    </row>
    <row r="278" spans="2:25" hidden="1" x14ac:dyDescent="0.25">
      <c r="B278" t="s">
        <v>1256</v>
      </c>
      <c r="C278" t="s">
        <v>960</v>
      </c>
      <c r="D278" t="s">
        <v>1683</v>
      </c>
      <c r="E278" t="s">
        <v>2231</v>
      </c>
      <c r="F278" t="s">
        <v>1256</v>
      </c>
      <c r="G278" t="s">
        <v>207</v>
      </c>
      <c r="H278" t="s">
        <v>531</v>
      </c>
      <c r="I278" t="s">
        <v>961</v>
      </c>
      <c r="L278" t="s">
        <v>532</v>
      </c>
      <c r="M278" t="s">
        <v>533</v>
      </c>
      <c r="N278">
        <v>283</v>
      </c>
      <c r="W278" t="b">
        <v>0</v>
      </c>
      <c r="X278" t="s">
        <v>1685</v>
      </c>
      <c r="Y278" t="s">
        <v>2232</v>
      </c>
    </row>
    <row r="279" spans="2:25" hidden="1" x14ac:dyDescent="0.25">
      <c r="B279" t="s">
        <v>1386</v>
      </c>
      <c r="C279" t="s">
        <v>960</v>
      </c>
      <c r="D279" t="s">
        <v>1683</v>
      </c>
      <c r="E279" t="s">
        <v>2233</v>
      </c>
      <c r="F279" t="s">
        <v>1386</v>
      </c>
      <c r="G279" t="s">
        <v>207</v>
      </c>
      <c r="H279" t="s">
        <v>95</v>
      </c>
      <c r="I279" t="s">
        <v>961</v>
      </c>
      <c r="L279" t="s">
        <v>532</v>
      </c>
      <c r="M279" t="s">
        <v>533</v>
      </c>
      <c r="N279">
        <v>284</v>
      </c>
      <c r="W279" t="b">
        <v>0</v>
      </c>
      <c r="X279" t="s">
        <v>1685</v>
      </c>
      <c r="Y279" t="s">
        <v>2234</v>
      </c>
    </row>
    <row r="280" spans="2:25" hidden="1" x14ac:dyDescent="0.25">
      <c r="B280" t="s">
        <v>1388</v>
      </c>
      <c r="C280" t="s">
        <v>960</v>
      </c>
      <c r="D280" t="s">
        <v>1683</v>
      </c>
      <c r="E280" t="s">
        <v>2235</v>
      </c>
      <c r="F280" t="s">
        <v>1388</v>
      </c>
      <c r="G280" t="s">
        <v>207</v>
      </c>
      <c r="H280" t="s">
        <v>95</v>
      </c>
      <c r="I280" t="s">
        <v>961</v>
      </c>
      <c r="L280" t="s">
        <v>532</v>
      </c>
      <c r="M280" t="s">
        <v>533</v>
      </c>
      <c r="N280">
        <v>285</v>
      </c>
      <c r="W280" t="b">
        <v>0</v>
      </c>
      <c r="X280" t="s">
        <v>1685</v>
      </c>
      <c r="Y280" t="s">
        <v>2236</v>
      </c>
    </row>
    <row r="281" spans="2:25" hidden="1" x14ac:dyDescent="0.25">
      <c r="B281" t="s">
        <v>1288</v>
      </c>
      <c r="C281" t="s">
        <v>960</v>
      </c>
      <c r="D281" t="s">
        <v>1683</v>
      </c>
      <c r="E281" t="s">
        <v>2237</v>
      </c>
      <c r="F281" t="s">
        <v>1288</v>
      </c>
      <c r="G281" t="s">
        <v>207</v>
      </c>
      <c r="H281" t="s">
        <v>531</v>
      </c>
      <c r="I281" t="s">
        <v>961</v>
      </c>
      <c r="L281" t="s">
        <v>532</v>
      </c>
      <c r="M281" t="s">
        <v>533</v>
      </c>
      <c r="N281">
        <v>286</v>
      </c>
      <c r="W281" t="b">
        <v>0</v>
      </c>
      <c r="X281" t="s">
        <v>1685</v>
      </c>
      <c r="Y281" t="s">
        <v>2238</v>
      </c>
    </row>
    <row r="282" spans="2:25" hidden="1" x14ac:dyDescent="0.25">
      <c r="B282" t="s">
        <v>1290</v>
      </c>
      <c r="C282" t="s">
        <v>960</v>
      </c>
      <c r="D282" t="s">
        <v>1683</v>
      </c>
      <c r="E282" t="s">
        <v>2239</v>
      </c>
      <c r="F282" t="s">
        <v>1290</v>
      </c>
      <c r="G282" t="s">
        <v>207</v>
      </c>
      <c r="H282" t="s">
        <v>531</v>
      </c>
      <c r="I282" t="s">
        <v>961</v>
      </c>
      <c r="L282" t="s">
        <v>532</v>
      </c>
      <c r="M282" t="s">
        <v>533</v>
      </c>
      <c r="N282">
        <v>287</v>
      </c>
      <c r="W282" t="b">
        <v>0</v>
      </c>
      <c r="X282" t="s">
        <v>1685</v>
      </c>
      <c r="Y282" t="s">
        <v>2240</v>
      </c>
    </row>
    <row r="283" spans="2:25" hidden="1" x14ac:dyDescent="0.25">
      <c r="B283" t="s">
        <v>1112</v>
      </c>
      <c r="C283" t="s">
        <v>960</v>
      </c>
      <c r="D283" t="s">
        <v>1683</v>
      </c>
      <c r="E283" t="s">
        <v>2241</v>
      </c>
      <c r="F283" t="s">
        <v>1112</v>
      </c>
      <c r="G283" t="s">
        <v>207</v>
      </c>
      <c r="H283" t="s">
        <v>238</v>
      </c>
      <c r="I283" t="s">
        <v>961</v>
      </c>
      <c r="L283" t="s">
        <v>532</v>
      </c>
      <c r="M283" t="s">
        <v>533</v>
      </c>
      <c r="N283">
        <v>288</v>
      </c>
      <c r="W283" t="b">
        <v>0</v>
      </c>
      <c r="X283" t="s">
        <v>1685</v>
      </c>
      <c r="Y283" t="s">
        <v>2242</v>
      </c>
    </row>
    <row r="284" spans="2:25" hidden="1" x14ac:dyDescent="0.25">
      <c r="B284" t="s">
        <v>1202</v>
      </c>
      <c r="C284" t="s">
        <v>960</v>
      </c>
      <c r="D284" t="s">
        <v>1683</v>
      </c>
      <c r="E284" t="s">
        <v>2243</v>
      </c>
      <c r="F284" t="s">
        <v>1202</v>
      </c>
      <c r="G284" t="s">
        <v>23</v>
      </c>
      <c r="H284" t="s">
        <v>95</v>
      </c>
      <c r="I284" t="s">
        <v>961</v>
      </c>
      <c r="L284" t="s">
        <v>532</v>
      </c>
      <c r="M284" t="s">
        <v>533</v>
      </c>
      <c r="N284">
        <v>289</v>
      </c>
      <c r="W284" t="b">
        <v>0</v>
      </c>
      <c r="X284" t="s">
        <v>1685</v>
      </c>
      <c r="Y284" t="s">
        <v>2244</v>
      </c>
    </row>
    <row r="285" spans="2:25" hidden="1" x14ac:dyDescent="0.25">
      <c r="B285" t="s">
        <v>1170</v>
      </c>
      <c r="C285" t="s">
        <v>960</v>
      </c>
      <c r="D285" t="s">
        <v>1683</v>
      </c>
      <c r="E285" t="s">
        <v>2245</v>
      </c>
      <c r="F285" t="s">
        <v>1170</v>
      </c>
      <c r="G285" t="s">
        <v>207</v>
      </c>
      <c r="H285" t="s">
        <v>95</v>
      </c>
      <c r="I285" t="s">
        <v>961</v>
      </c>
      <c r="L285" t="s">
        <v>532</v>
      </c>
      <c r="M285" t="s">
        <v>533</v>
      </c>
      <c r="N285">
        <v>290</v>
      </c>
      <c r="W285" t="b">
        <v>0</v>
      </c>
      <c r="X285" t="s">
        <v>1685</v>
      </c>
      <c r="Y285" t="s">
        <v>2246</v>
      </c>
    </row>
    <row r="286" spans="2:25" hidden="1" x14ac:dyDescent="0.25">
      <c r="B286" t="s">
        <v>1402</v>
      </c>
      <c r="C286" t="s">
        <v>960</v>
      </c>
      <c r="D286" t="s">
        <v>1683</v>
      </c>
      <c r="E286" t="s">
        <v>2247</v>
      </c>
      <c r="F286" t="s">
        <v>1402</v>
      </c>
      <c r="G286" t="s">
        <v>207</v>
      </c>
      <c r="H286" t="s">
        <v>531</v>
      </c>
      <c r="I286" t="s">
        <v>961</v>
      </c>
      <c r="L286" t="s">
        <v>532</v>
      </c>
      <c r="M286" t="s">
        <v>533</v>
      </c>
      <c r="N286">
        <v>291</v>
      </c>
      <c r="W286" t="b">
        <v>0</v>
      </c>
      <c r="X286" t="s">
        <v>1685</v>
      </c>
      <c r="Y286" t="s">
        <v>2248</v>
      </c>
    </row>
    <row r="287" spans="2:25" hidden="1" x14ac:dyDescent="0.25">
      <c r="B287" t="s">
        <v>1589</v>
      </c>
      <c r="C287" t="s">
        <v>960</v>
      </c>
      <c r="D287" t="s">
        <v>1683</v>
      </c>
      <c r="E287" t="s">
        <v>2249</v>
      </c>
      <c r="F287" t="s">
        <v>1589</v>
      </c>
      <c r="G287" t="s">
        <v>207</v>
      </c>
      <c r="H287" t="s">
        <v>897</v>
      </c>
      <c r="I287" t="s">
        <v>961</v>
      </c>
      <c r="L287" t="s">
        <v>532</v>
      </c>
      <c r="M287" t="s">
        <v>533</v>
      </c>
      <c r="N287">
        <v>292</v>
      </c>
      <c r="W287" t="b">
        <v>0</v>
      </c>
      <c r="X287" t="s">
        <v>1685</v>
      </c>
      <c r="Y287" t="s">
        <v>2250</v>
      </c>
    </row>
    <row r="288" spans="2:25" hidden="1" x14ac:dyDescent="0.25">
      <c r="B288" t="s">
        <v>1146</v>
      </c>
      <c r="C288" t="s">
        <v>960</v>
      </c>
      <c r="D288" t="s">
        <v>1683</v>
      </c>
      <c r="E288" t="s">
        <v>2251</v>
      </c>
      <c r="F288" t="s">
        <v>1146</v>
      </c>
      <c r="G288" t="s">
        <v>207</v>
      </c>
      <c r="H288" t="s">
        <v>94</v>
      </c>
      <c r="I288" t="s">
        <v>961</v>
      </c>
      <c r="L288" t="s">
        <v>532</v>
      </c>
      <c r="M288" t="s">
        <v>533</v>
      </c>
      <c r="N288">
        <v>293</v>
      </c>
      <c r="W288" t="b">
        <v>0</v>
      </c>
      <c r="X288" t="s">
        <v>1685</v>
      </c>
      <c r="Y288" t="s">
        <v>2252</v>
      </c>
    </row>
    <row r="289" spans="2:25" hidden="1" x14ac:dyDescent="0.25">
      <c r="B289" t="s">
        <v>1272</v>
      </c>
      <c r="C289" t="s">
        <v>960</v>
      </c>
      <c r="D289" t="s">
        <v>1683</v>
      </c>
      <c r="E289" t="s">
        <v>2253</v>
      </c>
      <c r="F289" t="s">
        <v>1272</v>
      </c>
      <c r="G289" t="s">
        <v>23</v>
      </c>
      <c r="H289" t="s">
        <v>94</v>
      </c>
      <c r="I289" t="s">
        <v>961</v>
      </c>
      <c r="L289" t="s">
        <v>532</v>
      </c>
      <c r="M289" t="s">
        <v>533</v>
      </c>
      <c r="N289">
        <v>294</v>
      </c>
      <c r="W289" t="b">
        <v>0</v>
      </c>
      <c r="X289" t="s">
        <v>1685</v>
      </c>
      <c r="Y289" t="s">
        <v>2254</v>
      </c>
    </row>
    <row r="290" spans="2:25" hidden="1" x14ac:dyDescent="0.25">
      <c r="B290" t="s">
        <v>1226</v>
      </c>
      <c r="C290" t="s">
        <v>960</v>
      </c>
      <c r="D290" t="s">
        <v>1683</v>
      </c>
      <c r="E290" t="s">
        <v>2255</v>
      </c>
      <c r="F290" t="s">
        <v>1226</v>
      </c>
      <c r="G290" t="s">
        <v>207</v>
      </c>
      <c r="H290" t="s">
        <v>531</v>
      </c>
      <c r="I290" t="s">
        <v>961</v>
      </c>
      <c r="L290" t="s">
        <v>532</v>
      </c>
      <c r="M290" t="s">
        <v>533</v>
      </c>
      <c r="N290">
        <v>295</v>
      </c>
      <c r="W290" t="b">
        <v>0</v>
      </c>
      <c r="X290" t="s">
        <v>1685</v>
      </c>
      <c r="Y290" t="s">
        <v>2256</v>
      </c>
    </row>
    <row r="291" spans="2:25" hidden="1" x14ac:dyDescent="0.25">
      <c r="B291" t="s">
        <v>1228</v>
      </c>
      <c r="C291" t="s">
        <v>960</v>
      </c>
      <c r="D291" t="s">
        <v>1683</v>
      </c>
      <c r="E291" t="s">
        <v>2257</v>
      </c>
      <c r="F291" t="s">
        <v>1228</v>
      </c>
      <c r="G291" t="s">
        <v>207</v>
      </c>
      <c r="H291" t="s">
        <v>531</v>
      </c>
      <c r="I291" t="s">
        <v>961</v>
      </c>
      <c r="L291" t="s">
        <v>532</v>
      </c>
      <c r="M291" t="s">
        <v>533</v>
      </c>
      <c r="N291">
        <v>296</v>
      </c>
      <c r="W291" t="b">
        <v>0</v>
      </c>
      <c r="X291" t="s">
        <v>1685</v>
      </c>
      <c r="Y291" t="s">
        <v>2258</v>
      </c>
    </row>
    <row r="292" spans="2:25" hidden="1" x14ac:dyDescent="0.25">
      <c r="B292" t="s">
        <v>1396</v>
      </c>
      <c r="C292" t="s">
        <v>960</v>
      </c>
      <c r="D292" t="s">
        <v>1683</v>
      </c>
      <c r="E292" t="s">
        <v>2259</v>
      </c>
      <c r="F292" t="s">
        <v>1396</v>
      </c>
      <c r="G292" t="s">
        <v>207</v>
      </c>
      <c r="H292" t="s">
        <v>95</v>
      </c>
      <c r="I292" t="s">
        <v>961</v>
      </c>
      <c r="L292" t="s">
        <v>532</v>
      </c>
      <c r="M292" t="s">
        <v>533</v>
      </c>
      <c r="N292">
        <v>297</v>
      </c>
      <c r="W292" t="b">
        <v>0</v>
      </c>
      <c r="X292" t="s">
        <v>1685</v>
      </c>
      <c r="Y292" t="s">
        <v>2260</v>
      </c>
    </row>
    <row r="293" spans="2:25" hidden="1" x14ac:dyDescent="0.25">
      <c r="B293" t="s">
        <v>1398</v>
      </c>
      <c r="C293" t="s">
        <v>960</v>
      </c>
      <c r="D293" t="s">
        <v>1683</v>
      </c>
      <c r="E293" t="s">
        <v>2261</v>
      </c>
      <c r="F293" t="s">
        <v>1398</v>
      </c>
      <c r="G293" t="s">
        <v>207</v>
      </c>
      <c r="H293" t="s">
        <v>95</v>
      </c>
      <c r="I293" t="s">
        <v>961</v>
      </c>
      <c r="L293" t="s">
        <v>532</v>
      </c>
      <c r="M293" t="s">
        <v>533</v>
      </c>
      <c r="N293">
        <v>298</v>
      </c>
      <c r="W293" t="b">
        <v>0</v>
      </c>
      <c r="X293" t="s">
        <v>1685</v>
      </c>
      <c r="Y293" t="s">
        <v>2262</v>
      </c>
    </row>
    <row r="294" spans="2:25" hidden="1" x14ac:dyDescent="0.25">
      <c r="B294" t="s">
        <v>1156</v>
      </c>
      <c r="C294" t="s">
        <v>960</v>
      </c>
      <c r="D294" t="s">
        <v>1683</v>
      </c>
      <c r="E294" t="s">
        <v>2263</v>
      </c>
      <c r="F294" t="s">
        <v>1156</v>
      </c>
      <c r="G294" t="s">
        <v>207</v>
      </c>
      <c r="H294" t="s">
        <v>531</v>
      </c>
      <c r="I294" t="s">
        <v>961</v>
      </c>
      <c r="L294" t="s">
        <v>532</v>
      </c>
      <c r="M294" t="s">
        <v>533</v>
      </c>
      <c r="N294">
        <v>299</v>
      </c>
      <c r="W294" t="b">
        <v>0</v>
      </c>
      <c r="X294" t="s">
        <v>1685</v>
      </c>
      <c r="Y294" t="s">
        <v>2264</v>
      </c>
    </row>
    <row r="295" spans="2:25" hidden="1" x14ac:dyDescent="0.25">
      <c r="B295" t="s">
        <v>1158</v>
      </c>
      <c r="C295" t="s">
        <v>960</v>
      </c>
      <c r="D295" t="s">
        <v>1683</v>
      </c>
      <c r="E295" t="s">
        <v>2265</v>
      </c>
      <c r="F295" t="s">
        <v>1158</v>
      </c>
      <c r="G295" t="s">
        <v>207</v>
      </c>
      <c r="H295" t="s">
        <v>531</v>
      </c>
      <c r="I295" t="s">
        <v>961</v>
      </c>
      <c r="L295" t="s">
        <v>532</v>
      </c>
      <c r="M295" t="s">
        <v>533</v>
      </c>
      <c r="N295">
        <v>300</v>
      </c>
      <c r="W295" t="b">
        <v>0</v>
      </c>
      <c r="X295" t="s">
        <v>1685</v>
      </c>
      <c r="Y295" t="s">
        <v>2266</v>
      </c>
    </row>
    <row r="296" spans="2:25" hidden="1" x14ac:dyDescent="0.25">
      <c r="B296" t="s">
        <v>1308</v>
      </c>
      <c r="C296" t="s">
        <v>960</v>
      </c>
      <c r="D296" t="s">
        <v>1683</v>
      </c>
      <c r="E296" t="s">
        <v>2267</v>
      </c>
      <c r="F296" t="s">
        <v>1308</v>
      </c>
      <c r="G296" t="s">
        <v>23</v>
      </c>
      <c r="H296" t="s">
        <v>905</v>
      </c>
      <c r="I296" t="s">
        <v>961</v>
      </c>
      <c r="L296" t="s">
        <v>532</v>
      </c>
      <c r="M296" t="s">
        <v>533</v>
      </c>
      <c r="N296">
        <v>301</v>
      </c>
      <c r="W296" t="b">
        <v>0</v>
      </c>
      <c r="X296" t="s">
        <v>1685</v>
      </c>
      <c r="Y296" t="s">
        <v>2268</v>
      </c>
    </row>
    <row r="297" spans="2:25" hidden="1" x14ac:dyDescent="0.25">
      <c r="B297" t="s">
        <v>1424</v>
      </c>
      <c r="C297" t="s">
        <v>960</v>
      </c>
      <c r="D297" t="s">
        <v>1683</v>
      </c>
      <c r="E297" t="s">
        <v>2269</v>
      </c>
      <c r="F297" t="s">
        <v>1424</v>
      </c>
      <c r="G297" t="s">
        <v>207</v>
      </c>
      <c r="H297" t="s">
        <v>905</v>
      </c>
      <c r="I297" t="s">
        <v>961</v>
      </c>
      <c r="L297" t="s">
        <v>532</v>
      </c>
      <c r="M297" t="s">
        <v>533</v>
      </c>
      <c r="N297">
        <v>302</v>
      </c>
      <c r="W297" t="b">
        <v>0</v>
      </c>
      <c r="X297" t="s">
        <v>1685</v>
      </c>
      <c r="Y297" t="s">
        <v>2270</v>
      </c>
    </row>
    <row r="298" spans="2:25" hidden="1" x14ac:dyDescent="0.25">
      <c r="B298" t="s">
        <v>1426</v>
      </c>
      <c r="C298" t="s">
        <v>960</v>
      </c>
      <c r="D298" t="s">
        <v>1683</v>
      </c>
      <c r="E298" t="s">
        <v>2271</v>
      </c>
      <c r="F298" t="s">
        <v>1426</v>
      </c>
      <c r="G298" t="s">
        <v>207</v>
      </c>
      <c r="H298" t="s">
        <v>905</v>
      </c>
      <c r="I298" t="s">
        <v>961</v>
      </c>
      <c r="L298" t="s">
        <v>532</v>
      </c>
      <c r="M298" t="s">
        <v>533</v>
      </c>
      <c r="N298">
        <v>303</v>
      </c>
      <c r="W298" t="b">
        <v>0</v>
      </c>
      <c r="X298" t="s">
        <v>1685</v>
      </c>
      <c r="Y298" t="s">
        <v>2272</v>
      </c>
    </row>
    <row r="299" spans="2:25" hidden="1" x14ac:dyDescent="0.25">
      <c r="B299" t="s">
        <v>1330</v>
      </c>
      <c r="C299" t="s">
        <v>960</v>
      </c>
      <c r="D299" t="s">
        <v>1683</v>
      </c>
      <c r="E299" t="s">
        <v>2273</v>
      </c>
      <c r="F299" t="s">
        <v>1330</v>
      </c>
      <c r="G299" t="s">
        <v>207</v>
      </c>
      <c r="H299" t="s">
        <v>579</v>
      </c>
      <c r="I299" t="s">
        <v>961</v>
      </c>
      <c r="L299" t="s">
        <v>532</v>
      </c>
      <c r="M299" t="s">
        <v>533</v>
      </c>
      <c r="N299">
        <v>304</v>
      </c>
      <c r="W299" t="b">
        <v>0</v>
      </c>
      <c r="X299" t="s">
        <v>1685</v>
      </c>
      <c r="Y299" t="s">
        <v>2274</v>
      </c>
    </row>
    <row r="300" spans="2:25" hidden="1" x14ac:dyDescent="0.25">
      <c r="B300" t="s">
        <v>1332</v>
      </c>
      <c r="C300" t="s">
        <v>960</v>
      </c>
      <c r="D300" t="s">
        <v>1683</v>
      </c>
      <c r="E300" t="s">
        <v>2275</v>
      </c>
      <c r="F300" t="s">
        <v>1332</v>
      </c>
      <c r="G300" t="s">
        <v>207</v>
      </c>
      <c r="H300" t="s">
        <v>579</v>
      </c>
      <c r="I300" t="s">
        <v>961</v>
      </c>
      <c r="L300" t="s">
        <v>532</v>
      </c>
      <c r="M300" t="s">
        <v>533</v>
      </c>
      <c r="N300">
        <v>305</v>
      </c>
      <c r="W300" t="b">
        <v>0</v>
      </c>
      <c r="X300" t="s">
        <v>1685</v>
      </c>
      <c r="Y300" t="s">
        <v>2276</v>
      </c>
    </row>
    <row r="301" spans="2:25" hidden="1" x14ac:dyDescent="0.25">
      <c r="B301" t="s">
        <v>1172</v>
      </c>
      <c r="C301" t="s">
        <v>960</v>
      </c>
      <c r="D301" t="s">
        <v>1683</v>
      </c>
      <c r="E301" t="s">
        <v>2277</v>
      </c>
      <c r="F301" t="s">
        <v>1172</v>
      </c>
      <c r="G301" t="s">
        <v>207</v>
      </c>
      <c r="H301" t="s">
        <v>95</v>
      </c>
      <c r="I301" t="s">
        <v>961</v>
      </c>
      <c r="L301" t="s">
        <v>532</v>
      </c>
      <c r="M301" t="s">
        <v>533</v>
      </c>
      <c r="N301">
        <v>306</v>
      </c>
      <c r="W301" t="b">
        <v>0</v>
      </c>
      <c r="X301" t="s">
        <v>1685</v>
      </c>
      <c r="Y301" t="s">
        <v>2278</v>
      </c>
    </row>
    <row r="302" spans="2:25" hidden="1" x14ac:dyDescent="0.25">
      <c r="B302" t="s">
        <v>1174</v>
      </c>
      <c r="C302" t="s">
        <v>960</v>
      </c>
      <c r="D302" t="s">
        <v>1683</v>
      </c>
      <c r="E302" t="s">
        <v>2279</v>
      </c>
      <c r="F302" t="s">
        <v>1174</v>
      </c>
      <c r="G302" t="s">
        <v>207</v>
      </c>
      <c r="H302" t="s">
        <v>95</v>
      </c>
      <c r="I302" t="s">
        <v>961</v>
      </c>
      <c r="L302" t="s">
        <v>532</v>
      </c>
      <c r="M302" t="s">
        <v>533</v>
      </c>
      <c r="N302">
        <v>307</v>
      </c>
      <c r="W302" t="b">
        <v>0</v>
      </c>
      <c r="X302" t="s">
        <v>1685</v>
      </c>
      <c r="Y302" t="s">
        <v>2280</v>
      </c>
    </row>
    <row r="303" spans="2:25" hidden="1" x14ac:dyDescent="0.25">
      <c r="B303" t="s">
        <v>1418</v>
      </c>
      <c r="C303" t="s">
        <v>960</v>
      </c>
      <c r="D303" t="s">
        <v>1683</v>
      </c>
      <c r="E303" t="s">
        <v>2281</v>
      </c>
      <c r="F303" t="s">
        <v>1418</v>
      </c>
      <c r="G303" t="s">
        <v>23</v>
      </c>
      <c r="H303" t="s">
        <v>531</v>
      </c>
      <c r="I303" t="s">
        <v>961</v>
      </c>
      <c r="L303" t="s">
        <v>532</v>
      </c>
      <c r="M303" t="s">
        <v>533</v>
      </c>
      <c r="N303">
        <v>308</v>
      </c>
      <c r="W303" t="b">
        <v>0</v>
      </c>
      <c r="X303" t="s">
        <v>1685</v>
      </c>
      <c r="Y303" t="s">
        <v>2282</v>
      </c>
    </row>
    <row r="304" spans="2:25" hidden="1" x14ac:dyDescent="0.25">
      <c r="B304" t="s">
        <v>1416</v>
      </c>
      <c r="C304" t="s">
        <v>960</v>
      </c>
      <c r="D304" t="s">
        <v>1683</v>
      </c>
      <c r="E304" t="s">
        <v>2283</v>
      </c>
      <c r="F304" t="s">
        <v>1416</v>
      </c>
      <c r="G304" t="s">
        <v>23</v>
      </c>
      <c r="H304" t="s">
        <v>531</v>
      </c>
      <c r="I304" t="s">
        <v>961</v>
      </c>
      <c r="L304" t="s">
        <v>532</v>
      </c>
      <c r="M304" t="s">
        <v>533</v>
      </c>
      <c r="N304">
        <v>309</v>
      </c>
      <c r="W304" t="b">
        <v>0</v>
      </c>
      <c r="X304" t="s">
        <v>1685</v>
      </c>
      <c r="Y304" t="s">
        <v>2284</v>
      </c>
    </row>
    <row r="305" spans="2:25" hidden="1" x14ac:dyDescent="0.25">
      <c r="B305" t="s">
        <v>1420</v>
      </c>
      <c r="C305" t="s">
        <v>960</v>
      </c>
      <c r="D305" t="s">
        <v>1683</v>
      </c>
      <c r="E305" t="s">
        <v>2285</v>
      </c>
      <c r="F305" t="s">
        <v>1420</v>
      </c>
      <c r="G305" t="s">
        <v>23</v>
      </c>
      <c r="H305" t="s">
        <v>531</v>
      </c>
      <c r="I305" t="s">
        <v>961</v>
      </c>
      <c r="L305" t="s">
        <v>532</v>
      </c>
      <c r="M305" t="s">
        <v>533</v>
      </c>
      <c r="N305">
        <v>310</v>
      </c>
      <c r="W305" t="b">
        <v>0</v>
      </c>
      <c r="X305" t="s">
        <v>1685</v>
      </c>
      <c r="Y305" t="s">
        <v>2286</v>
      </c>
    </row>
    <row r="306" spans="2:25" hidden="1" x14ac:dyDescent="0.25">
      <c r="B306" t="s">
        <v>1380</v>
      </c>
      <c r="C306" t="s">
        <v>960</v>
      </c>
      <c r="D306" t="s">
        <v>1683</v>
      </c>
      <c r="E306" t="s">
        <v>2287</v>
      </c>
      <c r="F306" t="s">
        <v>1380</v>
      </c>
      <c r="G306" t="s">
        <v>207</v>
      </c>
      <c r="H306" t="s">
        <v>95</v>
      </c>
      <c r="I306" t="s">
        <v>961</v>
      </c>
      <c r="L306" t="s">
        <v>532</v>
      </c>
      <c r="M306" t="s">
        <v>533</v>
      </c>
      <c r="N306">
        <v>311</v>
      </c>
      <c r="W306" t="b">
        <v>0</v>
      </c>
      <c r="X306" t="s">
        <v>1685</v>
      </c>
      <c r="Y306" t="s">
        <v>2288</v>
      </c>
    </row>
    <row r="307" spans="2:25" hidden="1" x14ac:dyDescent="0.25">
      <c r="B307" t="s">
        <v>1382</v>
      </c>
      <c r="C307" t="s">
        <v>960</v>
      </c>
      <c r="D307" t="s">
        <v>1683</v>
      </c>
      <c r="E307" t="s">
        <v>2289</v>
      </c>
      <c r="F307" t="s">
        <v>1382</v>
      </c>
      <c r="G307" t="s">
        <v>207</v>
      </c>
      <c r="H307" t="s">
        <v>95</v>
      </c>
      <c r="I307" t="s">
        <v>961</v>
      </c>
      <c r="L307" t="s">
        <v>532</v>
      </c>
      <c r="M307" t="s">
        <v>533</v>
      </c>
      <c r="N307">
        <v>312</v>
      </c>
      <c r="W307" t="b">
        <v>0</v>
      </c>
      <c r="X307" t="s">
        <v>1685</v>
      </c>
      <c r="Y307" t="s">
        <v>2290</v>
      </c>
    </row>
    <row r="308" spans="2:25" hidden="1" x14ac:dyDescent="0.25">
      <c r="B308" t="s">
        <v>1298</v>
      </c>
      <c r="C308" t="s">
        <v>960</v>
      </c>
      <c r="D308" t="s">
        <v>1683</v>
      </c>
      <c r="E308" t="s">
        <v>2291</v>
      </c>
      <c r="F308" t="s">
        <v>1298</v>
      </c>
      <c r="G308" t="s">
        <v>207</v>
      </c>
      <c r="H308" t="s">
        <v>823</v>
      </c>
      <c r="I308" t="s">
        <v>961</v>
      </c>
      <c r="L308" t="s">
        <v>532</v>
      </c>
      <c r="M308" t="s">
        <v>533</v>
      </c>
      <c r="N308">
        <v>313</v>
      </c>
      <c r="W308" t="b">
        <v>0</v>
      </c>
      <c r="X308" t="s">
        <v>1685</v>
      </c>
      <c r="Y308" t="s">
        <v>2292</v>
      </c>
    </row>
    <row r="309" spans="2:25" hidden="1" x14ac:dyDescent="0.25">
      <c r="B309" t="s">
        <v>1585</v>
      </c>
      <c r="C309" t="s">
        <v>960</v>
      </c>
      <c r="D309" t="s">
        <v>1683</v>
      </c>
      <c r="E309" t="s">
        <v>2293</v>
      </c>
      <c r="F309" t="s">
        <v>1585</v>
      </c>
      <c r="G309" t="s">
        <v>207</v>
      </c>
      <c r="H309" t="s">
        <v>897</v>
      </c>
      <c r="I309" t="s">
        <v>961</v>
      </c>
      <c r="L309" t="s">
        <v>532</v>
      </c>
      <c r="M309" t="s">
        <v>533</v>
      </c>
      <c r="N309">
        <v>314</v>
      </c>
      <c r="W309" t="b">
        <v>0</v>
      </c>
      <c r="X309" t="s">
        <v>1685</v>
      </c>
      <c r="Y309" t="s">
        <v>2294</v>
      </c>
    </row>
    <row r="310" spans="2:25" hidden="1" x14ac:dyDescent="0.25">
      <c r="B310" t="s">
        <v>1190</v>
      </c>
      <c r="C310" t="s">
        <v>960</v>
      </c>
      <c r="D310" t="s">
        <v>1683</v>
      </c>
      <c r="E310" t="s">
        <v>2295</v>
      </c>
      <c r="F310" t="s">
        <v>1190</v>
      </c>
      <c r="G310" t="s">
        <v>207</v>
      </c>
      <c r="H310" t="s">
        <v>531</v>
      </c>
      <c r="I310" t="s">
        <v>961</v>
      </c>
      <c r="L310" t="s">
        <v>532</v>
      </c>
      <c r="M310" t="s">
        <v>533</v>
      </c>
      <c r="N310">
        <v>315</v>
      </c>
      <c r="W310" t="b">
        <v>0</v>
      </c>
      <c r="X310" t="s">
        <v>1685</v>
      </c>
      <c r="Y310" t="s">
        <v>2296</v>
      </c>
    </row>
    <row r="311" spans="2:25" hidden="1" x14ac:dyDescent="0.25">
      <c r="B311" t="s">
        <v>1194</v>
      </c>
      <c r="C311" t="s">
        <v>960</v>
      </c>
      <c r="D311" t="s">
        <v>1683</v>
      </c>
      <c r="E311" t="s">
        <v>2297</v>
      </c>
      <c r="F311" t="s">
        <v>1194</v>
      </c>
      <c r="G311" t="s">
        <v>207</v>
      </c>
      <c r="H311" t="s">
        <v>531</v>
      </c>
      <c r="I311" t="s">
        <v>961</v>
      </c>
      <c r="L311" t="s">
        <v>532</v>
      </c>
      <c r="M311" t="s">
        <v>533</v>
      </c>
      <c r="N311">
        <v>316</v>
      </c>
      <c r="W311" t="b">
        <v>0</v>
      </c>
      <c r="X311" t="s">
        <v>1685</v>
      </c>
      <c r="Y311" t="s">
        <v>2298</v>
      </c>
    </row>
    <row r="312" spans="2:25" hidden="1" x14ac:dyDescent="0.25">
      <c r="B312" t="s">
        <v>1196</v>
      </c>
      <c r="C312" t="s">
        <v>960</v>
      </c>
      <c r="D312" t="s">
        <v>1683</v>
      </c>
      <c r="E312" t="s">
        <v>2299</v>
      </c>
      <c r="F312" t="s">
        <v>1196</v>
      </c>
      <c r="G312" t="s">
        <v>207</v>
      </c>
      <c r="H312" t="s">
        <v>531</v>
      </c>
      <c r="I312" t="s">
        <v>961</v>
      </c>
      <c r="L312" t="s">
        <v>532</v>
      </c>
      <c r="M312" t="s">
        <v>533</v>
      </c>
      <c r="N312">
        <v>317</v>
      </c>
      <c r="W312" t="b">
        <v>0</v>
      </c>
      <c r="X312" t="s">
        <v>1685</v>
      </c>
      <c r="Y312" t="s">
        <v>2300</v>
      </c>
    </row>
    <row r="313" spans="2:25" hidden="1" x14ac:dyDescent="0.25">
      <c r="B313" t="s">
        <v>1198</v>
      </c>
      <c r="C313" t="s">
        <v>960</v>
      </c>
      <c r="D313" t="s">
        <v>1683</v>
      </c>
      <c r="E313" t="s">
        <v>2301</v>
      </c>
      <c r="F313" t="s">
        <v>1198</v>
      </c>
      <c r="G313" t="s">
        <v>207</v>
      </c>
      <c r="H313" t="s">
        <v>531</v>
      </c>
      <c r="I313" t="s">
        <v>961</v>
      </c>
      <c r="L313" t="s">
        <v>532</v>
      </c>
      <c r="M313" t="s">
        <v>533</v>
      </c>
      <c r="N313">
        <v>318</v>
      </c>
      <c r="W313" t="b">
        <v>0</v>
      </c>
      <c r="X313" t="s">
        <v>1685</v>
      </c>
      <c r="Y313" t="s">
        <v>2302</v>
      </c>
    </row>
    <row r="314" spans="2:25" hidden="1" x14ac:dyDescent="0.25">
      <c r="B314" t="s">
        <v>1292</v>
      </c>
      <c r="C314" t="s">
        <v>960</v>
      </c>
      <c r="D314" t="s">
        <v>1683</v>
      </c>
      <c r="E314" t="s">
        <v>2303</v>
      </c>
      <c r="F314" t="s">
        <v>1292</v>
      </c>
      <c r="G314" t="s">
        <v>207</v>
      </c>
      <c r="H314" t="s">
        <v>531</v>
      </c>
      <c r="I314" t="s">
        <v>961</v>
      </c>
      <c r="L314" t="s">
        <v>532</v>
      </c>
      <c r="M314" t="s">
        <v>533</v>
      </c>
      <c r="N314">
        <v>319</v>
      </c>
      <c r="W314" t="b">
        <v>0</v>
      </c>
      <c r="X314" t="s">
        <v>1685</v>
      </c>
      <c r="Y314" t="s">
        <v>2304</v>
      </c>
    </row>
    <row r="315" spans="2:25" hidden="1" x14ac:dyDescent="0.25">
      <c r="B315" t="s">
        <v>1414</v>
      </c>
      <c r="C315" t="s">
        <v>960</v>
      </c>
      <c r="D315" t="s">
        <v>1683</v>
      </c>
      <c r="E315" t="s">
        <v>2305</v>
      </c>
      <c r="F315" t="s">
        <v>1414</v>
      </c>
      <c r="G315" t="s">
        <v>207</v>
      </c>
      <c r="H315" t="s">
        <v>614</v>
      </c>
      <c r="I315" t="s">
        <v>961</v>
      </c>
      <c r="L315" t="s">
        <v>532</v>
      </c>
      <c r="M315" t="s">
        <v>533</v>
      </c>
      <c r="N315">
        <v>320</v>
      </c>
      <c r="W315" t="b">
        <v>0</v>
      </c>
      <c r="X315" t="s">
        <v>1685</v>
      </c>
      <c r="Y315" t="s">
        <v>2306</v>
      </c>
    </row>
    <row r="316" spans="2:25" hidden="1" x14ac:dyDescent="0.25">
      <c r="B316" t="s">
        <v>1406</v>
      </c>
      <c r="C316" t="s">
        <v>960</v>
      </c>
      <c r="D316" t="s">
        <v>1683</v>
      </c>
      <c r="E316" t="s">
        <v>2307</v>
      </c>
      <c r="F316" t="s">
        <v>1406</v>
      </c>
      <c r="G316" t="s">
        <v>207</v>
      </c>
      <c r="H316" t="s">
        <v>823</v>
      </c>
      <c r="I316" t="s">
        <v>961</v>
      </c>
      <c r="L316" t="s">
        <v>532</v>
      </c>
      <c r="M316" t="s">
        <v>533</v>
      </c>
      <c r="N316">
        <v>321</v>
      </c>
      <c r="W316" t="b">
        <v>0</v>
      </c>
      <c r="X316" t="s">
        <v>1685</v>
      </c>
      <c r="Y316" t="s">
        <v>2308</v>
      </c>
    </row>
    <row r="317" spans="2:25" hidden="1" x14ac:dyDescent="0.25">
      <c r="B317" t="s">
        <v>1428</v>
      </c>
      <c r="C317" t="s">
        <v>960</v>
      </c>
      <c r="D317" t="s">
        <v>1683</v>
      </c>
      <c r="E317" t="s">
        <v>2309</v>
      </c>
      <c r="F317" t="s">
        <v>1428</v>
      </c>
      <c r="G317" t="s">
        <v>23</v>
      </c>
      <c r="H317" t="s">
        <v>897</v>
      </c>
      <c r="I317" t="s">
        <v>961</v>
      </c>
      <c r="L317" t="s">
        <v>532</v>
      </c>
      <c r="M317" t="s">
        <v>533</v>
      </c>
      <c r="N317">
        <v>322</v>
      </c>
      <c r="W317" t="b">
        <v>0</v>
      </c>
      <c r="X317" t="s">
        <v>1685</v>
      </c>
      <c r="Y317" t="s">
        <v>2310</v>
      </c>
    </row>
    <row r="318" spans="2:25" hidden="1" x14ac:dyDescent="0.25">
      <c r="B318" t="s">
        <v>1430</v>
      </c>
      <c r="C318" t="s">
        <v>960</v>
      </c>
      <c r="D318" t="s">
        <v>1683</v>
      </c>
      <c r="E318" t="s">
        <v>2311</v>
      </c>
      <c r="F318" t="s">
        <v>1430</v>
      </c>
      <c r="G318" t="s">
        <v>23</v>
      </c>
      <c r="H318" t="s">
        <v>897</v>
      </c>
      <c r="I318" t="s">
        <v>961</v>
      </c>
      <c r="L318" t="s">
        <v>532</v>
      </c>
      <c r="M318" t="s">
        <v>533</v>
      </c>
      <c r="N318">
        <v>323</v>
      </c>
      <c r="W318" t="b">
        <v>0</v>
      </c>
      <c r="X318" t="s">
        <v>1685</v>
      </c>
      <c r="Y318" t="s">
        <v>2312</v>
      </c>
    </row>
    <row r="319" spans="2:25" hidden="1" x14ac:dyDescent="0.25">
      <c r="B319" t="s">
        <v>1404</v>
      </c>
      <c r="C319" t="s">
        <v>960</v>
      </c>
      <c r="D319" t="s">
        <v>1683</v>
      </c>
      <c r="E319" t="s">
        <v>2313</v>
      </c>
      <c r="F319" t="s">
        <v>1404</v>
      </c>
      <c r="G319" t="s">
        <v>207</v>
      </c>
      <c r="H319" t="s">
        <v>823</v>
      </c>
      <c r="I319" t="s">
        <v>961</v>
      </c>
      <c r="L319" t="s">
        <v>532</v>
      </c>
      <c r="M319" t="s">
        <v>533</v>
      </c>
      <c r="N319">
        <v>324</v>
      </c>
      <c r="W319" t="b">
        <v>0</v>
      </c>
      <c r="X319" t="s">
        <v>1685</v>
      </c>
      <c r="Y319" t="s">
        <v>2314</v>
      </c>
    </row>
    <row r="320" spans="2:25" hidden="1" x14ac:dyDescent="0.25">
      <c r="B320" t="s">
        <v>1408</v>
      </c>
      <c r="C320" t="s">
        <v>960</v>
      </c>
      <c r="D320" t="s">
        <v>1683</v>
      </c>
      <c r="E320" t="s">
        <v>2315</v>
      </c>
      <c r="F320" t="s">
        <v>1408</v>
      </c>
      <c r="G320" t="s">
        <v>207</v>
      </c>
      <c r="H320" t="s">
        <v>531</v>
      </c>
      <c r="I320" t="s">
        <v>961</v>
      </c>
      <c r="L320" t="s">
        <v>532</v>
      </c>
      <c r="M320" t="s">
        <v>533</v>
      </c>
      <c r="N320">
        <v>325</v>
      </c>
      <c r="W320" t="b">
        <v>0</v>
      </c>
      <c r="X320" t="s">
        <v>1685</v>
      </c>
      <c r="Y320" t="s">
        <v>2316</v>
      </c>
    </row>
    <row r="321" spans="2:25" hidden="1" x14ac:dyDescent="0.25">
      <c r="B321" t="s">
        <v>1410</v>
      </c>
      <c r="C321" t="s">
        <v>960</v>
      </c>
      <c r="D321" t="s">
        <v>1683</v>
      </c>
      <c r="E321" t="s">
        <v>2317</v>
      </c>
      <c r="F321" t="s">
        <v>1410</v>
      </c>
      <c r="G321" t="s">
        <v>207</v>
      </c>
      <c r="H321" t="s">
        <v>531</v>
      </c>
      <c r="I321" t="s">
        <v>961</v>
      </c>
      <c r="L321" t="s">
        <v>532</v>
      </c>
      <c r="M321" t="s">
        <v>533</v>
      </c>
      <c r="N321">
        <v>326</v>
      </c>
      <c r="W321" t="b">
        <v>0</v>
      </c>
      <c r="X321" t="s">
        <v>1685</v>
      </c>
      <c r="Y321" t="s">
        <v>2318</v>
      </c>
    </row>
    <row r="322" spans="2:25" hidden="1" x14ac:dyDescent="0.25">
      <c r="B322" t="s">
        <v>1312</v>
      </c>
      <c r="C322" t="s">
        <v>960</v>
      </c>
      <c r="D322" t="s">
        <v>1683</v>
      </c>
      <c r="E322" t="s">
        <v>2319</v>
      </c>
      <c r="F322" t="s">
        <v>1312</v>
      </c>
      <c r="G322" t="s">
        <v>23</v>
      </c>
      <c r="H322" t="s">
        <v>905</v>
      </c>
      <c r="I322" t="s">
        <v>961</v>
      </c>
      <c r="L322" t="s">
        <v>532</v>
      </c>
      <c r="M322" t="s">
        <v>533</v>
      </c>
      <c r="N322">
        <v>327</v>
      </c>
      <c r="W322" t="b">
        <v>0</v>
      </c>
      <c r="X322" t="s">
        <v>1685</v>
      </c>
      <c r="Y322" t="s">
        <v>2320</v>
      </c>
    </row>
    <row r="323" spans="2:25" hidden="1" x14ac:dyDescent="0.25">
      <c r="B323" t="s">
        <v>1200</v>
      </c>
      <c r="C323" t="s">
        <v>960</v>
      </c>
      <c r="D323" t="s">
        <v>1683</v>
      </c>
      <c r="E323" t="s">
        <v>2321</v>
      </c>
      <c r="F323" t="s">
        <v>1200</v>
      </c>
      <c r="G323" t="s">
        <v>23</v>
      </c>
      <c r="H323" t="s">
        <v>531</v>
      </c>
      <c r="I323" t="s">
        <v>961</v>
      </c>
      <c r="L323" t="s">
        <v>532</v>
      </c>
      <c r="M323" t="s">
        <v>533</v>
      </c>
      <c r="N323">
        <v>328</v>
      </c>
      <c r="W323" t="b">
        <v>0</v>
      </c>
      <c r="X323" t="s">
        <v>1685</v>
      </c>
      <c r="Y323" t="s">
        <v>2322</v>
      </c>
    </row>
    <row r="324" spans="2:25" hidden="1" x14ac:dyDescent="0.25">
      <c r="B324" t="s">
        <v>1390</v>
      </c>
      <c r="C324" t="s">
        <v>960</v>
      </c>
      <c r="D324" t="s">
        <v>1683</v>
      </c>
      <c r="E324" t="s">
        <v>2323</v>
      </c>
      <c r="F324" t="s">
        <v>1390</v>
      </c>
      <c r="G324" t="s">
        <v>207</v>
      </c>
      <c r="H324" t="s">
        <v>531</v>
      </c>
      <c r="I324" t="s">
        <v>961</v>
      </c>
      <c r="L324" t="s">
        <v>532</v>
      </c>
      <c r="M324" t="s">
        <v>533</v>
      </c>
      <c r="N324">
        <v>329</v>
      </c>
      <c r="W324" t="b">
        <v>0</v>
      </c>
      <c r="X324" t="s">
        <v>1685</v>
      </c>
      <c r="Y324" t="s">
        <v>2324</v>
      </c>
    </row>
    <row r="325" spans="2:25" hidden="1" x14ac:dyDescent="0.25">
      <c r="B325" t="s">
        <v>1356</v>
      </c>
      <c r="C325" t="s">
        <v>960</v>
      </c>
      <c r="D325" t="s">
        <v>1683</v>
      </c>
      <c r="E325" t="s">
        <v>2325</v>
      </c>
      <c r="F325" t="s">
        <v>1356</v>
      </c>
      <c r="G325" t="s">
        <v>23</v>
      </c>
      <c r="H325" t="s">
        <v>931</v>
      </c>
      <c r="I325" t="s">
        <v>961</v>
      </c>
      <c r="L325" t="s">
        <v>532</v>
      </c>
      <c r="M325" t="s">
        <v>533</v>
      </c>
      <c r="N325">
        <v>330</v>
      </c>
      <c r="W325" t="b">
        <v>0</v>
      </c>
      <c r="X325" t="s">
        <v>1685</v>
      </c>
      <c r="Y325" t="s">
        <v>2326</v>
      </c>
    </row>
    <row r="326" spans="2:25" hidden="1" x14ac:dyDescent="0.25">
      <c r="B326" t="s">
        <v>1214</v>
      </c>
      <c r="C326" t="s">
        <v>960</v>
      </c>
      <c r="D326" t="s">
        <v>1683</v>
      </c>
      <c r="E326" t="s">
        <v>2327</v>
      </c>
      <c r="F326" t="s">
        <v>1214</v>
      </c>
      <c r="G326" t="s">
        <v>23</v>
      </c>
      <c r="H326" t="s">
        <v>531</v>
      </c>
      <c r="I326" t="s">
        <v>961</v>
      </c>
      <c r="L326" t="s">
        <v>532</v>
      </c>
      <c r="M326" t="s">
        <v>533</v>
      </c>
      <c r="N326">
        <v>331</v>
      </c>
      <c r="W326" t="b">
        <v>0</v>
      </c>
      <c r="X326" t="s">
        <v>1685</v>
      </c>
      <c r="Y326" t="s">
        <v>2328</v>
      </c>
    </row>
    <row r="327" spans="2:25" hidden="1" x14ac:dyDescent="0.25">
      <c r="B327" t="s">
        <v>1244</v>
      </c>
      <c r="C327" t="s">
        <v>960</v>
      </c>
      <c r="D327" t="s">
        <v>1683</v>
      </c>
      <c r="E327" t="s">
        <v>2329</v>
      </c>
      <c r="F327" t="s">
        <v>1244</v>
      </c>
      <c r="G327" t="s">
        <v>23</v>
      </c>
      <c r="H327" t="s">
        <v>240</v>
      </c>
      <c r="I327" t="s">
        <v>961</v>
      </c>
      <c r="L327" t="s">
        <v>532</v>
      </c>
      <c r="M327" t="s">
        <v>533</v>
      </c>
      <c r="N327">
        <v>332</v>
      </c>
      <c r="W327" t="b">
        <v>0</v>
      </c>
      <c r="X327" t="s">
        <v>1685</v>
      </c>
      <c r="Y327" t="s">
        <v>2330</v>
      </c>
    </row>
    <row r="328" spans="2:25" hidden="1" x14ac:dyDescent="0.25">
      <c r="B328" t="s">
        <v>1108</v>
      </c>
      <c r="C328" t="s">
        <v>960</v>
      </c>
      <c r="D328" t="s">
        <v>1683</v>
      </c>
      <c r="E328" t="s">
        <v>2331</v>
      </c>
      <c r="F328" t="s">
        <v>1108</v>
      </c>
      <c r="G328" t="s">
        <v>207</v>
      </c>
      <c r="H328" t="s">
        <v>927</v>
      </c>
      <c r="I328" t="s">
        <v>961</v>
      </c>
      <c r="L328" t="s">
        <v>532</v>
      </c>
      <c r="M328" t="s">
        <v>533</v>
      </c>
      <c r="N328">
        <v>333</v>
      </c>
      <c r="W328" t="b">
        <v>0</v>
      </c>
      <c r="X328" t="s">
        <v>1685</v>
      </c>
      <c r="Y328" t="s">
        <v>2332</v>
      </c>
    </row>
    <row r="329" spans="2:25" hidden="1" x14ac:dyDescent="0.25">
      <c r="B329" t="s">
        <v>1110</v>
      </c>
      <c r="C329" t="s">
        <v>960</v>
      </c>
      <c r="D329" t="s">
        <v>1683</v>
      </c>
      <c r="E329" t="s">
        <v>2333</v>
      </c>
      <c r="F329" t="s">
        <v>1110</v>
      </c>
      <c r="G329" t="s">
        <v>207</v>
      </c>
      <c r="H329" t="s">
        <v>927</v>
      </c>
      <c r="I329" t="s">
        <v>961</v>
      </c>
      <c r="L329" t="s">
        <v>532</v>
      </c>
      <c r="M329" t="s">
        <v>533</v>
      </c>
      <c r="N329">
        <v>334</v>
      </c>
      <c r="W329" t="b">
        <v>0</v>
      </c>
      <c r="X329" t="s">
        <v>1685</v>
      </c>
      <c r="Y329" t="s">
        <v>2334</v>
      </c>
    </row>
    <row r="330" spans="2:25" hidden="1" x14ac:dyDescent="0.25">
      <c r="B330" t="s">
        <v>1372</v>
      </c>
      <c r="C330" t="s">
        <v>960</v>
      </c>
      <c r="D330" t="s">
        <v>1683</v>
      </c>
      <c r="E330" t="s">
        <v>2335</v>
      </c>
      <c r="F330" t="s">
        <v>1372</v>
      </c>
      <c r="G330" t="s">
        <v>207</v>
      </c>
      <c r="H330" t="s">
        <v>531</v>
      </c>
      <c r="I330" t="s">
        <v>961</v>
      </c>
      <c r="L330" t="s">
        <v>532</v>
      </c>
      <c r="M330" t="s">
        <v>533</v>
      </c>
      <c r="N330">
        <v>335</v>
      </c>
      <c r="W330" t="b">
        <v>0</v>
      </c>
      <c r="X330" t="s">
        <v>1685</v>
      </c>
      <c r="Y330" t="s">
        <v>2336</v>
      </c>
    </row>
    <row r="331" spans="2:25" hidden="1" x14ac:dyDescent="0.25">
      <c r="B331" t="s">
        <v>1374</v>
      </c>
      <c r="C331" t="s">
        <v>960</v>
      </c>
      <c r="D331" t="s">
        <v>1683</v>
      </c>
      <c r="E331" t="s">
        <v>2337</v>
      </c>
      <c r="F331" t="s">
        <v>1374</v>
      </c>
      <c r="G331" t="s">
        <v>207</v>
      </c>
      <c r="H331" t="s">
        <v>531</v>
      </c>
      <c r="I331" t="s">
        <v>961</v>
      </c>
      <c r="L331" t="s">
        <v>532</v>
      </c>
      <c r="M331" t="s">
        <v>533</v>
      </c>
      <c r="N331">
        <v>336</v>
      </c>
      <c r="W331" t="b">
        <v>0</v>
      </c>
      <c r="X331" t="s">
        <v>1685</v>
      </c>
      <c r="Y331" t="s">
        <v>2338</v>
      </c>
    </row>
    <row r="332" spans="2:25" hidden="1" x14ac:dyDescent="0.25">
      <c r="B332" t="s">
        <v>1376</v>
      </c>
      <c r="C332" t="s">
        <v>960</v>
      </c>
      <c r="D332" t="s">
        <v>1683</v>
      </c>
      <c r="E332" t="s">
        <v>2339</v>
      </c>
      <c r="F332" t="s">
        <v>1376</v>
      </c>
      <c r="G332" t="s">
        <v>207</v>
      </c>
      <c r="H332" t="s">
        <v>531</v>
      </c>
      <c r="I332" t="s">
        <v>961</v>
      </c>
      <c r="L332" t="s">
        <v>532</v>
      </c>
      <c r="M332" t="s">
        <v>533</v>
      </c>
      <c r="N332">
        <v>337</v>
      </c>
      <c r="W332" t="b">
        <v>0</v>
      </c>
      <c r="X332" t="s">
        <v>1685</v>
      </c>
      <c r="Y332" t="s">
        <v>2340</v>
      </c>
    </row>
    <row r="333" spans="2:25" hidden="1" x14ac:dyDescent="0.25">
      <c r="B333" t="s">
        <v>1262</v>
      </c>
      <c r="C333" t="s">
        <v>960</v>
      </c>
      <c r="D333" t="s">
        <v>1683</v>
      </c>
      <c r="E333" t="s">
        <v>2341</v>
      </c>
      <c r="F333" t="s">
        <v>1262</v>
      </c>
      <c r="G333" t="s">
        <v>207</v>
      </c>
      <c r="H333" t="s">
        <v>927</v>
      </c>
      <c r="I333" t="s">
        <v>961</v>
      </c>
      <c r="L333" t="s">
        <v>532</v>
      </c>
      <c r="M333" t="s">
        <v>533</v>
      </c>
      <c r="N333">
        <v>338</v>
      </c>
      <c r="W333" t="b">
        <v>0</v>
      </c>
      <c r="X333" t="s">
        <v>1685</v>
      </c>
      <c r="Y333" t="s">
        <v>2342</v>
      </c>
    </row>
    <row r="334" spans="2:25" hidden="1" x14ac:dyDescent="0.25">
      <c r="B334" t="s">
        <v>1362</v>
      </c>
      <c r="C334" t="s">
        <v>960</v>
      </c>
      <c r="D334" t="s">
        <v>1683</v>
      </c>
      <c r="E334" t="s">
        <v>2343</v>
      </c>
      <c r="F334" t="s">
        <v>1362</v>
      </c>
      <c r="G334" t="s">
        <v>23</v>
      </c>
      <c r="H334" t="s">
        <v>931</v>
      </c>
      <c r="I334" t="s">
        <v>961</v>
      </c>
      <c r="L334" t="s">
        <v>532</v>
      </c>
      <c r="M334" t="s">
        <v>533</v>
      </c>
      <c r="N334">
        <v>339</v>
      </c>
      <c r="W334" t="b">
        <v>0</v>
      </c>
      <c r="X334" t="s">
        <v>1685</v>
      </c>
      <c r="Y334" t="s">
        <v>2344</v>
      </c>
    </row>
    <row r="335" spans="2:25" hidden="1" x14ac:dyDescent="0.25">
      <c r="B335" t="s">
        <v>1338</v>
      </c>
      <c r="C335" t="s">
        <v>960</v>
      </c>
      <c r="D335" t="s">
        <v>1683</v>
      </c>
      <c r="E335" t="s">
        <v>2345</v>
      </c>
      <c r="F335" t="s">
        <v>1338</v>
      </c>
      <c r="G335" t="s">
        <v>207</v>
      </c>
      <c r="H335" t="s">
        <v>531</v>
      </c>
      <c r="I335" t="s">
        <v>961</v>
      </c>
      <c r="L335" t="s">
        <v>532</v>
      </c>
      <c r="M335" t="s">
        <v>533</v>
      </c>
      <c r="N335">
        <v>340</v>
      </c>
      <c r="W335" t="b">
        <v>0</v>
      </c>
      <c r="X335" t="s">
        <v>1685</v>
      </c>
      <c r="Y335" t="s">
        <v>2346</v>
      </c>
    </row>
    <row r="336" spans="2:25" hidden="1" x14ac:dyDescent="0.25">
      <c r="B336" t="s">
        <v>1340</v>
      </c>
      <c r="C336" t="s">
        <v>960</v>
      </c>
      <c r="D336" t="s">
        <v>1683</v>
      </c>
      <c r="E336" t="s">
        <v>2347</v>
      </c>
      <c r="F336" t="s">
        <v>1340</v>
      </c>
      <c r="G336" t="s">
        <v>207</v>
      </c>
      <c r="H336" t="s">
        <v>531</v>
      </c>
      <c r="I336" t="s">
        <v>961</v>
      </c>
      <c r="L336" t="s">
        <v>532</v>
      </c>
      <c r="M336" t="s">
        <v>533</v>
      </c>
      <c r="N336">
        <v>341</v>
      </c>
      <c r="W336" t="b">
        <v>0</v>
      </c>
      <c r="X336" t="s">
        <v>1685</v>
      </c>
      <c r="Y336" t="s">
        <v>2348</v>
      </c>
    </row>
    <row r="337" spans="2:25" hidden="1" x14ac:dyDescent="0.25">
      <c r="B337" t="s">
        <v>1342</v>
      </c>
      <c r="C337" t="s">
        <v>960</v>
      </c>
      <c r="D337" t="s">
        <v>1683</v>
      </c>
      <c r="E337" t="s">
        <v>2349</v>
      </c>
      <c r="F337" t="s">
        <v>1342</v>
      </c>
      <c r="G337" t="s">
        <v>23</v>
      </c>
      <c r="H337" t="s">
        <v>531</v>
      </c>
      <c r="I337" t="s">
        <v>961</v>
      </c>
      <c r="L337" t="s">
        <v>532</v>
      </c>
      <c r="M337" t="s">
        <v>533</v>
      </c>
      <c r="N337">
        <v>342</v>
      </c>
      <c r="W337" t="b">
        <v>0</v>
      </c>
      <c r="X337" t="s">
        <v>1685</v>
      </c>
      <c r="Y337" t="s">
        <v>2350</v>
      </c>
    </row>
    <row r="338" spans="2:25" hidden="1" x14ac:dyDescent="0.25">
      <c r="B338" t="s">
        <v>1234</v>
      </c>
      <c r="C338" t="s">
        <v>960</v>
      </c>
      <c r="D338" t="s">
        <v>1683</v>
      </c>
      <c r="E338" t="s">
        <v>2351</v>
      </c>
      <c r="F338" t="s">
        <v>1234</v>
      </c>
      <c r="G338" t="s">
        <v>23</v>
      </c>
      <c r="H338" t="s">
        <v>95</v>
      </c>
      <c r="I338" t="s">
        <v>961</v>
      </c>
      <c r="L338" t="s">
        <v>532</v>
      </c>
      <c r="M338" t="s">
        <v>533</v>
      </c>
      <c r="N338">
        <v>343</v>
      </c>
      <c r="W338" t="b">
        <v>0</v>
      </c>
      <c r="X338" t="s">
        <v>1685</v>
      </c>
      <c r="Y338" t="s">
        <v>2352</v>
      </c>
    </row>
    <row r="339" spans="2:25" hidden="1" x14ac:dyDescent="0.25">
      <c r="B339" t="s">
        <v>1344</v>
      </c>
      <c r="C339" t="s">
        <v>960</v>
      </c>
      <c r="D339" t="s">
        <v>1683</v>
      </c>
      <c r="E339" t="s">
        <v>2353</v>
      </c>
      <c r="F339" t="s">
        <v>1344</v>
      </c>
      <c r="G339" t="s">
        <v>207</v>
      </c>
      <c r="H339" t="s">
        <v>531</v>
      </c>
      <c r="I339" t="s">
        <v>961</v>
      </c>
      <c r="L339" t="s">
        <v>532</v>
      </c>
      <c r="M339" t="s">
        <v>533</v>
      </c>
      <c r="N339">
        <v>344</v>
      </c>
      <c r="W339" t="b">
        <v>0</v>
      </c>
      <c r="X339" t="s">
        <v>1685</v>
      </c>
      <c r="Y339" t="s">
        <v>2354</v>
      </c>
    </row>
    <row r="340" spans="2:25" hidden="1" x14ac:dyDescent="0.25">
      <c r="B340" t="s">
        <v>1346</v>
      </c>
      <c r="C340" t="s">
        <v>960</v>
      </c>
      <c r="D340" t="s">
        <v>1683</v>
      </c>
      <c r="E340" t="s">
        <v>2355</v>
      </c>
      <c r="F340" t="s">
        <v>1346</v>
      </c>
      <c r="G340" t="s">
        <v>207</v>
      </c>
      <c r="H340" t="s">
        <v>531</v>
      </c>
      <c r="I340" t="s">
        <v>961</v>
      </c>
      <c r="L340" t="s">
        <v>532</v>
      </c>
      <c r="M340" t="s">
        <v>533</v>
      </c>
      <c r="N340">
        <v>345</v>
      </c>
      <c r="W340" t="b">
        <v>0</v>
      </c>
      <c r="X340" t="s">
        <v>1685</v>
      </c>
      <c r="Y340" t="s">
        <v>2356</v>
      </c>
    </row>
    <row r="341" spans="2:25" hidden="1" x14ac:dyDescent="0.25">
      <c r="B341" t="s">
        <v>1310</v>
      </c>
      <c r="C341" t="s">
        <v>960</v>
      </c>
      <c r="D341" t="s">
        <v>1683</v>
      </c>
      <c r="E341" t="s">
        <v>2357</v>
      </c>
      <c r="F341" t="s">
        <v>1310</v>
      </c>
      <c r="G341" t="s">
        <v>23</v>
      </c>
      <c r="H341" t="s">
        <v>905</v>
      </c>
      <c r="I341" t="s">
        <v>961</v>
      </c>
      <c r="L341" t="s">
        <v>532</v>
      </c>
      <c r="M341" t="s">
        <v>533</v>
      </c>
      <c r="N341">
        <v>346</v>
      </c>
      <c r="W341" t="b">
        <v>0</v>
      </c>
      <c r="X341" t="s">
        <v>1685</v>
      </c>
      <c r="Y341" t="s">
        <v>2358</v>
      </c>
    </row>
    <row r="342" spans="2:25" hidden="1" x14ac:dyDescent="0.25">
      <c r="B342" t="s">
        <v>1252</v>
      </c>
      <c r="C342" t="s">
        <v>960</v>
      </c>
      <c r="D342" t="s">
        <v>1683</v>
      </c>
      <c r="E342" t="s">
        <v>2359</v>
      </c>
      <c r="F342" t="s">
        <v>1252</v>
      </c>
      <c r="G342" t="s">
        <v>23</v>
      </c>
      <c r="H342" t="s">
        <v>531</v>
      </c>
      <c r="I342" t="s">
        <v>961</v>
      </c>
      <c r="L342" t="s">
        <v>532</v>
      </c>
      <c r="M342" t="s">
        <v>533</v>
      </c>
      <c r="N342">
        <v>347</v>
      </c>
      <c r="W342" t="b">
        <v>0</v>
      </c>
      <c r="X342" t="s">
        <v>1685</v>
      </c>
      <c r="Y342" t="s">
        <v>2360</v>
      </c>
    </row>
    <row r="343" spans="2:25" hidden="1" x14ac:dyDescent="0.25">
      <c r="B343" t="s">
        <v>1296</v>
      </c>
      <c r="C343" t="s">
        <v>960</v>
      </c>
      <c r="D343" t="s">
        <v>1683</v>
      </c>
      <c r="E343" t="s">
        <v>2361</v>
      </c>
      <c r="F343" t="s">
        <v>1296</v>
      </c>
      <c r="G343" t="s">
        <v>23</v>
      </c>
      <c r="H343" t="s">
        <v>905</v>
      </c>
      <c r="I343" t="s">
        <v>961</v>
      </c>
      <c r="L343" t="s">
        <v>532</v>
      </c>
      <c r="M343" t="s">
        <v>533</v>
      </c>
      <c r="N343">
        <v>348</v>
      </c>
      <c r="W343" t="b">
        <v>0</v>
      </c>
      <c r="X343" t="s">
        <v>1685</v>
      </c>
      <c r="Y343" t="s">
        <v>2362</v>
      </c>
    </row>
    <row r="344" spans="2:25" hidden="1" x14ac:dyDescent="0.25">
      <c r="B344" t="s">
        <v>1366</v>
      </c>
      <c r="C344" t="s">
        <v>960</v>
      </c>
      <c r="D344" t="s">
        <v>1683</v>
      </c>
      <c r="E344" t="s">
        <v>2363</v>
      </c>
      <c r="F344" t="s">
        <v>1366</v>
      </c>
      <c r="G344" t="s">
        <v>207</v>
      </c>
      <c r="H344" t="s">
        <v>95</v>
      </c>
      <c r="I344" t="s">
        <v>961</v>
      </c>
      <c r="L344" t="s">
        <v>532</v>
      </c>
      <c r="M344" t="s">
        <v>533</v>
      </c>
      <c r="N344">
        <v>349</v>
      </c>
      <c r="W344" t="b">
        <v>0</v>
      </c>
      <c r="X344" t="s">
        <v>1685</v>
      </c>
      <c r="Y344" t="s">
        <v>2364</v>
      </c>
    </row>
    <row r="345" spans="2:25" hidden="1" x14ac:dyDescent="0.25">
      <c r="B345" t="s">
        <v>1334</v>
      </c>
      <c r="C345" t="s">
        <v>960</v>
      </c>
      <c r="D345" t="s">
        <v>1683</v>
      </c>
      <c r="E345" t="s">
        <v>2365</v>
      </c>
      <c r="F345" t="s">
        <v>1334</v>
      </c>
      <c r="G345" t="s">
        <v>207</v>
      </c>
      <c r="H345" t="s">
        <v>579</v>
      </c>
      <c r="I345" t="s">
        <v>961</v>
      </c>
      <c r="L345" t="s">
        <v>532</v>
      </c>
      <c r="M345" t="s">
        <v>533</v>
      </c>
      <c r="N345">
        <v>350</v>
      </c>
      <c r="W345" t="b">
        <v>0</v>
      </c>
      <c r="X345" t="s">
        <v>1685</v>
      </c>
      <c r="Y345" t="s">
        <v>2366</v>
      </c>
    </row>
    <row r="346" spans="2:25" hidden="1" x14ac:dyDescent="0.25">
      <c r="B346" t="s">
        <v>1152</v>
      </c>
      <c r="C346" t="s">
        <v>960</v>
      </c>
      <c r="D346" t="s">
        <v>1683</v>
      </c>
      <c r="E346" t="s">
        <v>2367</v>
      </c>
      <c r="F346" t="s">
        <v>1152</v>
      </c>
      <c r="G346" t="s">
        <v>23</v>
      </c>
      <c r="H346" t="s">
        <v>95</v>
      </c>
      <c r="I346" t="s">
        <v>961</v>
      </c>
      <c r="L346" t="s">
        <v>532</v>
      </c>
      <c r="M346" t="s">
        <v>533</v>
      </c>
      <c r="N346">
        <v>351</v>
      </c>
      <c r="W346" t="b">
        <v>0</v>
      </c>
      <c r="X346" t="s">
        <v>1685</v>
      </c>
      <c r="Y346" t="s">
        <v>2368</v>
      </c>
    </row>
    <row r="347" spans="2:25" hidden="1" x14ac:dyDescent="0.25">
      <c r="B347" t="s">
        <v>1360</v>
      </c>
      <c r="C347" t="s">
        <v>960</v>
      </c>
      <c r="D347" t="s">
        <v>1683</v>
      </c>
      <c r="E347" t="s">
        <v>2369</v>
      </c>
      <c r="F347" t="s">
        <v>1360</v>
      </c>
      <c r="G347" t="s">
        <v>23</v>
      </c>
      <c r="H347" t="s">
        <v>95</v>
      </c>
      <c r="I347" t="s">
        <v>961</v>
      </c>
      <c r="L347" t="s">
        <v>532</v>
      </c>
      <c r="M347" t="s">
        <v>533</v>
      </c>
      <c r="N347">
        <v>352</v>
      </c>
      <c r="W347" t="b">
        <v>0</v>
      </c>
      <c r="X347" t="s">
        <v>1685</v>
      </c>
      <c r="Y347" t="s">
        <v>2370</v>
      </c>
    </row>
    <row r="348" spans="2:25" hidden="1" x14ac:dyDescent="0.25">
      <c r="B348" t="s">
        <v>1422</v>
      </c>
      <c r="C348" t="s">
        <v>960</v>
      </c>
      <c r="D348" t="s">
        <v>1683</v>
      </c>
      <c r="E348" t="s">
        <v>2371</v>
      </c>
      <c r="F348" t="s">
        <v>1422</v>
      </c>
      <c r="G348" t="s">
        <v>23</v>
      </c>
      <c r="H348" t="s">
        <v>95</v>
      </c>
      <c r="I348" t="s">
        <v>961</v>
      </c>
      <c r="L348" t="s">
        <v>532</v>
      </c>
      <c r="M348" t="s">
        <v>533</v>
      </c>
      <c r="N348">
        <v>353</v>
      </c>
      <c r="W348" t="b">
        <v>0</v>
      </c>
      <c r="X348" t="s">
        <v>1685</v>
      </c>
      <c r="Y348" t="s">
        <v>2372</v>
      </c>
    </row>
    <row r="349" spans="2:25" hidden="1" x14ac:dyDescent="0.25">
      <c r="B349" t="s">
        <v>1650</v>
      </c>
      <c r="C349" t="s">
        <v>960</v>
      </c>
      <c r="D349" t="s">
        <v>1683</v>
      </c>
      <c r="E349" t="s">
        <v>2373</v>
      </c>
      <c r="F349" t="s">
        <v>1650</v>
      </c>
      <c r="G349" t="s">
        <v>23</v>
      </c>
      <c r="H349" t="s">
        <v>531</v>
      </c>
      <c r="I349" t="s">
        <v>961</v>
      </c>
      <c r="L349" t="s">
        <v>532</v>
      </c>
      <c r="M349" t="s">
        <v>533</v>
      </c>
      <c r="N349">
        <v>354</v>
      </c>
      <c r="W349" t="b">
        <v>0</v>
      </c>
      <c r="X349" t="s">
        <v>1685</v>
      </c>
      <c r="Y349" t="s">
        <v>2374</v>
      </c>
    </row>
    <row r="350" spans="2:25" hidden="1" x14ac:dyDescent="0.25">
      <c r="B350" t="s">
        <v>1284</v>
      </c>
      <c r="C350" t="s">
        <v>960</v>
      </c>
      <c r="D350" t="s">
        <v>1683</v>
      </c>
      <c r="E350" t="s">
        <v>2375</v>
      </c>
      <c r="F350" t="s">
        <v>1284</v>
      </c>
      <c r="G350" t="s">
        <v>23</v>
      </c>
      <c r="H350" t="s">
        <v>614</v>
      </c>
      <c r="I350" t="s">
        <v>961</v>
      </c>
      <c r="L350" t="s">
        <v>532</v>
      </c>
      <c r="M350" t="s">
        <v>533</v>
      </c>
      <c r="N350">
        <v>355</v>
      </c>
      <c r="W350" t="b">
        <v>0</v>
      </c>
      <c r="X350" t="s">
        <v>1685</v>
      </c>
      <c r="Y350" t="s">
        <v>2376</v>
      </c>
    </row>
    <row r="351" spans="2:25" hidden="1" x14ac:dyDescent="0.25">
      <c r="B351" t="s">
        <v>25</v>
      </c>
      <c r="C351" t="s">
        <v>1667</v>
      </c>
      <c r="D351" t="s">
        <v>1683</v>
      </c>
      <c r="E351" t="s">
        <v>35</v>
      </c>
      <c r="F351" t="s">
        <v>25</v>
      </c>
      <c r="G351" t="s">
        <v>23</v>
      </c>
      <c r="H351" t="s">
        <v>94</v>
      </c>
      <c r="I351" t="s">
        <v>961</v>
      </c>
      <c r="L351" t="s">
        <v>96</v>
      </c>
      <c r="M351" t="s">
        <v>97</v>
      </c>
      <c r="N351">
        <v>7</v>
      </c>
      <c r="W351" t="b">
        <v>0</v>
      </c>
      <c r="X351" t="s">
        <v>1685</v>
      </c>
      <c r="Y351" t="s">
        <v>2377</v>
      </c>
    </row>
    <row r="352" spans="2:25" hidden="1" x14ac:dyDescent="0.25">
      <c r="B352" t="s">
        <v>25</v>
      </c>
      <c r="C352" t="s">
        <v>1667</v>
      </c>
      <c r="D352" t="s">
        <v>1683</v>
      </c>
      <c r="E352" t="s">
        <v>36</v>
      </c>
      <c r="F352" t="s">
        <v>25</v>
      </c>
      <c r="G352" t="s">
        <v>23</v>
      </c>
      <c r="H352" t="s">
        <v>95</v>
      </c>
      <c r="I352" t="s">
        <v>961</v>
      </c>
      <c r="L352" t="s">
        <v>96</v>
      </c>
      <c r="M352" t="s">
        <v>97</v>
      </c>
      <c r="N352">
        <v>8</v>
      </c>
      <c r="W352" t="b">
        <v>0</v>
      </c>
      <c r="X352" t="s">
        <v>1685</v>
      </c>
      <c r="Y352" t="s">
        <v>2378</v>
      </c>
    </row>
    <row r="353" spans="1:25" hidden="1" x14ac:dyDescent="0.25">
      <c r="B353" t="s">
        <v>18</v>
      </c>
      <c r="C353" t="s">
        <v>1667</v>
      </c>
      <c r="D353" t="s">
        <v>1683</v>
      </c>
      <c r="E353" t="s">
        <v>37</v>
      </c>
      <c r="F353" t="s">
        <v>18</v>
      </c>
      <c r="G353" t="s">
        <v>23</v>
      </c>
      <c r="H353" t="s">
        <v>95</v>
      </c>
      <c r="I353" t="s">
        <v>961</v>
      </c>
      <c r="L353" t="s">
        <v>96</v>
      </c>
      <c r="M353" t="s">
        <v>97</v>
      </c>
      <c r="N353">
        <v>9</v>
      </c>
      <c r="W353" t="b">
        <v>0</v>
      </c>
      <c r="X353" t="s">
        <v>1685</v>
      </c>
      <c r="Y353" t="s">
        <v>2379</v>
      </c>
    </row>
    <row r="354" spans="1:25" hidden="1" x14ac:dyDescent="0.25">
      <c r="A354" t="s">
        <v>2380</v>
      </c>
      <c r="B354" t="s">
        <v>649</v>
      </c>
      <c r="C354" t="s">
        <v>2381</v>
      </c>
      <c r="D354" t="s">
        <v>2382</v>
      </c>
      <c r="E354" t="s">
        <v>649</v>
      </c>
      <c r="F354" t="s">
        <v>649</v>
      </c>
      <c r="G354" t="s">
        <v>207</v>
      </c>
      <c r="H354" t="s">
        <v>94</v>
      </c>
      <c r="I354" t="s">
        <v>961</v>
      </c>
      <c r="J354" t="s">
        <v>753</v>
      </c>
      <c r="L354" t="s">
        <v>747</v>
      </c>
      <c r="M354" t="s">
        <v>676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621</v>
      </c>
      <c r="V354">
        <v>1097684</v>
      </c>
      <c r="W354" t="b">
        <v>1</v>
      </c>
      <c r="Y354" t="s">
        <v>2383</v>
      </c>
    </row>
    <row r="355" spans="1:25" hidden="1" x14ac:dyDescent="0.25">
      <c r="A355" t="s">
        <v>2384</v>
      </c>
      <c r="B355" t="s">
        <v>650</v>
      </c>
      <c r="C355" t="s">
        <v>2381</v>
      </c>
      <c r="D355" t="s">
        <v>2382</v>
      </c>
      <c r="E355" t="s">
        <v>650</v>
      </c>
      <c r="F355" t="s">
        <v>650</v>
      </c>
      <c r="G355" t="s">
        <v>207</v>
      </c>
      <c r="H355" t="s">
        <v>94</v>
      </c>
      <c r="I355" t="s">
        <v>961</v>
      </c>
      <c r="J355" t="s">
        <v>753</v>
      </c>
      <c r="L355" t="s">
        <v>747</v>
      </c>
      <c r="M355" t="s">
        <v>676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621</v>
      </c>
      <c r="V355">
        <v>1048522</v>
      </c>
      <c r="W355" t="b">
        <v>1</v>
      </c>
      <c r="Y355" t="s">
        <v>2385</v>
      </c>
    </row>
    <row r="356" spans="1:25" hidden="1" x14ac:dyDescent="0.25">
      <c r="A356" t="s">
        <v>2386</v>
      </c>
      <c r="B356" t="s">
        <v>651</v>
      </c>
      <c r="C356" t="s">
        <v>2381</v>
      </c>
      <c r="D356" t="s">
        <v>2382</v>
      </c>
      <c r="E356" t="s">
        <v>651</v>
      </c>
      <c r="F356" t="s">
        <v>651</v>
      </c>
      <c r="G356" t="s">
        <v>207</v>
      </c>
      <c r="H356" t="s">
        <v>822</v>
      </c>
      <c r="I356" t="s">
        <v>961</v>
      </c>
      <c r="J356" t="s">
        <v>754</v>
      </c>
      <c r="L356" t="s">
        <v>747</v>
      </c>
      <c r="M356" t="s">
        <v>676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652</v>
      </c>
      <c r="V356">
        <v>1399863</v>
      </c>
      <c r="W356" t="b">
        <v>1</v>
      </c>
      <c r="Y356" t="s">
        <v>2387</v>
      </c>
    </row>
    <row r="357" spans="1:25" hidden="1" x14ac:dyDescent="0.25">
      <c r="A357" t="s">
        <v>2388</v>
      </c>
      <c r="B357" t="s">
        <v>2389</v>
      </c>
      <c r="C357" t="s">
        <v>2381</v>
      </c>
      <c r="D357" t="s">
        <v>2382</v>
      </c>
      <c r="E357" t="s">
        <v>2389</v>
      </c>
      <c r="F357" t="s">
        <v>2389</v>
      </c>
      <c r="G357" t="s">
        <v>207</v>
      </c>
      <c r="H357" t="s">
        <v>822</v>
      </c>
      <c r="I357" t="s">
        <v>961</v>
      </c>
      <c r="J357" t="s">
        <v>754</v>
      </c>
      <c r="L357" t="s">
        <v>747</v>
      </c>
      <c r="M357" t="s">
        <v>676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621</v>
      </c>
      <c r="V357">
        <v>1398206</v>
      </c>
      <c r="W357" t="b">
        <v>1</v>
      </c>
      <c r="Y357" t="s">
        <v>2390</v>
      </c>
    </row>
    <row r="358" spans="1:25" hidden="1" x14ac:dyDescent="0.25">
      <c r="A358" t="s">
        <v>2391</v>
      </c>
      <c r="B358" t="s">
        <v>2392</v>
      </c>
      <c r="C358" t="s">
        <v>2381</v>
      </c>
      <c r="D358" t="s">
        <v>2382</v>
      </c>
      <c r="E358" t="s">
        <v>2392</v>
      </c>
      <c r="F358" t="s">
        <v>2392</v>
      </c>
      <c r="G358" t="s">
        <v>207</v>
      </c>
      <c r="H358" t="s">
        <v>822</v>
      </c>
      <c r="I358" t="s">
        <v>961</v>
      </c>
      <c r="J358" t="s">
        <v>754</v>
      </c>
      <c r="L358" t="s">
        <v>747</v>
      </c>
      <c r="M358" t="s">
        <v>676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621</v>
      </c>
      <c r="V358">
        <v>1463352</v>
      </c>
      <c r="W358" t="b">
        <v>1</v>
      </c>
      <c r="Y358" t="s">
        <v>2393</v>
      </c>
    </row>
    <row r="359" spans="1:25" hidden="1" x14ac:dyDescent="0.25">
      <c r="A359" t="s">
        <v>2394</v>
      </c>
      <c r="B359" t="s">
        <v>2395</v>
      </c>
      <c r="C359" t="s">
        <v>2381</v>
      </c>
      <c r="D359" t="s">
        <v>2382</v>
      </c>
      <c r="E359" t="s">
        <v>2396</v>
      </c>
      <c r="F359" t="s">
        <v>2395</v>
      </c>
      <c r="G359" t="s">
        <v>207</v>
      </c>
      <c r="H359" t="s">
        <v>94</v>
      </c>
      <c r="I359" t="s">
        <v>961</v>
      </c>
      <c r="J359" t="s">
        <v>755</v>
      </c>
      <c r="L359" t="s">
        <v>747</v>
      </c>
      <c r="M359" t="s">
        <v>676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621</v>
      </c>
      <c r="V359">
        <v>1060979</v>
      </c>
      <c r="W359" t="b">
        <v>1</v>
      </c>
      <c r="Y359" t="s">
        <v>2397</v>
      </c>
    </row>
    <row r="360" spans="1:25" hidden="1" x14ac:dyDescent="0.25">
      <c r="A360" t="s">
        <v>2394</v>
      </c>
      <c r="B360" t="s">
        <v>2395</v>
      </c>
      <c r="C360" t="s">
        <v>2381</v>
      </c>
      <c r="D360" t="s">
        <v>2382</v>
      </c>
      <c r="E360" t="s">
        <v>2398</v>
      </c>
      <c r="F360" t="s">
        <v>2395</v>
      </c>
      <c r="G360" t="s">
        <v>207</v>
      </c>
      <c r="H360" t="s">
        <v>94</v>
      </c>
      <c r="I360" t="s">
        <v>961</v>
      </c>
      <c r="J360" t="s">
        <v>755</v>
      </c>
      <c r="L360" t="s">
        <v>747</v>
      </c>
      <c r="M360" t="s">
        <v>676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621</v>
      </c>
      <c r="V360">
        <v>1060979</v>
      </c>
      <c r="W360" t="b">
        <v>1</v>
      </c>
      <c r="Y360" t="s">
        <v>2399</v>
      </c>
    </row>
    <row r="361" spans="1:25" hidden="1" x14ac:dyDescent="0.25">
      <c r="A361" t="s">
        <v>2400</v>
      </c>
      <c r="B361" t="s">
        <v>2401</v>
      </c>
      <c r="C361" t="s">
        <v>2381</v>
      </c>
      <c r="D361" t="s">
        <v>2382</v>
      </c>
      <c r="E361" t="s">
        <v>2402</v>
      </c>
      <c r="F361" t="s">
        <v>2401</v>
      </c>
      <c r="G361" t="s">
        <v>207</v>
      </c>
      <c r="H361" t="s">
        <v>94</v>
      </c>
      <c r="I361" t="s">
        <v>961</v>
      </c>
      <c r="J361" t="s">
        <v>755</v>
      </c>
      <c r="L361" t="s">
        <v>747</v>
      </c>
      <c r="M361" t="s">
        <v>676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621</v>
      </c>
      <c r="V361">
        <v>1110979</v>
      </c>
      <c r="W361" t="b">
        <v>1</v>
      </c>
      <c r="Y361" t="s">
        <v>2403</v>
      </c>
    </row>
    <row r="362" spans="1:25" hidden="1" x14ac:dyDescent="0.25">
      <c r="A362" t="s">
        <v>2400</v>
      </c>
      <c r="B362" t="s">
        <v>2401</v>
      </c>
      <c r="C362" t="s">
        <v>2381</v>
      </c>
      <c r="D362" t="s">
        <v>2382</v>
      </c>
      <c r="E362" t="s">
        <v>2404</v>
      </c>
      <c r="F362" t="s">
        <v>2401</v>
      </c>
      <c r="G362" t="s">
        <v>207</v>
      </c>
      <c r="H362" t="s">
        <v>94</v>
      </c>
      <c r="I362" t="s">
        <v>961</v>
      </c>
      <c r="J362" t="s">
        <v>2405</v>
      </c>
      <c r="L362" t="s">
        <v>747</v>
      </c>
      <c r="M362" t="s">
        <v>676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621</v>
      </c>
      <c r="V362">
        <v>1110979</v>
      </c>
      <c r="W362" t="b">
        <v>1</v>
      </c>
      <c r="Y362" t="s">
        <v>2406</v>
      </c>
    </row>
    <row r="363" spans="1:25" hidden="1" x14ac:dyDescent="0.25">
      <c r="A363" t="s">
        <v>2400</v>
      </c>
      <c r="B363" t="s">
        <v>2401</v>
      </c>
      <c r="C363" t="s">
        <v>2381</v>
      </c>
      <c r="D363" t="s">
        <v>2382</v>
      </c>
      <c r="E363" t="s">
        <v>2407</v>
      </c>
      <c r="F363" t="s">
        <v>2401</v>
      </c>
      <c r="G363" t="s">
        <v>207</v>
      </c>
      <c r="H363" t="s">
        <v>94</v>
      </c>
      <c r="I363" t="s">
        <v>961</v>
      </c>
      <c r="J363" t="s">
        <v>2405</v>
      </c>
      <c r="L363" t="s">
        <v>747</v>
      </c>
      <c r="M363" t="s">
        <v>676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621</v>
      </c>
      <c r="V363">
        <v>1110979</v>
      </c>
      <c r="W363" t="b">
        <v>1</v>
      </c>
      <c r="Y363" t="s">
        <v>2408</v>
      </c>
    </row>
    <row r="364" spans="1:25" hidden="1" x14ac:dyDescent="0.25">
      <c r="A364" t="s">
        <v>2409</v>
      </c>
      <c r="B364" t="s">
        <v>2410</v>
      </c>
      <c r="C364" t="s">
        <v>2381</v>
      </c>
      <c r="D364" t="s">
        <v>2382</v>
      </c>
      <c r="E364" t="s">
        <v>2410</v>
      </c>
      <c r="F364" t="s">
        <v>2410</v>
      </c>
      <c r="G364" t="s">
        <v>207</v>
      </c>
      <c r="H364" t="s">
        <v>823</v>
      </c>
      <c r="I364" t="s">
        <v>961</v>
      </c>
      <c r="J364" t="s">
        <v>2411</v>
      </c>
      <c r="L364" t="s">
        <v>747</v>
      </c>
      <c r="M364" t="s">
        <v>676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619</v>
      </c>
      <c r="V364">
        <v>254498</v>
      </c>
      <c r="W364" t="b">
        <v>1</v>
      </c>
      <c r="Y364" t="s">
        <v>2412</v>
      </c>
    </row>
    <row r="365" spans="1:25" hidden="1" x14ac:dyDescent="0.25">
      <c r="A365" t="s">
        <v>2413</v>
      </c>
      <c r="B365" t="s">
        <v>2414</v>
      </c>
      <c r="C365" t="s">
        <v>2381</v>
      </c>
      <c r="D365" t="s">
        <v>2382</v>
      </c>
      <c r="E365" t="s">
        <v>2414</v>
      </c>
      <c r="F365" t="s">
        <v>2414</v>
      </c>
      <c r="G365" t="s">
        <v>207</v>
      </c>
      <c r="H365" t="s">
        <v>823</v>
      </c>
      <c r="I365" t="s">
        <v>961</v>
      </c>
      <c r="J365" t="s">
        <v>2415</v>
      </c>
      <c r="L365" t="s">
        <v>747</v>
      </c>
      <c r="M365" t="s">
        <v>676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619</v>
      </c>
      <c r="V365">
        <v>253295</v>
      </c>
      <c r="W365" t="b">
        <v>1</v>
      </c>
      <c r="Y365" t="s">
        <v>2416</v>
      </c>
    </row>
    <row r="366" spans="1:25" hidden="1" x14ac:dyDescent="0.25">
      <c r="A366" t="s">
        <v>2417</v>
      </c>
      <c r="B366" t="s">
        <v>2418</v>
      </c>
      <c r="C366" t="s">
        <v>2381</v>
      </c>
      <c r="D366" t="s">
        <v>2382</v>
      </c>
      <c r="E366" t="s">
        <v>2418</v>
      </c>
      <c r="F366" t="s">
        <v>2418</v>
      </c>
      <c r="G366" t="s">
        <v>207</v>
      </c>
      <c r="H366" t="s">
        <v>95</v>
      </c>
      <c r="I366" t="s">
        <v>961</v>
      </c>
      <c r="J366" t="s">
        <v>2419</v>
      </c>
      <c r="L366" t="s">
        <v>747</v>
      </c>
      <c r="M366" t="s">
        <v>676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2420</v>
      </c>
      <c r="V366">
        <v>623516</v>
      </c>
      <c r="W366" t="b">
        <v>1</v>
      </c>
      <c r="Y366" t="s">
        <v>2421</v>
      </c>
    </row>
    <row r="367" spans="1:25" hidden="1" x14ac:dyDescent="0.25">
      <c r="A367" t="s">
        <v>2422</v>
      </c>
      <c r="B367" t="s">
        <v>2423</v>
      </c>
      <c r="C367" t="s">
        <v>2381</v>
      </c>
      <c r="D367" t="s">
        <v>2382</v>
      </c>
      <c r="E367" t="s">
        <v>2423</v>
      </c>
      <c r="F367" t="s">
        <v>2423</v>
      </c>
      <c r="G367" t="s">
        <v>207</v>
      </c>
      <c r="H367" t="s">
        <v>95</v>
      </c>
      <c r="I367" t="s">
        <v>961</v>
      </c>
      <c r="J367" t="s">
        <v>2419</v>
      </c>
      <c r="L367" t="s">
        <v>747</v>
      </c>
      <c r="M367" t="s">
        <v>676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2420</v>
      </c>
      <c r="V367">
        <v>748621</v>
      </c>
      <c r="W367" t="b">
        <v>1</v>
      </c>
      <c r="Y367" t="s">
        <v>2424</v>
      </c>
    </row>
    <row r="368" spans="1:25" hidden="1" x14ac:dyDescent="0.25">
      <c r="A368" t="s">
        <v>934</v>
      </c>
      <c r="B368" t="s">
        <v>935</v>
      </c>
      <c r="C368" t="s">
        <v>2381</v>
      </c>
      <c r="D368" t="s">
        <v>2382</v>
      </c>
      <c r="E368" t="s">
        <v>935</v>
      </c>
      <c r="F368" t="s">
        <v>935</v>
      </c>
      <c r="G368" t="s">
        <v>207</v>
      </c>
      <c r="H368" t="s">
        <v>931</v>
      </c>
      <c r="I368" t="s">
        <v>961</v>
      </c>
      <c r="J368" t="s">
        <v>2425</v>
      </c>
      <c r="L368" t="s">
        <v>747</v>
      </c>
      <c r="M368" t="s">
        <v>676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621</v>
      </c>
      <c r="V368">
        <v>1237860</v>
      </c>
      <c r="W368" t="b">
        <v>1</v>
      </c>
      <c r="Y368" t="s">
        <v>2426</v>
      </c>
    </row>
    <row r="369" spans="1:25" hidden="1" x14ac:dyDescent="0.25">
      <c r="A369" t="s">
        <v>2427</v>
      </c>
      <c r="B369" t="s">
        <v>2428</v>
      </c>
      <c r="C369" t="s">
        <v>2381</v>
      </c>
      <c r="D369" t="s">
        <v>2382</v>
      </c>
      <c r="E369" t="s">
        <v>2428</v>
      </c>
      <c r="F369" t="s">
        <v>2428</v>
      </c>
      <c r="G369" t="s">
        <v>207</v>
      </c>
      <c r="H369" t="s">
        <v>614</v>
      </c>
      <c r="I369" t="s">
        <v>961</v>
      </c>
      <c r="J369" t="s">
        <v>2429</v>
      </c>
      <c r="L369" t="s">
        <v>747</v>
      </c>
      <c r="M369" t="s">
        <v>676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619</v>
      </c>
      <c r="V369">
        <v>286480</v>
      </c>
      <c r="W369" t="b">
        <v>1</v>
      </c>
      <c r="Y369" t="s">
        <v>2430</v>
      </c>
    </row>
    <row r="370" spans="1:25" hidden="1" x14ac:dyDescent="0.25">
      <c r="A370" t="s">
        <v>2431</v>
      </c>
      <c r="B370" t="s">
        <v>2432</v>
      </c>
      <c r="C370" t="s">
        <v>2381</v>
      </c>
      <c r="D370" t="s">
        <v>2382</v>
      </c>
      <c r="E370" t="s">
        <v>2432</v>
      </c>
      <c r="F370" t="s">
        <v>2432</v>
      </c>
      <c r="G370" t="s">
        <v>207</v>
      </c>
      <c r="H370" t="s">
        <v>614</v>
      </c>
      <c r="I370" t="s">
        <v>961</v>
      </c>
      <c r="J370" t="s">
        <v>2429</v>
      </c>
      <c r="L370" t="s">
        <v>747</v>
      </c>
      <c r="M370" t="s">
        <v>676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619</v>
      </c>
      <c r="V370">
        <v>262762</v>
      </c>
      <c r="W370" t="b">
        <v>1</v>
      </c>
      <c r="Y370" t="s">
        <v>2433</v>
      </c>
    </row>
    <row r="371" spans="1:25" hidden="1" x14ac:dyDescent="0.25">
      <c r="A371" t="s">
        <v>2434</v>
      </c>
      <c r="B371" t="s">
        <v>2435</v>
      </c>
      <c r="C371" t="s">
        <v>2381</v>
      </c>
      <c r="D371" t="s">
        <v>2382</v>
      </c>
      <c r="E371" t="s">
        <v>2435</v>
      </c>
      <c r="F371" t="s">
        <v>2435</v>
      </c>
      <c r="G371" t="s">
        <v>207</v>
      </c>
      <c r="H371" t="s">
        <v>614</v>
      </c>
      <c r="I371" t="s">
        <v>961</v>
      </c>
      <c r="J371" t="s">
        <v>2429</v>
      </c>
      <c r="L371" t="s">
        <v>747</v>
      </c>
      <c r="M371" t="s">
        <v>676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619</v>
      </c>
      <c r="V371">
        <v>273885</v>
      </c>
      <c r="W371" t="b">
        <v>1</v>
      </c>
      <c r="Y371" t="s">
        <v>2436</v>
      </c>
    </row>
    <row r="372" spans="1:25" hidden="1" x14ac:dyDescent="0.25">
      <c r="A372" t="s">
        <v>2437</v>
      </c>
      <c r="B372" t="s">
        <v>2438</v>
      </c>
      <c r="C372" t="s">
        <v>2381</v>
      </c>
      <c r="D372" t="s">
        <v>2382</v>
      </c>
      <c r="E372" t="s">
        <v>2438</v>
      </c>
      <c r="F372" t="s">
        <v>2438</v>
      </c>
      <c r="G372" t="s">
        <v>207</v>
      </c>
      <c r="H372" t="s">
        <v>614</v>
      </c>
      <c r="I372" t="s">
        <v>961</v>
      </c>
      <c r="J372" t="s">
        <v>2439</v>
      </c>
      <c r="L372" t="s">
        <v>747</v>
      </c>
      <c r="M372" t="s">
        <v>676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619</v>
      </c>
      <c r="V372">
        <v>283959</v>
      </c>
      <c r="W372" t="b">
        <v>1</v>
      </c>
      <c r="Y372" t="s">
        <v>2440</v>
      </c>
    </row>
    <row r="373" spans="1:25" hidden="1" x14ac:dyDescent="0.25">
      <c r="A373" t="s">
        <v>2441</v>
      </c>
      <c r="B373" t="s">
        <v>2442</v>
      </c>
      <c r="C373" t="s">
        <v>2381</v>
      </c>
      <c r="D373" t="s">
        <v>2382</v>
      </c>
      <c r="E373" t="s">
        <v>2442</v>
      </c>
      <c r="F373" t="s">
        <v>2442</v>
      </c>
      <c r="G373" t="s">
        <v>207</v>
      </c>
      <c r="H373" t="s">
        <v>822</v>
      </c>
      <c r="I373" t="s">
        <v>961</v>
      </c>
      <c r="J373" t="s">
        <v>2443</v>
      </c>
      <c r="L373" t="s">
        <v>747</v>
      </c>
      <c r="M373" t="s">
        <v>676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621</v>
      </c>
      <c r="V373">
        <v>901548</v>
      </c>
      <c r="W373" t="b">
        <v>1</v>
      </c>
      <c r="Y373" t="s">
        <v>2444</v>
      </c>
    </row>
    <row r="374" spans="1:25" hidden="1" x14ac:dyDescent="0.25">
      <c r="A374" t="s">
        <v>2445</v>
      </c>
      <c r="B374" t="s">
        <v>2446</v>
      </c>
      <c r="C374" t="s">
        <v>2381</v>
      </c>
      <c r="D374" t="s">
        <v>2382</v>
      </c>
      <c r="E374" t="s">
        <v>2446</v>
      </c>
      <c r="F374" t="s">
        <v>2446</v>
      </c>
      <c r="G374" t="s">
        <v>207</v>
      </c>
      <c r="H374" t="s">
        <v>822</v>
      </c>
      <c r="I374" t="s">
        <v>961</v>
      </c>
      <c r="J374" t="s">
        <v>2443</v>
      </c>
      <c r="L374" t="s">
        <v>747</v>
      </c>
      <c r="M374" t="s">
        <v>676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621</v>
      </c>
      <c r="V374">
        <v>901548</v>
      </c>
      <c r="W374" t="b">
        <v>1</v>
      </c>
      <c r="Y374" t="s">
        <v>2447</v>
      </c>
    </row>
    <row r="375" spans="1:25" hidden="1" x14ac:dyDescent="0.25">
      <c r="A375" t="s">
        <v>2448</v>
      </c>
      <c r="B375" t="s">
        <v>2449</v>
      </c>
      <c r="C375" t="s">
        <v>2381</v>
      </c>
      <c r="D375" t="s">
        <v>2382</v>
      </c>
      <c r="E375" t="s">
        <v>2449</v>
      </c>
      <c r="F375" t="s">
        <v>2449</v>
      </c>
      <c r="G375" t="s">
        <v>207</v>
      </c>
      <c r="H375" t="s">
        <v>927</v>
      </c>
      <c r="I375" t="s">
        <v>961</v>
      </c>
      <c r="J375" t="s">
        <v>2450</v>
      </c>
      <c r="L375" t="s">
        <v>747</v>
      </c>
      <c r="M375" t="s">
        <v>676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619</v>
      </c>
      <c r="V375">
        <v>238480</v>
      </c>
      <c r="W375" t="b">
        <v>1</v>
      </c>
      <c r="Y375" t="s">
        <v>2451</v>
      </c>
    </row>
    <row r="376" spans="1:25" hidden="1" x14ac:dyDescent="0.25">
      <c r="A376" t="s">
        <v>2452</v>
      </c>
      <c r="B376" t="s">
        <v>2453</v>
      </c>
      <c r="C376" t="s">
        <v>2381</v>
      </c>
      <c r="D376" t="s">
        <v>2382</v>
      </c>
      <c r="E376" t="s">
        <v>2453</v>
      </c>
      <c r="F376" t="s">
        <v>2453</v>
      </c>
      <c r="G376" t="s">
        <v>207</v>
      </c>
      <c r="H376" t="s">
        <v>927</v>
      </c>
      <c r="I376" t="s">
        <v>961</v>
      </c>
      <c r="J376" t="s">
        <v>2450</v>
      </c>
      <c r="L376" t="s">
        <v>747</v>
      </c>
      <c r="M376" t="s">
        <v>676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619</v>
      </c>
      <c r="V376">
        <v>219480</v>
      </c>
      <c r="W376" t="b">
        <v>1</v>
      </c>
      <c r="Y376" t="s">
        <v>2454</v>
      </c>
    </row>
    <row r="377" spans="1:25" hidden="1" x14ac:dyDescent="0.25">
      <c r="A377" t="s">
        <v>2455</v>
      </c>
      <c r="B377" t="s">
        <v>2456</v>
      </c>
      <c r="C377" t="s">
        <v>2381</v>
      </c>
      <c r="D377" t="s">
        <v>2382</v>
      </c>
      <c r="E377" t="s">
        <v>2457</v>
      </c>
      <c r="F377" t="s">
        <v>2456</v>
      </c>
      <c r="G377" t="s">
        <v>207</v>
      </c>
      <c r="H377" t="s">
        <v>94</v>
      </c>
      <c r="I377" t="s">
        <v>961</v>
      </c>
      <c r="J377" t="s">
        <v>2458</v>
      </c>
      <c r="L377" t="s">
        <v>747</v>
      </c>
      <c r="M377" t="s">
        <v>676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621</v>
      </c>
      <c r="V377">
        <v>750293</v>
      </c>
      <c r="W377" t="b">
        <v>1</v>
      </c>
      <c r="Y377" t="s">
        <v>2459</v>
      </c>
    </row>
    <row r="378" spans="1:25" hidden="1" x14ac:dyDescent="0.25">
      <c r="A378" t="s">
        <v>2455</v>
      </c>
      <c r="B378" t="s">
        <v>2456</v>
      </c>
      <c r="C378" t="s">
        <v>2381</v>
      </c>
      <c r="D378" t="s">
        <v>2382</v>
      </c>
      <c r="E378" t="s">
        <v>2460</v>
      </c>
      <c r="F378" t="s">
        <v>2456</v>
      </c>
      <c r="G378" t="s">
        <v>207</v>
      </c>
      <c r="H378" t="s">
        <v>94</v>
      </c>
      <c r="I378" t="s">
        <v>961</v>
      </c>
      <c r="J378" t="s">
        <v>2458</v>
      </c>
      <c r="L378" t="s">
        <v>747</v>
      </c>
      <c r="M378" t="s">
        <v>676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621</v>
      </c>
      <c r="V378">
        <v>750293</v>
      </c>
      <c r="W378" t="b">
        <v>1</v>
      </c>
      <c r="Y378" t="s">
        <v>2461</v>
      </c>
    </row>
    <row r="379" spans="1:25" hidden="1" x14ac:dyDescent="0.25">
      <c r="A379" t="s">
        <v>2455</v>
      </c>
      <c r="B379" t="s">
        <v>2456</v>
      </c>
      <c r="C379" t="s">
        <v>2381</v>
      </c>
      <c r="D379" t="s">
        <v>2382</v>
      </c>
      <c r="E379" t="s">
        <v>2462</v>
      </c>
      <c r="F379" t="s">
        <v>2456</v>
      </c>
      <c r="G379" t="s">
        <v>207</v>
      </c>
      <c r="H379" t="s">
        <v>94</v>
      </c>
      <c r="I379" t="s">
        <v>961</v>
      </c>
      <c r="J379" t="s">
        <v>2458</v>
      </c>
      <c r="L379" t="s">
        <v>747</v>
      </c>
      <c r="M379" t="s">
        <v>676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621</v>
      </c>
      <c r="V379">
        <v>750293</v>
      </c>
      <c r="W379" t="b">
        <v>1</v>
      </c>
      <c r="Y379" t="s">
        <v>2463</v>
      </c>
    </row>
    <row r="380" spans="1:25" hidden="1" x14ac:dyDescent="0.25">
      <c r="A380" t="s">
        <v>2455</v>
      </c>
      <c r="B380" t="s">
        <v>2456</v>
      </c>
      <c r="C380" t="s">
        <v>2381</v>
      </c>
      <c r="D380" t="s">
        <v>2382</v>
      </c>
      <c r="E380" t="s">
        <v>2464</v>
      </c>
      <c r="F380" t="s">
        <v>2456</v>
      </c>
      <c r="G380" t="s">
        <v>207</v>
      </c>
      <c r="H380" t="s">
        <v>94</v>
      </c>
      <c r="I380" t="s">
        <v>961</v>
      </c>
      <c r="J380" t="s">
        <v>2458</v>
      </c>
      <c r="L380" t="s">
        <v>747</v>
      </c>
      <c r="M380" t="s">
        <v>676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621</v>
      </c>
      <c r="V380">
        <v>750293</v>
      </c>
      <c r="W380" t="b">
        <v>1</v>
      </c>
      <c r="Y380" t="s">
        <v>2465</v>
      </c>
    </row>
    <row r="381" spans="1:25" hidden="1" x14ac:dyDescent="0.25">
      <c r="A381" t="s">
        <v>2455</v>
      </c>
      <c r="B381" t="s">
        <v>2456</v>
      </c>
      <c r="C381" t="s">
        <v>2381</v>
      </c>
      <c r="D381" t="s">
        <v>2382</v>
      </c>
      <c r="E381" t="s">
        <v>2466</v>
      </c>
      <c r="F381" t="s">
        <v>2456</v>
      </c>
      <c r="G381" t="s">
        <v>207</v>
      </c>
      <c r="H381" t="s">
        <v>94</v>
      </c>
      <c r="I381" t="s">
        <v>961</v>
      </c>
      <c r="J381" t="s">
        <v>2467</v>
      </c>
      <c r="L381" t="s">
        <v>747</v>
      </c>
      <c r="M381" t="s">
        <v>676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621</v>
      </c>
      <c r="V381">
        <v>750293</v>
      </c>
      <c r="W381" t="b">
        <v>1</v>
      </c>
      <c r="Y381" t="s">
        <v>2468</v>
      </c>
    </row>
    <row r="382" spans="1:25" hidden="1" x14ac:dyDescent="0.25">
      <c r="A382" t="s">
        <v>2455</v>
      </c>
      <c r="B382" t="s">
        <v>2456</v>
      </c>
      <c r="C382" t="s">
        <v>2381</v>
      </c>
      <c r="D382" t="s">
        <v>2382</v>
      </c>
      <c r="E382" t="s">
        <v>2469</v>
      </c>
      <c r="F382" t="s">
        <v>2456</v>
      </c>
      <c r="G382" t="s">
        <v>207</v>
      </c>
      <c r="H382" t="s">
        <v>94</v>
      </c>
      <c r="I382" t="s">
        <v>961</v>
      </c>
      <c r="J382" t="s">
        <v>2467</v>
      </c>
      <c r="L382" t="s">
        <v>747</v>
      </c>
      <c r="M382" t="s">
        <v>676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621</v>
      </c>
      <c r="V382">
        <v>750293</v>
      </c>
      <c r="W382" t="b">
        <v>1</v>
      </c>
      <c r="Y382" t="s">
        <v>2470</v>
      </c>
    </row>
    <row r="383" spans="1:25" hidden="1" x14ac:dyDescent="0.25">
      <c r="A383" t="s">
        <v>2455</v>
      </c>
      <c r="B383" t="s">
        <v>2456</v>
      </c>
      <c r="C383" t="s">
        <v>2381</v>
      </c>
      <c r="D383" t="s">
        <v>2382</v>
      </c>
      <c r="E383" t="s">
        <v>2471</v>
      </c>
      <c r="F383" t="s">
        <v>2456</v>
      </c>
      <c r="G383" t="s">
        <v>207</v>
      </c>
      <c r="H383" t="s">
        <v>94</v>
      </c>
      <c r="I383" t="s">
        <v>961</v>
      </c>
      <c r="J383" t="s">
        <v>2458</v>
      </c>
      <c r="L383" t="s">
        <v>747</v>
      </c>
      <c r="M383" t="s">
        <v>676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621</v>
      </c>
      <c r="V383">
        <v>750293</v>
      </c>
      <c r="W383" t="b">
        <v>1</v>
      </c>
      <c r="Y383" t="s">
        <v>2472</v>
      </c>
    </row>
    <row r="384" spans="1:25" hidden="1" x14ac:dyDescent="0.25">
      <c r="A384" t="s">
        <v>2473</v>
      </c>
      <c r="B384" t="s">
        <v>2474</v>
      </c>
      <c r="C384" t="s">
        <v>2381</v>
      </c>
      <c r="D384" t="s">
        <v>2382</v>
      </c>
      <c r="E384" t="s">
        <v>2475</v>
      </c>
      <c r="F384" t="s">
        <v>2474</v>
      </c>
      <c r="G384" t="s">
        <v>207</v>
      </c>
      <c r="H384" t="s">
        <v>822</v>
      </c>
      <c r="I384" t="s">
        <v>961</v>
      </c>
      <c r="J384" t="s">
        <v>2476</v>
      </c>
      <c r="L384" t="s">
        <v>747</v>
      </c>
      <c r="M384" t="s">
        <v>676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621</v>
      </c>
      <c r="V384">
        <v>658076</v>
      </c>
      <c r="W384" t="b">
        <v>1</v>
      </c>
      <c r="Y384" t="s">
        <v>2477</v>
      </c>
    </row>
    <row r="385" spans="1:25" hidden="1" x14ac:dyDescent="0.25">
      <c r="A385" t="s">
        <v>2473</v>
      </c>
      <c r="B385" t="s">
        <v>2474</v>
      </c>
      <c r="C385" t="s">
        <v>2381</v>
      </c>
      <c r="D385" t="s">
        <v>2382</v>
      </c>
      <c r="E385" t="s">
        <v>2478</v>
      </c>
      <c r="F385" t="s">
        <v>2474</v>
      </c>
      <c r="G385" t="s">
        <v>207</v>
      </c>
      <c r="H385" t="s">
        <v>822</v>
      </c>
      <c r="I385" t="s">
        <v>961</v>
      </c>
      <c r="J385" t="s">
        <v>2476</v>
      </c>
      <c r="L385" t="s">
        <v>747</v>
      </c>
      <c r="M385" t="s">
        <v>676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621</v>
      </c>
      <c r="V385">
        <v>658076</v>
      </c>
      <c r="W385" t="b">
        <v>1</v>
      </c>
      <c r="Y385" t="s">
        <v>2479</v>
      </c>
    </row>
    <row r="386" spans="1:25" hidden="1" x14ac:dyDescent="0.25">
      <c r="A386" t="s">
        <v>2473</v>
      </c>
      <c r="B386" t="s">
        <v>2474</v>
      </c>
      <c r="C386" t="s">
        <v>2381</v>
      </c>
      <c r="D386" t="s">
        <v>2382</v>
      </c>
      <c r="E386" t="s">
        <v>2480</v>
      </c>
      <c r="F386" t="s">
        <v>2474</v>
      </c>
      <c r="G386" t="s">
        <v>207</v>
      </c>
      <c r="H386" t="s">
        <v>822</v>
      </c>
      <c r="I386" t="s">
        <v>961</v>
      </c>
      <c r="J386" t="s">
        <v>2476</v>
      </c>
      <c r="L386" t="s">
        <v>747</v>
      </c>
      <c r="M386" t="s">
        <v>676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621</v>
      </c>
      <c r="V386">
        <v>658076</v>
      </c>
      <c r="W386" t="b">
        <v>1</v>
      </c>
      <c r="Y386" t="s">
        <v>2481</v>
      </c>
    </row>
    <row r="387" spans="1:25" hidden="1" x14ac:dyDescent="0.25">
      <c r="A387" t="s">
        <v>884</v>
      </c>
      <c r="B387" t="s">
        <v>885</v>
      </c>
      <c r="C387" t="s">
        <v>2381</v>
      </c>
      <c r="D387" t="s">
        <v>2382</v>
      </c>
      <c r="E387" t="s">
        <v>885</v>
      </c>
      <c r="F387" t="s">
        <v>2482</v>
      </c>
      <c r="G387" t="s">
        <v>207</v>
      </c>
      <c r="H387" t="s">
        <v>822</v>
      </c>
      <c r="I387" t="s">
        <v>961</v>
      </c>
      <c r="J387" t="s">
        <v>2483</v>
      </c>
      <c r="L387" t="s">
        <v>747</v>
      </c>
      <c r="M387" t="s">
        <v>676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883</v>
      </c>
      <c r="V387">
        <v>880000</v>
      </c>
      <c r="W387" t="b">
        <v>1</v>
      </c>
      <c r="Y387" t="s">
        <v>2484</v>
      </c>
    </row>
    <row r="388" spans="1:25" hidden="1" x14ac:dyDescent="0.25">
      <c r="A388" t="s">
        <v>863</v>
      </c>
      <c r="B388" t="s">
        <v>864</v>
      </c>
      <c r="C388" t="s">
        <v>2381</v>
      </c>
      <c r="D388" t="s">
        <v>2382</v>
      </c>
      <c r="E388" t="s">
        <v>2485</v>
      </c>
      <c r="F388" t="s">
        <v>864</v>
      </c>
      <c r="G388" t="s">
        <v>207</v>
      </c>
      <c r="H388" t="s">
        <v>238</v>
      </c>
      <c r="I388" t="s">
        <v>961</v>
      </c>
      <c r="J388" t="s">
        <v>2486</v>
      </c>
      <c r="L388" t="s">
        <v>747</v>
      </c>
      <c r="M388" t="s">
        <v>676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854</v>
      </c>
      <c r="V388">
        <v>1003326</v>
      </c>
      <c r="W388" t="b">
        <v>1</v>
      </c>
      <c r="Y388" t="s">
        <v>2487</v>
      </c>
    </row>
    <row r="389" spans="1:25" hidden="1" x14ac:dyDescent="0.25">
      <c r="A389" t="s">
        <v>863</v>
      </c>
      <c r="B389" t="s">
        <v>864</v>
      </c>
      <c r="C389" t="s">
        <v>2381</v>
      </c>
      <c r="D389" t="s">
        <v>2382</v>
      </c>
      <c r="E389" t="s">
        <v>2488</v>
      </c>
      <c r="F389" t="s">
        <v>864</v>
      </c>
      <c r="G389" t="s">
        <v>207</v>
      </c>
      <c r="H389" t="s">
        <v>238</v>
      </c>
      <c r="I389" t="s">
        <v>961</v>
      </c>
      <c r="J389" t="s">
        <v>2486</v>
      </c>
      <c r="L389" t="s">
        <v>747</v>
      </c>
      <c r="M389" t="s">
        <v>676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854</v>
      </c>
      <c r="V389">
        <v>1003326</v>
      </c>
      <c r="W389" t="b">
        <v>1</v>
      </c>
      <c r="Y389" t="s">
        <v>2489</v>
      </c>
    </row>
    <row r="390" spans="1:25" hidden="1" x14ac:dyDescent="0.25">
      <c r="A390" t="s">
        <v>863</v>
      </c>
      <c r="B390" t="s">
        <v>864</v>
      </c>
      <c r="C390" t="s">
        <v>2381</v>
      </c>
      <c r="D390" t="s">
        <v>2382</v>
      </c>
      <c r="E390" t="s">
        <v>2490</v>
      </c>
      <c r="F390" t="s">
        <v>864</v>
      </c>
      <c r="G390" t="s">
        <v>207</v>
      </c>
      <c r="H390" t="s">
        <v>238</v>
      </c>
      <c r="I390" t="s">
        <v>961</v>
      </c>
      <c r="J390" t="s">
        <v>2486</v>
      </c>
      <c r="L390" t="s">
        <v>747</v>
      </c>
      <c r="M390" t="s">
        <v>676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621</v>
      </c>
      <c r="V390">
        <v>1003326</v>
      </c>
      <c r="W390" t="b">
        <v>1</v>
      </c>
      <c r="Y390" t="s">
        <v>2491</v>
      </c>
    </row>
    <row r="391" spans="1:25" hidden="1" x14ac:dyDescent="0.25">
      <c r="A391" t="s">
        <v>902</v>
      </c>
      <c r="B391" t="s">
        <v>903</v>
      </c>
      <c r="C391" t="s">
        <v>2381</v>
      </c>
      <c r="D391" t="s">
        <v>2382</v>
      </c>
      <c r="E391" t="s">
        <v>903</v>
      </c>
      <c r="F391" t="s">
        <v>903</v>
      </c>
      <c r="G391" t="s">
        <v>207</v>
      </c>
      <c r="H391" t="s">
        <v>897</v>
      </c>
      <c r="I391" t="s">
        <v>961</v>
      </c>
      <c r="J391" t="s">
        <v>2492</v>
      </c>
      <c r="L391" t="s">
        <v>747</v>
      </c>
      <c r="M391" t="s">
        <v>676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621</v>
      </c>
      <c r="V391">
        <v>2695210</v>
      </c>
      <c r="W391" t="b">
        <v>1</v>
      </c>
      <c r="Y391" t="s">
        <v>2493</v>
      </c>
    </row>
    <row r="392" spans="1:25" hidden="1" x14ac:dyDescent="0.25">
      <c r="A392" t="s">
        <v>2494</v>
      </c>
      <c r="B392" t="s">
        <v>2495</v>
      </c>
      <c r="C392" t="s">
        <v>2381</v>
      </c>
      <c r="D392" t="s">
        <v>2382</v>
      </c>
      <c r="E392" t="s">
        <v>2496</v>
      </c>
      <c r="F392" t="s">
        <v>2495</v>
      </c>
      <c r="G392" t="s">
        <v>207</v>
      </c>
      <c r="H392" t="s">
        <v>239</v>
      </c>
      <c r="I392" t="s">
        <v>961</v>
      </c>
      <c r="J392" t="s">
        <v>2497</v>
      </c>
      <c r="L392" t="s">
        <v>747</v>
      </c>
      <c r="M392" t="s">
        <v>676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621</v>
      </c>
      <c r="V392">
        <v>1533693</v>
      </c>
      <c r="W392" t="b">
        <v>1</v>
      </c>
      <c r="Y392" t="s">
        <v>2498</v>
      </c>
    </row>
    <row r="393" spans="1:25" hidden="1" x14ac:dyDescent="0.25">
      <c r="A393" t="s">
        <v>2494</v>
      </c>
      <c r="B393" t="s">
        <v>2495</v>
      </c>
      <c r="C393" t="s">
        <v>2381</v>
      </c>
      <c r="D393" t="s">
        <v>2382</v>
      </c>
      <c r="E393" t="s">
        <v>2499</v>
      </c>
      <c r="F393" t="s">
        <v>2495</v>
      </c>
      <c r="G393" t="s">
        <v>207</v>
      </c>
      <c r="H393" t="s">
        <v>239</v>
      </c>
      <c r="I393" t="s">
        <v>961</v>
      </c>
      <c r="J393" t="s">
        <v>2497</v>
      </c>
      <c r="L393" t="s">
        <v>747</v>
      </c>
      <c r="M393" t="s">
        <v>676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621</v>
      </c>
      <c r="V393">
        <v>1533693</v>
      </c>
      <c r="W393" t="b">
        <v>1</v>
      </c>
      <c r="Y393" t="s">
        <v>2500</v>
      </c>
    </row>
    <row r="394" spans="1:25" hidden="1" x14ac:dyDescent="0.25">
      <c r="A394" t="s">
        <v>921</v>
      </c>
      <c r="B394" t="s">
        <v>922</v>
      </c>
      <c r="C394" t="s">
        <v>2381</v>
      </c>
      <c r="D394" t="s">
        <v>2382</v>
      </c>
      <c r="E394" t="s">
        <v>2501</v>
      </c>
      <c r="F394" t="s">
        <v>922</v>
      </c>
      <c r="G394" t="s">
        <v>207</v>
      </c>
      <c r="H394" t="s">
        <v>95</v>
      </c>
      <c r="I394" t="s">
        <v>961</v>
      </c>
      <c r="J394" t="s">
        <v>2502</v>
      </c>
      <c r="L394" t="s">
        <v>747</v>
      </c>
      <c r="M394" t="s">
        <v>676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854</v>
      </c>
      <c r="V394">
        <v>1135000</v>
      </c>
      <c r="W394" t="b">
        <v>1</v>
      </c>
      <c r="Y394" t="s">
        <v>2503</v>
      </c>
    </row>
    <row r="395" spans="1:25" hidden="1" x14ac:dyDescent="0.25">
      <c r="A395" t="s">
        <v>921</v>
      </c>
      <c r="B395" t="s">
        <v>922</v>
      </c>
      <c r="C395" t="s">
        <v>2381</v>
      </c>
      <c r="D395" t="s">
        <v>2382</v>
      </c>
      <c r="E395" t="s">
        <v>2504</v>
      </c>
      <c r="F395" t="s">
        <v>922</v>
      </c>
      <c r="G395" t="s">
        <v>207</v>
      </c>
      <c r="H395" t="s">
        <v>95</v>
      </c>
      <c r="I395" t="s">
        <v>961</v>
      </c>
      <c r="J395" t="s">
        <v>2502</v>
      </c>
      <c r="L395" t="s">
        <v>747</v>
      </c>
      <c r="M395" t="s">
        <v>676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854</v>
      </c>
      <c r="V395">
        <v>1135000</v>
      </c>
      <c r="W395" t="b">
        <v>1</v>
      </c>
      <c r="Y395" t="s">
        <v>2505</v>
      </c>
    </row>
    <row r="396" spans="1:25" hidden="1" x14ac:dyDescent="0.25">
      <c r="A396" t="s">
        <v>921</v>
      </c>
      <c r="B396" t="s">
        <v>922</v>
      </c>
      <c r="C396" t="s">
        <v>2381</v>
      </c>
      <c r="D396" t="s">
        <v>2382</v>
      </c>
      <c r="E396" t="s">
        <v>2506</v>
      </c>
      <c r="F396" t="s">
        <v>922</v>
      </c>
      <c r="G396" t="s">
        <v>207</v>
      </c>
      <c r="H396" t="s">
        <v>95</v>
      </c>
      <c r="I396" t="s">
        <v>961</v>
      </c>
      <c r="J396" t="s">
        <v>2502</v>
      </c>
      <c r="L396" t="s">
        <v>747</v>
      </c>
      <c r="M396" t="s">
        <v>676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854</v>
      </c>
      <c r="V396">
        <v>1135000</v>
      </c>
      <c r="W396" t="b">
        <v>1</v>
      </c>
      <c r="Y396" t="s">
        <v>2507</v>
      </c>
    </row>
    <row r="397" spans="1:25" hidden="1" x14ac:dyDescent="0.25">
      <c r="A397" t="s">
        <v>921</v>
      </c>
      <c r="B397" t="s">
        <v>922</v>
      </c>
      <c r="C397" t="s">
        <v>2381</v>
      </c>
      <c r="D397" t="s">
        <v>2382</v>
      </c>
      <c r="E397" t="s">
        <v>2508</v>
      </c>
      <c r="F397" t="s">
        <v>922</v>
      </c>
      <c r="G397" t="s">
        <v>207</v>
      </c>
      <c r="H397" t="s">
        <v>95</v>
      </c>
      <c r="I397" t="s">
        <v>961</v>
      </c>
      <c r="J397" t="s">
        <v>2502</v>
      </c>
      <c r="L397" t="s">
        <v>747</v>
      </c>
      <c r="M397" t="s">
        <v>676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854</v>
      </c>
      <c r="V397">
        <v>1135000</v>
      </c>
      <c r="W397" t="b">
        <v>1</v>
      </c>
      <c r="Y397" t="s">
        <v>2509</v>
      </c>
    </row>
    <row r="398" spans="1:25" hidden="1" x14ac:dyDescent="0.25">
      <c r="A398" t="s">
        <v>921</v>
      </c>
      <c r="B398" t="s">
        <v>922</v>
      </c>
      <c r="C398" t="s">
        <v>2381</v>
      </c>
      <c r="D398" t="s">
        <v>2382</v>
      </c>
      <c r="E398" t="s">
        <v>2510</v>
      </c>
      <c r="F398" t="s">
        <v>922</v>
      </c>
      <c r="G398" t="s">
        <v>207</v>
      </c>
      <c r="H398" t="s">
        <v>95</v>
      </c>
      <c r="I398" t="s">
        <v>961</v>
      </c>
      <c r="J398" t="s">
        <v>2502</v>
      </c>
      <c r="L398" t="s">
        <v>747</v>
      </c>
      <c r="M398" t="s">
        <v>676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854</v>
      </c>
      <c r="V398">
        <v>1135000</v>
      </c>
      <c r="W398" t="b">
        <v>1</v>
      </c>
      <c r="Y398" t="s">
        <v>2511</v>
      </c>
    </row>
    <row r="399" spans="1:25" hidden="1" x14ac:dyDescent="0.25">
      <c r="A399" t="s">
        <v>921</v>
      </c>
      <c r="B399" t="s">
        <v>922</v>
      </c>
      <c r="C399" t="s">
        <v>2381</v>
      </c>
      <c r="D399" t="s">
        <v>2382</v>
      </c>
      <c r="E399" t="s">
        <v>2512</v>
      </c>
      <c r="F399" t="s">
        <v>922</v>
      </c>
      <c r="G399" t="s">
        <v>207</v>
      </c>
      <c r="H399" t="s">
        <v>95</v>
      </c>
      <c r="I399" t="s">
        <v>961</v>
      </c>
      <c r="J399" t="s">
        <v>2502</v>
      </c>
      <c r="L399" t="s">
        <v>747</v>
      </c>
      <c r="M399" t="s">
        <v>676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854</v>
      </c>
      <c r="V399">
        <v>1135000</v>
      </c>
      <c r="W399" t="b">
        <v>1</v>
      </c>
      <c r="Y399" t="s">
        <v>2513</v>
      </c>
    </row>
    <row r="400" spans="1:25" hidden="1" x14ac:dyDescent="0.25">
      <c r="A400" t="s">
        <v>921</v>
      </c>
      <c r="B400" t="s">
        <v>922</v>
      </c>
      <c r="C400" t="s">
        <v>2381</v>
      </c>
      <c r="D400" t="s">
        <v>2382</v>
      </c>
      <c r="E400" t="s">
        <v>2514</v>
      </c>
      <c r="F400" t="s">
        <v>922</v>
      </c>
      <c r="G400" t="s">
        <v>207</v>
      </c>
      <c r="H400" t="s">
        <v>95</v>
      </c>
      <c r="I400" t="s">
        <v>961</v>
      </c>
      <c r="J400" t="s">
        <v>2502</v>
      </c>
      <c r="L400" t="s">
        <v>747</v>
      </c>
      <c r="M400" t="s">
        <v>676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854</v>
      </c>
      <c r="V400">
        <v>1135000</v>
      </c>
      <c r="W400" t="b">
        <v>1</v>
      </c>
      <c r="Y400" t="s">
        <v>2515</v>
      </c>
    </row>
    <row r="401" spans="1:25" hidden="1" x14ac:dyDescent="0.25">
      <c r="A401" t="s">
        <v>921</v>
      </c>
      <c r="B401" t="s">
        <v>922</v>
      </c>
      <c r="C401" t="s">
        <v>2381</v>
      </c>
      <c r="D401" t="s">
        <v>2382</v>
      </c>
      <c r="E401" t="s">
        <v>2516</v>
      </c>
      <c r="F401" t="s">
        <v>922</v>
      </c>
      <c r="G401" t="s">
        <v>207</v>
      </c>
      <c r="H401" t="s">
        <v>95</v>
      </c>
      <c r="I401" t="s">
        <v>961</v>
      </c>
      <c r="J401" t="s">
        <v>2502</v>
      </c>
      <c r="L401" t="s">
        <v>747</v>
      </c>
      <c r="M401" t="s">
        <v>676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854</v>
      </c>
      <c r="V401">
        <v>1135000</v>
      </c>
      <c r="W401" t="b">
        <v>1</v>
      </c>
      <c r="Y401" t="s">
        <v>2517</v>
      </c>
    </row>
    <row r="402" spans="1:25" hidden="1" x14ac:dyDescent="0.25">
      <c r="A402" t="s">
        <v>921</v>
      </c>
      <c r="B402" t="s">
        <v>922</v>
      </c>
      <c r="C402" t="s">
        <v>2381</v>
      </c>
      <c r="D402" t="s">
        <v>2382</v>
      </c>
      <c r="E402" t="s">
        <v>2518</v>
      </c>
      <c r="F402" t="s">
        <v>922</v>
      </c>
      <c r="G402" t="s">
        <v>207</v>
      </c>
      <c r="H402" t="s">
        <v>95</v>
      </c>
      <c r="I402" t="s">
        <v>961</v>
      </c>
      <c r="J402" t="s">
        <v>2502</v>
      </c>
      <c r="L402" t="s">
        <v>747</v>
      </c>
      <c r="M402" t="s">
        <v>676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854</v>
      </c>
      <c r="V402">
        <v>1135000</v>
      </c>
      <c r="W402" t="b">
        <v>1</v>
      </c>
      <c r="Y402" t="s">
        <v>2519</v>
      </c>
    </row>
    <row r="403" spans="1:25" hidden="1" x14ac:dyDescent="0.25">
      <c r="A403" t="s">
        <v>921</v>
      </c>
      <c r="B403" t="s">
        <v>922</v>
      </c>
      <c r="C403" t="s">
        <v>2381</v>
      </c>
      <c r="D403" t="s">
        <v>2382</v>
      </c>
      <c r="E403" t="s">
        <v>2520</v>
      </c>
      <c r="F403" t="s">
        <v>922</v>
      </c>
      <c r="G403" t="s">
        <v>207</v>
      </c>
      <c r="H403" t="s">
        <v>95</v>
      </c>
      <c r="I403" t="s">
        <v>961</v>
      </c>
      <c r="J403" t="s">
        <v>2502</v>
      </c>
      <c r="L403" t="s">
        <v>747</v>
      </c>
      <c r="M403" t="s">
        <v>676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854</v>
      </c>
      <c r="V403">
        <v>1135000</v>
      </c>
      <c r="W403" t="b">
        <v>1</v>
      </c>
      <c r="Y403" t="s">
        <v>2521</v>
      </c>
    </row>
    <row r="404" spans="1:25" hidden="1" x14ac:dyDescent="0.25">
      <c r="A404" t="s">
        <v>855</v>
      </c>
      <c r="B404" t="s">
        <v>856</v>
      </c>
      <c r="C404" t="s">
        <v>2381</v>
      </c>
      <c r="D404" t="s">
        <v>2382</v>
      </c>
      <c r="E404" t="s">
        <v>2522</v>
      </c>
      <c r="F404" t="s">
        <v>856</v>
      </c>
      <c r="G404" t="s">
        <v>207</v>
      </c>
      <c r="H404" t="s">
        <v>238</v>
      </c>
      <c r="I404" t="s">
        <v>961</v>
      </c>
      <c r="J404" t="s">
        <v>2523</v>
      </c>
      <c r="L404" t="s">
        <v>747</v>
      </c>
      <c r="M404" t="s">
        <v>676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854</v>
      </c>
      <c r="V404">
        <v>1389156</v>
      </c>
      <c r="W404" t="b">
        <v>1</v>
      </c>
      <c r="Y404" t="s">
        <v>2524</v>
      </c>
    </row>
    <row r="405" spans="1:25" hidden="1" x14ac:dyDescent="0.25">
      <c r="A405" t="s">
        <v>855</v>
      </c>
      <c r="B405" t="s">
        <v>856</v>
      </c>
      <c r="C405" t="s">
        <v>2381</v>
      </c>
      <c r="D405" t="s">
        <v>2382</v>
      </c>
      <c r="E405" t="s">
        <v>2525</v>
      </c>
      <c r="F405" t="s">
        <v>856</v>
      </c>
      <c r="G405" t="s">
        <v>207</v>
      </c>
      <c r="H405" t="s">
        <v>238</v>
      </c>
      <c r="I405" t="s">
        <v>961</v>
      </c>
      <c r="J405" t="s">
        <v>2523</v>
      </c>
      <c r="L405" t="s">
        <v>747</v>
      </c>
      <c r="M405" t="s">
        <v>676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854</v>
      </c>
      <c r="V405">
        <v>1389156</v>
      </c>
      <c r="W405" t="b">
        <v>1</v>
      </c>
      <c r="Y405" t="s">
        <v>2526</v>
      </c>
    </row>
    <row r="406" spans="1:25" hidden="1" x14ac:dyDescent="0.25">
      <c r="A406" t="s">
        <v>855</v>
      </c>
      <c r="B406" t="s">
        <v>856</v>
      </c>
      <c r="C406" t="s">
        <v>2381</v>
      </c>
      <c r="D406" t="s">
        <v>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</v>
      </c>
      <c r="J406" t="s">
        <v>2523</v>
      </c>
      <c r="L406" t="s">
        <v>747</v>
      </c>
      <c r="M406" t="s">
        <v>676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854</v>
      </c>
      <c r="V406">
        <v>1389156</v>
      </c>
      <c r="W406" t="b">
        <v>1</v>
      </c>
      <c r="Y406" t="s">
        <v>2528</v>
      </c>
    </row>
    <row r="407" spans="1:25" hidden="1" x14ac:dyDescent="0.25">
      <c r="A407" t="s">
        <v>2529</v>
      </c>
      <c r="B407" t="s">
        <v>2530</v>
      </c>
      <c r="C407" t="s">
        <v>2381</v>
      </c>
      <c r="D407" t="s">
        <v>2382</v>
      </c>
      <c r="E407" t="s">
        <v>2531</v>
      </c>
      <c r="F407" t="s">
        <v>2530</v>
      </c>
      <c r="G407" t="s">
        <v>207</v>
      </c>
      <c r="H407" t="s">
        <v>239</v>
      </c>
      <c r="I407" t="s">
        <v>961</v>
      </c>
      <c r="J407" t="s">
        <v>2532</v>
      </c>
      <c r="L407" t="s">
        <v>747</v>
      </c>
      <c r="M407" t="s">
        <v>676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621</v>
      </c>
      <c r="V407">
        <v>1594199</v>
      </c>
      <c r="W407" t="b">
        <v>1</v>
      </c>
      <c r="Y407" t="s">
        <v>2533</v>
      </c>
    </row>
    <row r="408" spans="1:25" hidden="1" x14ac:dyDescent="0.25">
      <c r="A408" t="s">
        <v>2529</v>
      </c>
      <c r="B408" t="s">
        <v>2530</v>
      </c>
      <c r="C408" t="s">
        <v>2381</v>
      </c>
      <c r="D408" t="s">
        <v>2382</v>
      </c>
      <c r="E408" t="s">
        <v>2534</v>
      </c>
      <c r="F408" t="s">
        <v>2530</v>
      </c>
      <c r="G408" t="s">
        <v>207</v>
      </c>
      <c r="H408" t="s">
        <v>239</v>
      </c>
      <c r="I408" t="s">
        <v>961</v>
      </c>
      <c r="J408" t="s">
        <v>2532</v>
      </c>
      <c r="L408" t="s">
        <v>747</v>
      </c>
      <c r="M408" t="s">
        <v>676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854</v>
      </c>
      <c r="V408">
        <v>1594199</v>
      </c>
      <c r="W408" t="b">
        <v>1</v>
      </c>
      <c r="Y408" t="s">
        <v>2535</v>
      </c>
    </row>
    <row r="409" spans="1:25" hidden="1" x14ac:dyDescent="0.25">
      <c r="A409" t="s">
        <v>2536</v>
      </c>
      <c r="B409" t="s">
        <v>2537</v>
      </c>
      <c r="C409" t="s">
        <v>2381</v>
      </c>
      <c r="D409" t="s">
        <v>2382</v>
      </c>
      <c r="E409" t="s">
        <v>2537</v>
      </c>
      <c r="F409" t="s">
        <v>2537</v>
      </c>
      <c r="G409" t="s">
        <v>207</v>
      </c>
      <c r="H409" t="s">
        <v>614</v>
      </c>
      <c r="I409" t="s">
        <v>961</v>
      </c>
      <c r="J409" t="s">
        <v>2538</v>
      </c>
      <c r="L409" t="s">
        <v>747</v>
      </c>
      <c r="M409" t="s">
        <v>676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621</v>
      </c>
      <c r="V409">
        <v>84100.01</v>
      </c>
      <c r="W409" t="b">
        <v>1</v>
      </c>
      <c r="Y409" t="s">
        <v>2539</v>
      </c>
    </row>
    <row r="410" spans="1:25" hidden="1" x14ac:dyDescent="0.25">
      <c r="A410" t="s">
        <v>2540</v>
      </c>
      <c r="B410" t="s">
        <v>2541</v>
      </c>
      <c r="C410" t="s">
        <v>2381</v>
      </c>
      <c r="D410" t="s">
        <v>2382</v>
      </c>
      <c r="E410" t="s">
        <v>2541</v>
      </c>
      <c r="F410" t="s">
        <v>2541</v>
      </c>
      <c r="G410" t="s">
        <v>207</v>
      </c>
      <c r="H410" t="s">
        <v>614</v>
      </c>
      <c r="I410" t="s">
        <v>961</v>
      </c>
      <c r="J410" t="s">
        <v>2538</v>
      </c>
      <c r="L410" t="s">
        <v>747</v>
      </c>
      <c r="M410" t="s">
        <v>676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621</v>
      </c>
      <c r="V410">
        <v>84100.02</v>
      </c>
      <c r="W410" t="b">
        <v>1</v>
      </c>
      <c r="Y410" t="s">
        <v>2542</v>
      </c>
    </row>
    <row r="411" spans="1:25" hidden="1" x14ac:dyDescent="0.25">
      <c r="A411" t="s">
        <v>2543</v>
      </c>
      <c r="B411" t="s">
        <v>2544</v>
      </c>
      <c r="C411" t="s">
        <v>2381</v>
      </c>
      <c r="D411" t="s">
        <v>2382</v>
      </c>
      <c r="E411" t="s">
        <v>2544</v>
      </c>
      <c r="F411" t="s">
        <v>2544</v>
      </c>
      <c r="G411" t="s">
        <v>207</v>
      </c>
      <c r="H411" t="s">
        <v>614</v>
      </c>
      <c r="I411" t="s">
        <v>961</v>
      </c>
      <c r="J411" t="s">
        <v>2538</v>
      </c>
      <c r="L411" t="s">
        <v>747</v>
      </c>
      <c r="M411" t="s">
        <v>676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621</v>
      </c>
      <c r="V411">
        <v>84100.03</v>
      </c>
      <c r="W411" t="b">
        <v>1</v>
      </c>
      <c r="Y411" t="s">
        <v>2545</v>
      </c>
    </row>
    <row r="412" spans="1:25" hidden="1" x14ac:dyDescent="0.25">
      <c r="A412" t="s">
        <v>2546</v>
      </c>
      <c r="B412" t="s">
        <v>2547</v>
      </c>
      <c r="C412" t="s">
        <v>2381</v>
      </c>
      <c r="D412" t="s">
        <v>2382</v>
      </c>
      <c r="E412" t="s">
        <v>2547</v>
      </c>
      <c r="F412" t="s">
        <v>2547</v>
      </c>
      <c r="G412" t="s">
        <v>207</v>
      </c>
      <c r="H412" t="s">
        <v>614</v>
      </c>
      <c r="I412" t="s">
        <v>961</v>
      </c>
      <c r="J412" t="s">
        <v>2538</v>
      </c>
      <c r="L412" t="s">
        <v>747</v>
      </c>
      <c r="M412" t="s">
        <v>676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621</v>
      </c>
      <c r="V412">
        <v>84100</v>
      </c>
      <c r="W412" t="b">
        <v>1</v>
      </c>
      <c r="Y412" t="s">
        <v>2548</v>
      </c>
    </row>
    <row r="413" spans="1:25" hidden="1" x14ac:dyDescent="0.25">
      <c r="A413" t="s">
        <v>2549</v>
      </c>
      <c r="B413" t="s">
        <v>2550</v>
      </c>
      <c r="C413" t="s">
        <v>2381</v>
      </c>
      <c r="D413" t="s">
        <v>2382</v>
      </c>
      <c r="E413" t="s">
        <v>2550</v>
      </c>
      <c r="F413" t="s">
        <v>2550</v>
      </c>
      <c r="G413" t="s">
        <v>207</v>
      </c>
      <c r="H413" t="s">
        <v>614</v>
      </c>
      <c r="I413" t="s">
        <v>961</v>
      </c>
      <c r="J413" t="s">
        <v>2538</v>
      </c>
      <c r="L413" t="s">
        <v>747</v>
      </c>
      <c r="M413" t="s">
        <v>676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621</v>
      </c>
      <c r="V413">
        <v>84100.040000000008</v>
      </c>
      <c r="W413" t="b">
        <v>1</v>
      </c>
      <c r="Y413" t="s">
        <v>2551</v>
      </c>
    </row>
    <row r="414" spans="1:25" hidden="1" x14ac:dyDescent="0.25">
      <c r="A414" t="s">
        <v>915</v>
      </c>
      <c r="B414" t="s">
        <v>916</v>
      </c>
      <c r="C414" t="s">
        <v>2381</v>
      </c>
      <c r="D414" t="s">
        <v>2382</v>
      </c>
      <c r="E414" t="s">
        <v>2552</v>
      </c>
      <c r="F414" t="s">
        <v>916</v>
      </c>
      <c r="G414" t="s">
        <v>207</v>
      </c>
      <c r="H414" t="s">
        <v>531</v>
      </c>
      <c r="I414" t="s">
        <v>961</v>
      </c>
      <c r="J414" t="s">
        <v>2553</v>
      </c>
      <c r="L414" t="s">
        <v>747</v>
      </c>
      <c r="M414" t="s">
        <v>676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621</v>
      </c>
      <c r="V414">
        <v>1160244</v>
      </c>
      <c r="W414" t="b">
        <v>1</v>
      </c>
      <c r="Y414" t="s">
        <v>2554</v>
      </c>
    </row>
    <row r="415" spans="1:25" hidden="1" x14ac:dyDescent="0.25">
      <c r="A415" t="s">
        <v>915</v>
      </c>
      <c r="B415" t="s">
        <v>916</v>
      </c>
      <c r="C415" t="s">
        <v>2381</v>
      </c>
      <c r="D415" t="s">
        <v>2382</v>
      </c>
      <c r="E415" t="s">
        <v>2555</v>
      </c>
      <c r="F415" t="s">
        <v>916</v>
      </c>
      <c r="G415" t="s">
        <v>207</v>
      </c>
      <c r="H415" t="s">
        <v>531</v>
      </c>
      <c r="I415" t="s">
        <v>961</v>
      </c>
      <c r="J415" t="s">
        <v>2553</v>
      </c>
      <c r="L415" t="s">
        <v>747</v>
      </c>
      <c r="M415" t="s">
        <v>676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621</v>
      </c>
      <c r="V415">
        <v>1160244</v>
      </c>
      <c r="W415" t="b">
        <v>1</v>
      </c>
      <c r="Y415" t="s">
        <v>2556</v>
      </c>
    </row>
    <row r="416" spans="1:25" hidden="1" x14ac:dyDescent="0.25">
      <c r="A416" t="s">
        <v>915</v>
      </c>
      <c r="B416" t="s">
        <v>916</v>
      </c>
      <c r="C416" t="s">
        <v>2381</v>
      </c>
      <c r="D416" t="s">
        <v>2382</v>
      </c>
      <c r="E416" t="s">
        <v>2557</v>
      </c>
      <c r="F416" t="s">
        <v>916</v>
      </c>
      <c r="G416" t="s">
        <v>207</v>
      </c>
      <c r="H416" t="s">
        <v>531</v>
      </c>
      <c r="I416" t="s">
        <v>961</v>
      </c>
      <c r="J416" t="s">
        <v>2553</v>
      </c>
      <c r="L416" t="s">
        <v>747</v>
      </c>
      <c r="M416" t="s">
        <v>676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621</v>
      </c>
      <c r="V416">
        <v>1160244</v>
      </c>
      <c r="W416" t="b">
        <v>1</v>
      </c>
      <c r="Y416" t="s">
        <v>2558</v>
      </c>
    </row>
    <row r="417" spans="1:25" hidden="1" x14ac:dyDescent="0.25">
      <c r="A417" t="s">
        <v>915</v>
      </c>
      <c r="B417" t="s">
        <v>916</v>
      </c>
      <c r="C417" t="s">
        <v>2381</v>
      </c>
      <c r="D417" t="s">
        <v>2382</v>
      </c>
      <c r="E417" t="s">
        <v>2559</v>
      </c>
      <c r="F417" t="s">
        <v>916</v>
      </c>
      <c r="G417" t="s">
        <v>207</v>
      </c>
      <c r="H417" t="s">
        <v>531</v>
      </c>
      <c r="I417" t="s">
        <v>961</v>
      </c>
      <c r="J417" t="s">
        <v>2553</v>
      </c>
      <c r="L417" t="s">
        <v>747</v>
      </c>
      <c r="M417" t="s">
        <v>676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621</v>
      </c>
      <c r="V417">
        <v>1160244</v>
      </c>
      <c r="W417" t="b">
        <v>1</v>
      </c>
      <c r="Y417" t="s">
        <v>2560</v>
      </c>
    </row>
    <row r="418" spans="1:25" hidden="1" x14ac:dyDescent="0.25">
      <c r="A418" t="s">
        <v>915</v>
      </c>
      <c r="B418" t="s">
        <v>916</v>
      </c>
      <c r="C418" t="s">
        <v>2381</v>
      </c>
      <c r="D418" t="s">
        <v>2382</v>
      </c>
      <c r="E418" t="s">
        <v>2561</v>
      </c>
      <c r="F418" t="s">
        <v>916</v>
      </c>
      <c r="G418" t="s">
        <v>207</v>
      </c>
      <c r="H418" t="s">
        <v>531</v>
      </c>
      <c r="I418" t="s">
        <v>961</v>
      </c>
      <c r="J418" t="s">
        <v>2553</v>
      </c>
      <c r="L418" t="s">
        <v>747</v>
      </c>
      <c r="M418" t="s">
        <v>676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621</v>
      </c>
      <c r="V418">
        <v>1160244</v>
      </c>
      <c r="W418" t="b">
        <v>1</v>
      </c>
      <c r="Y418" t="s">
        <v>2562</v>
      </c>
    </row>
    <row r="419" spans="1:25" hidden="1" x14ac:dyDescent="0.25">
      <c r="A419" t="s">
        <v>915</v>
      </c>
      <c r="B419" t="s">
        <v>916</v>
      </c>
      <c r="C419" t="s">
        <v>2381</v>
      </c>
      <c r="D419" t="s">
        <v>2382</v>
      </c>
      <c r="E419" t="s">
        <v>2563</v>
      </c>
      <c r="F419" t="s">
        <v>916</v>
      </c>
      <c r="G419" t="s">
        <v>207</v>
      </c>
      <c r="H419" t="s">
        <v>531</v>
      </c>
      <c r="I419" t="s">
        <v>961</v>
      </c>
      <c r="J419" t="s">
        <v>2553</v>
      </c>
      <c r="L419" t="s">
        <v>747</v>
      </c>
      <c r="M419" t="s">
        <v>676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621</v>
      </c>
      <c r="V419">
        <v>1160244</v>
      </c>
      <c r="W419" t="b">
        <v>1</v>
      </c>
      <c r="Y419" t="s">
        <v>2564</v>
      </c>
    </row>
    <row r="420" spans="1:25" hidden="1" x14ac:dyDescent="0.25">
      <c r="A420" t="s">
        <v>915</v>
      </c>
      <c r="B420" t="s">
        <v>916</v>
      </c>
      <c r="C420" t="s">
        <v>2381</v>
      </c>
      <c r="D420" t="s">
        <v>2382</v>
      </c>
      <c r="E420" t="s">
        <v>2565</v>
      </c>
      <c r="F420" t="s">
        <v>916</v>
      </c>
      <c r="G420" t="s">
        <v>207</v>
      </c>
      <c r="H420" t="s">
        <v>531</v>
      </c>
      <c r="I420" t="s">
        <v>961</v>
      </c>
      <c r="J420" t="s">
        <v>2553</v>
      </c>
      <c r="L420" t="s">
        <v>747</v>
      </c>
      <c r="M420" t="s">
        <v>676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621</v>
      </c>
      <c r="V420">
        <v>1160244</v>
      </c>
      <c r="W420" t="b">
        <v>1</v>
      </c>
      <c r="Y420" t="s">
        <v>2566</v>
      </c>
    </row>
    <row r="421" spans="1:25" hidden="1" x14ac:dyDescent="0.25">
      <c r="A421" t="s">
        <v>915</v>
      </c>
      <c r="B421" t="s">
        <v>916</v>
      </c>
      <c r="C421" t="s">
        <v>2381</v>
      </c>
      <c r="D421" t="s">
        <v>2382</v>
      </c>
      <c r="E421" t="s">
        <v>2567</v>
      </c>
      <c r="F421" t="s">
        <v>916</v>
      </c>
      <c r="G421" t="s">
        <v>207</v>
      </c>
      <c r="H421" t="s">
        <v>531</v>
      </c>
      <c r="I421" t="s">
        <v>961</v>
      </c>
      <c r="J421" t="s">
        <v>2553</v>
      </c>
      <c r="L421" t="s">
        <v>747</v>
      </c>
      <c r="M421" t="s">
        <v>676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621</v>
      </c>
      <c r="V421">
        <v>1160244</v>
      </c>
      <c r="W421" t="b">
        <v>1</v>
      </c>
      <c r="Y421" t="s">
        <v>2568</v>
      </c>
    </row>
    <row r="422" spans="1:25" hidden="1" x14ac:dyDescent="0.25">
      <c r="A422" t="s">
        <v>915</v>
      </c>
      <c r="B422" t="s">
        <v>916</v>
      </c>
      <c r="C422" t="s">
        <v>2381</v>
      </c>
      <c r="D422" t="s">
        <v>2382</v>
      </c>
      <c r="E422" t="s">
        <v>2569</v>
      </c>
      <c r="F422" t="s">
        <v>916</v>
      </c>
      <c r="G422" t="s">
        <v>207</v>
      </c>
      <c r="H422" t="s">
        <v>531</v>
      </c>
      <c r="I422" t="s">
        <v>961</v>
      </c>
      <c r="J422" t="s">
        <v>2553</v>
      </c>
      <c r="L422" t="s">
        <v>747</v>
      </c>
      <c r="M422" t="s">
        <v>676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621</v>
      </c>
      <c r="V422">
        <v>1160244</v>
      </c>
      <c r="W422" t="b">
        <v>1</v>
      </c>
      <c r="Y422" t="s">
        <v>2570</v>
      </c>
    </row>
    <row r="423" spans="1:25" hidden="1" x14ac:dyDescent="0.25">
      <c r="A423" t="s">
        <v>915</v>
      </c>
      <c r="B423" t="s">
        <v>916</v>
      </c>
      <c r="C423" t="s">
        <v>2381</v>
      </c>
      <c r="D423" t="s">
        <v>2382</v>
      </c>
      <c r="E423" t="s">
        <v>2571</v>
      </c>
      <c r="F423" t="s">
        <v>916</v>
      </c>
      <c r="G423" t="s">
        <v>207</v>
      </c>
      <c r="H423" t="s">
        <v>531</v>
      </c>
      <c r="I423" t="s">
        <v>961</v>
      </c>
      <c r="J423" t="s">
        <v>2553</v>
      </c>
      <c r="L423" t="s">
        <v>747</v>
      </c>
      <c r="M423" t="s">
        <v>676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621</v>
      </c>
      <c r="V423">
        <v>1160244</v>
      </c>
      <c r="W423" t="b">
        <v>1</v>
      </c>
      <c r="Y423" t="s">
        <v>2572</v>
      </c>
    </row>
    <row r="424" spans="1:25" hidden="1" x14ac:dyDescent="0.25">
      <c r="A424" t="s">
        <v>915</v>
      </c>
      <c r="B424" t="s">
        <v>916</v>
      </c>
      <c r="C424" t="s">
        <v>2381</v>
      </c>
      <c r="D424" t="s">
        <v>2382</v>
      </c>
      <c r="E424" t="s">
        <v>2573</v>
      </c>
      <c r="F424" t="s">
        <v>916</v>
      </c>
      <c r="G424" t="s">
        <v>207</v>
      </c>
      <c r="H424" t="s">
        <v>531</v>
      </c>
      <c r="I424" t="s">
        <v>961</v>
      </c>
      <c r="J424" t="s">
        <v>2553</v>
      </c>
      <c r="L424" t="s">
        <v>747</v>
      </c>
      <c r="M424" t="s">
        <v>676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621</v>
      </c>
      <c r="V424">
        <v>1160244</v>
      </c>
      <c r="W424" t="b">
        <v>1</v>
      </c>
      <c r="Y424" t="s">
        <v>2574</v>
      </c>
    </row>
    <row r="425" spans="1:25" hidden="1" x14ac:dyDescent="0.25">
      <c r="A425" t="s">
        <v>888</v>
      </c>
      <c r="B425" t="s">
        <v>889</v>
      </c>
      <c r="C425" t="s">
        <v>2381</v>
      </c>
      <c r="D425" t="s">
        <v>2382</v>
      </c>
      <c r="E425" t="s">
        <v>889</v>
      </c>
      <c r="F425" t="s">
        <v>2575</v>
      </c>
      <c r="G425" t="s">
        <v>207</v>
      </c>
      <c r="H425" t="s">
        <v>614</v>
      </c>
      <c r="I425" t="s">
        <v>961</v>
      </c>
      <c r="J425" t="s">
        <v>2576</v>
      </c>
      <c r="L425" t="s">
        <v>747</v>
      </c>
      <c r="M425" t="s">
        <v>676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620</v>
      </c>
      <c r="V425">
        <v>237230</v>
      </c>
      <c r="W425" t="b">
        <v>1</v>
      </c>
      <c r="Y425" t="s">
        <v>2577</v>
      </c>
    </row>
    <row r="426" spans="1:25" hidden="1" x14ac:dyDescent="0.25">
      <c r="A426" t="s">
        <v>2578</v>
      </c>
      <c r="B426" t="s">
        <v>2579</v>
      </c>
      <c r="C426" t="s">
        <v>2381</v>
      </c>
      <c r="D426" t="s">
        <v>2382</v>
      </c>
      <c r="E426" t="s">
        <v>2579</v>
      </c>
      <c r="F426" t="s">
        <v>2579</v>
      </c>
      <c r="G426" t="s">
        <v>207</v>
      </c>
      <c r="H426" t="s">
        <v>615</v>
      </c>
      <c r="I426" t="s">
        <v>961</v>
      </c>
      <c r="J426" t="s">
        <v>2580</v>
      </c>
      <c r="L426" t="s">
        <v>747</v>
      </c>
      <c r="M426" t="s">
        <v>676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619</v>
      </c>
      <c r="V426">
        <v>325736</v>
      </c>
      <c r="W426" t="b">
        <v>1</v>
      </c>
      <c r="Y426" t="s">
        <v>2581</v>
      </c>
    </row>
    <row r="427" spans="1:25" hidden="1" x14ac:dyDescent="0.25">
      <c r="A427" t="s">
        <v>2582</v>
      </c>
      <c r="B427" t="s">
        <v>2583</v>
      </c>
      <c r="C427" t="s">
        <v>2381</v>
      </c>
      <c r="D427" t="s">
        <v>2382</v>
      </c>
      <c r="E427" t="s">
        <v>2583</v>
      </c>
      <c r="F427" t="s">
        <v>2583</v>
      </c>
      <c r="G427" t="s">
        <v>207</v>
      </c>
      <c r="H427" t="s">
        <v>615</v>
      </c>
      <c r="I427" t="s">
        <v>961</v>
      </c>
      <c r="J427" t="s">
        <v>2580</v>
      </c>
      <c r="L427" t="s">
        <v>747</v>
      </c>
      <c r="M427" t="s">
        <v>676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619</v>
      </c>
      <c r="V427">
        <v>300949</v>
      </c>
      <c r="W427" t="b">
        <v>1</v>
      </c>
      <c r="Y427" t="s">
        <v>2584</v>
      </c>
    </row>
    <row r="428" spans="1:25" hidden="1" x14ac:dyDescent="0.25">
      <c r="A428" t="s">
        <v>2585</v>
      </c>
      <c r="B428" t="s">
        <v>2586</v>
      </c>
      <c r="C428" t="s">
        <v>2381</v>
      </c>
      <c r="D428" t="s">
        <v>2382</v>
      </c>
      <c r="E428" t="s">
        <v>2586</v>
      </c>
      <c r="F428" t="s">
        <v>2586</v>
      </c>
      <c r="G428" t="s">
        <v>207</v>
      </c>
      <c r="H428" t="s">
        <v>615</v>
      </c>
      <c r="I428" t="s">
        <v>961</v>
      </c>
      <c r="J428" t="s">
        <v>2580</v>
      </c>
      <c r="L428" t="s">
        <v>747</v>
      </c>
      <c r="M428" t="s">
        <v>676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619</v>
      </c>
      <c r="V428">
        <v>312370</v>
      </c>
      <c r="W428" t="b">
        <v>1</v>
      </c>
      <c r="Y428" t="s">
        <v>2587</v>
      </c>
    </row>
    <row r="429" spans="1:25" hidden="1" x14ac:dyDescent="0.25">
      <c r="A429" t="s">
        <v>2588</v>
      </c>
      <c r="B429" t="s">
        <v>2589</v>
      </c>
      <c r="C429" t="s">
        <v>2381</v>
      </c>
      <c r="D429" t="s">
        <v>2382</v>
      </c>
      <c r="E429" t="s">
        <v>2589</v>
      </c>
      <c r="F429" t="s">
        <v>2589</v>
      </c>
      <c r="G429" t="s">
        <v>207</v>
      </c>
      <c r="H429" t="s">
        <v>615</v>
      </c>
      <c r="I429" t="s">
        <v>961</v>
      </c>
      <c r="J429" t="s">
        <v>2580</v>
      </c>
      <c r="L429" t="s">
        <v>747</v>
      </c>
      <c r="M429" t="s">
        <v>676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619</v>
      </c>
      <c r="V429">
        <v>294106</v>
      </c>
      <c r="W429" t="b">
        <v>1</v>
      </c>
      <c r="Y429" t="s">
        <v>2590</v>
      </c>
    </row>
    <row r="430" spans="1:25" hidden="1" x14ac:dyDescent="0.25">
      <c r="B430" t="s">
        <v>204</v>
      </c>
      <c r="C430" t="s">
        <v>2591</v>
      </c>
      <c r="D430" t="s">
        <v>2382</v>
      </c>
      <c r="E430" t="s">
        <v>273</v>
      </c>
      <c r="F430" t="s">
        <v>204</v>
      </c>
      <c r="G430" t="s">
        <v>207</v>
      </c>
      <c r="H430" t="s">
        <v>239</v>
      </c>
      <c r="I430" t="s">
        <v>961</v>
      </c>
      <c r="J430" t="s">
        <v>279</v>
      </c>
      <c r="L430" t="s">
        <v>270</v>
      </c>
      <c r="M430" t="s">
        <v>271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2592</v>
      </c>
      <c r="Y430" t="s">
        <v>2593</v>
      </c>
    </row>
    <row r="431" spans="1:25" hidden="1" x14ac:dyDescent="0.25">
      <c r="B431" t="s">
        <v>204</v>
      </c>
      <c r="C431" t="s">
        <v>2591</v>
      </c>
      <c r="D431" t="s">
        <v>2382</v>
      </c>
      <c r="E431" t="s">
        <v>274</v>
      </c>
      <c r="F431" t="s">
        <v>204</v>
      </c>
      <c r="G431" t="s">
        <v>207</v>
      </c>
      <c r="H431" t="s">
        <v>239</v>
      </c>
      <c r="I431" t="s">
        <v>961</v>
      </c>
      <c r="J431" t="s">
        <v>279</v>
      </c>
      <c r="L431" t="s">
        <v>270</v>
      </c>
      <c r="M431" t="s">
        <v>271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2592</v>
      </c>
      <c r="Y431" t="s">
        <v>2594</v>
      </c>
    </row>
    <row r="432" spans="1:25" hidden="1" x14ac:dyDescent="0.25">
      <c r="B432" t="s">
        <v>204</v>
      </c>
      <c r="C432" t="s">
        <v>2591</v>
      </c>
      <c r="D432" t="s">
        <v>2382</v>
      </c>
      <c r="E432" t="s">
        <v>275</v>
      </c>
      <c r="F432" t="s">
        <v>204</v>
      </c>
      <c r="G432" t="s">
        <v>207</v>
      </c>
      <c r="H432" t="s">
        <v>239</v>
      </c>
      <c r="I432" t="s">
        <v>961</v>
      </c>
      <c r="J432" t="s">
        <v>279</v>
      </c>
      <c r="L432" t="s">
        <v>270</v>
      </c>
      <c r="M432" t="s">
        <v>271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2592</v>
      </c>
      <c r="Y432" t="s">
        <v>2595</v>
      </c>
    </row>
    <row r="433" spans="1:25" x14ac:dyDescent="0.25">
      <c r="A433" t="s">
        <v>2596</v>
      </c>
      <c r="B433" t="s">
        <v>283</v>
      </c>
      <c r="C433" t="s">
        <v>2591</v>
      </c>
      <c r="D433" t="s">
        <v>2382</v>
      </c>
      <c r="E433" t="s">
        <v>411</v>
      </c>
      <c r="F433" t="s">
        <v>283</v>
      </c>
      <c r="G433" t="s">
        <v>207</v>
      </c>
      <c r="H433" t="s">
        <v>240</v>
      </c>
      <c r="I433" t="s">
        <v>961</v>
      </c>
      <c r="J433" t="s">
        <v>280</v>
      </c>
      <c r="L433" t="s">
        <v>270</v>
      </c>
      <c r="M433" t="s">
        <v>271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2597</v>
      </c>
      <c r="Y433" t="s">
        <v>2598</v>
      </c>
    </row>
    <row r="434" spans="1:25" x14ac:dyDescent="0.25">
      <c r="A434" t="s">
        <v>2596</v>
      </c>
      <c r="B434" t="s">
        <v>283</v>
      </c>
      <c r="C434" t="s">
        <v>2591</v>
      </c>
      <c r="D434" t="s">
        <v>2382</v>
      </c>
      <c r="E434" t="s">
        <v>2599</v>
      </c>
      <c r="F434" t="s">
        <v>283</v>
      </c>
      <c r="G434" t="s">
        <v>207</v>
      </c>
      <c r="H434" t="s">
        <v>240</v>
      </c>
      <c r="I434" t="s">
        <v>961</v>
      </c>
      <c r="J434" t="s">
        <v>280</v>
      </c>
      <c r="L434" t="s">
        <v>270</v>
      </c>
      <c r="M434" t="s">
        <v>271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2597</v>
      </c>
      <c r="Y434" t="s">
        <v>2600</v>
      </c>
    </row>
    <row r="435" spans="1:25" hidden="1" x14ac:dyDescent="0.25">
      <c r="B435" t="s">
        <v>284</v>
      </c>
      <c r="C435" t="s">
        <v>2591</v>
      </c>
      <c r="D435" t="s">
        <v>2382</v>
      </c>
      <c r="E435" t="s">
        <v>2601</v>
      </c>
      <c r="F435" t="s">
        <v>284</v>
      </c>
      <c r="G435" t="s">
        <v>207</v>
      </c>
      <c r="H435" t="s">
        <v>239</v>
      </c>
      <c r="I435" t="s">
        <v>961</v>
      </c>
      <c r="J435" t="s">
        <v>281</v>
      </c>
      <c r="L435" t="s">
        <v>270</v>
      </c>
      <c r="M435" t="s">
        <v>271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2592</v>
      </c>
      <c r="Y435" t="s">
        <v>2602</v>
      </c>
    </row>
    <row r="436" spans="1:25" hidden="1" x14ac:dyDescent="0.25">
      <c r="B436" t="s">
        <v>284</v>
      </c>
      <c r="C436" t="s">
        <v>2591</v>
      </c>
      <c r="D436" t="s">
        <v>2382</v>
      </c>
      <c r="E436" t="s">
        <v>2603</v>
      </c>
      <c r="F436" t="s">
        <v>284</v>
      </c>
      <c r="G436" t="s">
        <v>207</v>
      </c>
      <c r="H436" t="s">
        <v>239</v>
      </c>
      <c r="I436" t="s">
        <v>961</v>
      </c>
      <c r="J436" t="s">
        <v>281</v>
      </c>
      <c r="L436" t="s">
        <v>270</v>
      </c>
      <c r="M436" t="s">
        <v>271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2592</v>
      </c>
      <c r="Y436" t="s">
        <v>2604</v>
      </c>
    </row>
    <row r="437" spans="1:25" hidden="1" x14ac:dyDescent="0.25">
      <c r="B437" t="s">
        <v>284</v>
      </c>
      <c r="C437" t="s">
        <v>2591</v>
      </c>
      <c r="D437" t="s">
        <v>2382</v>
      </c>
      <c r="E437" t="s">
        <v>2605</v>
      </c>
      <c r="F437" t="s">
        <v>284</v>
      </c>
      <c r="G437" t="s">
        <v>207</v>
      </c>
      <c r="H437" t="s">
        <v>239</v>
      </c>
      <c r="I437" t="s">
        <v>961</v>
      </c>
      <c r="J437" t="s">
        <v>281</v>
      </c>
      <c r="L437" t="s">
        <v>270</v>
      </c>
      <c r="M437" t="s">
        <v>271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2592</v>
      </c>
      <c r="Y437" t="s">
        <v>2606</v>
      </c>
    </row>
    <row r="438" spans="1:25" hidden="1" x14ac:dyDescent="0.25">
      <c r="B438" t="s">
        <v>284</v>
      </c>
      <c r="C438" t="s">
        <v>2591</v>
      </c>
      <c r="D438" t="s">
        <v>2382</v>
      </c>
      <c r="E438" t="s">
        <v>2607</v>
      </c>
      <c r="F438" t="s">
        <v>284</v>
      </c>
      <c r="G438" t="s">
        <v>207</v>
      </c>
      <c r="H438" t="s">
        <v>239</v>
      </c>
      <c r="I438" t="s">
        <v>961</v>
      </c>
      <c r="J438" t="s">
        <v>281</v>
      </c>
      <c r="L438" t="s">
        <v>270</v>
      </c>
      <c r="M438" t="s">
        <v>271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2592</v>
      </c>
      <c r="Y438" t="s">
        <v>2608</v>
      </c>
    </row>
    <row r="439" spans="1:25" x14ac:dyDescent="0.25">
      <c r="A439" t="s">
        <v>2609</v>
      </c>
      <c r="B439" t="s">
        <v>2610</v>
      </c>
      <c r="C439" t="s">
        <v>2591</v>
      </c>
      <c r="D439" t="s">
        <v>2382</v>
      </c>
      <c r="E439" t="s">
        <v>2611</v>
      </c>
      <c r="F439" t="s">
        <v>2610</v>
      </c>
      <c r="G439" t="s">
        <v>207</v>
      </c>
      <c r="H439" t="s">
        <v>240</v>
      </c>
      <c r="I439" t="s">
        <v>961</v>
      </c>
      <c r="J439" t="s">
        <v>2612</v>
      </c>
      <c r="L439" t="s">
        <v>270</v>
      </c>
      <c r="M439" t="s">
        <v>271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2597</v>
      </c>
      <c r="Y439" t="s">
        <v>2613</v>
      </c>
    </row>
    <row r="440" spans="1:25" x14ac:dyDescent="0.25">
      <c r="A440" t="s">
        <v>2609</v>
      </c>
      <c r="B440" t="s">
        <v>2610</v>
      </c>
      <c r="C440" t="s">
        <v>2591</v>
      </c>
      <c r="D440" t="s">
        <v>2382</v>
      </c>
      <c r="E440" t="s">
        <v>2614</v>
      </c>
      <c r="F440" t="s">
        <v>2610</v>
      </c>
      <c r="G440" t="s">
        <v>207</v>
      </c>
      <c r="H440" t="s">
        <v>240</v>
      </c>
      <c r="I440" t="s">
        <v>961</v>
      </c>
      <c r="J440" t="s">
        <v>2612</v>
      </c>
      <c r="L440" t="s">
        <v>270</v>
      </c>
      <c r="M440" t="s">
        <v>271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2597</v>
      </c>
      <c r="Y440" t="s">
        <v>2615</v>
      </c>
    </row>
    <row r="441" spans="1:25" x14ac:dyDescent="0.25">
      <c r="A441" t="s">
        <v>2609</v>
      </c>
      <c r="B441" t="s">
        <v>2610</v>
      </c>
      <c r="C441" t="s">
        <v>2591</v>
      </c>
      <c r="D441" t="s">
        <v>2382</v>
      </c>
      <c r="E441" t="s">
        <v>2616</v>
      </c>
      <c r="F441" t="s">
        <v>2610</v>
      </c>
      <c r="G441" t="s">
        <v>207</v>
      </c>
      <c r="H441" t="s">
        <v>240</v>
      </c>
      <c r="I441" t="s">
        <v>961</v>
      </c>
      <c r="J441" t="s">
        <v>2612</v>
      </c>
      <c r="L441" t="s">
        <v>270</v>
      </c>
      <c r="M441" t="s">
        <v>271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2597</v>
      </c>
      <c r="Y441" t="s">
        <v>2617</v>
      </c>
    </row>
    <row r="442" spans="1:25" x14ac:dyDescent="0.25">
      <c r="A442" t="s">
        <v>2618</v>
      </c>
      <c r="B442" t="s">
        <v>2619</v>
      </c>
      <c r="C442" t="s">
        <v>2591</v>
      </c>
      <c r="D442" t="s">
        <v>2382</v>
      </c>
      <c r="E442" t="s">
        <v>2620</v>
      </c>
      <c r="F442" t="s">
        <v>2619</v>
      </c>
      <c r="G442" t="s">
        <v>207</v>
      </c>
      <c r="H442" t="s">
        <v>239</v>
      </c>
      <c r="I442" t="s">
        <v>961</v>
      </c>
      <c r="J442" t="s">
        <v>2621</v>
      </c>
      <c r="L442" t="s">
        <v>270</v>
      </c>
      <c r="M442" t="s">
        <v>271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2597</v>
      </c>
      <c r="Y442" t="s">
        <v>2622</v>
      </c>
    </row>
    <row r="443" spans="1:25" x14ac:dyDescent="0.25">
      <c r="A443" t="s">
        <v>2618</v>
      </c>
      <c r="B443" t="s">
        <v>2619</v>
      </c>
      <c r="C443" t="s">
        <v>2591</v>
      </c>
      <c r="D443" t="s">
        <v>2382</v>
      </c>
      <c r="E443" t="s">
        <v>2623</v>
      </c>
      <c r="F443" t="s">
        <v>2619</v>
      </c>
      <c r="G443" t="s">
        <v>207</v>
      </c>
      <c r="H443" t="s">
        <v>239</v>
      </c>
      <c r="I443" t="s">
        <v>961</v>
      </c>
      <c r="J443" t="s">
        <v>2621</v>
      </c>
      <c r="L443" t="s">
        <v>270</v>
      </c>
      <c r="M443" t="s">
        <v>271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2597</v>
      </c>
      <c r="Y443" t="s">
        <v>2624</v>
      </c>
    </row>
    <row r="444" spans="1:25" x14ac:dyDescent="0.25">
      <c r="A444" t="s">
        <v>2618</v>
      </c>
      <c r="B444" t="s">
        <v>2619</v>
      </c>
      <c r="C444" t="s">
        <v>2591</v>
      </c>
      <c r="D444" t="s">
        <v>2382</v>
      </c>
      <c r="E444" t="s">
        <v>2625</v>
      </c>
      <c r="F444" t="s">
        <v>2619</v>
      </c>
      <c r="G444" t="s">
        <v>207</v>
      </c>
      <c r="H444" t="s">
        <v>239</v>
      </c>
      <c r="I444" t="s">
        <v>961</v>
      </c>
      <c r="J444" t="s">
        <v>2621</v>
      </c>
      <c r="L444" t="s">
        <v>270</v>
      </c>
      <c r="M444" t="s">
        <v>271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2597</v>
      </c>
      <c r="Y444" t="s">
        <v>2626</v>
      </c>
    </row>
    <row r="445" spans="1:25" x14ac:dyDescent="0.25">
      <c r="A445" t="s">
        <v>2618</v>
      </c>
      <c r="B445" t="s">
        <v>2619</v>
      </c>
      <c r="C445" t="s">
        <v>2591</v>
      </c>
      <c r="D445" t="s">
        <v>2382</v>
      </c>
      <c r="E445" t="s">
        <v>2627</v>
      </c>
      <c r="F445" t="s">
        <v>2619</v>
      </c>
      <c r="G445" t="s">
        <v>207</v>
      </c>
      <c r="H445" t="s">
        <v>239</v>
      </c>
      <c r="I445" t="s">
        <v>961</v>
      </c>
      <c r="J445" t="s">
        <v>2621</v>
      </c>
      <c r="L445" t="s">
        <v>270</v>
      </c>
      <c r="M445" t="s">
        <v>271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2597</v>
      </c>
      <c r="Y445" t="s">
        <v>2628</v>
      </c>
    </row>
    <row r="446" spans="1:25" x14ac:dyDescent="0.25">
      <c r="A446" t="s">
        <v>2629</v>
      </c>
      <c r="B446" t="s">
        <v>2630</v>
      </c>
      <c r="C446" t="s">
        <v>2591</v>
      </c>
      <c r="D446" t="s">
        <v>2382</v>
      </c>
      <c r="E446" t="s">
        <v>2631</v>
      </c>
      <c r="F446" t="s">
        <v>2630</v>
      </c>
      <c r="G446" t="s">
        <v>207</v>
      </c>
      <c r="H446" t="s">
        <v>238</v>
      </c>
      <c r="I446" t="s">
        <v>961</v>
      </c>
      <c r="J446" t="s">
        <v>2632</v>
      </c>
      <c r="L446" t="s">
        <v>270</v>
      </c>
      <c r="M446" t="s">
        <v>271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2597</v>
      </c>
      <c r="Y446" t="s">
        <v>2633</v>
      </c>
    </row>
    <row r="447" spans="1:25" x14ac:dyDescent="0.25">
      <c r="A447" t="s">
        <v>2629</v>
      </c>
      <c r="B447" t="s">
        <v>2630</v>
      </c>
      <c r="C447" t="s">
        <v>2591</v>
      </c>
      <c r="D447" t="s">
        <v>2382</v>
      </c>
      <c r="E447" t="s">
        <v>2634</v>
      </c>
      <c r="F447" t="s">
        <v>2630</v>
      </c>
      <c r="G447" t="s">
        <v>207</v>
      </c>
      <c r="H447" t="s">
        <v>238</v>
      </c>
      <c r="I447" t="s">
        <v>961</v>
      </c>
      <c r="J447" t="s">
        <v>2632</v>
      </c>
      <c r="L447" t="s">
        <v>270</v>
      </c>
      <c r="M447" t="s">
        <v>271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2597</v>
      </c>
      <c r="Y447" t="s">
        <v>2635</v>
      </c>
    </row>
    <row r="448" spans="1:25" x14ac:dyDescent="0.25">
      <c r="A448" t="s">
        <v>2636</v>
      </c>
      <c r="B448" t="s">
        <v>2637</v>
      </c>
      <c r="C448" t="s">
        <v>2591</v>
      </c>
      <c r="D448" t="s">
        <v>2382</v>
      </c>
      <c r="E448" t="s">
        <v>2638</v>
      </c>
      <c r="F448" t="s">
        <v>2637</v>
      </c>
      <c r="G448" t="s">
        <v>207</v>
      </c>
      <c r="H448" t="s">
        <v>615</v>
      </c>
      <c r="I448" t="s">
        <v>961</v>
      </c>
      <c r="J448" t="s">
        <v>2639</v>
      </c>
      <c r="L448" t="s">
        <v>270</v>
      </c>
      <c r="M448" t="s">
        <v>271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2597</v>
      </c>
      <c r="Y448" t="s">
        <v>2640</v>
      </c>
    </row>
    <row r="449" spans="1:25" x14ac:dyDescent="0.25">
      <c r="A449" t="s">
        <v>2636</v>
      </c>
      <c r="B449" t="s">
        <v>2637</v>
      </c>
      <c r="C449" t="s">
        <v>2591</v>
      </c>
      <c r="D449" t="s">
        <v>2382</v>
      </c>
      <c r="E449" t="s">
        <v>2641</v>
      </c>
      <c r="F449" t="s">
        <v>2637</v>
      </c>
      <c r="G449" t="s">
        <v>207</v>
      </c>
      <c r="H449" t="s">
        <v>615</v>
      </c>
      <c r="I449" t="s">
        <v>961</v>
      </c>
      <c r="J449" t="s">
        <v>2639</v>
      </c>
      <c r="L449" t="s">
        <v>270</v>
      </c>
      <c r="M449" t="s">
        <v>271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2597</v>
      </c>
      <c r="Y449" t="s">
        <v>2642</v>
      </c>
    </row>
    <row r="450" spans="1:25" x14ac:dyDescent="0.25">
      <c r="A450" t="s">
        <v>2636</v>
      </c>
      <c r="B450" t="s">
        <v>2637</v>
      </c>
      <c r="C450" t="s">
        <v>2591</v>
      </c>
      <c r="D450" t="s">
        <v>2382</v>
      </c>
      <c r="E450" t="s">
        <v>2643</v>
      </c>
      <c r="F450" t="s">
        <v>2637</v>
      </c>
      <c r="G450" t="s">
        <v>207</v>
      </c>
      <c r="H450" t="s">
        <v>615</v>
      </c>
      <c r="I450" t="s">
        <v>961</v>
      </c>
      <c r="J450" t="s">
        <v>2639</v>
      </c>
      <c r="L450" t="s">
        <v>270</v>
      </c>
      <c r="M450" t="s">
        <v>271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2597</v>
      </c>
      <c r="Y450" t="s">
        <v>2644</v>
      </c>
    </row>
    <row r="451" spans="1:25" x14ac:dyDescent="0.25">
      <c r="A451" t="s">
        <v>2636</v>
      </c>
      <c r="B451" t="s">
        <v>2637</v>
      </c>
      <c r="C451" t="s">
        <v>2591</v>
      </c>
      <c r="D451" t="s">
        <v>2382</v>
      </c>
      <c r="E451" t="s">
        <v>2645</v>
      </c>
      <c r="F451" t="s">
        <v>2637</v>
      </c>
      <c r="G451" t="s">
        <v>207</v>
      </c>
      <c r="H451" t="s">
        <v>615</v>
      </c>
      <c r="I451" t="s">
        <v>961</v>
      </c>
      <c r="J451" t="s">
        <v>2639</v>
      </c>
      <c r="L451" t="s">
        <v>270</v>
      </c>
      <c r="M451" t="s">
        <v>271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2597</v>
      </c>
      <c r="Y451" t="s">
        <v>2646</v>
      </c>
    </row>
    <row r="452" spans="1:25" x14ac:dyDescent="0.25">
      <c r="A452" t="s">
        <v>2636</v>
      </c>
      <c r="B452" t="s">
        <v>2637</v>
      </c>
      <c r="C452" t="s">
        <v>2591</v>
      </c>
      <c r="D452" t="s">
        <v>2382</v>
      </c>
      <c r="E452" t="s">
        <v>2647</v>
      </c>
      <c r="F452" t="s">
        <v>2637</v>
      </c>
      <c r="G452" t="s">
        <v>207</v>
      </c>
      <c r="H452" t="s">
        <v>615</v>
      </c>
      <c r="I452" t="s">
        <v>961</v>
      </c>
      <c r="J452" t="s">
        <v>2639</v>
      </c>
      <c r="L452" t="s">
        <v>270</v>
      </c>
      <c r="M452" t="s">
        <v>271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2597</v>
      </c>
      <c r="Y452" t="s">
        <v>2648</v>
      </c>
    </row>
    <row r="453" spans="1:25" x14ac:dyDescent="0.25">
      <c r="A453" t="s">
        <v>2636</v>
      </c>
      <c r="B453" t="s">
        <v>2637</v>
      </c>
      <c r="C453" t="s">
        <v>2591</v>
      </c>
      <c r="D453" t="s">
        <v>2382</v>
      </c>
      <c r="E453" t="s">
        <v>2649</v>
      </c>
      <c r="F453" t="s">
        <v>2637</v>
      </c>
      <c r="G453" t="s">
        <v>207</v>
      </c>
      <c r="H453" t="s">
        <v>615</v>
      </c>
      <c r="I453" t="s">
        <v>961</v>
      </c>
      <c r="J453" t="s">
        <v>2639</v>
      </c>
      <c r="L453" t="s">
        <v>270</v>
      </c>
      <c r="M453" t="s">
        <v>271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2597</v>
      </c>
      <c r="Y453" t="s">
        <v>2650</v>
      </c>
    </row>
    <row r="454" spans="1:25" x14ac:dyDescent="0.25">
      <c r="A454" t="s">
        <v>2636</v>
      </c>
      <c r="B454" t="s">
        <v>2637</v>
      </c>
      <c r="C454" t="s">
        <v>2591</v>
      </c>
      <c r="D454" t="s">
        <v>2382</v>
      </c>
      <c r="E454" t="s">
        <v>2651</v>
      </c>
      <c r="F454" t="s">
        <v>2637</v>
      </c>
      <c r="G454" t="s">
        <v>207</v>
      </c>
      <c r="H454" t="s">
        <v>615</v>
      </c>
      <c r="I454" t="s">
        <v>961</v>
      </c>
      <c r="J454" t="s">
        <v>2639</v>
      </c>
      <c r="L454" t="s">
        <v>270</v>
      </c>
      <c r="M454" t="s">
        <v>271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2597</v>
      </c>
      <c r="Y454" t="s">
        <v>2652</v>
      </c>
    </row>
    <row r="455" spans="1:25" x14ac:dyDescent="0.25">
      <c r="A455" t="s">
        <v>2636</v>
      </c>
      <c r="B455" t="s">
        <v>2637</v>
      </c>
      <c r="C455" t="s">
        <v>2591</v>
      </c>
      <c r="D455" t="s">
        <v>2382</v>
      </c>
      <c r="E455" t="s">
        <v>2653</v>
      </c>
      <c r="F455" t="s">
        <v>2637</v>
      </c>
      <c r="G455" t="s">
        <v>207</v>
      </c>
      <c r="H455" t="s">
        <v>615</v>
      </c>
      <c r="I455" t="s">
        <v>961</v>
      </c>
      <c r="J455" t="s">
        <v>2639</v>
      </c>
      <c r="L455" t="s">
        <v>270</v>
      </c>
      <c r="M455" t="s">
        <v>271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2597</v>
      </c>
      <c r="Y455" t="s">
        <v>2654</v>
      </c>
    </row>
    <row r="456" spans="1:25" x14ac:dyDescent="0.25">
      <c r="A456" t="s">
        <v>2655</v>
      </c>
      <c r="B456" t="s">
        <v>2656</v>
      </c>
      <c r="C456" t="s">
        <v>2591</v>
      </c>
      <c r="D456" t="s">
        <v>2382</v>
      </c>
      <c r="E456" t="s">
        <v>2657</v>
      </c>
      <c r="F456" t="s">
        <v>2656</v>
      </c>
      <c r="G456" t="s">
        <v>207</v>
      </c>
      <c r="H456" t="s">
        <v>240</v>
      </c>
      <c r="I456" t="s">
        <v>961</v>
      </c>
      <c r="J456" t="s">
        <v>2658</v>
      </c>
      <c r="L456" t="s">
        <v>270</v>
      </c>
      <c r="M456" t="s">
        <v>271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2597</v>
      </c>
      <c r="Y456" t="s">
        <v>2659</v>
      </c>
    </row>
    <row r="457" spans="1:25" x14ac:dyDescent="0.25">
      <c r="A457" t="s">
        <v>2655</v>
      </c>
      <c r="B457" t="s">
        <v>2656</v>
      </c>
      <c r="C457" t="s">
        <v>2591</v>
      </c>
      <c r="D457" t="s">
        <v>2382</v>
      </c>
      <c r="E457" t="s">
        <v>2660</v>
      </c>
      <c r="F457" t="s">
        <v>2656</v>
      </c>
      <c r="G457" t="s">
        <v>207</v>
      </c>
      <c r="H457" t="s">
        <v>240</v>
      </c>
      <c r="I457" t="s">
        <v>961</v>
      </c>
      <c r="J457" t="s">
        <v>2658</v>
      </c>
      <c r="L457" t="s">
        <v>270</v>
      </c>
      <c r="M457" t="s">
        <v>271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2597</v>
      </c>
      <c r="Y457" t="s">
        <v>2661</v>
      </c>
    </row>
    <row r="458" spans="1:25" x14ac:dyDescent="0.25">
      <c r="A458" t="s">
        <v>2662</v>
      </c>
      <c r="B458" t="s">
        <v>2663</v>
      </c>
      <c r="C458" t="s">
        <v>2591</v>
      </c>
      <c r="D458" t="s">
        <v>2382</v>
      </c>
      <c r="E458" t="s">
        <v>2664</v>
      </c>
      <c r="F458" t="s">
        <v>2663</v>
      </c>
      <c r="G458" t="s">
        <v>207</v>
      </c>
      <c r="H458" t="s">
        <v>615</v>
      </c>
      <c r="I458" t="s">
        <v>961</v>
      </c>
      <c r="J458" t="s">
        <v>2665</v>
      </c>
      <c r="L458" t="s">
        <v>270</v>
      </c>
      <c r="M458" t="s">
        <v>271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2597</v>
      </c>
      <c r="Y458" t="s">
        <v>2666</v>
      </c>
    </row>
    <row r="459" spans="1:25" x14ac:dyDescent="0.25">
      <c r="A459" t="s">
        <v>2662</v>
      </c>
      <c r="B459" t="s">
        <v>2663</v>
      </c>
      <c r="C459" t="s">
        <v>2591</v>
      </c>
      <c r="D459" t="s">
        <v>2382</v>
      </c>
      <c r="E459" t="s">
        <v>2667</v>
      </c>
      <c r="F459" t="s">
        <v>2663</v>
      </c>
      <c r="G459" t="s">
        <v>207</v>
      </c>
      <c r="H459" t="s">
        <v>615</v>
      </c>
      <c r="I459" t="s">
        <v>961</v>
      </c>
      <c r="J459" t="s">
        <v>2665</v>
      </c>
      <c r="L459" t="s">
        <v>270</v>
      </c>
      <c r="M459" t="s">
        <v>271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2597</v>
      </c>
      <c r="Y459" t="s">
        <v>2668</v>
      </c>
    </row>
    <row r="460" spans="1:25" x14ac:dyDescent="0.25">
      <c r="A460" t="s">
        <v>2662</v>
      </c>
      <c r="B460" t="s">
        <v>2663</v>
      </c>
      <c r="C460" t="s">
        <v>2591</v>
      </c>
      <c r="D460" t="s">
        <v>2382</v>
      </c>
      <c r="E460" t="s">
        <v>2669</v>
      </c>
      <c r="F460" t="s">
        <v>2663</v>
      </c>
      <c r="G460" t="s">
        <v>207</v>
      </c>
      <c r="H460" t="s">
        <v>615</v>
      </c>
      <c r="I460" t="s">
        <v>961</v>
      </c>
      <c r="J460" t="s">
        <v>2665</v>
      </c>
      <c r="L460" t="s">
        <v>270</v>
      </c>
      <c r="M460" t="s">
        <v>271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2597</v>
      </c>
      <c r="Y460" t="s">
        <v>2670</v>
      </c>
    </row>
    <row r="461" spans="1:25" x14ac:dyDescent="0.25">
      <c r="A461" t="s">
        <v>906</v>
      </c>
      <c r="B461" t="s">
        <v>907</v>
      </c>
      <c r="C461" t="s">
        <v>2591</v>
      </c>
      <c r="D461" t="s">
        <v>2382</v>
      </c>
      <c r="E461" t="s">
        <v>2671</v>
      </c>
      <c r="F461" t="s">
        <v>907</v>
      </c>
      <c r="G461" t="s">
        <v>207</v>
      </c>
      <c r="H461" t="s">
        <v>905</v>
      </c>
      <c r="I461" t="s">
        <v>961</v>
      </c>
      <c r="J461" t="s">
        <v>2672</v>
      </c>
      <c r="L461" t="s">
        <v>270</v>
      </c>
      <c r="M461" t="s">
        <v>271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2597</v>
      </c>
      <c r="Y461" t="s">
        <v>2673</v>
      </c>
    </row>
    <row r="462" spans="1:25" x14ac:dyDescent="0.25">
      <c r="A462" t="s">
        <v>906</v>
      </c>
      <c r="B462" t="s">
        <v>907</v>
      </c>
      <c r="C462" t="s">
        <v>2591</v>
      </c>
      <c r="D462" t="s">
        <v>2382</v>
      </c>
      <c r="E462" t="s">
        <v>2674</v>
      </c>
      <c r="F462" t="s">
        <v>907</v>
      </c>
      <c r="G462" t="s">
        <v>207</v>
      </c>
      <c r="H462" t="s">
        <v>905</v>
      </c>
      <c r="I462" t="s">
        <v>961</v>
      </c>
      <c r="J462" t="s">
        <v>2672</v>
      </c>
      <c r="L462" t="s">
        <v>270</v>
      </c>
      <c r="M462" t="s">
        <v>271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2597</v>
      </c>
      <c r="Y462" t="s">
        <v>2675</v>
      </c>
    </row>
    <row r="463" spans="1:25" x14ac:dyDescent="0.25">
      <c r="A463" t="s">
        <v>2676</v>
      </c>
      <c r="B463" t="s">
        <v>2677</v>
      </c>
      <c r="C463" t="s">
        <v>2591</v>
      </c>
      <c r="D463" t="s">
        <v>2382</v>
      </c>
      <c r="E463" t="s">
        <v>2678</v>
      </c>
      <c r="F463" t="s">
        <v>2677</v>
      </c>
      <c r="G463" t="s">
        <v>207</v>
      </c>
      <c r="H463" t="s">
        <v>238</v>
      </c>
      <c r="I463" t="s">
        <v>961</v>
      </c>
      <c r="J463" t="s">
        <v>2679</v>
      </c>
      <c r="L463" t="s">
        <v>270</v>
      </c>
      <c r="M463" t="s">
        <v>271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2597</v>
      </c>
      <c r="Y463" t="s">
        <v>2680</v>
      </c>
    </row>
    <row r="464" spans="1:25" x14ac:dyDescent="0.25">
      <c r="A464" t="s">
        <v>2676</v>
      </c>
      <c r="B464" t="s">
        <v>2677</v>
      </c>
      <c r="C464" t="s">
        <v>2591</v>
      </c>
      <c r="D464" t="s">
        <v>2382</v>
      </c>
      <c r="E464" t="s">
        <v>2681</v>
      </c>
      <c r="F464" t="s">
        <v>2677</v>
      </c>
      <c r="G464" t="s">
        <v>207</v>
      </c>
      <c r="H464" t="s">
        <v>238</v>
      </c>
      <c r="I464" t="s">
        <v>961</v>
      </c>
      <c r="J464" t="s">
        <v>2679</v>
      </c>
      <c r="L464" t="s">
        <v>270</v>
      </c>
      <c r="M464" t="s">
        <v>271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2597</v>
      </c>
      <c r="Y464" t="s">
        <v>2682</v>
      </c>
    </row>
    <row r="465" spans="1:25" x14ac:dyDescent="0.25">
      <c r="A465" t="s">
        <v>2676</v>
      </c>
      <c r="B465" t="s">
        <v>2677</v>
      </c>
      <c r="C465" t="s">
        <v>2591</v>
      </c>
      <c r="D465" t="s">
        <v>2382</v>
      </c>
      <c r="E465" t="s">
        <v>2683</v>
      </c>
      <c r="F465" t="s">
        <v>2677</v>
      </c>
      <c r="G465" t="s">
        <v>207</v>
      </c>
      <c r="H465" t="s">
        <v>238</v>
      </c>
      <c r="I465" t="s">
        <v>961</v>
      </c>
      <c r="J465" t="s">
        <v>2679</v>
      </c>
      <c r="L465" t="s">
        <v>270</v>
      </c>
      <c r="M465" t="s">
        <v>271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2597</v>
      </c>
      <c r="Y465" t="s">
        <v>2684</v>
      </c>
    </row>
    <row r="466" spans="1:25" x14ac:dyDescent="0.25">
      <c r="A466" t="s">
        <v>2685</v>
      </c>
      <c r="B466" t="s">
        <v>2686</v>
      </c>
      <c r="C466" t="s">
        <v>2591</v>
      </c>
      <c r="D466" t="s">
        <v>2382</v>
      </c>
      <c r="E466" t="s">
        <v>2687</v>
      </c>
      <c r="F466" t="s">
        <v>2686</v>
      </c>
      <c r="G466" t="s">
        <v>207</v>
      </c>
      <c r="H466" t="s">
        <v>897</v>
      </c>
      <c r="I466" t="s">
        <v>961</v>
      </c>
      <c r="J466" t="s">
        <v>2688</v>
      </c>
      <c r="L466" t="s">
        <v>270</v>
      </c>
      <c r="M466" t="s">
        <v>271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2597</v>
      </c>
      <c r="Y466" t="s">
        <v>2689</v>
      </c>
    </row>
    <row r="467" spans="1:25" x14ac:dyDescent="0.25">
      <c r="A467" t="s">
        <v>2685</v>
      </c>
      <c r="B467" t="s">
        <v>2686</v>
      </c>
      <c r="C467" t="s">
        <v>2591</v>
      </c>
      <c r="D467" t="s">
        <v>2382</v>
      </c>
      <c r="E467" t="s">
        <v>2690</v>
      </c>
      <c r="F467" t="s">
        <v>2686</v>
      </c>
      <c r="G467" t="s">
        <v>207</v>
      </c>
      <c r="H467" t="s">
        <v>897</v>
      </c>
      <c r="I467" t="s">
        <v>961</v>
      </c>
      <c r="J467" t="s">
        <v>2688</v>
      </c>
      <c r="L467" t="s">
        <v>270</v>
      </c>
      <c r="M467" t="s">
        <v>271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2597</v>
      </c>
      <c r="Y467" t="s">
        <v>2691</v>
      </c>
    </row>
    <row r="468" spans="1:25" hidden="1" x14ac:dyDescent="0.25">
      <c r="B468" t="s">
        <v>2692</v>
      </c>
      <c r="C468" t="s">
        <v>2591</v>
      </c>
      <c r="D468" t="s">
        <v>2382</v>
      </c>
      <c r="E468" t="s">
        <v>2693</v>
      </c>
      <c r="F468" t="s">
        <v>2692</v>
      </c>
      <c r="G468" t="s">
        <v>207</v>
      </c>
      <c r="H468" t="s">
        <v>238</v>
      </c>
      <c r="I468" t="s">
        <v>961</v>
      </c>
      <c r="J468" t="s">
        <v>2694</v>
      </c>
      <c r="L468" t="s">
        <v>270</v>
      </c>
      <c r="M468" t="s">
        <v>271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2592</v>
      </c>
      <c r="Y468" t="s">
        <v>2695</v>
      </c>
    </row>
    <row r="469" spans="1:25" hidden="1" x14ac:dyDescent="0.25">
      <c r="B469" t="s">
        <v>2692</v>
      </c>
      <c r="C469" t="s">
        <v>2591</v>
      </c>
      <c r="D469" t="s">
        <v>2382</v>
      </c>
      <c r="E469" t="s">
        <v>2696</v>
      </c>
      <c r="F469" t="s">
        <v>2692</v>
      </c>
      <c r="G469" t="s">
        <v>207</v>
      </c>
      <c r="H469" t="s">
        <v>238</v>
      </c>
      <c r="I469" t="s">
        <v>961</v>
      </c>
      <c r="J469" t="s">
        <v>2694</v>
      </c>
      <c r="L469" t="s">
        <v>270</v>
      </c>
      <c r="M469" t="s">
        <v>271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2592</v>
      </c>
      <c r="Y469" t="s">
        <v>2697</v>
      </c>
    </row>
    <row r="470" spans="1:25" hidden="1" x14ac:dyDescent="0.25">
      <c r="B470" t="s">
        <v>2692</v>
      </c>
      <c r="C470" t="s">
        <v>2591</v>
      </c>
      <c r="D470" t="s">
        <v>2382</v>
      </c>
      <c r="E470" t="s">
        <v>2698</v>
      </c>
      <c r="F470" t="s">
        <v>2692</v>
      </c>
      <c r="G470" t="s">
        <v>207</v>
      </c>
      <c r="H470" t="s">
        <v>238</v>
      </c>
      <c r="I470" t="s">
        <v>961</v>
      </c>
      <c r="J470" t="s">
        <v>2694</v>
      </c>
      <c r="L470" t="s">
        <v>270</v>
      </c>
      <c r="M470" t="s">
        <v>271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2592</v>
      </c>
      <c r="Y470" t="s">
        <v>2699</v>
      </c>
    </row>
    <row r="471" spans="1:25" hidden="1" x14ac:dyDescent="0.25">
      <c r="B471" t="s">
        <v>2692</v>
      </c>
      <c r="C471" t="s">
        <v>2591</v>
      </c>
      <c r="D471" t="s">
        <v>2382</v>
      </c>
      <c r="E471" t="s">
        <v>2700</v>
      </c>
      <c r="F471" t="s">
        <v>2692</v>
      </c>
      <c r="G471" t="s">
        <v>207</v>
      </c>
      <c r="H471" t="s">
        <v>238</v>
      </c>
      <c r="I471" t="s">
        <v>961</v>
      </c>
      <c r="J471" t="s">
        <v>2694</v>
      </c>
      <c r="L471" t="s">
        <v>270</v>
      </c>
      <c r="M471" t="s">
        <v>271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2592</v>
      </c>
      <c r="Y471" t="s">
        <v>2701</v>
      </c>
    </row>
    <row r="472" spans="1:25" hidden="1" x14ac:dyDescent="0.25">
      <c r="B472" t="s">
        <v>2692</v>
      </c>
      <c r="C472" t="s">
        <v>2591</v>
      </c>
      <c r="D472" t="s">
        <v>2382</v>
      </c>
      <c r="E472" t="s">
        <v>2702</v>
      </c>
      <c r="F472" t="s">
        <v>2692</v>
      </c>
      <c r="G472" t="s">
        <v>207</v>
      </c>
      <c r="H472" t="s">
        <v>238</v>
      </c>
      <c r="I472" t="s">
        <v>961</v>
      </c>
      <c r="J472" t="s">
        <v>2694</v>
      </c>
      <c r="L472" t="s">
        <v>270</v>
      </c>
      <c r="M472" t="s">
        <v>271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2592</v>
      </c>
      <c r="Y472" t="s">
        <v>2703</v>
      </c>
    </row>
    <row r="473" spans="1:25" hidden="1" x14ac:dyDescent="0.25">
      <c r="B473" t="s">
        <v>2692</v>
      </c>
      <c r="C473" t="s">
        <v>2591</v>
      </c>
      <c r="D473" t="s">
        <v>2382</v>
      </c>
      <c r="E473" t="s">
        <v>2704</v>
      </c>
      <c r="F473" t="s">
        <v>2692</v>
      </c>
      <c r="G473" t="s">
        <v>207</v>
      </c>
      <c r="H473" t="s">
        <v>238</v>
      </c>
      <c r="I473" t="s">
        <v>961</v>
      </c>
      <c r="J473" t="s">
        <v>2694</v>
      </c>
      <c r="L473" t="s">
        <v>270</v>
      </c>
      <c r="M473" t="s">
        <v>271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2592</v>
      </c>
      <c r="Y473" t="s">
        <v>2705</v>
      </c>
    </row>
    <row r="474" spans="1:25" hidden="1" x14ac:dyDescent="0.25">
      <c r="B474" t="s">
        <v>2706</v>
      </c>
      <c r="C474" t="s">
        <v>2591</v>
      </c>
      <c r="D474" t="s">
        <v>2382</v>
      </c>
      <c r="E474" t="s">
        <v>2707</v>
      </c>
      <c r="F474" t="s">
        <v>2706</v>
      </c>
      <c r="G474" t="s">
        <v>207</v>
      </c>
      <c r="H474" t="s">
        <v>238</v>
      </c>
      <c r="I474" t="s">
        <v>961</v>
      </c>
      <c r="J474" t="s">
        <v>2708</v>
      </c>
      <c r="L474" t="s">
        <v>270</v>
      </c>
      <c r="M474" t="s">
        <v>271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2592</v>
      </c>
      <c r="Y474" t="s">
        <v>2709</v>
      </c>
    </row>
    <row r="475" spans="1:25" hidden="1" x14ac:dyDescent="0.25">
      <c r="B475" t="s">
        <v>2706</v>
      </c>
      <c r="C475" t="s">
        <v>2591</v>
      </c>
      <c r="D475" t="s">
        <v>2382</v>
      </c>
      <c r="E475" t="s">
        <v>2710</v>
      </c>
      <c r="F475" t="s">
        <v>2706</v>
      </c>
      <c r="G475" t="s">
        <v>207</v>
      </c>
      <c r="H475" t="s">
        <v>238</v>
      </c>
      <c r="I475" t="s">
        <v>961</v>
      </c>
      <c r="J475" t="s">
        <v>2708</v>
      </c>
      <c r="L475" t="s">
        <v>270</v>
      </c>
      <c r="M475" t="s">
        <v>271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2592</v>
      </c>
      <c r="Y475" t="s">
        <v>2711</v>
      </c>
    </row>
    <row r="476" spans="1:25" hidden="1" x14ac:dyDescent="0.25">
      <c r="B476" t="s">
        <v>2706</v>
      </c>
      <c r="C476" t="s">
        <v>2591</v>
      </c>
      <c r="D476" t="s">
        <v>2382</v>
      </c>
      <c r="E476" t="s">
        <v>2712</v>
      </c>
      <c r="F476" t="s">
        <v>2706</v>
      </c>
      <c r="G476" t="s">
        <v>207</v>
      </c>
      <c r="H476" t="s">
        <v>238</v>
      </c>
      <c r="I476" t="s">
        <v>961</v>
      </c>
      <c r="J476" t="s">
        <v>2708</v>
      </c>
      <c r="L476" t="s">
        <v>270</v>
      </c>
      <c r="M476" t="s">
        <v>271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2592</v>
      </c>
      <c r="Y476" t="s">
        <v>2713</v>
      </c>
    </row>
    <row r="477" spans="1:25" x14ac:dyDescent="0.25">
      <c r="A477" t="s">
        <v>2714</v>
      </c>
      <c r="B477" t="s">
        <v>2715</v>
      </c>
      <c r="C477" t="s">
        <v>2591</v>
      </c>
      <c r="D477" t="s">
        <v>2382</v>
      </c>
      <c r="E477" t="s">
        <v>2716</v>
      </c>
      <c r="F477" t="s">
        <v>2715</v>
      </c>
      <c r="G477" t="s">
        <v>207</v>
      </c>
      <c r="H477" t="s">
        <v>238</v>
      </c>
      <c r="I477" t="s">
        <v>961</v>
      </c>
      <c r="J477" t="s">
        <v>2717</v>
      </c>
      <c r="L477" t="s">
        <v>270</v>
      </c>
      <c r="M477" t="s">
        <v>271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2597</v>
      </c>
      <c r="Y477" t="s">
        <v>2718</v>
      </c>
    </row>
    <row r="478" spans="1:25" x14ac:dyDescent="0.25">
      <c r="A478" t="s">
        <v>2714</v>
      </c>
      <c r="B478" t="s">
        <v>2715</v>
      </c>
      <c r="C478" t="s">
        <v>2591</v>
      </c>
      <c r="D478" t="s">
        <v>2382</v>
      </c>
      <c r="E478" t="s">
        <v>2719</v>
      </c>
      <c r="F478" t="s">
        <v>2715</v>
      </c>
      <c r="G478" t="s">
        <v>207</v>
      </c>
      <c r="H478" t="s">
        <v>238</v>
      </c>
      <c r="I478" t="s">
        <v>961</v>
      </c>
      <c r="J478" t="s">
        <v>2717</v>
      </c>
      <c r="L478" t="s">
        <v>270</v>
      </c>
      <c r="M478" t="s">
        <v>271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2597</v>
      </c>
      <c r="Y478" t="s">
        <v>2720</v>
      </c>
    </row>
    <row r="479" spans="1:25" x14ac:dyDescent="0.25">
      <c r="A479" t="s">
        <v>2714</v>
      </c>
      <c r="B479" t="s">
        <v>2715</v>
      </c>
      <c r="C479" t="s">
        <v>2591</v>
      </c>
      <c r="D479" t="s">
        <v>2382</v>
      </c>
      <c r="E479" t="s">
        <v>2721</v>
      </c>
      <c r="F479" t="s">
        <v>2715</v>
      </c>
      <c r="G479" t="s">
        <v>207</v>
      </c>
      <c r="H479" t="s">
        <v>238</v>
      </c>
      <c r="I479" t="s">
        <v>961</v>
      </c>
      <c r="J479" t="s">
        <v>2717</v>
      </c>
      <c r="L479" t="s">
        <v>270</v>
      </c>
      <c r="M479" t="s">
        <v>271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2597</v>
      </c>
      <c r="Y479" t="s">
        <v>2722</v>
      </c>
    </row>
    <row r="480" spans="1:25" x14ac:dyDescent="0.25">
      <c r="A480" t="s">
        <v>2714</v>
      </c>
      <c r="B480" t="s">
        <v>2715</v>
      </c>
      <c r="C480" t="s">
        <v>2591</v>
      </c>
      <c r="D480" t="s">
        <v>2382</v>
      </c>
      <c r="E480" t="s">
        <v>2723</v>
      </c>
      <c r="F480" t="s">
        <v>2715</v>
      </c>
      <c r="G480" t="s">
        <v>207</v>
      </c>
      <c r="H480" t="s">
        <v>238</v>
      </c>
      <c r="I480" t="s">
        <v>961</v>
      </c>
      <c r="J480" t="s">
        <v>2717</v>
      </c>
      <c r="L480" t="s">
        <v>270</v>
      </c>
      <c r="M480" t="s">
        <v>271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2597</v>
      </c>
      <c r="Y480" t="s">
        <v>2724</v>
      </c>
    </row>
    <row r="481" spans="1:25" x14ac:dyDescent="0.25">
      <c r="A481" t="s">
        <v>2714</v>
      </c>
      <c r="B481" t="s">
        <v>2715</v>
      </c>
      <c r="C481" t="s">
        <v>2591</v>
      </c>
      <c r="D481" t="s">
        <v>2382</v>
      </c>
      <c r="E481" t="s">
        <v>2725</v>
      </c>
      <c r="F481" t="s">
        <v>2715</v>
      </c>
      <c r="G481" t="s">
        <v>207</v>
      </c>
      <c r="H481" t="s">
        <v>238</v>
      </c>
      <c r="I481" t="s">
        <v>961</v>
      </c>
      <c r="J481" t="s">
        <v>2717</v>
      </c>
      <c r="L481" t="s">
        <v>270</v>
      </c>
      <c r="M481" t="s">
        <v>271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2597</v>
      </c>
      <c r="Y481" t="s">
        <v>2726</v>
      </c>
    </row>
    <row r="482" spans="1:25" x14ac:dyDescent="0.25">
      <c r="A482" t="s">
        <v>2714</v>
      </c>
      <c r="B482" t="s">
        <v>2715</v>
      </c>
      <c r="C482" t="s">
        <v>2591</v>
      </c>
      <c r="D482" t="s">
        <v>2382</v>
      </c>
      <c r="E482" t="s">
        <v>2727</v>
      </c>
      <c r="F482" t="s">
        <v>2715</v>
      </c>
      <c r="G482" t="s">
        <v>207</v>
      </c>
      <c r="H482" t="s">
        <v>238</v>
      </c>
      <c r="I482" t="s">
        <v>961</v>
      </c>
      <c r="J482" t="s">
        <v>2717</v>
      </c>
      <c r="L482" t="s">
        <v>270</v>
      </c>
      <c r="M482" t="s">
        <v>271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2597</v>
      </c>
      <c r="Y482" t="s">
        <v>2728</v>
      </c>
    </row>
    <row r="483" spans="1:25" x14ac:dyDescent="0.25">
      <c r="A483" t="s">
        <v>2714</v>
      </c>
      <c r="B483" t="s">
        <v>2715</v>
      </c>
      <c r="C483" t="s">
        <v>2591</v>
      </c>
      <c r="D483" t="s">
        <v>2382</v>
      </c>
      <c r="E483" t="s">
        <v>2729</v>
      </c>
      <c r="F483" t="s">
        <v>2715</v>
      </c>
      <c r="G483" t="s">
        <v>207</v>
      </c>
      <c r="H483" t="s">
        <v>238</v>
      </c>
      <c r="I483" t="s">
        <v>961</v>
      </c>
      <c r="J483" t="s">
        <v>2717</v>
      </c>
      <c r="L483" t="s">
        <v>270</v>
      </c>
      <c r="M483" t="s">
        <v>271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2597</v>
      </c>
      <c r="Y483" t="s">
        <v>2730</v>
      </c>
    </row>
    <row r="484" spans="1:25" x14ac:dyDescent="0.25">
      <c r="A484" t="s">
        <v>2714</v>
      </c>
      <c r="B484" t="s">
        <v>2715</v>
      </c>
      <c r="C484" t="s">
        <v>2591</v>
      </c>
      <c r="D484" t="s">
        <v>2382</v>
      </c>
      <c r="E484" t="s">
        <v>2731</v>
      </c>
      <c r="F484" t="s">
        <v>2715</v>
      </c>
      <c r="G484" t="s">
        <v>207</v>
      </c>
      <c r="H484" t="s">
        <v>238</v>
      </c>
      <c r="I484" t="s">
        <v>961</v>
      </c>
      <c r="J484" t="s">
        <v>2717</v>
      </c>
      <c r="L484" t="s">
        <v>270</v>
      </c>
      <c r="M484" t="s">
        <v>271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2597</v>
      </c>
      <c r="Y484" t="s">
        <v>2732</v>
      </c>
    </row>
    <row r="485" spans="1:25" x14ac:dyDescent="0.25">
      <c r="A485" t="s">
        <v>2733</v>
      </c>
      <c r="B485" t="s">
        <v>2734</v>
      </c>
      <c r="C485" t="s">
        <v>2591</v>
      </c>
      <c r="D485" t="s">
        <v>2382</v>
      </c>
      <c r="E485" t="s">
        <v>2735</v>
      </c>
      <c r="F485" t="s">
        <v>2734</v>
      </c>
      <c r="G485" t="s">
        <v>207</v>
      </c>
      <c r="H485" t="s">
        <v>615</v>
      </c>
      <c r="I485" t="s">
        <v>961</v>
      </c>
      <c r="J485" t="s">
        <v>2736</v>
      </c>
      <c r="L485" t="s">
        <v>270</v>
      </c>
      <c r="M485" t="s">
        <v>271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2597</v>
      </c>
      <c r="Y485" t="s">
        <v>2737</v>
      </c>
    </row>
    <row r="486" spans="1:25" x14ac:dyDescent="0.25">
      <c r="A486" t="s">
        <v>2733</v>
      </c>
      <c r="B486" t="s">
        <v>2734</v>
      </c>
      <c r="C486" t="s">
        <v>2591</v>
      </c>
      <c r="D486" t="s">
        <v>2382</v>
      </c>
      <c r="E486" t="s">
        <v>2738</v>
      </c>
      <c r="F486" t="s">
        <v>2734</v>
      </c>
      <c r="G486" t="s">
        <v>207</v>
      </c>
      <c r="H486" t="s">
        <v>615</v>
      </c>
      <c r="I486" t="s">
        <v>961</v>
      </c>
      <c r="J486" t="s">
        <v>2736</v>
      </c>
      <c r="L486" t="s">
        <v>270</v>
      </c>
      <c r="M486" t="s">
        <v>271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2597</v>
      </c>
      <c r="Y486" t="s">
        <v>2739</v>
      </c>
    </row>
    <row r="487" spans="1:25" x14ac:dyDescent="0.25">
      <c r="A487" t="s">
        <v>2733</v>
      </c>
      <c r="B487" t="s">
        <v>2734</v>
      </c>
      <c r="C487" t="s">
        <v>2591</v>
      </c>
      <c r="D487" t="s">
        <v>2382</v>
      </c>
      <c r="E487" t="s">
        <v>2740</v>
      </c>
      <c r="F487" t="s">
        <v>2734</v>
      </c>
      <c r="G487" t="s">
        <v>207</v>
      </c>
      <c r="H487" t="s">
        <v>615</v>
      </c>
      <c r="I487" t="s">
        <v>961</v>
      </c>
      <c r="J487" t="s">
        <v>2736</v>
      </c>
      <c r="L487" t="s">
        <v>270</v>
      </c>
      <c r="M487" t="s">
        <v>271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2597</v>
      </c>
      <c r="Y487" t="s">
        <v>2741</v>
      </c>
    </row>
    <row r="488" spans="1:25" x14ac:dyDescent="0.25">
      <c r="A488" t="s">
        <v>2733</v>
      </c>
      <c r="B488" t="s">
        <v>2734</v>
      </c>
      <c r="C488" t="s">
        <v>2591</v>
      </c>
      <c r="D488" t="s">
        <v>2382</v>
      </c>
      <c r="E488" t="s">
        <v>2742</v>
      </c>
      <c r="F488" t="s">
        <v>2734</v>
      </c>
      <c r="G488" t="s">
        <v>207</v>
      </c>
      <c r="H488" t="s">
        <v>615</v>
      </c>
      <c r="I488" t="s">
        <v>961</v>
      </c>
      <c r="J488" t="s">
        <v>2736</v>
      </c>
      <c r="L488" t="s">
        <v>270</v>
      </c>
      <c r="M488" t="s">
        <v>271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2597</v>
      </c>
      <c r="Y488" t="s">
        <v>2743</v>
      </c>
    </row>
    <row r="489" spans="1:25" x14ac:dyDescent="0.25">
      <c r="A489" t="s">
        <v>2733</v>
      </c>
      <c r="B489" t="s">
        <v>2734</v>
      </c>
      <c r="C489" t="s">
        <v>2591</v>
      </c>
      <c r="D489" t="s">
        <v>2382</v>
      </c>
      <c r="E489" t="s">
        <v>2744</v>
      </c>
      <c r="F489" t="s">
        <v>2734</v>
      </c>
      <c r="G489" t="s">
        <v>207</v>
      </c>
      <c r="H489" t="s">
        <v>615</v>
      </c>
      <c r="I489" t="s">
        <v>961</v>
      </c>
      <c r="J489" t="s">
        <v>2736</v>
      </c>
      <c r="L489" t="s">
        <v>270</v>
      </c>
      <c r="M489" t="s">
        <v>271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2597</v>
      </c>
      <c r="Y489" t="s">
        <v>2745</v>
      </c>
    </row>
    <row r="490" spans="1:25" x14ac:dyDescent="0.25">
      <c r="A490" t="s">
        <v>2746</v>
      </c>
      <c r="B490" t="s">
        <v>2747</v>
      </c>
      <c r="C490" t="s">
        <v>2591</v>
      </c>
      <c r="D490" t="s">
        <v>2382</v>
      </c>
      <c r="E490" t="s">
        <v>2748</v>
      </c>
      <c r="F490" t="s">
        <v>2747</v>
      </c>
      <c r="G490" t="s">
        <v>207</v>
      </c>
      <c r="H490" t="s">
        <v>238</v>
      </c>
      <c r="I490" t="s">
        <v>961</v>
      </c>
      <c r="J490" t="s">
        <v>2749</v>
      </c>
      <c r="L490" t="s">
        <v>270</v>
      </c>
      <c r="M490" t="s">
        <v>271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2597</v>
      </c>
      <c r="Y490" t="s">
        <v>2750</v>
      </c>
    </row>
    <row r="491" spans="1:25" x14ac:dyDescent="0.25">
      <c r="A491" t="s">
        <v>2746</v>
      </c>
      <c r="B491" t="s">
        <v>2747</v>
      </c>
      <c r="C491" t="s">
        <v>2591</v>
      </c>
      <c r="D491" t="s">
        <v>2382</v>
      </c>
      <c r="E491" t="s">
        <v>2751</v>
      </c>
      <c r="F491" t="s">
        <v>2747</v>
      </c>
      <c r="G491" t="s">
        <v>207</v>
      </c>
      <c r="H491" t="s">
        <v>238</v>
      </c>
      <c r="I491" t="s">
        <v>961</v>
      </c>
      <c r="J491" t="s">
        <v>2749</v>
      </c>
      <c r="L491" t="s">
        <v>270</v>
      </c>
      <c r="M491" t="s">
        <v>271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2597</v>
      </c>
      <c r="Y491" t="s">
        <v>2752</v>
      </c>
    </row>
    <row r="492" spans="1:25" x14ac:dyDescent="0.25">
      <c r="A492" t="s">
        <v>2746</v>
      </c>
      <c r="B492" t="s">
        <v>2747</v>
      </c>
      <c r="C492" t="s">
        <v>2591</v>
      </c>
      <c r="D492" t="s">
        <v>2382</v>
      </c>
      <c r="E492" t="s">
        <v>2753</v>
      </c>
      <c r="F492" t="s">
        <v>2747</v>
      </c>
      <c r="G492" t="s">
        <v>207</v>
      </c>
      <c r="H492" t="s">
        <v>238</v>
      </c>
      <c r="I492" t="s">
        <v>961</v>
      </c>
      <c r="J492" t="s">
        <v>2749</v>
      </c>
      <c r="L492" t="s">
        <v>270</v>
      </c>
      <c r="M492" t="s">
        <v>271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2597</v>
      </c>
      <c r="Y492" t="s">
        <v>2754</v>
      </c>
    </row>
    <row r="493" spans="1:25" x14ac:dyDescent="0.25">
      <c r="A493" t="s">
        <v>2746</v>
      </c>
      <c r="B493" t="s">
        <v>2747</v>
      </c>
      <c r="C493" t="s">
        <v>2591</v>
      </c>
      <c r="D493" t="s">
        <v>2382</v>
      </c>
      <c r="E493" t="s">
        <v>2755</v>
      </c>
      <c r="F493" t="s">
        <v>2747</v>
      </c>
      <c r="G493" t="s">
        <v>207</v>
      </c>
      <c r="H493" t="s">
        <v>238</v>
      </c>
      <c r="I493" t="s">
        <v>961</v>
      </c>
      <c r="J493" t="s">
        <v>2749</v>
      </c>
      <c r="L493" t="s">
        <v>270</v>
      </c>
      <c r="M493" t="s">
        <v>271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2597</v>
      </c>
      <c r="Y493" t="s">
        <v>2756</v>
      </c>
    </row>
    <row r="494" spans="1:25" x14ac:dyDescent="0.25">
      <c r="A494" t="s">
        <v>2757</v>
      </c>
      <c r="B494" t="s">
        <v>2758</v>
      </c>
      <c r="C494" t="s">
        <v>2591</v>
      </c>
      <c r="D494" t="s">
        <v>2382</v>
      </c>
      <c r="E494" t="s">
        <v>2759</v>
      </c>
      <c r="F494" t="s">
        <v>2758</v>
      </c>
      <c r="G494" t="s">
        <v>207</v>
      </c>
      <c r="H494" t="s">
        <v>238</v>
      </c>
      <c r="I494" t="s">
        <v>961</v>
      </c>
      <c r="J494" t="s">
        <v>2760</v>
      </c>
      <c r="L494" t="s">
        <v>270</v>
      </c>
      <c r="M494" t="s">
        <v>271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2597</v>
      </c>
      <c r="Y494" t="s">
        <v>2761</v>
      </c>
    </row>
    <row r="495" spans="1:25" x14ac:dyDescent="0.25">
      <c r="A495" t="s">
        <v>2757</v>
      </c>
      <c r="B495" t="s">
        <v>2758</v>
      </c>
      <c r="C495" t="s">
        <v>2591</v>
      </c>
      <c r="D495" t="s">
        <v>2382</v>
      </c>
      <c r="E495" t="s">
        <v>2762</v>
      </c>
      <c r="F495" t="s">
        <v>2758</v>
      </c>
      <c r="G495" t="s">
        <v>207</v>
      </c>
      <c r="H495" t="s">
        <v>238</v>
      </c>
      <c r="I495" t="s">
        <v>961</v>
      </c>
      <c r="J495" t="s">
        <v>2760</v>
      </c>
      <c r="L495" t="s">
        <v>270</v>
      </c>
      <c r="M495" t="s">
        <v>271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2597</v>
      </c>
      <c r="Y495" t="s">
        <v>2763</v>
      </c>
    </row>
    <row r="496" spans="1:25" hidden="1" x14ac:dyDescent="0.25">
      <c r="B496" t="s">
        <v>188</v>
      </c>
      <c r="C496" t="s">
        <v>2591</v>
      </c>
      <c r="D496" t="s">
        <v>2382</v>
      </c>
      <c r="E496" t="s">
        <v>2764</v>
      </c>
      <c r="F496" t="s">
        <v>188</v>
      </c>
      <c r="G496" t="s">
        <v>207</v>
      </c>
      <c r="H496" t="s">
        <v>615</v>
      </c>
      <c r="I496" t="s">
        <v>961</v>
      </c>
      <c r="J496" t="s">
        <v>2765</v>
      </c>
      <c r="L496" t="s">
        <v>270</v>
      </c>
      <c r="M496" t="s">
        <v>271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2592</v>
      </c>
      <c r="Y496" t="s">
        <v>2766</v>
      </c>
    </row>
    <row r="497" spans="1:25" hidden="1" x14ac:dyDescent="0.25">
      <c r="B497" t="s">
        <v>188</v>
      </c>
      <c r="C497" t="s">
        <v>2591</v>
      </c>
      <c r="D497" t="s">
        <v>2382</v>
      </c>
      <c r="E497" t="s">
        <v>2767</v>
      </c>
      <c r="F497" t="s">
        <v>188</v>
      </c>
      <c r="G497" t="s">
        <v>207</v>
      </c>
      <c r="H497" t="s">
        <v>615</v>
      </c>
      <c r="I497" t="s">
        <v>961</v>
      </c>
      <c r="J497" t="s">
        <v>2765</v>
      </c>
      <c r="L497" t="s">
        <v>270</v>
      </c>
      <c r="M497" t="s">
        <v>271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2592</v>
      </c>
      <c r="Y497" t="s">
        <v>2768</v>
      </c>
    </row>
    <row r="498" spans="1:25" hidden="1" x14ac:dyDescent="0.25">
      <c r="B498" t="s">
        <v>188</v>
      </c>
      <c r="C498" t="s">
        <v>2591</v>
      </c>
      <c r="D498" t="s">
        <v>2382</v>
      </c>
      <c r="E498" t="s">
        <v>2769</v>
      </c>
      <c r="F498" t="s">
        <v>188</v>
      </c>
      <c r="G498" t="s">
        <v>207</v>
      </c>
      <c r="H498" t="s">
        <v>615</v>
      </c>
      <c r="I498" t="s">
        <v>961</v>
      </c>
      <c r="J498" t="s">
        <v>2765</v>
      </c>
      <c r="L498" t="s">
        <v>270</v>
      </c>
      <c r="M498" t="s">
        <v>271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2592</v>
      </c>
      <c r="Y498" t="s">
        <v>2770</v>
      </c>
    </row>
    <row r="499" spans="1:25" x14ac:dyDescent="0.25">
      <c r="A499" t="s">
        <v>2771</v>
      </c>
      <c r="B499" t="s">
        <v>2772</v>
      </c>
      <c r="C499" t="s">
        <v>2591</v>
      </c>
      <c r="D499" t="s">
        <v>2382</v>
      </c>
      <c r="E499" t="s">
        <v>2773</v>
      </c>
      <c r="F499" t="s">
        <v>2772</v>
      </c>
      <c r="G499" t="s">
        <v>207</v>
      </c>
      <c r="H499" t="s">
        <v>238</v>
      </c>
      <c r="I499" t="s">
        <v>961</v>
      </c>
      <c r="J499" t="s">
        <v>2774</v>
      </c>
      <c r="L499" t="s">
        <v>270</v>
      </c>
      <c r="M499" t="s">
        <v>271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2597</v>
      </c>
      <c r="Y499" t="s">
        <v>2775</v>
      </c>
    </row>
    <row r="500" spans="1:25" x14ac:dyDescent="0.25">
      <c r="A500" t="s">
        <v>2771</v>
      </c>
      <c r="B500" t="s">
        <v>2772</v>
      </c>
      <c r="C500" t="s">
        <v>2591</v>
      </c>
      <c r="D500" t="s">
        <v>2382</v>
      </c>
      <c r="E500" t="s">
        <v>2776</v>
      </c>
      <c r="F500" t="s">
        <v>2772</v>
      </c>
      <c r="G500" t="s">
        <v>207</v>
      </c>
      <c r="H500" t="s">
        <v>238</v>
      </c>
      <c r="I500" t="s">
        <v>961</v>
      </c>
      <c r="J500" t="s">
        <v>2774</v>
      </c>
      <c r="L500" t="s">
        <v>270</v>
      </c>
      <c r="M500" t="s">
        <v>271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2597</v>
      </c>
      <c r="Y500" t="s">
        <v>2777</v>
      </c>
    </row>
    <row r="501" spans="1:25" x14ac:dyDescent="0.25">
      <c r="A501" t="s">
        <v>2771</v>
      </c>
      <c r="B501" t="s">
        <v>2772</v>
      </c>
      <c r="C501" t="s">
        <v>2591</v>
      </c>
      <c r="D501" t="s">
        <v>2382</v>
      </c>
      <c r="E501" t="s">
        <v>2778</v>
      </c>
      <c r="F501" t="s">
        <v>2772</v>
      </c>
      <c r="G501" t="s">
        <v>207</v>
      </c>
      <c r="H501" t="s">
        <v>238</v>
      </c>
      <c r="I501" t="s">
        <v>961</v>
      </c>
      <c r="J501" t="s">
        <v>2774</v>
      </c>
      <c r="L501" t="s">
        <v>270</v>
      </c>
      <c r="M501" t="s">
        <v>271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2597</v>
      </c>
      <c r="Y501" t="s">
        <v>2779</v>
      </c>
    </row>
    <row r="502" spans="1:25" x14ac:dyDescent="0.25">
      <c r="A502" t="s">
        <v>2780</v>
      </c>
      <c r="B502" t="s">
        <v>2781</v>
      </c>
      <c r="C502" t="s">
        <v>2591</v>
      </c>
      <c r="D502" t="s">
        <v>2382</v>
      </c>
      <c r="E502" t="s">
        <v>2782</v>
      </c>
      <c r="F502" t="s">
        <v>2781</v>
      </c>
      <c r="G502" t="s">
        <v>207</v>
      </c>
      <c r="H502" t="s">
        <v>897</v>
      </c>
      <c r="I502" t="s">
        <v>961</v>
      </c>
      <c r="J502" t="s">
        <v>2783</v>
      </c>
      <c r="L502" t="s">
        <v>270</v>
      </c>
      <c r="M502" t="s">
        <v>271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2597</v>
      </c>
      <c r="Y502" t="s">
        <v>2784</v>
      </c>
    </row>
    <row r="503" spans="1:25" x14ac:dyDescent="0.25">
      <c r="A503" t="s">
        <v>2780</v>
      </c>
      <c r="B503" t="s">
        <v>2781</v>
      </c>
      <c r="C503" t="s">
        <v>2591</v>
      </c>
      <c r="D503" t="s">
        <v>2382</v>
      </c>
      <c r="E503" t="s">
        <v>2785</v>
      </c>
      <c r="F503" t="s">
        <v>2781</v>
      </c>
      <c r="G503" t="s">
        <v>207</v>
      </c>
      <c r="H503" t="s">
        <v>897</v>
      </c>
      <c r="I503" t="s">
        <v>961</v>
      </c>
      <c r="J503" t="s">
        <v>2783</v>
      </c>
      <c r="L503" t="s">
        <v>270</v>
      </c>
      <c r="M503" t="s">
        <v>271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2597</v>
      </c>
      <c r="Y503" t="s">
        <v>2786</v>
      </c>
    </row>
    <row r="504" spans="1:25" x14ac:dyDescent="0.25">
      <c r="A504" t="s">
        <v>2780</v>
      </c>
      <c r="B504" t="s">
        <v>2781</v>
      </c>
      <c r="C504" t="s">
        <v>2591</v>
      </c>
      <c r="D504" t="s">
        <v>2382</v>
      </c>
      <c r="E504" t="s">
        <v>2787</v>
      </c>
      <c r="F504" t="s">
        <v>2781</v>
      </c>
      <c r="G504" t="s">
        <v>207</v>
      </c>
      <c r="H504" t="s">
        <v>897</v>
      </c>
      <c r="I504" t="s">
        <v>961</v>
      </c>
      <c r="J504" t="s">
        <v>2783</v>
      </c>
      <c r="L504" t="s">
        <v>270</v>
      </c>
      <c r="M504" t="s">
        <v>271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2597</v>
      </c>
      <c r="Y504" t="s">
        <v>2788</v>
      </c>
    </row>
    <row r="505" spans="1:25" hidden="1" x14ac:dyDescent="0.25">
      <c r="B505" t="s">
        <v>187</v>
      </c>
      <c r="C505" t="s">
        <v>2591</v>
      </c>
      <c r="D505" t="s">
        <v>2382</v>
      </c>
      <c r="E505" t="s">
        <v>2789</v>
      </c>
      <c r="F505" t="s">
        <v>187</v>
      </c>
      <c r="G505" t="s">
        <v>207</v>
      </c>
      <c r="H505" t="s">
        <v>615</v>
      </c>
      <c r="I505" t="s">
        <v>961</v>
      </c>
      <c r="J505" t="s">
        <v>2790</v>
      </c>
      <c r="L505" t="s">
        <v>270</v>
      </c>
      <c r="M505" t="s">
        <v>271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2592</v>
      </c>
      <c r="Y505" t="s">
        <v>2791</v>
      </c>
    </row>
    <row r="506" spans="1:25" hidden="1" x14ac:dyDescent="0.25">
      <c r="B506" t="s">
        <v>187</v>
      </c>
      <c r="C506" t="s">
        <v>2591</v>
      </c>
      <c r="D506" t="s">
        <v>2382</v>
      </c>
      <c r="E506" t="s">
        <v>2792</v>
      </c>
      <c r="F506" t="s">
        <v>187</v>
      </c>
      <c r="G506" t="s">
        <v>207</v>
      </c>
      <c r="H506" t="s">
        <v>615</v>
      </c>
      <c r="I506" t="s">
        <v>961</v>
      </c>
      <c r="J506" t="s">
        <v>2790</v>
      </c>
      <c r="L506" t="s">
        <v>270</v>
      </c>
      <c r="M506" t="s">
        <v>271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2592</v>
      </c>
      <c r="Y506" t="s">
        <v>2793</v>
      </c>
    </row>
    <row r="507" spans="1:25" hidden="1" x14ac:dyDescent="0.25">
      <c r="B507" t="s">
        <v>187</v>
      </c>
      <c r="C507" t="s">
        <v>2591</v>
      </c>
      <c r="D507" t="s">
        <v>2382</v>
      </c>
      <c r="E507" t="s">
        <v>2794</v>
      </c>
      <c r="F507" t="s">
        <v>187</v>
      </c>
      <c r="G507" t="s">
        <v>207</v>
      </c>
      <c r="H507" t="s">
        <v>615</v>
      </c>
      <c r="I507" t="s">
        <v>961</v>
      </c>
      <c r="J507" t="s">
        <v>2790</v>
      </c>
      <c r="L507" t="s">
        <v>270</v>
      </c>
      <c r="M507" t="s">
        <v>271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2592</v>
      </c>
      <c r="Y507" t="s">
        <v>2795</v>
      </c>
    </row>
    <row r="508" spans="1:25" x14ac:dyDescent="0.25">
      <c r="A508" t="s">
        <v>2796</v>
      </c>
      <c r="B508" t="s">
        <v>2797</v>
      </c>
      <c r="C508" t="s">
        <v>2591</v>
      </c>
      <c r="D508" t="s">
        <v>2382</v>
      </c>
      <c r="E508" t="s">
        <v>2798</v>
      </c>
      <c r="F508" t="s">
        <v>2797</v>
      </c>
      <c r="G508" t="s">
        <v>207</v>
      </c>
      <c r="H508" t="s">
        <v>238</v>
      </c>
      <c r="I508" t="s">
        <v>961</v>
      </c>
      <c r="J508" t="s">
        <v>2799</v>
      </c>
      <c r="L508" t="s">
        <v>270</v>
      </c>
      <c r="M508" t="s">
        <v>271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2597</v>
      </c>
      <c r="Y508" t="s">
        <v>2800</v>
      </c>
    </row>
    <row r="509" spans="1:25" x14ac:dyDescent="0.25">
      <c r="A509" t="s">
        <v>2796</v>
      </c>
      <c r="B509" t="s">
        <v>2797</v>
      </c>
      <c r="C509" t="s">
        <v>2591</v>
      </c>
      <c r="D509" t="s">
        <v>2382</v>
      </c>
      <c r="E509" t="s">
        <v>2801</v>
      </c>
      <c r="F509" t="s">
        <v>2797</v>
      </c>
      <c r="G509" t="s">
        <v>207</v>
      </c>
      <c r="H509" t="s">
        <v>238</v>
      </c>
      <c r="I509" t="s">
        <v>961</v>
      </c>
      <c r="J509" t="s">
        <v>2799</v>
      </c>
      <c r="L509" t="s">
        <v>270</v>
      </c>
      <c r="M509" t="s">
        <v>271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2597</v>
      </c>
      <c r="Y509" t="s">
        <v>2802</v>
      </c>
    </row>
    <row r="510" spans="1:25" x14ac:dyDescent="0.25">
      <c r="A510" t="s">
        <v>2796</v>
      </c>
      <c r="B510" t="s">
        <v>2797</v>
      </c>
      <c r="C510" t="s">
        <v>2591</v>
      </c>
      <c r="D510" t="s">
        <v>2382</v>
      </c>
      <c r="E510" t="s">
        <v>2803</v>
      </c>
      <c r="F510" t="s">
        <v>2797</v>
      </c>
      <c r="G510" t="s">
        <v>207</v>
      </c>
      <c r="H510" t="s">
        <v>238</v>
      </c>
      <c r="I510" t="s">
        <v>961</v>
      </c>
      <c r="J510" t="s">
        <v>2799</v>
      </c>
      <c r="L510" t="s">
        <v>270</v>
      </c>
      <c r="M510" t="s">
        <v>271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2597</v>
      </c>
      <c r="Y510" t="s">
        <v>2804</v>
      </c>
    </row>
    <row r="511" spans="1:25" x14ac:dyDescent="0.25">
      <c r="A511" t="s">
        <v>2805</v>
      </c>
      <c r="B511" t="s">
        <v>2806</v>
      </c>
      <c r="C511" t="s">
        <v>2591</v>
      </c>
      <c r="D511" t="s">
        <v>2382</v>
      </c>
      <c r="E511" t="s">
        <v>2807</v>
      </c>
      <c r="F511" t="s">
        <v>2806</v>
      </c>
      <c r="G511" t="s">
        <v>207</v>
      </c>
      <c r="H511" t="s">
        <v>238</v>
      </c>
      <c r="I511" t="s">
        <v>961</v>
      </c>
      <c r="J511" t="s">
        <v>2808</v>
      </c>
      <c r="L511" t="s">
        <v>270</v>
      </c>
      <c r="M511" t="s">
        <v>271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2597</v>
      </c>
      <c r="Y511" t="s">
        <v>2809</v>
      </c>
    </row>
    <row r="512" spans="1:25" x14ac:dyDescent="0.25">
      <c r="A512" t="s">
        <v>2805</v>
      </c>
      <c r="B512" t="s">
        <v>2806</v>
      </c>
      <c r="C512" t="s">
        <v>2591</v>
      </c>
      <c r="D512" t="s">
        <v>2382</v>
      </c>
      <c r="E512" t="s">
        <v>2810</v>
      </c>
      <c r="F512" t="s">
        <v>2806</v>
      </c>
      <c r="G512" t="s">
        <v>207</v>
      </c>
      <c r="H512" t="s">
        <v>238</v>
      </c>
      <c r="I512" t="s">
        <v>961</v>
      </c>
      <c r="J512" t="s">
        <v>2808</v>
      </c>
      <c r="L512" t="s">
        <v>270</v>
      </c>
      <c r="M512" t="s">
        <v>271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2597</v>
      </c>
      <c r="Y512" t="s">
        <v>2811</v>
      </c>
    </row>
    <row r="513" spans="1:25" x14ac:dyDescent="0.25">
      <c r="A513" t="s">
        <v>2805</v>
      </c>
      <c r="B513" t="s">
        <v>2806</v>
      </c>
      <c r="C513" t="s">
        <v>2591</v>
      </c>
      <c r="D513" t="s">
        <v>2382</v>
      </c>
      <c r="E513" t="s">
        <v>2812</v>
      </c>
      <c r="F513" t="s">
        <v>2806</v>
      </c>
      <c r="G513" t="s">
        <v>207</v>
      </c>
      <c r="H513" t="s">
        <v>238</v>
      </c>
      <c r="I513" t="s">
        <v>961</v>
      </c>
      <c r="J513" t="s">
        <v>2808</v>
      </c>
      <c r="L513" t="s">
        <v>270</v>
      </c>
      <c r="M513" t="s">
        <v>271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2597</v>
      </c>
      <c r="Y513" t="s">
        <v>2813</v>
      </c>
    </row>
    <row r="514" spans="1:25" x14ac:dyDescent="0.25">
      <c r="A514" t="s">
        <v>2814</v>
      </c>
      <c r="B514" t="s">
        <v>2815</v>
      </c>
      <c r="C514" t="s">
        <v>2591</v>
      </c>
      <c r="D514" t="s">
        <v>2382</v>
      </c>
      <c r="E514" t="s">
        <v>2816</v>
      </c>
      <c r="F514" t="s">
        <v>2815</v>
      </c>
      <c r="G514" t="s">
        <v>207</v>
      </c>
      <c r="H514" t="s">
        <v>238</v>
      </c>
      <c r="I514" t="s">
        <v>961</v>
      </c>
      <c r="J514" t="s">
        <v>2817</v>
      </c>
      <c r="L514" t="s">
        <v>270</v>
      </c>
      <c r="M514" t="s">
        <v>271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2597</v>
      </c>
      <c r="Y514" t="s">
        <v>2818</v>
      </c>
    </row>
    <row r="515" spans="1:25" x14ac:dyDescent="0.25">
      <c r="A515" t="s">
        <v>2814</v>
      </c>
      <c r="B515" t="s">
        <v>2815</v>
      </c>
      <c r="C515" t="s">
        <v>2591</v>
      </c>
      <c r="D515" t="s">
        <v>2382</v>
      </c>
      <c r="E515" t="s">
        <v>2819</v>
      </c>
      <c r="F515" t="s">
        <v>2815</v>
      </c>
      <c r="G515" t="s">
        <v>207</v>
      </c>
      <c r="H515" t="s">
        <v>238</v>
      </c>
      <c r="I515" t="s">
        <v>961</v>
      </c>
      <c r="J515" t="s">
        <v>2817</v>
      </c>
      <c r="L515" t="s">
        <v>270</v>
      </c>
      <c r="M515" t="s">
        <v>271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2597</v>
      </c>
      <c r="Y515" t="s">
        <v>2820</v>
      </c>
    </row>
    <row r="516" spans="1:25" x14ac:dyDescent="0.25">
      <c r="A516" t="s">
        <v>2814</v>
      </c>
      <c r="B516" t="s">
        <v>2815</v>
      </c>
      <c r="C516" t="s">
        <v>2591</v>
      </c>
      <c r="D516" t="s">
        <v>2382</v>
      </c>
      <c r="E516" t="s">
        <v>2821</v>
      </c>
      <c r="F516" t="s">
        <v>2815</v>
      </c>
      <c r="G516" t="s">
        <v>207</v>
      </c>
      <c r="H516" t="s">
        <v>238</v>
      </c>
      <c r="I516" t="s">
        <v>961</v>
      </c>
      <c r="J516" t="s">
        <v>2817</v>
      </c>
      <c r="L516" t="s">
        <v>270</v>
      </c>
      <c r="M516" t="s">
        <v>271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2597</v>
      </c>
      <c r="Y516" t="s">
        <v>2822</v>
      </c>
    </row>
    <row r="517" spans="1:25" x14ac:dyDescent="0.25">
      <c r="A517" t="s">
        <v>2814</v>
      </c>
      <c r="B517" t="s">
        <v>2815</v>
      </c>
      <c r="C517" t="s">
        <v>2591</v>
      </c>
      <c r="D517" t="s">
        <v>2382</v>
      </c>
      <c r="E517" t="s">
        <v>2823</v>
      </c>
      <c r="F517" t="s">
        <v>2815</v>
      </c>
      <c r="G517" t="s">
        <v>207</v>
      </c>
      <c r="H517" t="s">
        <v>238</v>
      </c>
      <c r="I517" t="s">
        <v>961</v>
      </c>
      <c r="J517" t="s">
        <v>2817</v>
      </c>
      <c r="L517" t="s">
        <v>270</v>
      </c>
      <c r="M517" t="s">
        <v>271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2597</v>
      </c>
      <c r="Y517" t="s">
        <v>2824</v>
      </c>
    </row>
    <row r="518" spans="1:25" x14ac:dyDescent="0.25">
      <c r="A518" t="s">
        <v>2825</v>
      </c>
      <c r="B518" t="s">
        <v>2826</v>
      </c>
      <c r="C518" t="s">
        <v>2591</v>
      </c>
      <c r="D518" t="s">
        <v>2382</v>
      </c>
      <c r="E518" t="s">
        <v>2827</v>
      </c>
      <c r="F518" t="s">
        <v>2826</v>
      </c>
      <c r="G518" t="s">
        <v>207</v>
      </c>
      <c r="H518" t="s">
        <v>240</v>
      </c>
      <c r="I518" t="s">
        <v>961</v>
      </c>
      <c r="J518" t="s">
        <v>2828</v>
      </c>
      <c r="L518" t="s">
        <v>270</v>
      </c>
      <c r="M518" t="s">
        <v>271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2597</v>
      </c>
      <c r="Y518" t="s">
        <v>2829</v>
      </c>
    </row>
    <row r="519" spans="1:25" x14ac:dyDescent="0.25">
      <c r="A519" t="s">
        <v>2825</v>
      </c>
      <c r="B519" t="s">
        <v>2826</v>
      </c>
      <c r="C519" t="s">
        <v>2591</v>
      </c>
      <c r="D519" t="s">
        <v>2382</v>
      </c>
      <c r="E519" t="s">
        <v>2830</v>
      </c>
      <c r="F519" t="s">
        <v>2826</v>
      </c>
      <c r="G519" t="s">
        <v>207</v>
      </c>
      <c r="H519" t="s">
        <v>240</v>
      </c>
      <c r="I519" t="s">
        <v>961</v>
      </c>
      <c r="J519" t="s">
        <v>2828</v>
      </c>
      <c r="L519" t="s">
        <v>270</v>
      </c>
      <c r="M519" t="s">
        <v>271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2597</v>
      </c>
      <c r="Y519" t="s">
        <v>2831</v>
      </c>
    </row>
    <row r="520" spans="1:25" x14ac:dyDescent="0.25">
      <c r="A520" t="s">
        <v>2825</v>
      </c>
      <c r="B520" t="s">
        <v>2826</v>
      </c>
      <c r="C520" t="s">
        <v>2591</v>
      </c>
      <c r="D520" t="s">
        <v>2382</v>
      </c>
      <c r="E520" t="s">
        <v>2832</v>
      </c>
      <c r="F520" t="s">
        <v>2826</v>
      </c>
      <c r="G520" t="s">
        <v>207</v>
      </c>
      <c r="H520" t="s">
        <v>240</v>
      </c>
      <c r="I520" t="s">
        <v>961</v>
      </c>
      <c r="J520" t="s">
        <v>2828</v>
      </c>
      <c r="L520" t="s">
        <v>270</v>
      </c>
      <c r="M520" t="s">
        <v>271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2597</v>
      </c>
      <c r="Y520" t="s">
        <v>2833</v>
      </c>
    </row>
    <row r="521" spans="1:25" x14ac:dyDescent="0.25">
      <c r="A521" t="s">
        <v>2834</v>
      </c>
      <c r="B521" t="s">
        <v>2835</v>
      </c>
      <c r="C521" t="s">
        <v>2591</v>
      </c>
      <c r="D521" t="s">
        <v>2382</v>
      </c>
      <c r="E521" t="s">
        <v>2836</v>
      </c>
      <c r="F521" t="s">
        <v>2835</v>
      </c>
      <c r="G521" t="s">
        <v>207</v>
      </c>
      <c r="H521" t="s">
        <v>615</v>
      </c>
      <c r="I521" t="s">
        <v>961</v>
      </c>
      <c r="J521" t="s">
        <v>2837</v>
      </c>
      <c r="L521" t="s">
        <v>270</v>
      </c>
      <c r="M521" t="s">
        <v>271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2597</v>
      </c>
      <c r="Y521" t="s">
        <v>2838</v>
      </c>
    </row>
    <row r="522" spans="1:25" x14ac:dyDescent="0.25">
      <c r="A522" t="s">
        <v>2839</v>
      </c>
      <c r="B522" t="s">
        <v>2840</v>
      </c>
      <c r="C522" t="s">
        <v>2591</v>
      </c>
      <c r="D522" t="s">
        <v>2382</v>
      </c>
      <c r="E522" t="s">
        <v>2841</v>
      </c>
      <c r="F522" t="s">
        <v>2840</v>
      </c>
      <c r="G522" t="s">
        <v>207</v>
      </c>
      <c r="H522" t="s">
        <v>239</v>
      </c>
      <c r="I522" t="s">
        <v>961</v>
      </c>
      <c r="J522" t="s">
        <v>2842</v>
      </c>
      <c r="L522" t="s">
        <v>270</v>
      </c>
      <c r="M522" t="s">
        <v>271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2597</v>
      </c>
      <c r="Y522" t="s">
        <v>2843</v>
      </c>
    </row>
    <row r="523" spans="1:25" x14ac:dyDescent="0.25">
      <c r="A523" t="s">
        <v>2839</v>
      </c>
      <c r="B523" t="s">
        <v>2840</v>
      </c>
      <c r="C523" t="s">
        <v>2591</v>
      </c>
      <c r="D523" t="s">
        <v>2382</v>
      </c>
      <c r="E523" t="s">
        <v>2844</v>
      </c>
      <c r="F523" t="s">
        <v>2840</v>
      </c>
      <c r="G523" t="s">
        <v>207</v>
      </c>
      <c r="H523" t="s">
        <v>239</v>
      </c>
      <c r="I523" t="s">
        <v>961</v>
      </c>
      <c r="J523" t="s">
        <v>2842</v>
      </c>
      <c r="L523" t="s">
        <v>270</v>
      </c>
      <c r="M523" t="s">
        <v>271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2597</v>
      </c>
      <c r="Y523" t="s">
        <v>2845</v>
      </c>
    </row>
    <row r="524" spans="1:25" x14ac:dyDescent="0.25">
      <c r="A524" t="s">
        <v>2839</v>
      </c>
      <c r="B524" t="s">
        <v>2840</v>
      </c>
      <c r="C524" t="s">
        <v>2591</v>
      </c>
      <c r="D524" t="s">
        <v>2382</v>
      </c>
      <c r="E524" t="s">
        <v>2846</v>
      </c>
      <c r="F524" t="s">
        <v>2840</v>
      </c>
      <c r="G524" t="s">
        <v>207</v>
      </c>
      <c r="H524" t="s">
        <v>239</v>
      </c>
      <c r="I524" t="s">
        <v>961</v>
      </c>
      <c r="J524" t="s">
        <v>2842</v>
      </c>
      <c r="L524" t="s">
        <v>270</v>
      </c>
      <c r="M524" t="s">
        <v>271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2597</v>
      </c>
      <c r="Y524" t="s">
        <v>2847</v>
      </c>
    </row>
    <row r="525" spans="1:25" x14ac:dyDescent="0.25">
      <c r="A525" t="s">
        <v>2848</v>
      </c>
      <c r="B525" t="s">
        <v>2849</v>
      </c>
      <c r="C525" t="s">
        <v>2591</v>
      </c>
      <c r="D525" t="s">
        <v>2382</v>
      </c>
      <c r="E525" t="s">
        <v>2850</v>
      </c>
      <c r="F525" t="s">
        <v>2849</v>
      </c>
      <c r="G525" t="s">
        <v>207</v>
      </c>
      <c r="H525" t="s">
        <v>238</v>
      </c>
      <c r="I525" t="s">
        <v>961</v>
      </c>
      <c r="J525" t="s">
        <v>2851</v>
      </c>
      <c r="L525" t="s">
        <v>270</v>
      </c>
      <c r="M525" t="s">
        <v>271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2597</v>
      </c>
      <c r="Y525" t="s">
        <v>2852</v>
      </c>
    </row>
    <row r="526" spans="1:25" x14ac:dyDescent="0.25">
      <c r="A526" t="s">
        <v>2848</v>
      </c>
      <c r="B526" t="s">
        <v>2849</v>
      </c>
      <c r="C526" t="s">
        <v>2591</v>
      </c>
      <c r="D526" t="s">
        <v>2382</v>
      </c>
      <c r="E526" t="s">
        <v>2853</v>
      </c>
      <c r="F526" t="s">
        <v>2849</v>
      </c>
      <c r="G526" t="s">
        <v>207</v>
      </c>
      <c r="H526" t="s">
        <v>238</v>
      </c>
      <c r="I526" t="s">
        <v>961</v>
      </c>
      <c r="J526" t="s">
        <v>2851</v>
      </c>
      <c r="L526" t="s">
        <v>270</v>
      </c>
      <c r="M526" t="s">
        <v>271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2597</v>
      </c>
      <c r="Y526" t="s">
        <v>2854</v>
      </c>
    </row>
    <row r="527" spans="1:25" x14ac:dyDescent="0.25">
      <c r="A527" t="s">
        <v>2848</v>
      </c>
      <c r="B527" t="s">
        <v>2849</v>
      </c>
      <c r="C527" t="s">
        <v>2591</v>
      </c>
      <c r="D527" t="s">
        <v>2382</v>
      </c>
      <c r="E527" t="s">
        <v>2855</v>
      </c>
      <c r="F527" t="s">
        <v>2849</v>
      </c>
      <c r="G527" t="s">
        <v>207</v>
      </c>
      <c r="H527" t="s">
        <v>238</v>
      </c>
      <c r="I527" t="s">
        <v>961</v>
      </c>
      <c r="J527" t="s">
        <v>2851</v>
      </c>
      <c r="L527" t="s">
        <v>270</v>
      </c>
      <c r="M527" t="s">
        <v>271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2597</v>
      </c>
      <c r="Y527" t="s">
        <v>2856</v>
      </c>
    </row>
    <row r="528" spans="1:25" x14ac:dyDescent="0.25">
      <c r="A528" t="s">
        <v>2848</v>
      </c>
      <c r="B528" t="s">
        <v>2849</v>
      </c>
      <c r="C528" t="s">
        <v>2591</v>
      </c>
      <c r="D528" t="s">
        <v>2382</v>
      </c>
      <c r="E528" t="s">
        <v>2857</v>
      </c>
      <c r="F528" t="s">
        <v>2849</v>
      </c>
      <c r="G528" t="s">
        <v>207</v>
      </c>
      <c r="H528" t="s">
        <v>238</v>
      </c>
      <c r="I528" t="s">
        <v>961</v>
      </c>
      <c r="J528" t="s">
        <v>2851</v>
      </c>
      <c r="L528" t="s">
        <v>270</v>
      </c>
      <c r="M528" t="s">
        <v>271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2597</v>
      </c>
      <c r="Y528" t="s">
        <v>2858</v>
      </c>
    </row>
    <row r="529" spans="1:25" x14ac:dyDescent="0.25">
      <c r="A529" t="s">
        <v>2848</v>
      </c>
      <c r="B529" t="s">
        <v>2849</v>
      </c>
      <c r="C529" t="s">
        <v>2591</v>
      </c>
      <c r="D529" t="s">
        <v>2382</v>
      </c>
      <c r="E529" t="s">
        <v>2859</v>
      </c>
      <c r="F529" t="s">
        <v>2849</v>
      </c>
      <c r="G529" t="s">
        <v>207</v>
      </c>
      <c r="H529" t="s">
        <v>238</v>
      </c>
      <c r="I529" t="s">
        <v>961</v>
      </c>
      <c r="J529" t="s">
        <v>2851</v>
      </c>
      <c r="L529" t="s">
        <v>270</v>
      </c>
      <c r="M529" t="s">
        <v>271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2597</v>
      </c>
      <c r="Y529" t="s">
        <v>2860</v>
      </c>
    </row>
    <row r="530" spans="1:25" x14ac:dyDescent="0.25">
      <c r="A530" t="s">
        <v>2848</v>
      </c>
      <c r="B530" t="s">
        <v>2849</v>
      </c>
      <c r="C530" t="s">
        <v>2591</v>
      </c>
      <c r="D530" t="s">
        <v>2382</v>
      </c>
      <c r="E530" t="s">
        <v>2861</v>
      </c>
      <c r="F530" t="s">
        <v>2849</v>
      </c>
      <c r="G530" t="s">
        <v>207</v>
      </c>
      <c r="H530" t="s">
        <v>238</v>
      </c>
      <c r="I530" t="s">
        <v>961</v>
      </c>
      <c r="J530" t="s">
        <v>2851</v>
      </c>
      <c r="L530" t="s">
        <v>270</v>
      </c>
      <c r="M530" t="s">
        <v>271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2597</v>
      </c>
      <c r="Y530" t="s">
        <v>2862</v>
      </c>
    </row>
    <row r="531" spans="1:25" x14ac:dyDescent="0.25">
      <c r="A531" t="s">
        <v>2848</v>
      </c>
      <c r="B531" t="s">
        <v>2849</v>
      </c>
      <c r="C531" t="s">
        <v>2591</v>
      </c>
      <c r="D531" t="s">
        <v>2382</v>
      </c>
      <c r="E531" t="s">
        <v>2863</v>
      </c>
      <c r="F531" t="s">
        <v>2849</v>
      </c>
      <c r="G531" t="s">
        <v>207</v>
      </c>
      <c r="H531" t="s">
        <v>238</v>
      </c>
      <c r="I531" t="s">
        <v>961</v>
      </c>
      <c r="J531" t="s">
        <v>2851</v>
      </c>
      <c r="L531" t="s">
        <v>270</v>
      </c>
      <c r="M531" t="s">
        <v>271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2597</v>
      </c>
      <c r="Y531" t="s">
        <v>2864</v>
      </c>
    </row>
    <row r="532" spans="1:25" x14ac:dyDescent="0.25">
      <c r="A532" t="s">
        <v>2848</v>
      </c>
      <c r="B532" t="s">
        <v>2849</v>
      </c>
      <c r="C532" t="s">
        <v>2591</v>
      </c>
      <c r="D532" t="s">
        <v>2382</v>
      </c>
      <c r="E532" t="s">
        <v>2865</v>
      </c>
      <c r="F532" t="s">
        <v>2849</v>
      </c>
      <c r="G532" t="s">
        <v>207</v>
      </c>
      <c r="H532" t="s">
        <v>238</v>
      </c>
      <c r="I532" t="s">
        <v>961</v>
      </c>
      <c r="J532" t="s">
        <v>2851</v>
      </c>
      <c r="L532" t="s">
        <v>270</v>
      </c>
      <c r="M532" t="s">
        <v>271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2597</v>
      </c>
      <c r="Y532" t="s">
        <v>2866</v>
      </c>
    </row>
    <row r="533" spans="1:25" x14ac:dyDescent="0.25">
      <c r="A533" t="s">
        <v>2867</v>
      </c>
      <c r="B533" t="s">
        <v>2868</v>
      </c>
      <c r="C533" t="s">
        <v>2591</v>
      </c>
      <c r="D533" t="s">
        <v>2382</v>
      </c>
      <c r="E533" t="s">
        <v>2869</v>
      </c>
      <c r="F533" t="s">
        <v>2868</v>
      </c>
      <c r="G533" t="s">
        <v>207</v>
      </c>
      <c r="H533" t="s">
        <v>897</v>
      </c>
      <c r="I533" t="s">
        <v>961</v>
      </c>
      <c r="J533" t="s">
        <v>2688</v>
      </c>
      <c r="L533" t="s">
        <v>270</v>
      </c>
      <c r="M533" t="s">
        <v>271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2597</v>
      </c>
      <c r="Y533" t="s">
        <v>2870</v>
      </c>
    </row>
    <row r="534" spans="1:25" x14ac:dyDescent="0.25">
      <c r="A534" t="s">
        <v>2867</v>
      </c>
      <c r="B534" t="s">
        <v>2868</v>
      </c>
      <c r="C534" t="s">
        <v>2591</v>
      </c>
      <c r="D534" t="s">
        <v>2382</v>
      </c>
      <c r="E534" t="s">
        <v>2871</v>
      </c>
      <c r="F534" t="s">
        <v>2868</v>
      </c>
      <c r="G534" t="s">
        <v>207</v>
      </c>
      <c r="H534" t="s">
        <v>897</v>
      </c>
      <c r="I534" t="s">
        <v>961</v>
      </c>
      <c r="J534" t="s">
        <v>2688</v>
      </c>
      <c r="L534" t="s">
        <v>270</v>
      </c>
      <c r="M534" t="s">
        <v>271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2597</v>
      </c>
      <c r="Y534" t="s">
        <v>2872</v>
      </c>
    </row>
    <row r="535" spans="1:25" x14ac:dyDescent="0.25">
      <c r="A535" t="s">
        <v>2867</v>
      </c>
      <c r="B535" t="s">
        <v>2868</v>
      </c>
      <c r="C535" t="s">
        <v>2591</v>
      </c>
      <c r="D535" t="s">
        <v>2382</v>
      </c>
      <c r="E535" t="s">
        <v>2873</v>
      </c>
      <c r="F535" t="s">
        <v>2868</v>
      </c>
      <c r="G535" t="s">
        <v>207</v>
      </c>
      <c r="H535" t="s">
        <v>897</v>
      </c>
      <c r="I535" t="s">
        <v>961</v>
      </c>
      <c r="J535" t="s">
        <v>2688</v>
      </c>
      <c r="L535" t="s">
        <v>270</v>
      </c>
      <c r="M535" t="s">
        <v>271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2597</v>
      </c>
      <c r="Y535" t="s">
        <v>2874</v>
      </c>
    </row>
    <row r="536" spans="1:25" x14ac:dyDescent="0.25">
      <c r="A536" t="s">
        <v>2875</v>
      </c>
      <c r="B536" t="s">
        <v>2876</v>
      </c>
      <c r="C536" t="s">
        <v>2591</v>
      </c>
      <c r="D536" t="s">
        <v>2382</v>
      </c>
      <c r="E536" t="s">
        <v>2877</v>
      </c>
      <c r="F536" t="s">
        <v>2876</v>
      </c>
      <c r="G536" t="s">
        <v>207</v>
      </c>
      <c r="H536" t="s">
        <v>238</v>
      </c>
      <c r="I536" t="s">
        <v>961</v>
      </c>
      <c r="J536" t="s">
        <v>2878</v>
      </c>
      <c r="L536" t="s">
        <v>270</v>
      </c>
      <c r="M536" t="s">
        <v>271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2597</v>
      </c>
      <c r="Y536" t="s">
        <v>2879</v>
      </c>
    </row>
    <row r="537" spans="1:25" x14ac:dyDescent="0.25">
      <c r="A537" t="s">
        <v>2875</v>
      </c>
      <c r="B537" t="s">
        <v>2876</v>
      </c>
      <c r="C537" t="s">
        <v>2591</v>
      </c>
      <c r="D537" t="s">
        <v>2382</v>
      </c>
      <c r="E537" t="s">
        <v>2880</v>
      </c>
      <c r="F537" t="s">
        <v>2876</v>
      </c>
      <c r="G537" t="s">
        <v>207</v>
      </c>
      <c r="H537" t="s">
        <v>238</v>
      </c>
      <c r="I537" t="s">
        <v>961</v>
      </c>
      <c r="J537" t="s">
        <v>2878</v>
      </c>
      <c r="L537" t="s">
        <v>270</v>
      </c>
      <c r="M537" t="s">
        <v>271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2597</v>
      </c>
      <c r="Y537" t="s">
        <v>2881</v>
      </c>
    </row>
    <row r="538" spans="1:25" x14ac:dyDescent="0.25">
      <c r="A538" t="s">
        <v>932</v>
      </c>
      <c r="B538" t="s">
        <v>611</v>
      </c>
      <c r="C538" t="s">
        <v>2591</v>
      </c>
      <c r="D538" t="s">
        <v>2382</v>
      </c>
      <c r="E538" t="s">
        <v>2882</v>
      </c>
      <c r="F538" t="s">
        <v>611</v>
      </c>
      <c r="G538" t="s">
        <v>207</v>
      </c>
      <c r="H538" t="s">
        <v>931</v>
      </c>
      <c r="I538" t="s">
        <v>961</v>
      </c>
      <c r="J538" t="s">
        <v>2883</v>
      </c>
      <c r="L538" t="s">
        <v>270</v>
      </c>
      <c r="M538" t="s">
        <v>271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2597</v>
      </c>
      <c r="Y538" t="s">
        <v>2884</v>
      </c>
    </row>
    <row r="539" spans="1:25" x14ac:dyDescent="0.25">
      <c r="A539" t="s">
        <v>932</v>
      </c>
      <c r="B539" t="s">
        <v>611</v>
      </c>
      <c r="C539" t="s">
        <v>2591</v>
      </c>
      <c r="D539" t="s">
        <v>2382</v>
      </c>
      <c r="E539" t="s">
        <v>2885</v>
      </c>
      <c r="F539" t="s">
        <v>611</v>
      </c>
      <c r="G539" t="s">
        <v>207</v>
      </c>
      <c r="H539" t="s">
        <v>931</v>
      </c>
      <c r="I539" t="s">
        <v>961</v>
      </c>
      <c r="J539" t="s">
        <v>2883</v>
      </c>
      <c r="L539" t="s">
        <v>270</v>
      </c>
      <c r="M539" t="s">
        <v>271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2597</v>
      </c>
      <c r="Y539" t="s">
        <v>2886</v>
      </c>
    </row>
    <row r="540" spans="1:25" x14ac:dyDescent="0.25">
      <c r="A540" t="s">
        <v>932</v>
      </c>
      <c r="B540" t="s">
        <v>611</v>
      </c>
      <c r="C540" t="s">
        <v>2591</v>
      </c>
      <c r="D540" t="s">
        <v>2382</v>
      </c>
      <c r="E540" t="s">
        <v>2887</v>
      </c>
      <c r="F540" t="s">
        <v>611</v>
      </c>
      <c r="G540" t="s">
        <v>207</v>
      </c>
      <c r="H540" t="s">
        <v>931</v>
      </c>
      <c r="I540" t="s">
        <v>961</v>
      </c>
      <c r="J540" t="s">
        <v>2883</v>
      </c>
      <c r="L540" t="s">
        <v>270</v>
      </c>
      <c r="M540" t="s">
        <v>271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2597</v>
      </c>
      <c r="Y540" t="s">
        <v>2888</v>
      </c>
    </row>
    <row r="541" spans="1:25" hidden="1" x14ac:dyDescent="0.25">
      <c r="B541" t="s">
        <v>2889</v>
      </c>
      <c r="C541" t="s">
        <v>2591</v>
      </c>
      <c r="D541" t="s">
        <v>2382</v>
      </c>
      <c r="E541" t="s">
        <v>2890</v>
      </c>
      <c r="F541" t="s">
        <v>2889</v>
      </c>
      <c r="G541" t="s">
        <v>207</v>
      </c>
      <c r="H541" t="s">
        <v>238</v>
      </c>
      <c r="I541" t="s">
        <v>961</v>
      </c>
      <c r="J541" t="s">
        <v>2694</v>
      </c>
      <c r="L541" t="s">
        <v>270</v>
      </c>
      <c r="M541" t="s">
        <v>271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2592</v>
      </c>
      <c r="Y541" t="s">
        <v>2891</v>
      </c>
    </row>
    <row r="542" spans="1:25" hidden="1" x14ac:dyDescent="0.25">
      <c r="B542" t="s">
        <v>2889</v>
      </c>
      <c r="C542" t="s">
        <v>2591</v>
      </c>
      <c r="D542" t="s">
        <v>2382</v>
      </c>
      <c r="E542" t="s">
        <v>2892</v>
      </c>
      <c r="F542" t="s">
        <v>2889</v>
      </c>
      <c r="G542" t="s">
        <v>207</v>
      </c>
      <c r="H542" t="s">
        <v>238</v>
      </c>
      <c r="I542" t="s">
        <v>961</v>
      </c>
      <c r="J542" t="s">
        <v>2694</v>
      </c>
      <c r="L542" t="s">
        <v>270</v>
      </c>
      <c r="M542" t="s">
        <v>271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2592</v>
      </c>
      <c r="Y542" t="s">
        <v>2893</v>
      </c>
    </row>
    <row r="543" spans="1:25" x14ac:dyDescent="0.25">
      <c r="A543" t="s">
        <v>2894</v>
      </c>
      <c r="B543" t="s">
        <v>2895</v>
      </c>
      <c r="C543" t="s">
        <v>2591</v>
      </c>
      <c r="D543" t="s">
        <v>2382</v>
      </c>
      <c r="E543" t="s">
        <v>2896</v>
      </c>
      <c r="F543" t="s">
        <v>2895</v>
      </c>
      <c r="G543" t="s">
        <v>207</v>
      </c>
      <c r="H543" t="s">
        <v>615</v>
      </c>
      <c r="I543" t="s">
        <v>961</v>
      </c>
      <c r="J543" t="s">
        <v>2897</v>
      </c>
      <c r="L543" t="s">
        <v>270</v>
      </c>
      <c r="M543" t="s">
        <v>271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2597</v>
      </c>
      <c r="Y543" t="s">
        <v>2898</v>
      </c>
    </row>
    <row r="544" spans="1:25" x14ac:dyDescent="0.25">
      <c r="A544" t="s">
        <v>2894</v>
      </c>
      <c r="B544" t="s">
        <v>2895</v>
      </c>
      <c r="C544" t="s">
        <v>2591</v>
      </c>
      <c r="D544" t="s">
        <v>2382</v>
      </c>
      <c r="E544" t="s">
        <v>2899</v>
      </c>
      <c r="F544" t="s">
        <v>2895</v>
      </c>
      <c r="G544" t="s">
        <v>207</v>
      </c>
      <c r="H544" t="s">
        <v>615</v>
      </c>
      <c r="I544" t="s">
        <v>961</v>
      </c>
      <c r="J544" t="s">
        <v>2897</v>
      </c>
      <c r="L544" t="s">
        <v>270</v>
      </c>
      <c r="M544" t="s">
        <v>271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2597</v>
      </c>
      <c r="Y544" t="s">
        <v>2900</v>
      </c>
    </row>
    <row r="545" spans="1:25" x14ac:dyDescent="0.25">
      <c r="A545" t="s">
        <v>912</v>
      </c>
      <c r="B545" t="s">
        <v>913</v>
      </c>
      <c r="C545" t="s">
        <v>2591</v>
      </c>
      <c r="D545" t="s">
        <v>2382</v>
      </c>
      <c r="E545" t="s">
        <v>2901</v>
      </c>
      <c r="F545" t="s">
        <v>913</v>
      </c>
      <c r="G545" t="s">
        <v>207</v>
      </c>
      <c r="H545" t="s">
        <v>531</v>
      </c>
      <c r="I545" t="s">
        <v>961</v>
      </c>
      <c r="J545" t="s">
        <v>2902</v>
      </c>
      <c r="L545" t="s">
        <v>270</v>
      </c>
      <c r="M545" t="s">
        <v>271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2597</v>
      </c>
      <c r="Y545" t="s">
        <v>2903</v>
      </c>
    </row>
    <row r="546" spans="1:25" x14ac:dyDescent="0.25">
      <c r="A546" t="s">
        <v>912</v>
      </c>
      <c r="B546" t="s">
        <v>913</v>
      </c>
      <c r="C546" t="s">
        <v>2591</v>
      </c>
      <c r="D546" t="s">
        <v>2382</v>
      </c>
      <c r="E546" t="s">
        <v>2904</v>
      </c>
      <c r="F546" t="s">
        <v>913</v>
      </c>
      <c r="G546" t="s">
        <v>207</v>
      </c>
      <c r="H546" t="s">
        <v>531</v>
      </c>
      <c r="I546" t="s">
        <v>961</v>
      </c>
      <c r="J546" t="s">
        <v>2902</v>
      </c>
      <c r="L546" t="s">
        <v>270</v>
      </c>
      <c r="M546" t="s">
        <v>271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2597</v>
      </c>
      <c r="Y546" t="s">
        <v>2905</v>
      </c>
    </row>
    <row r="547" spans="1:25" x14ac:dyDescent="0.25">
      <c r="A547" t="s">
        <v>912</v>
      </c>
      <c r="B547" t="s">
        <v>913</v>
      </c>
      <c r="C547" t="s">
        <v>2591</v>
      </c>
      <c r="D547" t="s">
        <v>2382</v>
      </c>
      <c r="E547" t="s">
        <v>2906</v>
      </c>
      <c r="F547" t="s">
        <v>913</v>
      </c>
      <c r="G547" t="s">
        <v>207</v>
      </c>
      <c r="H547" t="s">
        <v>531</v>
      </c>
      <c r="I547" t="s">
        <v>961</v>
      </c>
      <c r="J547" t="s">
        <v>2902</v>
      </c>
      <c r="L547" t="s">
        <v>270</v>
      </c>
      <c r="M547" t="s">
        <v>271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2597</v>
      </c>
      <c r="Y547" t="s">
        <v>2907</v>
      </c>
    </row>
    <row r="548" spans="1:25" x14ac:dyDescent="0.25">
      <c r="A548" t="s">
        <v>912</v>
      </c>
      <c r="B548" t="s">
        <v>913</v>
      </c>
      <c r="C548" t="s">
        <v>2591</v>
      </c>
      <c r="D548" t="s">
        <v>2382</v>
      </c>
      <c r="E548" t="s">
        <v>2908</v>
      </c>
      <c r="F548" t="s">
        <v>913</v>
      </c>
      <c r="G548" t="s">
        <v>207</v>
      </c>
      <c r="H548" t="s">
        <v>531</v>
      </c>
      <c r="I548" t="s">
        <v>961</v>
      </c>
      <c r="J548" t="s">
        <v>2902</v>
      </c>
      <c r="L548" t="s">
        <v>270</v>
      </c>
      <c r="M548" t="s">
        <v>271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2597</v>
      </c>
      <c r="Y548" t="s">
        <v>2909</v>
      </c>
    </row>
    <row r="549" spans="1:25" hidden="1" x14ac:dyDescent="0.25">
      <c r="B549" t="s">
        <v>502</v>
      </c>
      <c r="C549" t="s">
        <v>960</v>
      </c>
      <c r="D549" t="s">
        <v>2910</v>
      </c>
      <c r="E549" t="s">
        <v>502</v>
      </c>
      <c r="G549" t="s">
        <v>207</v>
      </c>
      <c r="H549" t="s">
        <v>530</v>
      </c>
      <c r="I549" t="s">
        <v>961</v>
      </c>
      <c r="L549">
        <v>9.8000000000000007</v>
      </c>
      <c r="M549" t="s">
        <v>499</v>
      </c>
      <c r="N549" t="s">
        <v>500</v>
      </c>
      <c r="O549">
        <v>0</v>
      </c>
      <c r="W549" t="b">
        <v>0</v>
      </c>
    </row>
    <row r="550" spans="1:25" hidden="1" x14ac:dyDescent="0.25">
      <c r="B550" t="s">
        <v>503</v>
      </c>
      <c r="C550" t="s">
        <v>960</v>
      </c>
      <c r="D550" t="s">
        <v>2910</v>
      </c>
      <c r="E550" t="s">
        <v>503</v>
      </c>
      <c r="G550" t="s">
        <v>23</v>
      </c>
      <c r="H550" t="s">
        <v>94</v>
      </c>
      <c r="I550" t="s">
        <v>961</v>
      </c>
      <c r="L550">
        <v>180</v>
      </c>
      <c r="M550" t="s">
        <v>499</v>
      </c>
      <c r="N550" t="s">
        <v>500</v>
      </c>
      <c r="O550">
        <v>5</v>
      </c>
      <c r="W550" t="b">
        <v>0</v>
      </c>
    </row>
    <row r="551" spans="1:25" hidden="1" x14ac:dyDescent="0.25">
      <c r="B551" t="s">
        <v>504</v>
      </c>
      <c r="C551" t="s">
        <v>960</v>
      </c>
      <c r="D551" t="s">
        <v>2910</v>
      </c>
      <c r="E551" t="s">
        <v>504</v>
      </c>
      <c r="G551" t="s">
        <v>23</v>
      </c>
      <c r="H551" t="s">
        <v>531</v>
      </c>
      <c r="I551" t="s">
        <v>961</v>
      </c>
      <c r="L551">
        <v>1.1000000000000001</v>
      </c>
      <c r="M551" t="s">
        <v>499</v>
      </c>
      <c r="N551" t="s">
        <v>500</v>
      </c>
      <c r="O551">
        <v>0</v>
      </c>
      <c r="W551" t="b">
        <v>0</v>
      </c>
    </row>
    <row r="552" spans="1:25" hidden="1" x14ac:dyDescent="0.25">
      <c r="B552" t="s">
        <v>965</v>
      </c>
      <c r="C552" t="s">
        <v>960</v>
      </c>
      <c r="D552" t="s">
        <v>2910</v>
      </c>
      <c r="E552" t="s">
        <v>965</v>
      </c>
      <c r="G552" t="s">
        <v>23</v>
      </c>
      <c r="H552" t="s">
        <v>239</v>
      </c>
      <c r="I552" t="s">
        <v>961</v>
      </c>
      <c r="L552">
        <v>3.2250000000000001</v>
      </c>
      <c r="M552" t="s">
        <v>499</v>
      </c>
      <c r="N552" t="s">
        <v>500</v>
      </c>
      <c r="O552">
        <v>0</v>
      </c>
      <c r="W552" t="b">
        <v>0</v>
      </c>
    </row>
    <row r="553" spans="1:25" hidden="1" x14ac:dyDescent="0.25">
      <c r="B553" t="s">
        <v>967</v>
      </c>
      <c r="C553" t="s">
        <v>960</v>
      </c>
      <c r="D553" t="s">
        <v>2910</v>
      </c>
      <c r="E553" t="s">
        <v>967</v>
      </c>
      <c r="G553" t="s">
        <v>23</v>
      </c>
      <c r="H553" t="s">
        <v>240</v>
      </c>
      <c r="I553" t="s">
        <v>961</v>
      </c>
      <c r="L553">
        <v>1.6</v>
      </c>
      <c r="M553" t="s">
        <v>499</v>
      </c>
      <c r="N553" t="s">
        <v>500</v>
      </c>
      <c r="O553">
        <v>0</v>
      </c>
      <c r="W553" t="b">
        <v>0</v>
      </c>
    </row>
    <row r="554" spans="1:25" hidden="1" x14ac:dyDescent="0.25">
      <c r="B554" t="s">
        <v>969</v>
      </c>
      <c r="C554" t="s">
        <v>960</v>
      </c>
      <c r="D554" t="s">
        <v>2910</v>
      </c>
      <c r="E554" t="s">
        <v>969</v>
      </c>
      <c r="G554" t="s">
        <v>23</v>
      </c>
      <c r="H554" t="s">
        <v>239</v>
      </c>
      <c r="I554" t="s">
        <v>961</v>
      </c>
      <c r="L554">
        <v>1.06</v>
      </c>
      <c r="M554" t="s">
        <v>499</v>
      </c>
      <c r="N554" t="s">
        <v>500</v>
      </c>
      <c r="O554">
        <v>0</v>
      </c>
      <c r="W554" t="b">
        <v>0</v>
      </c>
    </row>
    <row r="555" spans="1:25" hidden="1" x14ac:dyDescent="0.25">
      <c r="B555" t="s">
        <v>971</v>
      </c>
      <c r="C555" t="s">
        <v>960</v>
      </c>
      <c r="D555" t="s">
        <v>2910</v>
      </c>
      <c r="E555" t="s">
        <v>971</v>
      </c>
      <c r="G555" t="s">
        <v>23</v>
      </c>
      <c r="H555" t="s">
        <v>239</v>
      </c>
      <c r="I555" t="s">
        <v>961</v>
      </c>
      <c r="L555">
        <v>4</v>
      </c>
      <c r="M555" t="s">
        <v>499</v>
      </c>
      <c r="N555" t="s">
        <v>500</v>
      </c>
      <c r="O555">
        <v>0</v>
      </c>
      <c r="W555" t="b">
        <v>0</v>
      </c>
    </row>
    <row r="556" spans="1:25" hidden="1" x14ac:dyDescent="0.25">
      <c r="B556" t="s">
        <v>973</v>
      </c>
      <c r="C556" t="s">
        <v>960</v>
      </c>
      <c r="D556" t="s">
        <v>2910</v>
      </c>
      <c r="E556" t="s">
        <v>973</v>
      </c>
      <c r="G556" t="s">
        <v>23</v>
      </c>
      <c r="H556" t="s">
        <v>239</v>
      </c>
      <c r="I556" t="s">
        <v>961</v>
      </c>
      <c r="L556">
        <v>4.9000000000000004</v>
      </c>
      <c r="M556" t="s">
        <v>499</v>
      </c>
      <c r="N556" t="s">
        <v>500</v>
      </c>
      <c r="O556">
        <v>0</v>
      </c>
      <c r="W556" t="b">
        <v>0</v>
      </c>
    </row>
    <row r="557" spans="1:25" hidden="1" x14ac:dyDescent="0.25">
      <c r="B557" t="s">
        <v>975</v>
      </c>
      <c r="C557" t="s">
        <v>960</v>
      </c>
      <c r="D557" t="s">
        <v>2910</v>
      </c>
      <c r="E557" t="s">
        <v>975</v>
      </c>
      <c r="G557" t="s">
        <v>23</v>
      </c>
      <c r="H557" t="s">
        <v>239</v>
      </c>
      <c r="I557" t="s">
        <v>961</v>
      </c>
      <c r="L557">
        <v>3.4</v>
      </c>
      <c r="M557" t="s">
        <v>499</v>
      </c>
      <c r="N557" t="s">
        <v>500</v>
      </c>
      <c r="O557">
        <v>0</v>
      </c>
      <c r="W557" t="b">
        <v>0</v>
      </c>
    </row>
    <row r="558" spans="1:25" hidden="1" x14ac:dyDescent="0.25">
      <c r="B558" t="s">
        <v>977</v>
      </c>
      <c r="C558" t="s">
        <v>960</v>
      </c>
      <c r="D558" t="s">
        <v>2910</v>
      </c>
      <c r="E558" t="s">
        <v>977</v>
      </c>
      <c r="G558" t="s">
        <v>23</v>
      </c>
      <c r="H558" t="s">
        <v>240</v>
      </c>
      <c r="I558" t="s">
        <v>961</v>
      </c>
      <c r="L558">
        <v>0</v>
      </c>
      <c r="M558" t="s">
        <v>499</v>
      </c>
      <c r="N558" t="s">
        <v>500</v>
      </c>
      <c r="O558">
        <v>0</v>
      </c>
      <c r="W558" t="b">
        <v>0</v>
      </c>
    </row>
    <row r="559" spans="1:25" hidden="1" x14ac:dyDescent="0.25">
      <c r="B559" t="s">
        <v>543</v>
      </c>
      <c r="C559" t="s">
        <v>960</v>
      </c>
      <c r="D559" t="s">
        <v>2910</v>
      </c>
      <c r="E559" t="s">
        <v>543</v>
      </c>
      <c r="G559" t="s">
        <v>23</v>
      </c>
      <c r="H559" t="s">
        <v>240</v>
      </c>
      <c r="I559" t="s">
        <v>961</v>
      </c>
      <c r="L559">
        <v>9</v>
      </c>
      <c r="M559" t="s">
        <v>499</v>
      </c>
      <c r="N559" t="s">
        <v>500</v>
      </c>
      <c r="O559">
        <v>0</v>
      </c>
      <c r="W559" t="b">
        <v>0</v>
      </c>
    </row>
    <row r="560" spans="1:25" hidden="1" x14ac:dyDescent="0.25">
      <c r="B560" t="s">
        <v>980</v>
      </c>
      <c r="C560" t="s">
        <v>960</v>
      </c>
      <c r="D560" t="s">
        <v>2910</v>
      </c>
      <c r="E560" t="s">
        <v>980</v>
      </c>
      <c r="G560" t="s">
        <v>23</v>
      </c>
      <c r="H560" t="s">
        <v>239</v>
      </c>
      <c r="I560" t="s">
        <v>961</v>
      </c>
      <c r="L560">
        <v>2.4500000000000002</v>
      </c>
      <c r="M560" t="s">
        <v>499</v>
      </c>
      <c r="N560" t="s">
        <v>500</v>
      </c>
      <c r="O560">
        <v>0</v>
      </c>
      <c r="W560" t="b">
        <v>0</v>
      </c>
    </row>
    <row r="561" spans="2:23" hidden="1" x14ac:dyDescent="0.25">
      <c r="B561" t="s">
        <v>982</v>
      </c>
      <c r="C561" t="s">
        <v>960</v>
      </c>
      <c r="D561" t="s">
        <v>2910</v>
      </c>
      <c r="E561" t="s">
        <v>982</v>
      </c>
      <c r="G561" t="s">
        <v>23</v>
      </c>
      <c r="H561" t="s">
        <v>239</v>
      </c>
      <c r="I561" t="s">
        <v>961</v>
      </c>
      <c r="L561">
        <v>4.99</v>
      </c>
      <c r="M561" t="s">
        <v>499</v>
      </c>
      <c r="N561" t="s">
        <v>500</v>
      </c>
      <c r="O561">
        <v>0</v>
      </c>
      <c r="W561" t="b">
        <v>0</v>
      </c>
    </row>
    <row r="562" spans="2:23" hidden="1" x14ac:dyDescent="0.25">
      <c r="B562" t="s">
        <v>984</v>
      </c>
      <c r="C562" t="s">
        <v>960</v>
      </c>
      <c r="D562" t="s">
        <v>2910</v>
      </c>
      <c r="E562" t="s">
        <v>984</v>
      </c>
      <c r="G562" t="s">
        <v>23</v>
      </c>
      <c r="H562" t="s">
        <v>239</v>
      </c>
      <c r="I562" t="s">
        <v>961</v>
      </c>
      <c r="L562">
        <v>4.99</v>
      </c>
      <c r="M562" t="s">
        <v>499</v>
      </c>
      <c r="N562" t="s">
        <v>500</v>
      </c>
      <c r="O562">
        <v>0</v>
      </c>
      <c r="W562" t="b">
        <v>0</v>
      </c>
    </row>
    <row r="563" spans="2:23" hidden="1" x14ac:dyDescent="0.25">
      <c r="B563" t="s">
        <v>986</v>
      </c>
      <c r="C563" t="s">
        <v>960</v>
      </c>
      <c r="D563" t="s">
        <v>2910</v>
      </c>
      <c r="E563" t="s">
        <v>986</v>
      </c>
      <c r="G563" t="s">
        <v>23</v>
      </c>
      <c r="H563" t="s">
        <v>239</v>
      </c>
      <c r="I563" t="s">
        <v>961</v>
      </c>
      <c r="L563">
        <v>2.9</v>
      </c>
      <c r="M563" t="s">
        <v>499</v>
      </c>
      <c r="N563" t="s">
        <v>500</v>
      </c>
      <c r="O563">
        <v>0</v>
      </c>
      <c r="W563" t="b">
        <v>0</v>
      </c>
    </row>
    <row r="564" spans="2:23" hidden="1" x14ac:dyDescent="0.25">
      <c r="B564" t="s">
        <v>988</v>
      </c>
      <c r="C564" t="s">
        <v>960</v>
      </c>
      <c r="D564" t="s">
        <v>2910</v>
      </c>
      <c r="E564" t="s">
        <v>988</v>
      </c>
      <c r="G564" t="s">
        <v>23</v>
      </c>
      <c r="H564" t="s">
        <v>239</v>
      </c>
      <c r="I564" t="s">
        <v>961</v>
      </c>
      <c r="L564">
        <v>1.92</v>
      </c>
      <c r="M564" t="s">
        <v>499</v>
      </c>
      <c r="N564" t="s">
        <v>500</v>
      </c>
      <c r="O564">
        <v>0</v>
      </c>
      <c r="W564" t="b">
        <v>0</v>
      </c>
    </row>
    <row r="565" spans="2:23" hidden="1" x14ac:dyDescent="0.25">
      <c r="B565" t="s">
        <v>990</v>
      </c>
      <c r="C565" t="s">
        <v>960</v>
      </c>
      <c r="D565" t="s">
        <v>2910</v>
      </c>
      <c r="E565" t="s">
        <v>990</v>
      </c>
      <c r="G565" t="s">
        <v>23</v>
      </c>
      <c r="H565" t="s">
        <v>905</v>
      </c>
      <c r="I565" t="s">
        <v>961</v>
      </c>
      <c r="L565">
        <v>4.08</v>
      </c>
      <c r="M565" t="s">
        <v>499</v>
      </c>
      <c r="N565" t="s">
        <v>500</v>
      </c>
      <c r="O565">
        <v>0</v>
      </c>
      <c r="W565" t="b">
        <v>0</v>
      </c>
    </row>
    <row r="566" spans="2:23" hidden="1" x14ac:dyDescent="0.25">
      <c r="B566" t="s">
        <v>992</v>
      </c>
      <c r="C566" t="s">
        <v>960</v>
      </c>
      <c r="D566" t="s">
        <v>2910</v>
      </c>
      <c r="E566" t="s">
        <v>992</v>
      </c>
      <c r="G566" t="s">
        <v>23</v>
      </c>
      <c r="H566" t="s">
        <v>239</v>
      </c>
      <c r="I566" t="s">
        <v>961</v>
      </c>
      <c r="L566">
        <v>9</v>
      </c>
      <c r="M566" t="s">
        <v>499</v>
      </c>
      <c r="N566" t="s">
        <v>500</v>
      </c>
      <c r="O566">
        <v>0.09</v>
      </c>
      <c r="W566" t="b">
        <v>0</v>
      </c>
    </row>
    <row r="567" spans="2:23" hidden="1" x14ac:dyDescent="0.25">
      <c r="B567" t="s">
        <v>994</v>
      </c>
      <c r="C567" t="s">
        <v>960</v>
      </c>
      <c r="D567" t="s">
        <v>2910</v>
      </c>
      <c r="E567" t="s">
        <v>994</v>
      </c>
      <c r="G567" t="s">
        <v>23</v>
      </c>
      <c r="H567" t="s">
        <v>238</v>
      </c>
      <c r="I567" t="s">
        <v>961</v>
      </c>
      <c r="L567">
        <v>1.3919999999999999</v>
      </c>
      <c r="M567" t="s">
        <v>499</v>
      </c>
      <c r="N567" t="s">
        <v>500</v>
      </c>
      <c r="O567">
        <v>0</v>
      </c>
      <c r="W567" t="b">
        <v>0</v>
      </c>
    </row>
    <row r="568" spans="2:23" hidden="1" x14ac:dyDescent="0.25">
      <c r="B568" t="s">
        <v>996</v>
      </c>
      <c r="C568" t="s">
        <v>960</v>
      </c>
      <c r="D568" t="s">
        <v>2910</v>
      </c>
      <c r="E568" t="s">
        <v>996</v>
      </c>
      <c r="G568" t="s">
        <v>207</v>
      </c>
      <c r="H568" t="s">
        <v>239</v>
      </c>
      <c r="I568" t="s">
        <v>961</v>
      </c>
      <c r="L568">
        <v>3.3</v>
      </c>
      <c r="M568" t="s">
        <v>499</v>
      </c>
      <c r="N568" t="s">
        <v>500</v>
      </c>
      <c r="O568">
        <v>0</v>
      </c>
      <c r="W568" t="b">
        <v>0</v>
      </c>
    </row>
    <row r="569" spans="2:23" hidden="1" x14ac:dyDescent="0.25">
      <c r="B569" t="s">
        <v>998</v>
      </c>
      <c r="C569" t="s">
        <v>960</v>
      </c>
      <c r="D569" t="s">
        <v>2910</v>
      </c>
      <c r="E569" t="s">
        <v>998</v>
      </c>
      <c r="G569" t="s">
        <v>23</v>
      </c>
      <c r="H569" t="s">
        <v>615</v>
      </c>
      <c r="I569" t="s">
        <v>961</v>
      </c>
      <c r="L569">
        <v>4.8250000000000002</v>
      </c>
      <c r="M569" t="s">
        <v>499</v>
      </c>
      <c r="N569" t="s">
        <v>500</v>
      </c>
      <c r="O569">
        <v>0</v>
      </c>
      <c r="W569" t="b">
        <v>0</v>
      </c>
    </row>
    <row r="570" spans="2:23" hidden="1" x14ac:dyDescent="0.25">
      <c r="B570" t="s">
        <v>1000</v>
      </c>
      <c r="C570" t="s">
        <v>960</v>
      </c>
      <c r="D570" t="s">
        <v>2910</v>
      </c>
      <c r="E570" t="s">
        <v>1000</v>
      </c>
      <c r="G570" t="s">
        <v>23</v>
      </c>
      <c r="H570" t="s">
        <v>95</v>
      </c>
      <c r="I570" t="s">
        <v>961</v>
      </c>
      <c r="L570">
        <v>6.6</v>
      </c>
      <c r="M570" t="s">
        <v>499</v>
      </c>
      <c r="N570" t="s">
        <v>500</v>
      </c>
      <c r="O570">
        <v>0</v>
      </c>
      <c r="W570" t="b">
        <v>0</v>
      </c>
    </row>
    <row r="571" spans="2:23" hidden="1" x14ac:dyDescent="0.25">
      <c r="B571" t="s">
        <v>1002</v>
      </c>
      <c r="C571" t="s">
        <v>960</v>
      </c>
      <c r="D571" t="s">
        <v>2910</v>
      </c>
      <c r="E571" t="s">
        <v>1002</v>
      </c>
      <c r="G571" t="s">
        <v>207</v>
      </c>
      <c r="H571" t="s">
        <v>614</v>
      </c>
      <c r="I571" t="s">
        <v>961</v>
      </c>
      <c r="L571">
        <v>4.9000000000000004</v>
      </c>
      <c r="M571" t="s">
        <v>499</v>
      </c>
      <c r="N571" t="s">
        <v>500</v>
      </c>
      <c r="O571">
        <v>0</v>
      </c>
      <c r="W571" t="b">
        <v>0</v>
      </c>
    </row>
    <row r="572" spans="2:23" hidden="1" x14ac:dyDescent="0.25">
      <c r="B572" t="s">
        <v>1004</v>
      </c>
      <c r="C572" t="s">
        <v>960</v>
      </c>
      <c r="D572" t="s">
        <v>2910</v>
      </c>
      <c r="E572" t="s">
        <v>1004</v>
      </c>
      <c r="G572" t="s">
        <v>23</v>
      </c>
      <c r="H572" t="s">
        <v>615</v>
      </c>
      <c r="I572" t="s">
        <v>961</v>
      </c>
      <c r="L572">
        <v>1.8</v>
      </c>
      <c r="M572" t="s">
        <v>499</v>
      </c>
      <c r="N572" t="s">
        <v>500</v>
      </c>
      <c r="O572">
        <v>0</v>
      </c>
      <c r="W572" t="b">
        <v>0</v>
      </c>
    </row>
    <row r="573" spans="2:23" hidden="1" x14ac:dyDescent="0.25">
      <c r="B573" t="s">
        <v>1006</v>
      </c>
      <c r="C573" t="s">
        <v>960</v>
      </c>
      <c r="D573" t="s">
        <v>2910</v>
      </c>
      <c r="E573" t="s">
        <v>1006</v>
      </c>
      <c r="G573" t="s">
        <v>207</v>
      </c>
      <c r="H573" t="s">
        <v>239</v>
      </c>
      <c r="I573" t="s">
        <v>961</v>
      </c>
      <c r="L573">
        <v>3.3</v>
      </c>
      <c r="M573" t="s">
        <v>499</v>
      </c>
      <c r="N573" t="s">
        <v>500</v>
      </c>
      <c r="O573">
        <v>0</v>
      </c>
      <c r="W573" t="b">
        <v>0</v>
      </c>
    </row>
    <row r="574" spans="2:23" hidden="1" x14ac:dyDescent="0.25">
      <c r="B574" t="s">
        <v>1008</v>
      </c>
      <c r="C574" t="s">
        <v>960</v>
      </c>
      <c r="D574" t="s">
        <v>2910</v>
      </c>
      <c r="E574" t="s">
        <v>1008</v>
      </c>
      <c r="G574" t="s">
        <v>23</v>
      </c>
      <c r="H574" t="s">
        <v>95</v>
      </c>
      <c r="I574" t="s">
        <v>961</v>
      </c>
      <c r="L574">
        <v>3.2</v>
      </c>
      <c r="M574" t="s">
        <v>499</v>
      </c>
      <c r="N574" t="s">
        <v>500</v>
      </c>
      <c r="O574">
        <v>0</v>
      </c>
      <c r="W574" t="b">
        <v>0</v>
      </c>
    </row>
    <row r="575" spans="2:23" hidden="1" x14ac:dyDescent="0.25">
      <c r="B575" t="s">
        <v>1010</v>
      </c>
      <c r="C575" t="s">
        <v>960</v>
      </c>
      <c r="D575" t="s">
        <v>2910</v>
      </c>
      <c r="E575" t="s">
        <v>1010</v>
      </c>
      <c r="G575" t="s">
        <v>23</v>
      </c>
      <c r="H575" t="s">
        <v>238</v>
      </c>
      <c r="I575" t="s">
        <v>961</v>
      </c>
      <c r="L575">
        <v>1.4059999999999999</v>
      </c>
      <c r="M575" t="s">
        <v>499</v>
      </c>
      <c r="N575" t="s">
        <v>500</v>
      </c>
      <c r="O575">
        <v>0</v>
      </c>
      <c r="W575" t="b">
        <v>0</v>
      </c>
    </row>
    <row r="576" spans="2:23" hidden="1" x14ac:dyDescent="0.25">
      <c r="B576" t="s">
        <v>1012</v>
      </c>
      <c r="C576" t="s">
        <v>960</v>
      </c>
      <c r="D576" t="s">
        <v>2910</v>
      </c>
      <c r="E576" t="s">
        <v>1012</v>
      </c>
      <c r="G576" t="s">
        <v>207</v>
      </c>
      <c r="H576" t="s">
        <v>239</v>
      </c>
      <c r="I576" t="s">
        <v>961</v>
      </c>
      <c r="L576">
        <v>3.3</v>
      </c>
      <c r="M576" t="s">
        <v>499</v>
      </c>
      <c r="N576" t="s">
        <v>500</v>
      </c>
      <c r="O576">
        <v>0</v>
      </c>
      <c r="W576" t="b">
        <v>0</v>
      </c>
    </row>
    <row r="577" spans="2:23" hidden="1" x14ac:dyDescent="0.25">
      <c r="B577" t="s">
        <v>1014</v>
      </c>
      <c r="C577" t="s">
        <v>960</v>
      </c>
      <c r="D577" t="s">
        <v>2910</v>
      </c>
      <c r="E577" t="s">
        <v>1014</v>
      </c>
      <c r="G577" t="s">
        <v>23</v>
      </c>
      <c r="H577" t="s">
        <v>95</v>
      </c>
      <c r="I577" t="s">
        <v>961</v>
      </c>
      <c r="L577">
        <v>0</v>
      </c>
      <c r="M577" t="s">
        <v>499</v>
      </c>
      <c r="N577" t="s">
        <v>500</v>
      </c>
      <c r="O577">
        <v>0</v>
      </c>
      <c r="W577" t="b">
        <v>0</v>
      </c>
    </row>
    <row r="578" spans="2:23" hidden="1" x14ac:dyDescent="0.25">
      <c r="B578" t="s">
        <v>1016</v>
      </c>
      <c r="C578" t="s">
        <v>960</v>
      </c>
      <c r="D578" t="s">
        <v>2910</v>
      </c>
      <c r="E578" t="s">
        <v>1016</v>
      </c>
      <c r="G578" t="s">
        <v>207</v>
      </c>
      <c r="H578" t="s">
        <v>239</v>
      </c>
      <c r="I578" t="s">
        <v>961</v>
      </c>
      <c r="L578">
        <v>0</v>
      </c>
      <c r="M578" t="s">
        <v>499</v>
      </c>
      <c r="N578" t="s">
        <v>500</v>
      </c>
      <c r="O578">
        <v>0</v>
      </c>
      <c r="W578" t="b">
        <v>0</v>
      </c>
    </row>
    <row r="579" spans="2:23" hidden="1" x14ac:dyDescent="0.25">
      <c r="B579" t="s">
        <v>1018</v>
      </c>
      <c r="C579" t="s">
        <v>960</v>
      </c>
      <c r="D579" t="s">
        <v>2910</v>
      </c>
      <c r="E579" t="s">
        <v>1018</v>
      </c>
      <c r="G579" t="s">
        <v>207</v>
      </c>
      <c r="H579" t="s">
        <v>239</v>
      </c>
      <c r="I579" t="s">
        <v>961</v>
      </c>
      <c r="L579">
        <v>4.99</v>
      </c>
      <c r="M579" t="s">
        <v>499</v>
      </c>
      <c r="N579" t="s">
        <v>500</v>
      </c>
      <c r="O579">
        <v>0</v>
      </c>
      <c r="W579" t="b">
        <v>0</v>
      </c>
    </row>
    <row r="580" spans="2:23" hidden="1" x14ac:dyDescent="0.25">
      <c r="B580" t="s">
        <v>1020</v>
      </c>
      <c r="C580" t="s">
        <v>960</v>
      </c>
      <c r="D580" t="s">
        <v>2910</v>
      </c>
      <c r="E580" t="s">
        <v>1020</v>
      </c>
      <c r="G580" t="s">
        <v>23</v>
      </c>
      <c r="H580" t="s">
        <v>614</v>
      </c>
      <c r="I580" t="s">
        <v>961</v>
      </c>
      <c r="L580">
        <v>0</v>
      </c>
      <c r="M580" t="s">
        <v>499</v>
      </c>
      <c r="N580" t="s">
        <v>500</v>
      </c>
      <c r="O580">
        <v>0</v>
      </c>
      <c r="W580" t="b">
        <v>0</v>
      </c>
    </row>
    <row r="581" spans="2:23" hidden="1" x14ac:dyDescent="0.25">
      <c r="B581" t="s">
        <v>1022</v>
      </c>
      <c r="C581" t="s">
        <v>960</v>
      </c>
      <c r="D581" t="s">
        <v>2910</v>
      </c>
      <c r="E581" t="s">
        <v>1022</v>
      </c>
      <c r="G581" t="s">
        <v>23</v>
      </c>
      <c r="H581" t="s">
        <v>615</v>
      </c>
      <c r="I581" t="s">
        <v>961</v>
      </c>
      <c r="L581">
        <v>1.8</v>
      </c>
      <c r="M581" t="s">
        <v>499</v>
      </c>
      <c r="N581" t="s">
        <v>500</v>
      </c>
      <c r="O581">
        <v>0</v>
      </c>
      <c r="W581" t="b">
        <v>0</v>
      </c>
    </row>
    <row r="582" spans="2:23" hidden="1" x14ac:dyDescent="0.25">
      <c r="B582" t="s">
        <v>1024</v>
      </c>
      <c r="C582" t="s">
        <v>960</v>
      </c>
      <c r="D582" t="s">
        <v>2910</v>
      </c>
      <c r="E582" t="s">
        <v>1024</v>
      </c>
      <c r="G582" t="s">
        <v>207</v>
      </c>
      <c r="H582" t="s">
        <v>531</v>
      </c>
      <c r="I582" t="s">
        <v>961</v>
      </c>
      <c r="L582">
        <v>0.996</v>
      </c>
      <c r="M582" t="s">
        <v>499</v>
      </c>
      <c r="N582" t="s">
        <v>500</v>
      </c>
      <c r="O582">
        <v>0</v>
      </c>
      <c r="W582" t="b">
        <v>0</v>
      </c>
    </row>
    <row r="583" spans="2:23" hidden="1" x14ac:dyDescent="0.25">
      <c r="B583" t="s">
        <v>1026</v>
      </c>
      <c r="C583" t="s">
        <v>960</v>
      </c>
      <c r="D583" t="s">
        <v>2910</v>
      </c>
      <c r="E583" t="s">
        <v>1026</v>
      </c>
      <c r="G583" t="s">
        <v>207</v>
      </c>
      <c r="H583" t="s">
        <v>579</v>
      </c>
      <c r="I583" t="s">
        <v>961</v>
      </c>
      <c r="L583">
        <v>19.899999999999999</v>
      </c>
      <c r="M583" t="s">
        <v>499</v>
      </c>
      <c r="N583" t="s">
        <v>500</v>
      </c>
      <c r="O583">
        <v>1.99</v>
      </c>
      <c r="W583" t="b">
        <v>0</v>
      </c>
    </row>
    <row r="584" spans="2:23" hidden="1" x14ac:dyDescent="0.25">
      <c r="B584" t="s">
        <v>1028</v>
      </c>
      <c r="C584" t="s">
        <v>960</v>
      </c>
      <c r="D584" t="s">
        <v>2910</v>
      </c>
      <c r="E584" t="s">
        <v>1028</v>
      </c>
      <c r="G584" t="s">
        <v>207</v>
      </c>
      <c r="H584" t="s">
        <v>579</v>
      </c>
      <c r="I584" t="s">
        <v>961</v>
      </c>
      <c r="L584">
        <v>17.899999999999999</v>
      </c>
      <c r="M584" t="s">
        <v>499</v>
      </c>
      <c r="N584" t="s">
        <v>500</v>
      </c>
      <c r="O584">
        <v>1.99</v>
      </c>
      <c r="W584" t="b">
        <v>0</v>
      </c>
    </row>
    <row r="585" spans="2:23" hidden="1" x14ac:dyDescent="0.25">
      <c r="B585" t="s">
        <v>1030</v>
      </c>
      <c r="C585" t="s">
        <v>960</v>
      </c>
      <c r="D585" t="s">
        <v>2910</v>
      </c>
      <c r="E585" t="s">
        <v>1030</v>
      </c>
      <c r="G585" t="s">
        <v>207</v>
      </c>
      <c r="H585" t="s">
        <v>94</v>
      </c>
      <c r="I585" t="s">
        <v>961</v>
      </c>
      <c r="L585">
        <v>19.899999999999999</v>
      </c>
      <c r="M585" t="s">
        <v>499</v>
      </c>
      <c r="N585" t="s">
        <v>500</v>
      </c>
      <c r="O585">
        <v>1.29</v>
      </c>
      <c r="W585" t="b">
        <v>0</v>
      </c>
    </row>
    <row r="586" spans="2:23" hidden="1" x14ac:dyDescent="0.25">
      <c r="B586" t="s">
        <v>1032</v>
      </c>
      <c r="C586" t="s">
        <v>960</v>
      </c>
      <c r="D586" t="s">
        <v>2910</v>
      </c>
      <c r="E586" t="s">
        <v>1032</v>
      </c>
      <c r="G586" t="s">
        <v>207</v>
      </c>
      <c r="H586" t="s">
        <v>94</v>
      </c>
      <c r="I586" t="s">
        <v>961</v>
      </c>
      <c r="L586">
        <v>19.899999999999999</v>
      </c>
      <c r="M586" t="s">
        <v>499</v>
      </c>
      <c r="N586" t="s">
        <v>500</v>
      </c>
      <c r="O586">
        <v>1.29</v>
      </c>
      <c r="W586" t="b">
        <v>0</v>
      </c>
    </row>
    <row r="587" spans="2:23" hidden="1" x14ac:dyDescent="0.25">
      <c r="B587" t="s">
        <v>1034</v>
      </c>
      <c r="C587" t="s">
        <v>960</v>
      </c>
      <c r="D587" t="s">
        <v>2910</v>
      </c>
      <c r="E587" t="s">
        <v>1034</v>
      </c>
      <c r="G587" t="s">
        <v>207</v>
      </c>
      <c r="H587" t="s">
        <v>94</v>
      </c>
      <c r="I587" t="s">
        <v>961</v>
      </c>
      <c r="L587">
        <v>19.899999999999999</v>
      </c>
      <c r="M587" t="s">
        <v>499</v>
      </c>
      <c r="N587" t="s">
        <v>500</v>
      </c>
      <c r="O587">
        <v>1.29</v>
      </c>
      <c r="W587" t="b">
        <v>0</v>
      </c>
    </row>
    <row r="588" spans="2:23" hidden="1" x14ac:dyDescent="0.25">
      <c r="B588" t="s">
        <v>1036</v>
      </c>
      <c r="C588" t="s">
        <v>960</v>
      </c>
      <c r="D588" t="s">
        <v>2910</v>
      </c>
      <c r="E588" t="s">
        <v>1036</v>
      </c>
      <c r="G588" t="s">
        <v>207</v>
      </c>
      <c r="H588" t="s">
        <v>94</v>
      </c>
      <c r="I588" t="s">
        <v>961</v>
      </c>
      <c r="L588">
        <v>19.899999999999999</v>
      </c>
      <c r="M588" t="s">
        <v>499</v>
      </c>
      <c r="N588" t="s">
        <v>500</v>
      </c>
      <c r="O588">
        <v>1.29</v>
      </c>
      <c r="W588" t="b">
        <v>0</v>
      </c>
    </row>
    <row r="589" spans="2:23" hidden="1" x14ac:dyDescent="0.25">
      <c r="B589" t="s">
        <v>1038</v>
      </c>
      <c r="C589" t="s">
        <v>960</v>
      </c>
      <c r="D589" t="s">
        <v>2910</v>
      </c>
      <c r="E589" t="s">
        <v>1038</v>
      </c>
      <c r="G589" t="s">
        <v>207</v>
      </c>
      <c r="H589" t="s">
        <v>94</v>
      </c>
      <c r="I589" t="s">
        <v>961</v>
      </c>
      <c r="L589">
        <v>19.899999999999999</v>
      </c>
      <c r="M589" t="s">
        <v>499</v>
      </c>
      <c r="N589" t="s">
        <v>500</v>
      </c>
      <c r="O589">
        <v>1.29</v>
      </c>
      <c r="W589" t="b">
        <v>0</v>
      </c>
    </row>
    <row r="590" spans="2:23" hidden="1" x14ac:dyDescent="0.25">
      <c r="B590" t="s">
        <v>1040</v>
      </c>
      <c r="C590" t="s">
        <v>960</v>
      </c>
      <c r="D590" t="s">
        <v>2910</v>
      </c>
      <c r="E590" t="s">
        <v>1040</v>
      </c>
      <c r="G590" t="s">
        <v>23</v>
      </c>
      <c r="H590" t="s">
        <v>823</v>
      </c>
      <c r="I590" t="s">
        <v>961</v>
      </c>
      <c r="L590">
        <v>6.8</v>
      </c>
      <c r="M590" t="s">
        <v>499</v>
      </c>
      <c r="N590" t="s">
        <v>500</v>
      </c>
      <c r="O590">
        <v>9.9000000000000005E-2</v>
      </c>
      <c r="W590" t="b">
        <v>0</v>
      </c>
    </row>
    <row r="591" spans="2:23" hidden="1" x14ac:dyDescent="0.25">
      <c r="B591" t="s">
        <v>1042</v>
      </c>
      <c r="C591" t="s">
        <v>960</v>
      </c>
      <c r="D591" t="s">
        <v>2910</v>
      </c>
      <c r="E591" t="s">
        <v>1042</v>
      </c>
      <c r="G591" t="s">
        <v>23</v>
      </c>
      <c r="H591" t="s">
        <v>95</v>
      </c>
      <c r="I591" t="s">
        <v>961</v>
      </c>
      <c r="L591">
        <v>9</v>
      </c>
      <c r="M591" t="s">
        <v>499</v>
      </c>
      <c r="N591" t="s">
        <v>500</v>
      </c>
      <c r="O591">
        <v>0</v>
      </c>
      <c r="W591" t="b">
        <v>0</v>
      </c>
    </row>
    <row r="592" spans="2:23" hidden="1" x14ac:dyDescent="0.25">
      <c r="B592" t="s">
        <v>1044</v>
      </c>
      <c r="C592" t="s">
        <v>960</v>
      </c>
      <c r="D592" t="s">
        <v>2910</v>
      </c>
      <c r="E592" t="s">
        <v>1044</v>
      </c>
      <c r="G592" t="s">
        <v>207</v>
      </c>
      <c r="H592" t="s">
        <v>95</v>
      </c>
      <c r="I592" t="s">
        <v>961</v>
      </c>
      <c r="L592">
        <v>0.996</v>
      </c>
      <c r="M592" t="s">
        <v>499</v>
      </c>
      <c r="N592" t="s">
        <v>500</v>
      </c>
      <c r="O592">
        <v>0</v>
      </c>
      <c r="W592" t="b">
        <v>0</v>
      </c>
    </row>
    <row r="593" spans="1:24" hidden="1" x14ac:dyDescent="0.25">
      <c r="A593" t="s">
        <v>1046</v>
      </c>
      <c r="B593" t="s">
        <v>1047</v>
      </c>
      <c r="C593" t="s">
        <v>960</v>
      </c>
      <c r="D593" t="s">
        <v>2910</v>
      </c>
      <c r="E593" t="s">
        <v>1047</v>
      </c>
      <c r="G593" t="s">
        <v>207</v>
      </c>
      <c r="H593" t="s">
        <v>94</v>
      </c>
      <c r="I593" t="s">
        <v>961</v>
      </c>
      <c r="L593">
        <v>50</v>
      </c>
      <c r="M593" t="s">
        <v>499</v>
      </c>
      <c r="N593" t="s">
        <v>500</v>
      </c>
      <c r="O593">
        <v>0</v>
      </c>
      <c r="W593" t="b">
        <v>0</v>
      </c>
      <c r="X593">
        <v>50</v>
      </c>
    </row>
    <row r="594" spans="1:24" hidden="1" x14ac:dyDescent="0.25">
      <c r="B594" t="s">
        <v>1049</v>
      </c>
      <c r="C594" t="s">
        <v>960</v>
      </c>
      <c r="D594" t="s">
        <v>2910</v>
      </c>
      <c r="E594" t="s">
        <v>1049</v>
      </c>
      <c r="G594" t="s">
        <v>23</v>
      </c>
      <c r="H594" t="s">
        <v>239</v>
      </c>
      <c r="I594" t="s">
        <v>961</v>
      </c>
      <c r="L594">
        <v>1.9710000000000001</v>
      </c>
      <c r="M594" t="s">
        <v>499</v>
      </c>
      <c r="N594" t="s">
        <v>500</v>
      </c>
      <c r="O594">
        <v>0</v>
      </c>
      <c r="W594" t="b">
        <v>0</v>
      </c>
    </row>
    <row r="595" spans="1:24" hidden="1" x14ac:dyDescent="0.25">
      <c r="B595" t="s">
        <v>1051</v>
      </c>
      <c r="C595" t="s">
        <v>960</v>
      </c>
      <c r="D595" t="s">
        <v>2910</v>
      </c>
      <c r="E595" t="s">
        <v>1051</v>
      </c>
      <c r="G595" t="s">
        <v>23</v>
      </c>
      <c r="H595" t="s">
        <v>822</v>
      </c>
      <c r="I595" t="s">
        <v>961</v>
      </c>
      <c r="L595">
        <v>8.06</v>
      </c>
      <c r="M595" t="s">
        <v>499</v>
      </c>
      <c r="N595" t="s">
        <v>500</v>
      </c>
      <c r="O595">
        <v>0</v>
      </c>
      <c r="W595" t="b">
        <v>0</v>
      </c>
    </row>
    <row r="596" spans="1:24" hidden="1" x14ac:dyDescent="0.25">
      <c r="B596" t="s">
        <v>1053</v>
      </c>
      <c r="C596" t="s">
        <v>960</v>
      </c>
      <c r="D596" t="s">
        <v>2910</v>
      </c>
      <c r="E596" t="s">
        <v>1053</v>
      </c>
      <c r="G596" t="s">
        <v>23</v>
      </c>
      <c r="H596" t="s">
        <v>239</v>
      </c>
      <c r="I596" t="s">
        <v>961</v>
      </c>
      <c r="L596">
        <v>9.9</v>
      </c>
      <c r="M596" t="s">
        <v>499</v>
      </c>
      <c r="N596" t="s">
        <v>500</v>
      </c>
      <c r="O596">
        <v>0</v>
      </c>
      <c r="W596" t="b">
        <v>0</v>
      </c>
    </row>
    <row r="597" spans="1:24" hidden="1" x14ac:dyDescent="0.25">
      <c r="B597" t="s">
        <v>1055</v>
      </c>
      <c r="C597" t="s">
        <v>960</v>
      </c>
      <c r="D597" t="s">
        <v>2910</v>
      </c>
      <c r="E597" t="s">
        <v>1055</v>
      </c>
      <c r="G597" t="s">
        <v>23</v>
      </c>
      <c r="H597" t="s">
        <v>239</v>
      </c>
      <c r="I597" t="s">
        <v>961</v>
      </c>
      <c r="L597">
        <v>9</v>
      </c>
      <c r="M597" t="s">
        <v>499</v>
      </c>
      <c r="N597" t="s">
        <v>500</v>
      </c>
      <c r="O597">
        <v>0</v>
      </c>
      <c r="W597" t="b">
        <v>0</v>
      </c>
    </row>
    <row r="598" spans="1:24" hidden="1" x14ac:dyDescent="0.25">
      <c r="B598" t="s">
        <v>1057</v>
      </c>
      <c r="C598" t="s">
        <v>960</v>
      </c>
      <c r="D598" t="s">
        <v>2910</v>
      </c>
      <c r="E598" t="s">
        <v>1057</v>
      </c>
      <c r="G598" t="s">
        <v>23</v>
      </c>
      <c r="H598" t="s">
        <v>240</v>
      </c>
      <c r="I598" t="s">
        <v>961</v>
      </c>
      <c r="L598">
        <v>19.899999999999999</v>
      </c>
      <c r="M598" t="s">
        <v>499</v>
      </c>
      <c r="N598" t="s">
        <v>500</v>
      </c>
      <c r="O598">
        <v>0</v>
      </c>
      <c r="W598" t="b">
        <v>0</v>
      </c>
    </row>
    <row r="599" spans="1:24" hidden="1" x14ac:dyDescent="0.25">
      <c r="B599" t="s">
        <v>1059</v>
      </c>
      <c r="C599" t="s">
        <v>960</v>
      </c>
      <c r="D599" t="s">
        <v>2910</v>
      </c>
      <c r="E599" t="s">
        <v>1059</v>
      </c>
      <c r="G599" t="s">
        <v>23</v>
      </c>
      <c r="H599" t="s">
        <v>240</v>
      </c>
      <c r="I599" t="s">
        <v>961</v>
      </c>
      <c r="L599">
        <v>19.899999999999999</v>
      </c>
      <c r="M599" t="s">
        <v>499</v>
      </c>
      <c r="N599" t="s">
        <v>500</v>
      </c>
      <c r="O599">
        <v>0</v>
      </c>
      <c r="W599" t="b">
        <v>0</v>
      </c>
    </row>
    <row r="600" spans="1:24" hidden="1" x14ac:dyDescent="0.25">
      <c r="B600" t="s">
        <v>1061</v>
      </c>
      <c r="C600" t="s">
        <v>960</v>
      </c>
      <c r="D600" t="s">
        <v>2910</v>
      </c>
      <c r="E600" t="s">
        <v>1061</v>
      </c>
      <c r="G600" t="s">
        <v>23</v>
      </c>
      <c r="H600" t="s">
        <v>240</v>
      </c>
      <c r="I600" t="s">
        <v>961</v>
      </c>
      <c r="L600">
        <v>19.899999999999999</v>
      </c>
      <c r="M600" t="s">
        <v>499</v>
      </c>
      <c r="N600" t="s">
        <v>500</v>
      </c>
      <c r="O600">
        <v>0</v>
      </c>
      <c r="W600" t="b">
        <v>0</v>
      </c>
    </row>
    <row r="601" spans="1:24" hidden="1" x14ac:dyDescent="0.25">
      <c r="B601" t="s">
        <v>1063</v>
      </c>
      <c r="C601" t="s">
        <v>960</v>
      </c>
      <c r="D601" t="s">
        <v>2910</v>
      </c>
      <c r="E601" t="s">
        <v>1063</v>
      </c>
      <c r="G601" t="s">
        <v>23</v>
      </c>
      <c r="H601" t="s">
        <v>240</v>
      </c>
      <c r="I601" t="s">
        <v>961</v>
      </c>
      <c r="L601">
        <v>19.899999999999999</v>
      </c>
      <c r="M601" t="s">
        <v>499</v>
      </c>
      <c r="N601" t="s">
        <v>500</v>
      </c>
      <c r="O601">
        <v>0</v>
      </c>
      <c r="W601" t="b">
        <v>0</v>
      </c>
    </row>
    <row r="602" spans="1:24" hidden="1" x14ac:dyDescent="0.25">
      <c r="B602" t="s">
        <v>1065</v>
      </c>
      <c r="C602" t="s">
        <v>960</v>
      </c>
      <c r="D602" t="s">
        <v>2910</v>
      </c>
      <c r="E602" t="s">
        <v>1065</v>
      </c>
      <c r="G602" t="s">
        <v>23</v>
      </c>
      <c r="H602" t="s">
        <v>240</v>
      </c>
      <c r="I602" t="s">
        <v>961</v>
      </c>
      <c r="L602">
        <v>19.899999999999999</v>
      </c>
      <c r="M602" t="s">
        <v>499</v>
      </c>
      <c r="N602" t="s">
        <v>500</v>
      </c>
      <c r="O602">
        <v>0</v>
      </c>
      <c r="W602" t="b">
        <v>0</v>
      </c>
    </row>
    <row r="603" spans="1:24" hidden="1" x14ac:dyDescent="0.25">
      <c r="B603" t="s">
        <v>1067</v>
      </c>
      <c r="C603" t="s">
        <v>960</v>
      </c>
      <c r="D603" t="s">
        <v>2910</v>
      </c>
      <c r="E603" t="s">
        <v>1067</v>
      </c>
      <c r="G603" t="s">
        <v>23</v>
      </c>
      <c r="H603" t="s">
        <v>240</v>
      </c>
      <c r="I603" t="s">
        <v>961</v>
      </c>
      <c r="L603">
        <v>19.899999999999999</v>
      </c>
      <c r="M603" t="s">
        <v>499</v>
      </c>
      <c r="N603" t="s">
        <v>500</v>
      </c>
      <c r="O603">
        <v>0</v>
      </c>
      <c r="W603" t="b">
        <v>0</v>
      </c>
    </row>
    <row r="604" spans="1:24" hidden="1" x14ac:dyDescent="0.25">
      <c r="B604" t="s">
        <v>1069</v>
      </c>
      <c r="C604" t="s">
        <v>960</v>
      </c>
      <c r="D604" t="s">
        <v>2910</v>
      </c>
      <c r="E604" t="s">
        <v>1069</v>
      </c>
      <c r="G604" t="s">
        <v>23</v>
      </c>
      <c r="H604" t="s">
        <v>239</v>
      </c>
      <c r="I604" t="s">
        <v>961</v>
      </c>
      <c r="L604">
        <v>9.9</v>
      </c>
      <c r="M604" t="s">
        <v>499</v>
      </c>
      <c r="N604" t="s">
        <v>500</v>
      </c>
      <c r="O604">
        <v>0</v>
      </c>
      <c r="W604" t="b">
        <v>0</v>
      </c>
    </row>
    <row r="605" spans="1:24" hidden="1" x14ac:dyDescent="0.25">
      <c r="B605" t="s">
        <v>1071</v>
      </c>
      <c r="C605" t="s">
        <v>960</v>
      </c>
      <c r="D605" t="s">
        <v>2910</v>
      </c>
      <c r="E605" t="s">
        <v>1071</v>
      </c>
      <c r="G605" t="s">
        <v>23</v>
      </c>
      <c r="H605" t="s">
        <v>239</v>
      </c>
      <c r="I605" t="s">
        <v>961</v>
      </c>
      <c r="L605">
        <v>19.899999999999999</v>
      </c>
      <c r="M605" t="s">
        <v>499</v>
      </c>
      <c r="N605" t="s">
        <v>500</v>
      </c>
      <c r="O605">
        <v>0</v>
      </c>
      <c r="W605" t="b">
        <v>0</v>
      </c>
    </row>
    <row r="606" spans="1:24" hidden="1" x14ac:dyDescent="0.25">
      <c r="B606" t="s">
        <v>1073</v>
      </c>
      <c r="C606" t="s">
        <v>960</v>
      </c>
      <c r="D606" t="s">
        <v>2910</v>
      </c>
      <c r="E606" t="s">
        <v>1073</v>
      </c>
      <c r="G606" t="s">
        <v>23</v>
      </c>
      <c r="H606" t="s">
        <v>239</v>
      </c>
      <c r="I606" t="s">
        <v>961</v>
      </c>
      <c r="L606">
        <v>19.899999999999999</v>
      </c>
      <c r="M606" t="s">
        <v>499</v>
      </c>
      <c r="N606" t="s">
        <v>500</v>
      </c>
      <c r="O606">
        <v>0</v>
      </c>
      <c r="W606" t="b">
        <v>0</v>
      </c>
    </row>
    <row r="607" spans="1:24" hidden="1" x14ac:dyDescent="0.25">
      <c r="B607" t="s">
        <v>1075</v>
      </c>
      <c r="C607" t="s">
        <v>960</v>
      </c>
      <c r="D607" t="s">
        <v>2910</v>
      </c>
      <c r="E607" t="s">
        <v>1075</v>
      </c>
      <c r="G607" t="s">
        <v>207</v>
      </c>
      <c r="H607" t="s">
        <v>905</v>
      </c>
      <c r="I607" t="s">
        <v>961</v>
      </c>
      <c r="L607">
        <v>19.899999999999999</v>
      </c>
      <c r="M607" t="s">
        <v>499</v>
      </c>
      <c r="N607" t="s">
        <v>500</v>
      </c>
      <c r="O607">
        <v>0</v>
      </c>
      <c r="W607" t="b">
        <v>0</v>
      </c>
    </row>
    <row r="608" spans="1:24" hidden="1" x14ac:dyDescent="0.25">
      <c r="B608" t="s">
        <v>1077</v>
      </c>
      <c r="C608" t="s">
        <v>960</v>
      </c>
      <c r="D608" t="s">
        <v>2910</v>
      </c>
      <c r="E608" t="s">
        <v>1077</v>
      </c>
      <c r="G608" t="s">
        <v>23</v>
      </c>
      <c r="H608" t="s">
        <v>240</v>
      </c>
      <c r="I608" t="s">
        <v>961</v>
      </c>
      <c r="L608">
        <v>9.1</v>
      </c>
      <c r="M608" t="s">
        <v>499</v>
      </c>
      <c r="N608" t="s">
        <v>500</v>
      </c>
      <c r="O608">
        <v>0</v>
      </c>
      <c r="W608" t="b">
        <v>0</v>
      </c>
    </row>
    <row r="609" spans="1:24" hidden="1" x14ac:dyDescent="0.25">
      <c r="B609" t="s">
        <v>1079</v>
      </c>
      <c r="C609" t="s">
        <v>960</v>
      </c>
      <c r="D609" t="s">
        <v>2910</v>
      </c>
      <c r="E609" t="s">
        <v>1079</v>
      </c>
      <c r="G609" t="s">
        <v>23</v>
      </c>
      <c r="H609" t="s">
        <v>823</v>
      </c>
      <c r="I609" t="s">
        <v>961</v>
      </c>
      <c r="L609">
        <v>9.9</v>
      </c>
      <c r="M609" t="s">
        <v>499</v>
      </c>
      <c r="N609" t="s">
        <v>500</v>
      </c>
      <c r="O609">
        <v>9.9000000000000005E-2</v>
      </c>
      <c r="W609" t="b">
        <v>0</v>
      </c>
    </row>
    <row r="610" spans="1:24" hidden="1" x14ac:dyDescent="0.25">
      <c r="B610" t="s">
        <v>1081</v>
      </c>
      <c r="C610" t="s">
        <v>960</v>
      </c>
      <c r="D610" t="s">
        <v>2910</v>
      </c>
      <c r="E610" t="s">
        <v>1081</v>
      </c>
      <c r="G610" t="s">
        <v>23</v>
      </c>
      <c r="H610" t="s">
        <v>240</v>
      </c>
      <c r="I610" t="s">
        <v>961</v>
      </c>
      <c r="L610">
        <v>9.9</v>
      </c>
      <c r="M610" t="s">
        <v>499</v>
      </c>
      <c r="N610" t="s">
        <v>500</v>
      </c>
      <c r="O610">
        <v>9.9000000000000005E-2</v>
      </c>
      <c r="W610" t="b">
        <v>0</v>
      </c>
    </row>
    <row r="611" spans="1:24" hidden="1" x14ac:dyDescent="0.25">
      <c r="B611" t="s">
        <v>1083</v>
      </c>
      <c r="C611" t="s">
        <v>960</v>
      </c>
      <c r="D611" t="s">
        <v>2910</v>
      </c>
      <c r="E611" t="s">
        <v>1083</v>
      </c>
      <c r="G611" t="s">
        <v>23</v>
      </c>
      <c r="H611" t="s">
        <v>240</v>
      </c>
      <c r="I611" t="s">
        <v>961</v>
      </c>
      <c r="L611">
        <v>9.9</v>
      </c>
      <c r="M611" t="s">
        <v>499</v>
      </c>
      <c r="N611" t="s">
        <v>500</v>
      </c>
      <c r="O611">
        <v>0</v>
      </c>
      <c r="W611" t="b">
        <v>0</v>
      </c>
    </row>
    <row r="612" spans="1:24" hidden="1" x14ac:dyDescent="0.25">
      <c r="B612" t="s">
        <v>1085</v>
      </c>
      <c r="C612" t="s">
        <v>960</v>
      </c>
      <c r="D612" t="s">
        <v>2910</v>
      </c>
      <c r="E612" t="s">
        <v>1085</v>
      </c>
      <c r="G612" t="s">
        <v>207</v>
      </c>
      <c r="H612" t="s">
        <v>238</v>
      </c>
      <c r="I612" t="s">
        <v>961</v>
      </c>
      <c r="L612">
        <v>1.2699999999999999E-2</v>
      </c>
      <c r="M612" t="s">
        <v>499</v>
      </c>
      <c r="N612" t="s">
        <v>500</v>
      </c>
      <c r="O612">
        <v>0</v>
      </c>
      <c r="W612" t="b">
        <v>0</v>
      </c>
    </row>
    <row r="613" spans="1:24" hidden="1" x14ac:dyDescent="0.25">
      <c r="B613" t="s">
        <v>1087</v>
      </c>
      <c r="C613" t="s">
        <v>960</v>
      </c>
      <c r="D613" t="s">
        <v>2910</v>
      </c>
      <c r="E613" t="s">
        <v>1087</v>
      </c>
      <c r="G613" t="s">
        <v>207</v>
      </c>
      <c r="H613" t="s">
        <v>238</v>
      </c>
      <c r="I613" t="s">
        <v>961</v>
      </c>
      <c r="L613">
        <v>3.7000000000000002E-3</v>
      </c>
      <c r="M613" t="s">
        <v>499</v>
      </c>
      <c r="N613" t="s">
        <v>500</v>
      </c>
      <c r="O613">
        <v>0</v>
      </c>
      <c r="W613" t="b">
        <v>0</v>
      </c>
    </row>
    <row r="614" spans="1:24" hidden="1" x14ac:dyDescent="0.25">
      <c r="B614" t="s">
        <v>1089</v>
      </c>
      <c r="C614" t="s">
        <v>960</v>
      </c>
      <c r="D614" t="s">
        <v>2910</v>
      </c>
      <c r="E614" t="s">
        <v>1089</v>
      </c>
      <c r="G614" t="s">
        <v>23</v>
      </c>
      <c r="H614" t="s">
        <v>615</v>
      </c>
      <c r="I614" t="s">
        <v>961</v>
      </c>
      <c r="L614">
        <v>9.9</v>
      </c>
      <c r="M614" t="s">
        <v>499</v>
      </c>
      <c r="N614" t="s">
        <v>500</v>
      </c>
      <c r="O614">
        <v>0</v>
      </c>
      <c r="W614" t="b">
        <v>0</v>
      </c>
    </row>
    <row r="615" spans="1:24" hidden="1" x14ac:dyDescent="0.25">
      <c r="B615" t="s">
        <v>1091</v>
      </c>
      <c r="C615" t="s">
        <v>960</v>
      </c>
      <c r="D615" t="s">
        <v>2910</v>
      </c>
      <c r="E615" t="s">
        <v>1091</v>
      </c>
      <c r="G615" t="s">
        <v>207</v>
      </c>
      <c r="H615" t="s">
        <v>905</v>
      </c>
      <c r="I615" t="s">
        <v>961</v>
      </c>
      <c r="L615">
        <v>0.99</v>
      </c>
      <c r="M615" t="s">
        <v>499</v>
      </c>
      <c r="N615" t="s">
        <v>500</v>
      </c>
      <c r="O615">
        <v>0</v>
      </c>
      <c r="W615" t="b">
        <v>0</v>
      </c>
    </row>
    <row r="616" spans="1:24" hidden="1" x14ac:dyDescent="0.25">
      <c r="B616" t="s">
        <v>1093</v>
      </c>
      <c r="C616" t="s">
        <v>960</v>
      </c>
      <c r="D616" t="s">
        <v>2910</v>
      </c>
      <c r="E616" t="s">
        <v>1093</v>
      </c>
      <c r="G616" t="s">
        <v>23</v>
      </c>
      <c r="H616" t="s">
        <v>931</v>
      </c>
      <c r="I616" t="s">
        <v>961</v>
      </c>
      <c r="L616">
        <v>0</v>
      </c>
      <c r="M616" t="s">
        <v>499</v>
      </c>
      <c r="N616" t="s">
        <v>500</v>
      </c>
      <c r="O616">
        <v>0</v>
      </c>
      <c r="W616" t="b">
        <v>0</v>
      </c>
    </row>
    <row r="617" spans="1:24" hidden="1" x14ac:dyDescent="0.25">
      <c r="A617" t="s">
        <v>1095</v>
      </c>
      <c r="B617" t="s">
        <v>542</v>
      </c>
      <c r="C617" t="s">
        <v>960</v>
      </c>
      <c r="D617" t="s">
        <v>2910</v>
      </c>
      <c r="E617" t="s">
        <v>542</v>
      </c>
      <c r="G617" t="s">
        <v>207</v>
      </c>
      <c r="H617" t="s">
        <v>95</v>
      </c>
      <c r="I617" t="s">
        <v>961</v>
      </c>
      <c r="L617">
        <v>68</v>
      </c>
      <c r="M617" t="s">
        <v>499</v>
      </c>
      <c r="N617" t="s">
        <v>500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1097</v>
      </c>
      <c r="C618" t="s">
        <v>960</v>
      </c>
      <c r="D618" t="s">
        <v>2910</v>
      </c>
      <c r="E618" t="s">
        <v>1097</v>
      </c>
      <c r="G618" t="s">
        <v>23</v>
      </c>
      <c r="H618" t="s">
        <v>822</v>
      </c>
      <c r="I618" t="s">
        <v>961</v>
      </c>
      <c r="L618">
        <v>9.9</v>
      </c>
      <c r="M618" t="s">
        <v>499</v>
      </c>
      <c r="N618" t="s">
        <v>500</v>
      </c>
      <c r="O618">
        <v>0</v>
      </c>
      <c r="W618" t="b">
        <v>0</v>
      </c>
    </row>
    <row r="619" spans="1:24" hidden="1" x14ac:dyDescent="0.25">
      <c r="B619" t="s">
        <v>1099</v>
      </c>
      <c r="C619" t="s">
        <v>960</v>
      </c>
      <c r="D619" t="s">
        <v>2910</v>
      </c>
      <c r="E619" t="s">
        <v>1099</v>
      </c>
      <c r="G619" t="s">
        <v>23</v>
      </c>
      <c r="H619" t="s">
        <v>822</v>
      </c>
      <c r="I619" t="s">
        <v>961</v>
      </c>
      <c r="L619">
        <v>9.9</v>
      </c>
      <c r="M619" t="s">
        <v>499</v>
      </c>
      <c r="N619" t="s">
        <v>500</v>
      </c>
      <c r="O619">
        <v>0</v>
      </c>
      <c r="W619" t="b">
        <v>0</v>
      </c>
    </row>
    <row r="620" spans="1:24" hidden="1" x14ac:dyDescent="0.25">
      <c r="A620" t="s">
        <v>1101</v>
      </c>
      <c r="B620" t="s">
        <v>1102</v>
      </c>
      <c r="C620" t="s">
        <v>960</v>
      </c>
      <c r="D620" t="s">
        <v>2910</v>
      </c>
      <c r="E620" t="s">
        <v>1102</v>
      </c>
      <c r="G620" t="s">
        <v>207</v>
      </c>
      <c r="H620" t="s">
        <v>95</v>
      </c>
      <c r="I620" t="s">
        <v>961</v>
      </c>
      <c r="L620">
        <v>100</v>
      </c>
      <c r="M620" t="s">
        <v>499</v>
      </c>
      <c r="N620" t="s">
        <v>500</v>
      </c>
      <c r="O620">
        <v>1</v>
      </c>
      <c r="W620" t="b">
        <v>0</v>
      </c>
      <c r="X620">
        <v>100</v>
      </c>
    </row>
    <row r="621" spans="1:24" hidden="1" x14ac:dyDescent="0.25">
      <c r="B621" t="s">
        <v>1104</v>
      </c>
      <c r="C621" t="s">
        <v>960</v>
      </c>
      <c r="D621" t="s">
        <v>2910</v>
      </c>
      <c r="E621" t="s">
        <v>1104</v>
      </c>
      <c r="G621" t="s">
        <v>207</v>
      </c>
      <c r="H621" t="s">
        <v>95</v>
      </c>
      <c r="I621" t="s">
        <v>961</v>
      </c>
      <c r="L621">
        <v>0.996</v>
      </c>
      <c r="M621" t="s">
        <v>499</v>
      </c>
      <c r="N621" t="s">
        <v>500</v>
      </c>
      <c r="O621">
        <v>0</v>
      </c>
      <c r="W621" t="b">
        <v>0</v>
      </c>
    </row>
    <row r="622" spans="1:24" hidden="1" x14ac:dyDescent="0.25">
      <c r="B622" t="s">
        <v>1106</v>
      </c>
      <c r="C622" t="s">
        <v>960</v>
      </c>
      <c r="D622" t="s">
        <v>2910</v>
      </c>
      <c r="E622" t="s">
        <v>1106</v>
      </c>
      <c r="G622" t="s">
        <v>207</v>
      </c>
      <c r="H622" t="s">
        <v>927</v>
      </c>
      <c r="I622" t="s">
        <v>961</v>
      </c>
      <c r="L622">
        <v>0.99</v>
      </c>
      <c r="M622" t="s">
        <v>499</v>
      </c>
      <c r="N622" t="s">
        <v>500</v>
      </c>
      <c r="O622">
        <v>0</v>
      </c>
      <c r="W622" t="b">
        <v>0</v>
      </c>
    </row>
    <row r="623" spans="1:24" hidden="1" x14ac:dyDescent="0.25">
      <c r="B623" t="s">
        <v>1108</v>
      </c>
      <c r="C623" t="s">
        <v>960</v>
      </c>
      <c r="D623" t="s">
        <v>2910</v>
      </c>
      <c r="E623" t="s">
        <v>1108</v>
      </c>
      <c r="G623" t="s">
        <v>207</v>
      </c>
      <c r="H623" t="s">
        <v>927</v>
      </c>
      <c r="I623" t="s">
        <v>961</v>
      </c>
      <c r="L623">
        <v>0.99</v>
      </c>
      <c r="M623" t="s">
        <v>499</v>
      </c>
      <c r="N623" t="s">
        <v>500</v>
      </c>
      <c r="O623">
        <v>0</v>
      </c>
      <c r="W623" t="b">
        <v>0</v>
      </c>
    </row>
    <row r="624" spans="1:24" hidden="1" x14ac:dyDescent="0.25">
      <c r="B624" t="s">
        <v>1110</v>
      </c>
      <c r="C624" t="s">
        <v>960</v>
      </c>
      <c r="D624" t="s">
        <v>2910</v>
      </c>
      <c r="E624" t="s">
        <v>1110</v>
      </c>
      <c r="G624" t="s">
        <v>207</v>
      </c>
      <c r="H624" t="s">
        <v>927</v>
      </c>
      <c r="I624" t="s">
        <v>961</v>
      </c>
      <c r="L624">
        <v>0.99</v>
      </c>
      <c r="M624" t="s">
        <v>499</v>
      </c>
      <c r="N624" t="s">
        <v>500</v>
      </c>
      <c r="O624">
        <v>0</v>
      </c>
      <c r="W624" t="b">
        <v>0</v>
      </c>
    </row>
    <row r="625" spans="2:23" hidden="1" x14ac:dyDescent="0.25">
      <c r="B625" t="s">
        <v>1112</v>
      </c>
      <c r="C625" t="s">
        <v>960</v>
      </c>
      <c r="D625" t="s">
        <v>2910</v>
      </c>
      <c r="E625" t="s">
        <v>1112</v>
      </c>
      <c r="G625" t="s">
        <v>207</v>
      </c>
      <c r="H625" t="s">
        <v>238</v>
      </c>
      <c r="I625" t="s">
        <v>961</v>
      </c>
      <c r="L625">
        <v>0.99</v>
      </c>
      <c r="M625" t="s">
        <v>499</v>
      </c>
      <c r="N625" t="s">
        <v>500</v>
      </c>
      <c r="O625">
        <v>0</v>
      </c>
      <c r="W625" t="b">
        <v>0</v>
      </c>
    </row>
    <row r="626" spans="2:23" hidden="1" x14ac:dyDescent="0.25">
      <c r="B626" t="s">
        <v>1114</v>
      </c>
      <c r="C626" t="s">
        <v>960</v>
      </c>
      <c r="D626" t="s">
        <v>2910</v>
      </c>
      <c r="E626" t="s">
        <v>1114</v>
      </c>
      <c r="G626" t="s">
        <v>207</v>
      </c>
      <c r="H626" t="s">
        <v>931</v>
      </c>
      <c r="I626" t="s">
        <v>961</v>
      </c>
      <c r="L626">
        <v>0.99</v>
      </c>
      <c r="M626" t="s">
        <v>499</v>
      </c>
      <c r="N626" t="s">
        <v>500</v>
      </c>
      <c r="O626">
        <v>0</v>
      </c>
      <c r="W626" t="b">
        <v>0</v>
      </c>
    </row>
    <row r="627" spans="2:23" hidden="1" x14ac:dyDescent="0.25">
      <c r="B627" t="s">
        <v>1116</v>
      </c>
      <c r="C627" t="s">
        <v>960</v>
      </c>
      <c r="D627" t="s">
        <v>2910</v>
      </c>
      <c r="E627" t="s">
        <v>1116</v>
      </c>
      <c r="G627" t="s">
        <v>207</v>
      </c>
      <c r="H627" t="s">
        <v>931</v>
      </c>
      <c r="I627" t="s">
        <v>961</v>
      </c>
      <c r="L627">
        <v>0.99</v>
      </c>
      <c r="M627" t="s">
        <v>499</v>
      </c>
      <c r="N627" t="s">
        <v>500</v>
      </c>
      <c r="O627">
        <v>0</v>
      </c>
      <c r="W627" t="b">
        <v>0</v>
      </c>
    </row>
    <row r="628" spans="2:23" hidden="1" x14ac:dyDescent="0.25">
      <c r="B628" t="s">
        <v>1118</v>
      </c>
      <c r="C628" t="s">
        <v>960</v>
      </c>
      <c r="D628" t="s">
        <v>2910</v>
      </c>
      <c r="E628" t="s">
        <v>1118</v>
      </c>
      <c r="G628" t="s">
        <v>207</v>
      </c>
      <c r="H628" t="s">
        <v>931</v>
      </c>
      <c r="I628" t="s">
        <v>961</v>
      </c>
      <c r="L628">
        <v>0.99</v>
      </c>
      <c r="M628" t="s">
        <v>499</v>
      </c>
      <c r="N628" t="s">
        <v>500</v>
      </c>
      <c r="O628">
        <v>0</v>
      </c>
      <c r="W628" t="b">
        <v>0</v>
      </c>
    </row>
    <row r="629" spans="2:23" hidden="1" x14ac:dyDescent="0.25">
      <c r="B629" t="s">
        <v>1120</v>
      </c>
      <c r="C629" t="s">
        <v>960</v>
      </c>
      <c r="D629" t="s">
        <v>2910</v>
      </c>
      <c r="E629" t="s">
        <v>1120</v>
      </c>
      <c r="G629" t="s">
        <v>207</v>
      </c>
      <c r="H629" t="s">
        <v>239</v>
      </c>
      <c r="I629" t="s">
        <v>961</v>
      </c>
      <c r="L629">
        <v>0.6</v>
      </c>
      <c r="M629" t="s">
        <v>499</v>
      </c>
      <c r="N629" t="s">
        <v>500</v>
      </c>
      <c r="O629">
        <v>0</v>
      </c>
      <c r="W629" t="b">
        <v>0</v>
      </c>
    </row>
    <row r="630" spans="2:23" hidden="1" x14ac:dyDescent="0.25">
      <c r="B630" t="s">
        <v>1122</v>
      </c>
      <c r="C630" t="s">
        <v>960</v>
      </c>
      <c r="D630" t="s">
        <v>2910</v>
      </c>
      <c r="E630" t="s">
        <v>1122</v>
      </c>
      <c r="G630" t="s">
        <v>207</v>
      </c>
      <c r="H630" t="s">
        <v>927</v>
      </c>
      <c r="I630" t="s">
        <v>961</v>
      </c>
      <c r="L630">
        <v>0.99</v>
      </c>
      <c r="M630" t="s">
        <v>499</v>
      </c>
      <c r="N630" t="s">
        <v>500</v>
      </c>
      <c r="O630">
        <v>0</v>
      </c>
      <c r="W630" t="b">
        <v>0</v>
      </c>
    </row>
    <row r="631" spans="2:23" hidden="1" x14ac:dyDescent="0.25">
      <c r="B631" t="s">
        <v>1124</v>
      </c>
      <c r="C631" t="s">
        <v>960</v>
      </c>
      <c r="D631" t="s">
        <v>2910</v>
      </c>
      <c r="E631" t="s">
        <v>1124</v>
      </c>
      <c r="G631" t="s">
        <v>207</v>
      </c>
      <c r="H631" t="s">
        <v>239</v>
      </c>
      <c r="I631" t="s">
        <v>961</v>
      </c>
      <c r="L631">
        <v>0.97499999999999998</v>
      </c>
      <c r="M631" t="s">
        <v>499</v>
      </c>
      <c r="N631" t="s">
        <v>500</v>
      </c>
      <c r="O631">
        <v>0</v>
      </c>
      <c r="W631" t="b">
        <v>0</v>
      </c>
    </row>
    <row r="632" spans="2:23" hidden="1" x14ac:dyDescent="0.25">
      <c r="B632" t="s">
        <v>1126</v>
      </c>
      <c r="C632" t="s">
        <v>960</v>
      </c>
      <c r="D632" t="s">
        <v>2910</v>
      </c>
      <c r="E632" t="s">
        <v>1126</v>
      </c>
      <c r="G632" t="s">
        <v>207</v>
      </c>
      <c r="H632" t="s">
        <v>927</v>
      </c>
      <c r="I632" t="s">
        <v>961</v>
      </c>
      <c r="L632">
        <v>0.5</v>
      </c>
      <c r="M632" t="s">
        <v>499</v>
      </c>
      <c r="N632" t="s">
        <v>500</v>
      </c>
      <c r="O632">
        <v>0</v>
      </c>
      <c r="W632" t="b">
        <v>0</v>
      </c>
    </row>
    <row r="633" spans="2:23" hidden="1" x14ac:dyDescent="0.25">
      <c r="B633" t="s">
        <v>1128</v>
      </c>
      <c r="C633" t="s">
        <v>960</v>
      </c>
      <c r="D633" t="s">
        <v>2910</v>
      </c>
      <c r="E633" t="s">
        <v>1128</v>
      </c>
      <c r="G633" t="s">
        <v>207</v>
      </c>
      <c r="H633" t="s">
        <v>95</v>
      </c>
      <c r="I633" t="s">
        <v>961</v>
      </c>
      <c r="L633">
        <v>0.1</v>
      </c>
      <c r="M633" t="s">
        <v>499</v>
      </c>
      <c r="N633" t="s">
        <v>500</v>
      </c>
      <c r="O633">
        <v>0</v>
      </c>
      <c r="W633" t="b">
        <v>0</v>
      </c>
    </row>
    <row r="634" spans="2:23" hidden="1" x14ac:dyDescent="0.25">
      <c r="B634" t="s">
        <v>1130</v>
      </c>
      <c r="C634" t="s">
        <v>960</v>
      </c>
      <c r="D634" t="s">
        <v>2910</v>
      </c>
      <c r="E634" t="s">
        <v>1130</v>
      </c>
      <c r="G634" t="s">
        <v>207</v>
      </c>
      <c r="H634" t="s">
        <v>95</v>
      </c>
      <c r="I634" t="s">
        <v>961</v>
      </c>
      <c r="L634">
        <v>0.1</v>
      </c>
      <c r="M634" t="s">
        <v>499</v>
      </c>
      <c r="N634" t="s">
        <v>500</v>
      </c>
      <c r="O634">
        <v>0</v>
      </c>
      <c r="W634" t="b">
        <v>0</v>
      </c>
    </row>
    <row r="635" spans="2:23" hidden="1" x14ac:dyDescent="0.25">
      <c r="B635" t="s">
        <v>1132</v>
      </c>
      <c r="C635" t="s">
        <v>960</v>
      </c>
      <c r="D635" t="s">
        <v>2910</v>
      </c>
      <c r="E635" t="s">
        <v>1132</v>
      </c>
      <c r="G635" t="s">
        <v>207</v>
      </c>
      <c r="H635" t="s">
        <v>95</v>
      </c>
      <c r="I635" t="s">
        <v>961</v>
      </c>
      <c r="L635">
        <v>0.99</v>
      </c>
      <c r="M635" t="s">
        <v>499</v>
      </c>
      <c r="N635" t="s">
        <v>500</v>
      </c>
      <c r="O635">
        <v>0</v>
      </c>
      <c r="W635" t="b">
        <v>0</v>
      </c>
    </row>
    <row r="636" spans="2:23" hidden="1" x14ac:dyDescent="0.25">
      <c r="B636" t="s">
        <v>1134</v>
      </c>
      <c r="C636" t="s">
        <v>960</v>
      </c>
      <c r="D636" t="s">
        <v>2910</v>
      </c>
      <c r="E636" t="s">
        <v>1134</v>
      </c>
      <c r="G636" t="s">
        <v>207</v>
      </c>
      <c r="H636" t="s">
        <v>95</v>
      </c>
      <c r="I636" t="s">
        <v>961</v>
      </c>
      <c r="L636">
        <v>0.1</v>
      </c>
      <c r="M636" t="s">
        <v>499</v>
      </c>
      <c r="N636" t="s">
        <v>500</v>
      </c>
      <c r="O636">
        <v>0</v>
      </c>
      <c r="W636" t="b">
        <v>0</v>
      </c>
    </row>
    <row r="637" spans="2:23" hidden="1" x14ac:dyDescent="0.25">
      <c r="B637" t="s">
        <v>1136</v>
      </c>
      <c r="C637" t="s">
        <v>960</v>
      </c>
      <c r="D637" t="s">
        <v>2910</v>
      </c>
      <c r="E637" t="s">
        <v>1136</v>
      </c>
      <c r="G637" t="s">
        <v>207</v>
      </c>
      <c r="H637" t="s">
        <v>95</v>
      </c>
      <c r="I637" t="s">
        <v>961</v>
      </c>
      <c r="L637">
        <v>0.1</v>
      </c>
      <c r="M637" t="s">
        <v>499</v>
      </c>
      <c r="N637" t="s">
        <v>500</v>
      </c>
      <c r="O637">
        <v>0</v>
      </c>
      <c r="W637" t="b">
        <v>0</v>
      </c>
    </row>
    <row r="638" spans="2:23" hidden="1" x14ac:dyDescent="0.25">
      <c r="B638" t="s">
        <v>1138</v>
      </c>
      <c r="C638" t="s">
        <v>960</v>
      </c>
      <c r="D638" t="s">
        <v>2910</v>
      </c>
      <c r="E638" t="s">
        <v>1138</v>
      </c>
      <c r="G638" t="s">
        <v>207</v>
      </c>
      <c r="H638" t="s">
        <v>905</v>
      </c>
      <c r="I638" t="s">
        <v>961</v>
      </c>
      <c r="L638">
        <v>0.1</v>
      </c>
      <c r="M638" t="s">
        <v>499</v>
      </c>
      <c r="N638" t="s">
        <v>500</v>
      </c>
      <c r="O638">
        <v>0</v>
      </c>
      <c r="W638" t="b">
        <v>0</v>
      </c>
    </row>
    <row r="639" spans="2:23" hidden="1" x14ac:dyDescent="0.25">
      <c r="B639" t="s">
        <v>1140</v>
      </c>
      <c r="C639" t="s">
        <v>960</v>
      </c>
      <c r="D639" t="s">
        <v>2910</v>
      </c>
      <c r="E639" t="s">
        <v>1140</v>
      </c>
      <c r="G639" t="s">
        <v>207</v>
      </c>
      <c r="H639" t="s">
        <v>94</v>
      </c>
      <c r="I639" t="s">
        <v>961</v>
      </c>
      <c r="L639">
        <v>0.99</v>
      </c>
      <c r="M639" t="s">
        <v>499</v>
      </c>
      <c r="N639" t="s">
        <v>500</v>
      </c>
      <c r="O639">
        <v>0</v>
      </c>
      <c r="W639" t="b">
        <v>0</v>
      </c>
    </row>
    <row r="640" spans="2:23" hidden="1" x14ac:dyDescent="0.25">
      <c r="B640" t="s">
        <v>1142</v>
      </c>
      <c r="C640" t="s">
        <v>960</v>
      </c>
      <c r="D640" t="s">
        <v>2910</v>
      </c>
      <c r="E640" t="s">
        <v>1142</v>
      </c>
      <c r="G640" t="s">
        <v>207</v>
      </c>
      <c r="H640" t="s">
        <v>94</v>
      </c>
      <c r="I640" t="s">
        <v>961</v>
      </c>
      <c r="L640">
        <v>0.99</v>
      </c>
      <c r="M640" t="s">
        <v>499</v>
      </c>
      <c r="N640" t="s">
        <v>500</v>
      </c>
      <c r="O640">
        <v>0</v>
      </c>
      <c r="W640" t="b">
        <v>0</v>
      </c>
    </row>
    <row r="641" spans="2:23" hidden="1" x14ac:dyDescent="0.25">
      <c r="B641" t="s">
        <v>1144</v>
      </c>
      <c r="C641" t="s">
        <v>960</v>
      </c>
      <c r="D641" t="s">
        <v>2910</v>
      </c>
      <c r="E641" t="s">
        <v>1144</v>
      </c>
      <c r="G641" t="s">
        <v>207</v>
      </c>
      <c r="H641" t="s">
        <v>94</v>
      </c>
      <c r="I641" t="s">
        <v>961</v>
      </c>
      <c r="L641">
        <v>0.99</v>
      </c>
      <c r="M641" t="s">
        <v>499</v>
      </c>
      <c r="N641" t="s">
        <v>500</v>
      </c>
      <c r="O641">
        <v>0</v>
      </c>
      <c r="W641" t="b">
        <v>0</v>
      </c>
    </row>
    <row r="642" spans="2:23" hidden="1" x14ac:dyDescent="0.25">
      <c r="B642" t="s">
        <v>1146</v>
      </c>
      <c r="C642" t="s">
        <v>960</v>
      </c>
      <c r="D642" t="s">
        <v>2910</v>
      </c>
      <c r="E642" t="s">
        <v>1146</v>
      </c>
      <c r="G642" t="s">
        <v>207</v>
      </c>
      <c r="H642" t="s">
        <v>94</v>
      </c>
      <c r="I642" t="s">
        <v>961</v>
      </c>
      <c r="L642">
        <v>0.99</v>
      </c>
      <c r="M642" t="s">
        <v>499</v>
      </c>
      <c r="N642" t="s">
        <v>500</v>
      </c>
      <c r="O642">
        <v>0</v>
      </c>
      <c r="W642" t="b">
        <v>0</v>
      </c>
    </row>
    <row r="643" spans="2:23" hidden="1" x14ac:dyDescent="0.25">
      <c r="B643" t="s">
        <v>1148</v>
      </c>
      <c r="C643" t="s">
        <v>960</v>
      </c>
      <c r="D643" t="s">
        <v>2910</v>
      </c>
      <c r="E643" t="s">
        <v>1148</v>
      </c>
      <c r="G643" t="s">
        <v>207</v>
      </c>
      <c r="H643" t="s">
        <v>94</v>
      </c>
      <c r="I643" t="s">
        <v>961</v>
      </c>
      <c r="L643">
        <v>0.99</v>
      </c>
      <c r="M643" t="s">
        <v>499</v>
      </c>
      <c r="N643" t="s">
        <v>500</v>
      </c>
      <c r="O643">
        <v>0</v>
      </c>
      <c r="W643" t="b">
        <v>0</v>
      </c>
    </row>
    <row r="644" spans="2:23" hidden="1" x14ac:dyDescent="0.25">
      <c r="B644" t="s">
        <v>1150</v>
      </c>
      <c r="C644" t="s">
        <v>960</v>
      </c>
      <c r="D644" t="s">
        <v>2910</v>
      </c>
      <c r="E644" t="s">
        <v>1150</v>
      </c>
      <c r="G644" t="s">
        <v>207</v>
      </c>
      <c r="H644" t="s">
        <v>94</v>
      </c>
      <c r="I644" t="s">
        <v>961</v>
      </c>
      <c r="L644">
        <v>0.99</v>
      </c>
      <c r="M644" t="s">
        <v>499</v>
      </c>
      <c r="N644" t="s">
        <v>500</v>
      </c>
      <c r="O644">
        <v>0</v>
      </c>
      <c r="W644" t="b">
        <v>0</v>
      </c>
    </row>
    <row r="645" spans="2:23" hidden="1" x14ac:dyDescent="0.25">
      <c r="B645" t="s">
        <v>1152</v>
      </c>
      <c r="C645" t="s">
        <v>960</v>
      </c>
      <c r="D645" t="s">
        <v>2910</v>
      </c>
      <c r="E645" t="s">
        <v>1152</v>
      </c>
      <c r="G645" t="s">
        <v>23</v>
      </c>
      <c r="H645" t="s">
        <v>95</v>
      </c>
      <c r="I645" t="s">
        <v>961</v>
      </c>
      <c r="L645">
        <v>0.99</v>
      </c>
      <c r="M645" t="s">
        <v>499</v>
      </c>
      <c r="N645" t="s">
        <v>500</v>
      </c>
      <c r="O645">
        <v>0</v>
      </c>
      <c r="W645" t="b">
        <v>0</v>
      </c>
    </row>
    <row r="646" spans="2:23" hidden="1" x14ac:dyDescent="0.25">
      <c r="B646" t="s">
        <v>1154</v>
      </c>
      <c r="C646" t="s">
        <v>960</v>
      </c>
      <c r="D646" t="s">
        <v>2910</v>
      </c>
      <c r="E646" t="s">
        <v>1154</v>
      </c>
      <c r="G646" t="s">
        <v>207</v>
      </c>
      <c r="H646" t="s">
        <v>531</v>
      </c>
      <c r="I646" t="s">
        <v>961</v>
      </c>
      <c r="L646">
        <v>0.96</v>
      </c>
      <c r="M646" t="s">
        <v>499</v>
      </c>
      <c r="N646" t="s">
        <v>500</v>
      </c>
      <c r="O646">
        <v>0</v>
      </c>
      <c r="W646" t="b">
        <v>0</v>
      </c>
    </row>
    <row r="647" spans="2:23" hidden="1" x14ac:dyDescent="0.25">
      <c r="B647" t="s">
        <v>1156</v>
      </c>
      <c r="C647" t="s">
        <v>960</v>
      </c>
      <c r="D647" t="s">
        <v>2910</v>
      </c>
      <c r="E647" t="s">
        <v>1156</v>
      </c>
      <c r="G647" t="s">
        <v>207</v>
      </c>
      <c r="H647" t="s">
        <v>531</v>
      </c>
      <c r="I647" t="s">
        <v>961</v>
      </c>
      <c r="L647">
        <v>0.96</v>
      </c>
      <c r="M647" t="s">
        <v>499</v>
      </c>
      <c r="N647" t="s">
        <v>500</v>
      </c>
      <c r="O647">
        <v>0</v>
      </c>
      <c r="W647" t="b">
        <v>0</v>
      </c>
    </row>
    <row r="648" spans="2:23" hidden="1" x14ac:dyDescent="0.25">
      <c r="B648" t="s">
        <v>1158</v>
      </c>
      <c r="C648" t="s">
        <v>960</v>
      </c>
      <c r="D648" t="s">
        <v>2910</v>
      </c>
      <c r="E648" t="s">
        <v>1158</v>
      </c>
      <c r="G648" t="s">
        <v>207</v>
      </c>
      <c r="H648" t="s">
        <v>531</v>
      </c>
      <c r="I648" t="s">
        <v>961</v>
      </c>
      <c r="L648">
        <v>0.96</v>
      </c>
      <c r="M648" t="s">
        <v>499</v>
      </c>
      <c r="N648" t="s">
        <v>500</v>
      </c>
      <c r="O648">
        <v>0</v>
      </c>
      <c r="W648" t="b">
        <v>0</v>
      </c>
    </row>
    <row r="649" spans="2:23" hidden="1" x14ac:dyDescent="0.25">
      <c r="B649" t="s">
        <v>1160</v>
      </c>
      <c r="C649" t="s">
        <v>960</v>
      </c>
      <c r="D649" t="s">
        <v>2910</v>
      </c>
      <c r="E649" t="s">
        <v>1160</v>
      </c>
      <c r="G649" t="s">
        <v>207</v>
      </c>
      <c r="H649" t="s">
        <v>94</v>
      </c>
      <c r="I649" t="s">
        <v>961</v>
      </c>
      <c r="L649">
        <v>0.99</v>
      </c>
      <c r="M649" t="s">
        <v>499</v>
      </c>
      <c r="N649" t="s">
        <v>500</v>
      </c>
      <c r="O649">
        <v>0</v>
      </c>
      <c r="W649" t="b">
        <v>0</v>
      </c>
    </row>
    <row r="650" spans="2:23" hidden="1" x14ac:dyDescent="0.25">
      <c r="B650" t="s">
        <v>1162</v>
      </c>
      <c r="C650" t="s">
        <v>960</v>
      </c>
      <c r="D650" t="s">
        <v>2910</v>
      </c>
      <c r="E650" t="s">
        <v>1162</v>
      </c>
      <c r="G650" t="s">
        <v>207</v>
      </c>
      <c r="H650" t="s">
        <v>94</v>
      </c>
      <c r="I650" t="s">
        <v>961</v>
      </c>
      <c r="L650">
        <v>0.99</v>
      </c>
      <c r="M650" t="s">
        <v>499</v>
      </c>
      <c r="N650" t="s">
        <v>500</v>
      </c>
      <c r="O650">
        <v>0</v>
      </c>
      <c r="W650" t="b">
        <v>0</v>
      </c>
    </row>
    <row r="651" spans="2:23" hidden="1" x14ac:dyDescent="0.25">
      <c r="B651" t="s">
        <v>1164</v>
      </c>
      <c r="C651" t="s">
        <v>960</v>
      </c>
      <c r="D651" t="s">
        <v>2910</v>
      </c>
      <c r="E651" t="s">
        <v>1164</v>
      </c>
      <c r="G651" t="s">
        <v>207</v>
      </c>
      <c r="H651" t="s">
        <v>94</v>
      </c>
      <c r="I651" t="s">
        <v>961</v>
      </c>
      <c r="L651">
        <v>0.99</v>
      </c>
      <c r="M651" t="s">
        <v>499</v>
      </c>
      <c r="N651" t="s">
        <v>500</v>
      </c>
      <c r="O651">
        <v>0</v>
      </c>
      <c r="W651" t="b">
        <v>0</v>
      </c>
    </row>
    <row r="652" spans="2:23" hidden="1" x14ac:dyDescent="0.25">
      <c r="B652" t="s">
        <v>1166</v>
      </c>
      <c r="C652" t="s">
        <v>960</v>
      </c>
      <c r="D652" t="s">
        <v>2910</v>
      </c>
      <c r="E652" t="s">
        <v>1166</v>
      </c>
      <c r="G652" t="s">
        <v>207</v>
      </c>
      <c r="H652" t="s">
        <v>240</v>
      </c>
      <c r="I652" t="s">
        <v>961</v>
      </c>
      <c r="L652">
        <v>0.97499999999999998</v>
      </c>
      <c r="M652" t="s">
        <v>499</v>
      </c>
      <c r="N652" t="s">
        <v>500</v>
      </c>
      <c r="O652">
        <v>0</v>
      </c>
      <c r="W652" t="b">
        <v>0</v>
      </c>
    </row>
    <row r="653" spans="2:23" hidden="1" x14ac:dyDescent="0.25">
      <c r="B653" t="s">
        <v>1168</v>
      </c>
      <c r="C653" t="s">
        <v>960</v>
      </c>
      <c r="D653" t="s">
        <v>2910</v>
      </c>
      <c r="E653" t="s">
        <v>1168</v>
      </c>
      <c r="G653" t="s">
        <v>207</v>
      </c>
      <c r="H653" t="s">
        <v>240</v>
      </c>
      <c r="I653" t="s">
        <v>961</v>
      </c>
      <c r="L653">
        <v>0.97499999999999998</v>
      </c>
      <c r="M653" t="s">
        <v>499</v>
      </c>
      <c r="N653" t="s">
        <v>500</v>
      </c>
      <c r="O653">
        <v>0</v>
      </c>
      <c r="W653" t="b">
        <v>0</v>
      </c>
    </row>
    <row r="654" spans="2:23" hidden="1" x14ac:dyDescent="0.25">
      <c r="B654" t="s">
        <v>1170</v>
      </c>
      <c r="C654" t="s">
        <v>960</v>
      </c>
      <c r="D654" t="s">
        <v>2910</v>
      </c>
      <c r="E654" t="s">
        <v>1170</v>
      </c>
      <c r="G654" t="s">
        <v>207</v>
      </c>
      <c r="H654" t="s">
        <v>95</v>
      </c>
      <c r="I654" t="s">
        <v>961</v>
      </c>
      <c r="L654">
        <v>0.99</v>
      </c>
      <c r="M654" t="s">
        <v>499</v>
      </c>
      <c r="N654" t="s">
        <v>500</v>
      </c>
      <c r="O654">
        <v>0</v>
      </c>
      <c r="W654" t="b">
        <v>0</v>
      </c>
    </row>
    <row r="655" spans="2:23" hidden="1" x14ac:dyDescent="0.25">
      <c r="B655" t="s">
        <v>1172</v>
      </c>
      <c r="C655" t="s">
        <v>960</v>
      </c>
      <c r="D655" t="s">
        <v>2910</v>
      </c>
      <c r="E655" t="s">
        <v>1172</v>
      </c>
      <c r="G655" t="s">
        <v>207</v>
      </c>
      <c r="H655" t="s">
        <v>95</v>
      </c>
      <c r="I655" t="s">
        <v>961</v>
      </c>
      <c r="L655">
        <v>0.99</v>
      </c>
      <c r="M655" t="s">
        <v>499</v>
      </c>
      <c r="N655" t="s">
        <v>500</v>
      </c>
      <c r="O655">
        <v>0</v>
      </c>
      <c r="W655" t="b">
        <v>0</v>
      </c>
    </row>
    <row r="656" spans="2:23" hidden="1" x14ac:dyDescent="0.25">
      <c r="B656" t="s">
        <v>1174</v>
      </c>
      <c r="C656" t="s">
        <v>960</v>
      </c>
      <c r="D656" t="s">
        <v>2910</v>
      </c>
      <c r="E656" t="s">
        <v>1174</v>
      </c>
      <c r="G656" t="s">
        <v>207</v>
      </c>
      <c r="H656" t="s">
        <v>95</v>
      </c>
      <c r="I656" t="s">
        <v>961</v>
      </c>
      <c r="L656">
        <v>0.99</v>
      </c>
      <c r="M656" t="s">
        <v>499</v>
      </c>
      <c r="N656" t="s">
        <v>500</v>
      </c>
      <c r="O656">
        <v>0</v>
      </c>
      <c r="W656" t="b">
        <v>0</v>
      </c>
    </row>
    <row r="657" spans="2:23" hidden="1" x14ac:dyDescent="0.25">
      <c r="B657" t="s">
        <v>1176</v>
      </c>
      <c r="C657" t="s">
        <v>960</v>
      </c>
      <c r="D657" t="s">
        <v>2910</v>
      </c>
      <c r="E657" t="s">
        <v>1176</v>
      </c>
      <c r="G657" t="s">
        <v>207</v>
      </c>
      <c r="H657" t="s">
        <v>531</v>
      </c>
      <c r="I657" t="s">
        <v>961</v>
      </c>
      <c r="L657">
        <v>0.99</v>
      </c>
      <c r="M657" t="s">
        <v>499</v>
      </c>
      <c r="N657" t="s">
        <v>500</v>
      </c>
      <c r="O657">
        <v>0</v>
      </c>
      <c r="W657" t="b">
        <v>0</v>
      </c>
    </row>
    <row r="658" spans="2:23" hidden="1" x14ac:dyDescent="0.25">
      <c r="B658" t="s">
        <v>1178</v>
      </c>
      <c r="C658" t="s">
        <v>960</v>
      </c>
      <c r="D658" t="s">
        <v>2910</v>
      </c>
      <c r="E658" t="s">
        <v>1178</v>
      </c>
      <c r="G658" t="s">
        <v>207</v>
      </c>
      <c r="H658" t="s">
        <v>238</v>
      </c>
      <c r="I658" t="s">
        <v>961</v>
      </c>
      <c r="L658">
        <v>0.99</v>
      </c>
      <c r="M658" t="s">
        <v>499</v>
      </c>
      <c r="N658" t="s">
        <v>500</v>
      </c>
      <c r="O658">
        <v>0</v>
      </c>
      <c r="W658" t="b">
        <v>0</v>
      </c>
    </row>
    <row r="659" spans="2:23" hidden="1" x14ac:dyDescent="0.25">
      <c r="B659" t="s">
        <v>1180</v>
      </c>
      <c r="C659" t="s">
        <v>960</v>
      </c>
      <c r="D659" t="s">
        <v>2910</v>
      </c>
      <c r="E659" t="s">
        <v>1180</v>
      </c>
      <c r="G659" t="s">
        <v>207</v>
      </c>
      <c r="H659" t="s">
        <v>905</v>
      </c>
      <c r="I659" t="s">
        <v>961</v>
      </c>
      <c r="L659">
        <v>0.99</v>
      </c>
      <c r="M659" t="s">
        <v>499</v>
      </c>
      <c r="N659" t="s">
        <v>500</v>
      </c>
      <c r="O659">
        <v>0</v>
      </c>
      <c r="W659" t="b">
        <v>0</v>
      </c>
    </row>
    <row r="660" spans="2:23" hidden="1" x14ac:dyDescent="0.25">
      <c r="B660" t="s">
        <v>1182</v>
      </c>
      <c r="C660" t="s">
        <v>960</v>
      </c>
      <c r="D660" t="s">
        <v>2910</v>
      </c>
      <c r="E660" t="s">
        <v>1182</v>
      </c>
      <c r="G660" t="s">
        <v>207</v>
      </c>
      <c r="H660" t="s">
        <v>95</v>
      </c>
      <c r="I660" t="s">
        <v>961</v>
      </c>
      <c r="L660">
        <v>0.15</v>
      </c>
      <c r="M660" t="s">
        <v>499</v>
      </c>
      <c r="N660" t="s">
        <v>500</v>
      </c>
      <c r="O660">
        <v>0</v>
      </c>
      <c r="W660" t="b">
        <v>0</v>
      </c>
    </row>
    <row r="661" spans="2:23" hidden="1" x14ac:dyDescent="0.25">
      <c r="B661" t="s">
        <v>1184</v>
      </c>
      <c r="C661" t="s">
        <v>960</v>
      </c>
      <c r="D661" t="s">
        <v>2910</v>
      </c>
      <c r="E661" t="s">
        <v>1184</v>
      </c>
      <c r="G661" t="s">
        <v>207</v>
      </c>
      <c r="H661" t="s">
        <v>897</v>
      </c>
      <c r="I661" t="s">
        <v>961</v>
      </c>
      <c r="L661">
        <v>0.12</v>
      </c>
      <c r="M661" t="s">
        <v>499</v>
      </c>
      <c r="N661" t="s">
        <v>500</v>
      </c>
      <c r="O661">
        <v>0</v>
      </c>
      <c r="W661" t="b">
        <v>0</v>
      </c>
    </row>
    <row r="662" spans="2:23" hidden="1" x14ac:dyDescent="0.25">
      <c r="B662" t="s">
        <v>1186</v>
      </c>
      <c r="C662" t="s">
        <v>960</v>
      </c>
      <c r="D662" t="s">
        <v>2910</v>
      </c>
      <c r="E662" t="s">
        <v>1186</v>
      </c>
      <c r="G662" t="s">
        <v>207</v>
      </c>
      <c r="H662" t="s">
        <v>897</v>
      </c>
      <c r="I662" t="s">
        <v>961</v>
      </c>
      <c r="L662">
        <v>0.105</v>
      </c>
      <c r="M662" t="s">
        <v>499</v>
      </c>
      <c r="N662" t="s">
        <v>500</v>
      </c>
      <c r="O662">
        <v>0</v>
      </c>
      <c r="W662" t="b">
        <v>0</v>
      </c>
    </row>
    <row r="663" spans="2:23" hidden="1" x14ac:dyDescent="0.25">
      <c r="B663" t="s">
        <v>1188</v>
      </c>
      <c r="C663" t="s">
        <v>960</v>
      </c>
      <c r="D663" t="s">
        <v>2910</v>
      </c>
      <c r="E663" t="s">
        <v>1188</v>
      </c>
      <c r="G663" t="s">
        <v>207</v>
      </c>
      <c r="H663" t="s">
        <v>897</v>
      </c>
      <c r="I663" t="s">
        <v>961</v>
      </c>
      <c r="L663">
        <v>0.97499999999999998</v>
      </c>
      <c r="M663" t="s">
        <v>499</v>
      </c>
      <c r="N663" t="s">
        <v>500</v>
      </c>
      <c r="O663">
        <v>0</v>
      </c>
      <c r="W663" t="b">
        <v>0</v>
      </c>
    </row>
    <row r="664" spans="2:23" hidden="1" x14ac:dyDescent="0.25">
      <c r="B664" t="s">
        <v>1190</v>
      </c>
      <c r="C664" t="s">
        <v>960</v>
      </c>
      <c r="D664" t="s">
        <v>2910</v>
      </c>
      <c r="E664" t="s">
        <v>1190</v>
      </c>
      <c r="G664" t="s">
        <v>207</v>
      </c>
      <c r="H664" t="s">
        <v>531</v>
      </c>
      <c r="I664" t="s">
        <v>961</v>
      </c>
      <c r="L664">
        <v>0.96</v>
      </c>
      <c r="M664" t="s">
        <v>499</v>
      </c>
      <c r="N664" t="s">
        <v>500</v>
      </c>
      <c r="O664">
        <v>0</v>
      </c>
      <c r="W664" t="b">
        <v>0</v>
      </c>
    </row>
    <row r="665" spans="2:23" hidden="1" x14ac:dyDescent="0.25">
      <c r="B665" t="s">
        <v>1192</v>
      </c>
      <c r="C665" t="s">
        <v>960</v>
      </c>
      <c r="D665" t="s">
        <v>2910</v>
      </c>
      <c r="E665" t="s">
        <v>1192</v>
      </c>
      <c r="G665" t="s">
        <v>207</v>
      </c>
      <c r="H665" t="s">
        <v>531</v>
      </c>
      <c r="I665" t="s">
        <v>961</v>
      </c>
      <c r="L665">
        <v>0.96</v>
      </c>
      <c r="M665" t="s">
        <v>499</v>
      </c>
      <c r="N665" t="s">
        <v>500</v>
      </c>
      <c r="O665">
        <v>0</v>
      </c>
      <c r="W665" t="b">
        <v>0</v>
      </c>
    </row>
    <row r="666" spans="2:23" hidden="1" x14ac:dyDescent="0.25">
      <c r="B666" t="s">
        <v>1194</v>
      </c>
      <c r="C666" t="s">
        <v>960</v>
      </c>
      <c r="D666" t="s">
        <v>2910</v>
      </c>
      <c r="E666" t="s">
        <v>1194</v>
      </c>
      <c r="G666" t="s">
        <v>207</v>
      </c>
      <c r="H666" t="s">
        <v>531</v>
      </c>
      <c r="I666" t="s">
        <v>961</v>
      </c>
      <c r="L666">
        <v>0.96</v>
      </c>
      <c r="M666" t="s">
        <v>499</v>
      </c>
      <c r="N666" t="s">
        <v>500</v>
      </c>
      <c r="O666">
        <v>0</v>
      </c>
      <c r="W666" t="b">
        <v>0</v>
      </c>
    </row>
    <row r="667" spans="2:23" hidden="1" x14ac:dyDescent="0.25">
      <c r="B667" t="s">
        <v>1196</v>
      </c>
      <c r="C667" t="s">
        <v>960</v>
      </c>
      <c r="D667" t="s">
        <v>2910</v>
      </c>
      <c r="E667" t="s">
        <v>1196</v>
      </c>
      <c r="G667" t="s">
        <v>207</v>
      </c>
      <c r="H667" t="s">
        <v>531</v>
      </c>
      <c r="I667" t="s">
        <v>961</v>
      </c>
      <c r="L667">
        <v>0.96</v>
      </c>
      <c r="M667" t="s">
        <v>499</v>
      </c>
      <c r="N667" t="s">
        <v>500</v>
      </c>
      <c r="O667">
        <v>0</v>
      </c>
      <c r="W667" t="b">
        <v>0</v>
      </c>
    </row>
    <row r="668" spans="2:23" hidden="1" x14ac:dyDescent="0.25">
      <c r="B668" t="s">
        <v>1198</v>
      </c>
      <c r="C668" t="s">
        <v>960</v>
      </c>
      <c r="D668" t="s">
        <v>2910</v>
      </c>
      <c r="E668" t="s">
        <v>1198</v>
      </c>
      <c r="G668" t="s">
        <v>207</v>
      </c>
      <c r="H668" t="s">
        <v>531</v>
      </c>
      <c r="I668" t="s">
        <v>961</v>
      </c>
      <c r="L668">
        <v>0.96</v>
      </c>
      <c r="M668" t="s">
        <v>499</v>
      </c>
      <c r="N668" t="s">
        <v>500</v>
      </c>
      <c r="O668">
        <v>0</v>
      </c>
      <c r="W668" t="b">
        <v>0</v>
      </c>
    </row>
    <row r="669" spans="2:23" hidden="1" x14ac:dyDescent="0.25">
      <c r="B669" t="s">
        <v>1200</v>
      </c>
      <c r="C669" t="s">
        <v>960</v>
      </c>
      <c r="D669" t="s">
        <v>2910</v>
      </c>
      <c r="E669" t="s">
        <v>1200</v>
      </c>
      <c r="G669" t="s">
        <v>23</v>
      </c>
      <c r="H669" t="s">
        <v>531</v>
      </c>
      <c r="I669" t="s">
        <v>961</v>
      </c>
      <c r="L669">
        <v>0.99</v>
      </c>
      <c r="M669" t="s">
        <v>499</v>
      </c>
      <c r="N669" t="s">
        <v>500</v>
      </c>
      <c r="O669">
        <v>0</v>
      </c>
      <c r="W669" t="b">
        <v>0</v>
      </c>
    </row>
    <row r="670" spans="2:23" hidden="1" x14ac:dyDescent="0.25">
      <c r="B670" t="s">
        <v>1202</v>
      </c>
      <c r="C670" t="s">
        <v>960</v>
      </c>
      <c r="D670" t="s">
        <v>2910</v>
      </c>
      <c r="E670" t="s">
        <v>1202</v>
      </c>
      <c r="G670" t="s">
        <v>23</v>
      </c>
      <c r="H670" t="s">
        <v>95</v>
      </c>
      <c r="I670" t="s">
        <v>961</v>
      </c>
      <c r="L670">
        <v>0.99</v>
      </c>
      <c r="M670" t="s">
        <v>499</v>
      </c>
      <c r="N670" t="s">
        <v>500</v>
      </c>
      <c r="O670">
        <v>0</v>
      </c>
      <c r="W670" t="b">
        <v>0</v>
      </c>
    </row>
    <row r="671" spans="2:23" hidden="1" x14ac:dyDescent="0.25">
      <c r="B671" t="s">
        <v>1204</v>
      </c>
      <c r="C671" t="s">
        <v>960</v>
      </c>
      <c r="D671" t="s">
        <v>2910</v>
      </c>
      <c r="E671" t="s">
        <v>1204</v>
      </c>
      <c r="G671" t="s">
        <v>207</v>
      </c>
      <c r="H671" t="s">
        <v>531</v>
      </c>
      <c r="I671" t="s">
        <v>961</v>
      </c>
      <c r="L671">
        <v>0.996</v>
      </c>
      <c r="M671" t="s">
        <v>499</v>
      </c>
      <c r="N671" t="s">
        <v>500</v>
      </c>
      <c r="O671">
        <v>0</v>
      </c>
      <c r="W671" t="b">
        <v>0</v>
      </c>
    </row>
    <row r="672" spans="2:23" hidden="1" x14ac:dyDescent="0.25">
      <c r="B672" t="s">
        <v>1206</v>
      </c>
      <c r="C672" t="s">
        <v>960</v>
      </c>
      <c r="D672" t="s">
        <v>2910</v>
      </c>
      <c r="E672" t="s">
        <v>1206</v>
      </c>
      <c r="G672" t="s">
        <v>207</v>
      </c>
      <c r="H672" t="s">
        <v>531</v>
      </c>
      <c r="I672" t="s">
        <v>961</v>
      </c>
      <c r="L672">
        <v>0.96</v>
      </c>
      <c r="M672" t="s">
        <v>499</v>
      </c>
      <c r="N672" t="s">
        <v>500</v>
      </c>
      <c r="O672">
        <v>0</v>
      </c>
      <c r="W672" t="b">
        <v>0</v>
      </c>
    </row>
    <row r="673" spans="2:23" hidden="1" x14ac:dyDescent="0.25">
      <c r="B673" t="s">
        <v>1208</v>
      </c>
      <c r="C673" t="s">
        <v>960</v>
      </c>
      <c r="D673" t="s">
        <v>2910</v>
      </c>
      <c r="E673" t="s">
        <v>1208</v>
      </c>
      <c r="G673" t="s">
        <v>207</v>
      </c>
      <c r="H673" t="s">
        <v>531</v>
      </c>
      <c r="I673" t="s">
        <v>961</v>
      </c>
      <c r="L673">
        <v>0.96</v>
      </c>
      <c r="M673" t="s">
        <v>499</v>
      </c>
      <c r="N673" t="s">
        <v>500</v>
      </c>
      <c r="O673">
        <v>0</v>
      </c>
      <c r="W673" t="b">
        <v>0</v>
      </c>
    </row>
    <row r="674" spans="2:23" hidden="1" x14ac:dyDescent="0.25">
      <c r="B674" t="s">
        <v>1210</v>
      </c>
      <c r="C674" t="s">
        <v>960</v>
      </c>
      <c r="D674" t="s">
        <v>2910</v>
      </c>
      <c r="E674" t="s">
        <v>1210</v>
      </c>
      <c r="G674" t="s">
        <v>207</v>
      </c>
      <c r="H674" t="s">
        <v>94</v>
      </c>
      <c r="I674" t="s">
        <v>961</v>
      </c>
      <c r="L674">
        <v>0.99</v>
      </c>
      <c r="M674" t="s">
        <v>499</v>
      </c>
      <c r="N674" t="s">
        <v>500</v>
      </c>
      <c r="O674">
        <v>0</v>
      </c>
      <c r="W674" t="b">
        <v>0</v>
      </c>
    </row>
    <row r="675" spans="2:23" hidden="1" x14ac:dyDescent="0.25">
      <c r="B675" t="s">
        <v>1212</v>
      </c>
      <c r="C675" t="s">
        <v>960</v>
      </c>
      <c r="D675" t="s">
        <v>2910</v>
      </c>
      <c r="E675" t="s">
        <v>1212</v>
      </c>
      <c r="G675" t="s">
        <v>23</v>
      </c>
      <c r="H675" t="s">
        <v>531</v>
      </c>
      <c r="I675" t="s">
        <v>961</v>
      </c>
      <c r="L675">
        <v>0.99</v>
      </c>
      <c r="M675" t="s">
        <v>499</v>
      </c>
      <c r="N675" t="s">
        <v>500</v>
      </c>
      <c r="O675">
        <v>0</v>
      </c>
      <c r="W675" t="b">
        <v>0</v>
      </c>
    </row>
    <row r="676" spans="2:23" hidden="1" x14ac:dyDescent="0.25">
      <c r="B676" t="s">
        <v>1214</v>
      </c>
      <c r="C676" t="s">
        <v>960</v>
      </c>
      <c r="D676" t="s">
        <v>2910</v>
      </c>
      <c r="E676" t="s">
        <v>1214</v>
      </c>
      <c r="G676" t="s">
        <v>23</v>
      </c>
      <c r="H676" t="s">
        <v>531</v>
      </c>
      <c r="I676" t="s">
        <v>961</v>
      </c>
      <c r="L676">
        <v>0.99</v>
      </c>
      <c r="M676" t="s">
        <v>499</v>
      </c>
      <c r="N676" t="s">
        <v>500</v>
      </c>
      <c r="O676">
        <v>0</v>
      </c>
      <c r="W676" t="b">
        <v>0</v>
      </c>
    </row>
    <row r="677" spans="2:23" hidden="1" x14ac:dyDescent="0.25">
      <c r="B677" t="s">
        <v>1216</v>
      </c>
      <c r="C677" t="s">
        <v>960</v>
      </c>
      <c r="D677" t="s">
        <v>2910</v>
      </c>
      <c r="E677" t="s">
        <v>1216</v>
      </c>
      <c r="G677" t="s">
        <v>207</v>
      </c>
      <c r="H677" t="s">
        <v>240</v>
      </c>
      <c r="I677" t="s">
        <v>961</v>
      </c>
      <c r="L677">
        <v>0.99</v>
      </c>
      <c r="M677" t="s">
        <v>499</v>
      </c>
      <c r="N677" t="s">
        <v>500</v>
      </c>
      <c r="O677">
        <v>0</v>
      </c>
      <c r="W677" t="b">
        <v>0</v>
      </c>
    </row>
    <row r="678" spans="2:23" hidden="1" x14ac:dyDescent="0.25">
      <c r="B678" t="s">
        <v>1218</v>
      </c>
      <c r="C678" t="s">
        <v>960</v>
      </c>
      <c r="D678" t="s">
        <v>2910</v>
      </c>
      <c r="E678" t="s">
        <v>1218</v>
      </c>
      <c r="G678" t="s">
        <v>207</v>
      </c>
      <c r="H678" t="s">
        <v>240</v>
      </c>
      <c r="I678" t="s">
        <v>961</v>
      </c>
      <c r="L678">
        <v>0.99</v>
      </c>
      <c r="M678" t="s">
        <v>499</v>
      </c>
      <c r="N678" t="s">
        <v>500</v>
      </c>
      <c r="O678">
        <v>0</v>
      </c>
      <c r="W678" t="b">
        <v>0</v>
      </c>
    </row>
    <row r="679" spans="2:23" hidden="1" x14ac:dyDescent="0.25">
      <c r="B679" t="s">
        <v>1220</v>
      </c>
      <c r="C679" t="s">
        <v>960</v>
      </c>
      <c r="D679" t="s">
        <v>2910</v>
      </c>
      <c r="E679" t="s">
        <v>1220</v>
      </c>
      <c r="G679" t="s">
        <v>207</v>
      </c>
      <c r="H679" t="s">
        <v>240</v>
      </c>
      <c r="I679" t="s">
        <v>961</v>
      </c>
      <c r="L679">
        <v>0.99</v>
      </c>
      <c r="M679" t="s">
        <v>499</v>
      </c>
      <c r="N679" t="s">
        <v>500</v>
      </c>
      <c r="O679">
        <v>0</v>
      </c>
      <c r="W679" t="b">
        <v>0</v>
      </c>
    </row>
    <row r="680" spans="2:23" hidden="1" x14ac:dyDescent="0.25">
      <c r="B680" t="s">
        <v>1222</v>
      </c>
      <c r="C680" t="s">
        <v>960</v>
      </c>
      <c r="D680" t="s">
        <v>2910</v>
      </c>
      <c r="E680" t="s">
        <v>1222</v>
      </c>
      <c r="G680" t="s">
        <v>207</v>
      </c>
      <c r="H680" t="s">
        <v>240</v>
      </c>
      <c r="I680" t="s">
        <v>961</v>
      </c>
      <c r="L680">
        <v>0.99</v>
      </c>
      <c r="M680" t="s">
        <v>499</v>
      </c>
      <c r="N680" t="s">
        <v>500</v>
      </c>
      <c r="O680">
        <v>0</v>
      </c>
      <c r="W680" t="b">
        <v>0</v>
      </c>
    </row>
    <row r="681" spans="2:23" hidden="1" x14ac:dyDescent="0.25">
      <c r="B681" t="s">
        <v>1224</v>
      </c>
      <c r="C681" t="s">
        <v>960</v>
      </c>
      <c r="D681" t="s">
        <v>2910</v>
      </c>
      <c r="E681" t="s">
        <v>1224</v>
      </c>
      <c r="G681" t="s">
        <v>207</v>
      </c>
      <c r="H681" t="s">
        <v>927</v>
      </c>
      <c r="I681" t="s">
        <v>961</v>
      </c>
      <c r="L681">
        <v>0.99</v>
      </c>
      <c r="M681" t="s">
        <v>499</v>
      </c>
      <c r="N681" t="s">
        <v>500</v>
      </c>
      <c r="O681">
        <v>0</v>
      </c>
      <c r="W681" t="b">
        <v>0</v>
      </c>
    </row>
    <row r="682" spans="2:23" hidden="1" x14ac:dyDescent="0.25">
      <c r="B682" t="s">
        <v>1226</v>
      </c>
      <c r="C682" t="s">
        <v>960</v>
      </c>
      <c r="D682" t="s">
        <v>2910</v>
      </c>
      <c r="E682" t="s">
        <v>1226</v>
      </c>
      <c r="G682" t="s">
        <v>207</v>
      </c>
      <c r="H682" t="s">
        <v>531</v>
      </c>
      <c r="I682" t="s">
        <v>961</v>
      </c>
      <c r="L682">
        <v>0.99</v>
      </c>
      <c r="M682" t="s">
        <v>499</v>
      </c>
      <c r="N682" t="s">
        <v>500</v>
      </c>
      <c r="O682">
        <v>0</v>
      </c>
      <c r="W682" t="b">
        <v>0</v>
      </c>
    </row>
    <row r="683" spans="2:23" hidden="1" x14ac:dyDescent="0.25">
      <c r="B683" t="s">
        <v>1228</v>
      </c>
      <c r="C683" t="s">
        <v>960</v>
      </c>
      <c r="D683" t="s">
        <v>2910</v>
      </c>
      <c r="E683" t="s">
        <v>1228</v>
      </c>
      <c r="G683" t="s">
        <v>207</v>
      </c>
      <c r="H683" t="s">
        <v>531</v>
      </c>
      <c r="I683" t="s">
        <v>961</v>
      </c>
      <c r="L683">
        <v>0.99</v>
      </c>
      <c r="M683" t="s">
        <v>499</v>
      </c>
      <c r="N683" t="s">
        <v>500</v>
      </c>
      <c r="O683">
        <v>0</v>
      </c>
      <c r="W683" t="b">
        <v>0</v>
      </c>
    </row>
    <row r="684" spans="2:23" hidden="1" x14ac:dyDescent="0.25">
      <c r="B684" t="s">
        <v>1230</v>
      </c>
      <c r="C684" t="s">
        <v>960</v>
      </c>
      <c r="D684" t="s">
        <v>2910</v>
      </c>
      <c r="E684" t="s">
        <v>1230</v>
      </c>
      <c r="G684" t="s">
        <v>207</v>
      </c>
      <c r="H684" t="s">
        <v>95</v>
      </c>
      <c r="I684" t="s">
        <v>961</v>
      </c>
      <c r="L684">
        <v>0.99</v>
      </c>
      <c r="M684" t="s">
        <v>499</v>
      </c>
      <c r="N684" t="s">
        <v>500</v>
      </c>
      <c r="O684">
        <v>0</v>
      </c>
      <c r="W684" t="b">
        <v>0</v>
      </c>
    </row>
    <row r="685" spans="2:23" hidden="1" x14ac:dyDescent="0.25">
      <c r="B685" t="s">
        <v>1232</v>
      </c>
      <c r="C685" t="s">
        <v>960</v>
      </c>
      <c r="D685" t="s">
        <v>2910</v>
      </c>
      <c r="E685" t="s">
        <v>1232</v>
      </c>
      <c r="G685" t="s">
        <v>207</v>
      </c>
      <c r="H685" t="s">
        <v>95</v>
      </c>
      <c r="I685" t="s">
        <v>961</v>
      </c>
      <c r="L685">
        <v>0.99</v>
      </c>
      <c r="M685" t="s">
        <v>499</v>
      </c>
      <c r="N685" t="s">
        <v>500</v>
      </c>
      <c r="O685">
        <v>0</v>
      </c>
      <c r="W685" t="b">
        <v>0</v>
      </c>
    </row>
    <row r="686" spans="2:23" hidden="1" x14ac:dyDescent="0.25">
      <c r="B686" t="s">
        <v>1234</v>
      </c>
      <c r="C686" t="s">
        <v>960</v>
      </c>
      <c r="D686" t="s">
        <v>2910</v>
      </c>
      <c r="E686" t="s">
        <v>1234</v>
      </c>
      <c r="G686" t="s">
        <v>23</v>
      </c>
      <c r="H686" t="s">
        <v>95</v>
      </c>
      <c r="I686" t="s">
        <v>961</v>
      </c>
      <c r="L686">
        <v>0.99</v>
      </c>
      <c r="M686" t="s">
        <v>499</v>
      </c>
      <c r="N686" t="s">
        <v>500</v>
      </c>
      <c r="O686">
        <v>0</v>
      </c>
      <c r="W686" t="b">
        <v>0</v>
      </c>
    </row>
    <row r="687" spans="2:23" hidden="1" x14ac:dyDescent="0.25">
      <c r="B687" t="s">
        <v>1236</v>
      </c>
      <c r="C687" t="s">
        <v>960</v>
      </c>
      <c r="D687" t="s">
        <v>2910</v>
      </c>
      <c r="E687" t="s">
        <v>1236</v>
      </c>
      <c r="G687" t="s">
        <v>207</v>
      </c>
      <c r="H687" t="s">
        <v>240</v>
      </c>
      <c r="I687" t="s">
        <v>961</v>
      </c>
      <c r="L687">
        <v>0.99</v>
      </c>
      <c r="M687" t="s">
        <v>499</v>
      </c>
      <c r="N687" t="s">
        <v>500</v>
      </c>
      <c r="O687">
        <v>0</v>
      </c>
      <c r="W687" t="b">
        <v>0</v>
      </c>
    </row>
    <row r="688" spans="2:23" hidden="1" x14ac:dyDescent="0.25">
      <c r="B688" t="s">
        <v>1238</v>
      </c>
      <c r="C688" t="s">
        <v>960</v>
      </c>
      <c r="D688" t="s">
        <v>2910</v>
      </c>
      <c r="E688" t="s">
        <v>1238</v>
      </c>
      <c r="G688" t="s">
        <v>207</v>
      </c>
      <c r="H688" t="s">
        <v>240</v>
      </c>
      <c r="I688" t="s">
        <v>961</v>
      </c>
      <c r="L688">
        <v>0.99</v>
      </c>
      <c r="M688" t="s">
        <v>499</v>
      </c>
      <c r="N688" t="s">
        <v>500</v>
      </c>
      <c r="O688">
        <v>0</v>
      </c>
      <c r="W688" t="b">
        <v>0</v>
      </c>
    </row>
    <row r="689" spans="2:23" hidden="1" x14ac:dyDescent="0.25">
      <c r="B689" t="s">
        <v>1240</v>
      </c>
      <c r="C689" t="s">
        <v>960</v>
      </c>
      <c r="D689" t="s">
        <v>2910</v>
      </c>
      <c r="E689" t="s">
        <v>1240</v>
      </c>
      <c r="G689" t="s">
        <v>207</v>
      </c>
      <c r="H689" t="s">
        <v>240</v>
      </c>
      <c r="I689" t="s">
        <v>961</v>
      </c>
      <c r="L689">
        <v>0.99</v>
      </c>
      <c r="M689" t="s">
        <v>499</v>
      </c>
      <c r="N689" t="s">
        <v>500</v>
      </c>
      <c r="O689">
        <v>0</v>
      </c>
      <c r="W689" t="b">
        <v>0</v>
      </c>
    </row>
    <row r="690" spans="2:23" hidden="1" x14ac:dyDescent="0.25">
      <c r="B690" t="s">
        <v>1242</v>
      </c>
      <c r="C690" t="s">
        <v>960</v>
      </c>
      <c r="D690" t="s">
        <v>2910</v>
      </c>
      <c r="E690" t="s">
        <v>1242</v>
      </c>
      <c r="G690" t="s">
        <v>207</v>
      </c>
      <c r="H690" t="s">
        <v>240</v>
      </c>
      <c r="I690" t="s">
        <v>961</v>
      </c>
      <c r="L690">
        <v>0.96</v>
      </c>
      <c r="M690" t="s">
        <v>499</v>
      </c>
      <c r="N690" t="s">
        <v>500</v>
      </c>
      <c r="O690">
        <v>0</v>
      </c>
      <c r="W690" t="b">
        <v>0</v>
      </c>
    </row>
    <row r="691" spans="2:23" hidden="1" x14ac:dyDescent="0.25">
      <c r="B691" t="s">
        <v>1244</v>
      </c>
      <c r="C691" t="s">
        <v>960</v>
      </c>
      <c r="D691" t="s">
        <v>2910</v>
      </c>
      <c r="E691" t="s">
        <v>1244</v>
      </c>
      <c r="G691" t="s">
        <v>23</v>
      </c>
      <c r="H691" t="s">
        <v>240</v>
      </c>
      <c r="I691" t="s">
        <v>961</v>
      </c>
      <c r="L691">
        <v>0.96</v>
      </c>
      <c r="M691" t="s">
        <v>499</v>
      </c>
      <c r="N691" t="s">
        <v>500</v>
      </c>
      <c r="O691">
        <v>0</v>
      </c>
      <c r="W691" t="b">
        <v>0</v>
      </c>
    </row>
    <row r="692" spans="2:23" hidden="1" x14ac:dyDescent="0.25">
      <c r="B692" t="s">
        <v>1246</v>
      </c>
      <c r="C692" t="s">
        <v>960</v>
      </c>
      <c r="D692" t="s">
        <v>2910</v>
      </c>
      <c r="E692" t="s">
        <v>1246</v>
      </c>
      <c r="G692" t="s">
        <v>207</v>
      </c>
      <c r="H692" t="s">
        <v>240</v>
      </c>
      <c r="I692" t="s">
        <v>961</v>
      </c>
      <c r="L692">
        <v>0.96</v>
      </c>
      <c r="M692" t="s">
        <v>499</v>
      </c>
      <c r="N692" t="s">
        <v>500</v>
      </c>
      <c r="O692">
        <v>0</v>
      </c>
      <c r="W692" t="b">
        <v>0</v>
      </c>
    </row>
    <row r="693" spans="2:23" hidden="1" x14ac:dyDescent="0.25">
      <c r="B693" t="s">
        <v>1248</v>
      </c>
      <c r="C693" t="s">
        <v>960</v>
      </c>
      <c r="D693" t="s">
        <v>2910</v>
      </c>
      <c r="E693" t="s">
        <v>1248</v>
      </c>
      <c r="G693" t="s">
        <v>207</v>
      </c>
      <c r="H693" t="s">
        <v>94</v>
      </c>
      <c r="I693" t="s">
        <v>961</v>
      </c>
      <c r="L693">
        <v>0.99</v>
      </c>
      <c r="M693" t="s">
        <v>499</v>
      </c>
      <c r="N693" t="s">
        <v>500</v>
      </c>
      <c r="O693">
        <v>0</v>
      </c>
      <c r="W693" t="b">
        <v>0</v>
      </c>
    </row>
    <row r="694" spans="2:23" hidden="1" x14ac:dyDescent="0.25">
      <c r="B694" t="s">
        <v>1250</v>
      </c>
      <c r="C694" t="s">
        <v>960</v>
      </c>
      <c r="D694" t="s">
        <v>2910</v>
      </c>
      <c r="E694" t="s">
        <v>1250</v>
      </c>
      <c r="G694" t="s">
        <v>207</v>
      </c>
      <c r="H694" t="s">
        <v>94</v>
      </c>
      <c r="I694" t="s">
        <v>961</v>
      </c>
      <c r="L694">
        <v>0.99</v>
      </c>
      <c r="M694" t="s">
        <v>499</v>
      </c>
      <c r="N694" t="s">
        <v>500</v>
      </c>
      <c r="O694">
        <v>0</v>
      </c>
      <c r="W694" t="b">
        <v>0</v>
      </c>
    </row>
    <row r="695" spans="2:23" hidden="1" x14ac:dyDescent="0.25">
      <c r="B695" t="s">
        <v>1252</v>
      </c>
      <c r="C695" t="s">
        <v>960</v>
      </c>
      <c r="D695" t="s">
        <v>2910</v>
      </c>
      <c r="E695" t="s">
        <v>1252</v>
      </c>
      <c r="G695" t="s">
        <v>23</v>
      </c>
      <c r="H695" t="s">
        <v>531</v>
      </c>
      <c r="I695" t="s">
        <v>961</v>
      </c>
      <c r="L695">
        <v>0.99</v>
      </c>
      <c r="M695" t="s">
        <v>499</v>
      </c>
      <c r="N695" t="s">
        <v>500</v>
      </c>
      <c r="O695">
        <v>0</v>
      </c>
      <c r="W695" t="b">
        <v>0</v>
      </c>
    </row>
    <row r="696" spans="2:23" hidden="1" x14ac:dyDescent="0.25">
      <c r="B696" t="s">
        <v>1254</v>
      </c>
      <c r="C696" t="s">
        <v>960</v>
      </c>
      <c r="D696" t="s">
        <v>2910</v>
      </c>
      <c r="E696" t="s">
        <v>1254</v>
      </c>
      <c r="G696" t="s">
        <v>207</v>
      </c>
      <c r="H696" t="s">
        <v>531</v>
      </c>
      <c r="I696" t="s">
        <v>961</v>
      </c>
      <c r="L696">
        <v>0.999</v>
      </c>
      <c r="M696" t="s">
        <v>499</v>
      </c>
      <c r="N696" t="s">
        <v>500</v>
      </c>
      <c r="O696">
        <v>0</v>
      </c>
      <c r="W696" t="b">
        <v>0</v>
      </c>
    </row>
    <row r="697" spans="2:23" hidden="1" x14ac:dyDescent="0.25">
      <c r="B697" t="s">
        <v>1256</v>
      </c>
      <c r="C697" t="s">
        <v>960</v>
      </c>
      <c r="D697" t="s">
        <v>2910</v>
      </c>
      <c r="E697" t="s">
        <v>1256</v>
      </c>
      <c r="G697" t="s">
        <v>207</v>
      </c>
      <c r="H697" t="s">
        <v>531</v>
      </c>
      <c r="I697" t="s">
        <v>961</v>
      </c>
      <c r="L697">
        <v>0.99</v>
      </c>
      <c r="M697" t="s">
        <v>499</v>
      </c>
      <c r="N697" t="s">
        <v>500</v>
      </c>
      <c r="O697">
        <v>0</v>
      </c>
      <c r="W697" t="b">
        <v>0</v>
      </c>
    </row>
    <row r="698" spans="2:23" hidden="1" x14ac:dyDescent="0.25">
      <c r="B698" t="s">
        <v>1258</v>
      </c>
      <c r="C698" t="s">
        <v>960</v>
      </c>
      <c r="D698" t="s">
        <v>2910</v>
      </c>
      <c r="E698" t="s">
        <v>1258</v>
      </c>
      <c r="G698" t="s">
        <v>207</v>
      </c>
      <c r="H698" t="s">
        <v>531</v>
      </c>
      <c r="I698" t="s">
        <v>961</v>
      </c>
      <c r="L698">
        <v>0.99</v>
      </c>
      <c r="M698" t="s">
        <v>499</v>
      </c>
      <c r="N698" t="s">
        <v>500</v>
      </c>
      <c r="O698">
        <v>0</v>
      </c>
      <c r="W698" t="b">
        <v>0</v>
      </c>
    </row>
    <row r="699" spans="2:23" hidden="1" x14ac:dyDescent="0.25">
      <c r="B699" t="s">
        <v>1260</v>
      </c>
      <c r="C699" t="s">
        <v>960</v>
      </c>
      <c r="D699" t="s">
        <v>2910</v>
      </c>
      <c r="E699" t="s">
        <v>1260</v>
      </c>
      <c r="G699" t="s">
        <v>207</v>
      </c>
      <c r="H699" t="s">
        <v>531</v>
      </c>
      <c r="I699" t="s">
        <v>961</v>
      </c>
      <c r="L699">
        <v>0.99</v>
      </c>
      <c r="M699" t="s">
        <v>499</v>
      </c>
      <c r="N699" t="s">
        <v>500</v>
      </c>
      <c r="O699">
        <v>0</v>
      </c>
      <c r="W699" t="b">
        <v>0</v>
      </c>
    </row>
    <row r="700" spans="2:23" hidden="1" x14ac:dyDescent="0.25">
      <c r="B700" t="s">
        <v>1262</v>
      </c>
      <c r="C700" t="s">
        <v>960</v>
      </c>
      <c r="D700" t="s">
        <v>2910</v>
      </c>
      <c r="E700" t="s">
        <v>1262</v>
      </c>
      <c r="G700" t="s">
        <v>207</v>
      </c>
      <c r="H700" t="s">
        <v>927</v>
      </c>
      <c r="I700" t="s">
        <v>961</v>
      </c>
      <c r="L700">
        <v>0.99</v>
      </c>
      <c r="M700" t="s">
        <v>499</v>
      </c>
      <c r="N700" t="s">
        <v>500</v>
      </c>
      <c r="O700">
        <v>0</v>
      </c>
      <c r="W700" t="b">
        <v>0</v>
      </c>
    </row>
    <row r="701" spans="2:23" hidden="1" x14ac:dyDescent="0.25">
      <c r="B701" t="s">
        <v>1264</v>
      </c>
      <c r="C701" t="s">
        <v>960</v>
      </c>
      <c r="D701" t="s">
        <v>2910</v>
      </c>
      <c r="E701" t="s">
        <v>1264</v>
      </c>
      <c r="G701" t="s">
        <v>207</v>
      </c>
      <c r="H701" t="s">
        <v>95</v>
      </c>
      <c r="I701" t="s">
        <v>961</v>
      </c>
      <c r="L701">
        <v>0.99</v>
      </c>
      <c r="M701" t="s">
        <v>499</v>
      </c>
      <c r="N701" t="s">
        <v>500</v>
      </c>
      <c r="O701">
        <v>0</v>
      </c>
      <c r="W701" t="b">
        <v>0</v>
      </c>
    </row>
    <row r="702" spans="2:23" hidden="1" x14ac:dyDescent="0.25">
      <c r="B702" t="s">
        <v>1266</v>
      </c>
      <c r="C702" t="s">
        <v>960</v>
      </c>
      <c r="D702" t="s">
        <v>2910</v>
      </c>
      <c r="E702" t="s">
        <v>1266</v>
      </c>
      <c r="G702" t="s">
        <v>207</v>
      </c>
      <c r="H702" t="s">
        <v>95</v>
      </c>
      <c r="I702" t="s">
        <v>961</v>
      </c>
      <c r="L702">
        <v>0.99</v>
      </c>
      <c r="M702" t="s">
        <v>499</v>
      </c>
      <c r="N702" t="s">
        <v>500</v>
      </c>
      <c r="O702">
        <v>0</v>
      </c>
      <c r="W702" t="b">
        <v>0</v>
      </c>
    </row>
    <row r="703" spans="2:23" hidden="1" x14ac:dyDescent="0.25">
      <c r="B703" t="s">
        <v>1268</v>
      </c>
      <c r="C703" t="s">
        <v>960</v>
      </c>
      <c r="D703" t="s">
        <v>2910</v>
      </c>
      <c r="E703" t="s">
        <v>1268</v>
      </c>
      <c r="G703" t="s">
        <v>207</v>
      </c>
      <c r="H703" t="s">
        <v>822</v>
      </c>
      <c r="I703" t="s">
        <v>961</v>
      </c>
      <c r="L703">
        <v>0.99</v>
      </c>
      <c r="M703" t="s">
        <v>499</v>
      </c>
      <c r="N703" t="s">
        <v>500</v>
      </c>
      <c r="O703">
        <v>0</v>
      </c>
      <c r="W703" t="b">
        <v>0</v>
      </c>
    </row>
    <row r="704" spans="2:23" hidden="1" x14ac:dyDescent="0.25">
      <c r="B704" t="s">
        <v>1270</v>
      </c>
      <c r="C704" t="s">
        <v>960</v>
      </c>
      <c r="D704" t="s">
        <v>2910</v>
      </c>
      <c r="E704" t="s">
        <v>1270</v>
      </c>
      <c r="G704" t="s">
        <v>207</v>
      </c>
      <c r="H704" t="s">
        <v>239</v>
      </c>
      <c r="I704" t="s">
        <v>961</v>
      </c>
      <c r="L704">
        <v>0.97499999999999998</v>
      </c>
      <c r="M704" t="s">
        <v>499</v>
      </c>
      <c r="N704" t="s">
        <v>500</v>
      </c>
      <c r="O704">
        <v>0</v>
      </c>
      <c r="W704" t="b">
        <v>0</v>
      </c>
    </row>
    <row r="705" spans="2:23" hidden="1" x14ac:dyDescent="0.25">
      <c r="B705" t="s">
        <v>1272</v>
      </c>
      <c r="C705" t="s">
        <v>960</v>
      </c>
      <c r="D705" t="s">
        <v>2910</v>
      </c>
      <c r="E705" t="s">
        <v>1272</v>
      </c>
      <c r="G705" t="s">
        <v>23</v>
      </c>
      <c r="H705" t="s">
        <v>94</v>
      </c>
      <c r="I705" t="s">
        <v>961</v>
      </c>
      <c r="L705">
        <v>0.99</v>
      </c>
      <c r="M705" t="s">
        <v>499</v>
      </c>
      <c r="N705" t="s">
        <v>500</v>
      </c>
      <c r="O705">
        <v>0</v>
      </c>
      <c r="W705" t="b">
        <v>0</v>
      </c>
    </row>
    <row r="706" spans="2:23" hidden="1" x14ac:dyDescent="0.25">
      <c r="B706" t="s">
        <v>1274</v>
      </c>
      <c r="C706" t="s">
        <v>960</v>
      </c>
      <c r="D706" t="s">
        <v>2910</v>
      </c>
      <c r="E706" t="s">
        <v>1274</v>
      </c>
      <c r="G706" t="s">
        <v>207</v>
      </c>
      <c r="H706" t="s">
        <v>897</v>
      </c>
      <c r="I706" t="s">
        <v>961</v>
      </c>
      <c r="L706">
        <v>0.99</v>
      </c>
      <c r="M706" t="s">
        <v>499</v>
      </c>
      <c r="N706" t="s">
        <v>500</v>
      </c>
      <c r="O706">
        <v>0</v>
      </c>
      <c r="W706" t="b">
        <v>0</v>
      </c>
    </row>
    <row r="707" spans="2:23" hidden="1" x14ac:dyDescent="0.25">
      <c r="B707" t="s">
        <v>1276</v>
      </c>
      <c r="C707" t="s">
        <v>960</v>
      </c>
      <c r="D707" t="s">
        <v>2910</v>
      </c>
      <c r="E707" t="s">
        <v>1276</v>
      </c>
      <c r="G707" t="s">
        <v>207</v>
      </c>
      <c r="H707" t="s">
        <v>239</v>
      </c>
      <c r="I707" t="s">
        <v>961</v>
      </c>
      <c r="L707">
        <v>0.6</v>
      </c>
      <c r="M707" t="s">
        <v>499</v>
      </c>
      <c r="N707" t="s">
        <v>500</v>
      </c>
      <c r="O707">
        <v>0</v>
      </c>
      <c r="W707" t="b">
        <v>0</v>
      </c>
    </row>
    <row r="708" spans="2:23" hidden="1" x14ac:dyDescent="0.25">
      <c r="B708" t="s">
        <v>1278</v>
      </c>
      <c r="C708" t="s">
        <v>960</v>
      </c>
      <c r="D708" t="s">
        <v>2910</v>
      </c>
      <c r="E708" t="s">
        <v>1278</v>
      </c>
      <c r="G708" t="s">
        <v>207</v>
      </c>
      <c r="H708" t="s">
        <v>95</v>
      </c>
      <c r="I708" t="s">
        <v>961</v>
      </c>
      <c r="L708">
        <v>0.99</v>
      </c>
      <c r="M708" t="s">
        <v>499</v>
      </c>
      <c r="N708" t="s">
        <v>500</v>
      </c>
      <c r="O708">
        <v>0</v>
      </c>
      <c r="W708" t="b">
        <v>0</v>
      </c>
    </row>
    <row r="709" spans="2:23" hidden="1" x14ac:dyDescent="0.25">
      <c r="B709" t="s">
        <v>1280</v>
      </c>
      <c r="C709" t="s">
        <v>960</v>
      </c>
      <c r="D709" t="s">
        <v>2910</v>
      </c>
      <c r="E709" t="s">
        <v>1280</v>
      </c>
      <c r="G709" t="s">
        <v>207</v>
      </c>
      <c r="H709" t="s">
        <v>95</v>
      </c>
      <c r="I709" t="s">
        <v>961</v>
      </c>
      <c r="L709">
        <v>0.99</v>
      </c>
      <c r="M709" t="s">
        <v>499</v>
      </c>
      <c r="N709" t="s">
        <v>500</v>
      </c>
      <c r="O709">
        <v>0</v>
      </c>
      <c r="W709" t="b">
        <v>0</v>
      </c>
    </row>
    <row r="710" spans="2:23" hidden="1" x14ac:dyDescent="0.25">
      <c r="B710" t="s">
        <v>1282</v>
      </c>
      <c r="C710" t="s">
        <v>960</v>
      </c>
      <c r="D710" t="s">
        <v>2910</v>
      </c>
      <c r="E710" t="s">
        <v>1282</v>
      </c>
      <c r="G710" t="s">
        <v>207</v>
      </c>
      <c r="H710" t="s">
        <v>95</v>
      </c>
      <c r="I710" t="s">
        <v>961</v>
      </c>
      <c r="L710">
        <v>0.99</v>
      </c>
      <c r="M710" t="s">
        <v>499</v>
      </c>
      <c r="N710" t="s">
        <v>500</v>
      </c>
      <c r="O710">
        <v>0</v>
      </c>
      <c r="W710" t="b">
        <v>0</v>
      </c>
    </row>
    <row r="711" spans="2:23" hidden="1" x14ac:dyDescent="0.25">
      <c r="B711" t="s">
        <v>1284</v>
      </c>
      <c r="C711" t="s">
        <v>960</v>
      </c>
      <c r="D711" t="s">
        <v>2910</v>
      </c>
      <c r="E711" t="s">
        <v>1284</v>
      </c>
      <c r="G711" t="s">
        <v>23</v>
      </c>
      <c r="H711" t="s">
        <v>614</v>
      </c>
      <c r="I711" t="s">
        <v>961</v>
      </c>
      <c r="L711">
        <v>0.99</v>
      </c>
      <c r="M711" t="s">
        <v>499</v>
      </c>
      <c r="N711" t="s">
        <v>500</v>
      </c>
      <c r="O711">
        <v>0</v>
      </c>
      <c r="W711" t="b">
        <v>0</v>
      </c>
    </row>
    <row r="712" spans="2:23" hidden="1" x14ac:dyDescent="0.25">
      <c r="B712" t="s">
        <v>1286</v>
      </c>
      <c r="C712" t="s">
        <v>960</v>
      </c>
      <c r="D712" t="s">
        <v>2910</v>
      </c>
      <c r="E712" t="s">
        <v>1286</v>
      </c>
      <c r="G712" t="s">
        <v>207</v>
      </c>
      <c r="H712" t="s">
        <v>240</v>
      </c>
      <c r="I712" t="s">
        <v>961</v>
      </c>
      <c r="L712">
        <v>0.6</v>
      </c>
      <c r="M712" t="s">
        <v>499</v>
      </c>
      <c r="N712" t="s">
        <v>500</v>
      </c>
      <c r="O712">
        <v>0</v>
      </c>
      <c r="W712" t="b">
        <v>0</v>
      </c>
    </row>
    <row r="713" spans="2:23" hidden="1" x14ac:dyDescent="0.25">
      <c r="B713" t="s">
        <v>1288</v>
      </c>
      <c r="C713" t="s">
        <v>960</v>
      </c>
      <c r="D713" t="s">
        <v>2910</v>
      </c>
      <c r="E713" t="s">
        <v>1288</v>
      </c>
      <c r="G713" t="s">
        <v>207</v>
      </c>
      <c r="H713" t="s">
        <v>531</v>
      </c>
      <c r="I713" t="s">
        <v>961</v>
      </c>
      <c r="L713">
        <v>0.96</v>
      </c>
      <c r="M713" t="s">
        <v>499</v>
      </c>
      <c r="N713" t="s">
        <v>500</v>
      </c>
      <c r="O713">
        <v>0</v>
      </c>
      <c r="W713" t="b">
        <v>0</v>
      </c>
    </row>
    <row r="714" spans="2:23" hidden="1" x14ac:dyDescent="0.25">
      <c r="B714" t="s">
        <v>1290</v>
      </c>
      <c r="C714" t="s">
        <v>960</v>
      </c>
      <c r="D714" t="s">
        <v>2910</v>
      </c>
      <c r="E714" t="s">
        <v>1290</v>
      </c>
      <c r="G714" t="s">
        <v>207</v>
      </c>
      <c r="H714" t="s">
        <v>531</v>
      </c>
      <c r="I714" t="s">
        <v>961</v>
      </c>
      <c r="L714">
        <v>0.96</v>
      </c>
      <c r="M714" t="s">
        <v>499</v>
      </c>
      <c r="N714" t="s">
        <v>500</v>
      </c>
      <c r="O714">
        <v>0</v>
      </c>
      <c r="W714" t="b">
        <v>0</v>
      </c>
    </row>
    <row r="715" spans="2:23" hidden="1" x14ac:dyDescent="0.25">
      <c r="B715" t="s">
        <v>1292</v>
      </c>
      <c r="C715" t="s">
        <v>960</v>
      </c>
      <c r="D715" t="s">
        <v>2910</v>
      </c>
      <c r="E715" t="s">
        <v>1292</v>
      </c>
      <c r="G715" t="s">
        <v>207</v>
      </c>
      <c r="H715" t="s">
        <v>531</v>
      </c>
      <c r="I715" t="s">
        <v>961</v>
      </c>
      <c r="L715">
        <v>0.96</v>
      </c>
      <c r="M715" t="s">
        <v>499</v>
      </c>
      <c r="N715" t="s">
        <v>500</v>
      </c>
      <c r="O715">
        <v>0</v>
      </c>
      <c r="W715" t="b">
        <v>0</v>
      </c>
    </row>
    <row r="716" spans="2:23" hidden="1" x14ac:dyDescent="0.25">
      <c r="B716" t="s">
        <v>1294</v>
      </c>
      <c r="C716" t="s">
        <v>960</v>
      </c>
      <c r="D716" t="s">
        <v>2910</v>
      </c>
      <c r="E716" t="s">
        <v>1294</v>
      </c>
      <c r="G716" t="s">
        <v>207</v>
      </c>
      <c r="H716" t="s">
        <v>905</v>
      </c>
      <c r="I716" t="s">
        <v>961</v>
      </c>
      <c r="L716">
        <v>0.99</v>
      </c>
      <c r="M716" t="s">
        <v>499</v>
      </c>
      <c r="N716" t="s">
        <v>500</v>
      </c>
      <c r="O716">
        <v>0</v>
      </c>
      <c r="W716" t="b">
        <v>0</v>
      </c>
    </row>
    <row r="717" spans="2:23" hidden="1" x14ac:dyDescent="0.25">
      <c r="B717" t="s">
        <v>1296</v>
      </c>
      <c r="C717" t="s">
        <v>960</v>
      </c>
      <c r="D717" t="s">
        <v>2910</v>
      </c>
      <c r="E717" t="s">
        <v>1296</v>
      </c>
      <c r="G717" t="s">
        <v>23</v>
      </c>
      <c r="H717" t="s">
        <v>905</v>
      </c>
      <c r="I717" t="s">
        <v>961</v>
      </c>
      <c r="L717">
        <v>0.99</v>
      </c>
      <c r="M717" t="s">
        <v>499</v>
      </c>
      <c r="N717" t="s">
        <v>500</v>
      </c>
      <c r="O717">
        <v>0</v>
      </c>
      <c r="W717" t="b">
        <v>0</v>
      </c>
    </row>
    <row r="718" spans="2:23" hidden="1" x14ac:dyDescent="0.25">
      <c r="B718" t="s">
        <v>1298</v>
      </c>
      <c r="C718" t="s">
        <v>960</v>
      </c>
      <c r="D718" t="s">
        <v>2910</v>
      </c>
      <c r="E718" t="s">
        <v>1298</v>
      </c>
      <c r="G718" t="s">
        <v>207</v>
      </c>
      <c r="H718" t="s">
        <v>823</v>
      </c>
      <c r="I718" t="s">
        <v>961</v>
      </c>
      <c r="L718">
        <v>0.96</v>
      </c>
      <c r="M718" t="s">
        <v>499</v>
      </c>
      <c r="N718" t="s">
        <v>500</v>
      </c>
      <c r="O718">
        <v>0</v>
      </c>
      <c r="W718" t="b">
        <v>0</v>
      </c>
    </row>
    <row r="719" spans="2:23" hidden="1" x14ac:dyDescent="0.25">
      <c r="B719" t="s">
        <v>1300</v>
      </c>
      <c r="C719" t="s">
        <v>960</v>
      </c>
      <c r="D719" t="s">
        <v>2910</v>
      </c>
      <c r="E719" t="s">
        <v>1300</v>
      </c>
      <c r="G719" t="s">
        <v>207</v>
      </c>
      <c r="H719" t="s">
        <v>931</v>
      </c>
      <c r="I719" t="s">
        <v>961</v>
      </c>
      <c r="L719">
        <v>0.99</v>
      </c>
      <c r="M719" t="s">
        <v>499</v>
      </c>
      <c r="N719" t="s">
        <v>500</v>
      </c>
      <c r="O719">
        <v>0</v>
      </c>
      <c r="W719" t="b">
        <v>0</v>
      </c>
    </row>
    <row r="720" spans="2:23" hidden="1" x14ac:dyDescent="0.25">
      <c r="B720" t="s">
        <v>1302</v>
      </c>
      <c r="C720" t="s">
        <v>960</v>
      </c>
      <c r="D720" t="s">
        <v>2910</v>
      </c>
      <c r="E720" t="s">
        <v>1302</v>
      </c>
      <c r="G720" t="s">
        <v>207</v>
      </c>
      <c r="H720" t="s">
        <v>905</v>
      </c>
      <c r="I720" t="s">
        <v>961</v>
      </c>
      <c r="L720">
        <v>0.96</v>
      </c>
      <c r="M720" t="s">
        <v>499</v>
      </c>
      <c r="N720" t="s">
        <v>500</v>
      </c>
      <c r="O720">
        <v>0</v>
      </c>
      <c r="W720" t="b">
        <v>0</v>
      </c>
    </row>
    <row r="721" spans="2:23" hidden="1" x14ac:dyDescent="0.25">
      <c r="B721" t="s">
        <v>1304</v>
      </c>
      <c r="C721" t="s">
        <v>960</v>
      </c>
      <c r="D721" t="s">
        <v>2910</v>
      </c>
      <c r="E721" t="s">
        <v>1304</v>
      </c>
      <c r="G721" t="s">
        <v>207</v>
      </c>
      <c r="H721" t="s">
        <v>905</v>
      </c>
      <c r="I721" t="s">
        <v>961</v>
      </c>
      <c r="L721">
        <v>0.96</v>
      </c>
      <c r="M721" t="s">
        <v>499</v>
      </c>
      <c r="N721" t="s">
        <v>500</v>
      </c>
      <c r="O721">
        <v>0</v>
      </c>
      <c r="W721" t="b">
        <v>0</v>
      </c>
    </row>
    <row r="722" spans="2:23" hidden="1" x14ac:dyDescent="0.25">
      <c r="B722" t="s">
        <v>1306</v>
      </c>
      <c r="C722" t="s">
        <v>960</v>
      </c>
      <c r="D722" t="s">
        <v>2910</v>
      </c>
      <c r="E722" t="s">
        <v>1306</v>
      </c>
      <c r="G722" t="s">
        <v>207</v>
      </c>
      <c r="H722" t="s">
        <v>905</v>
      </c>
      <c r="I722" t="s">
        <v>961</v>
      </c>
      <c r="L722">
        <v>0.96</v>
      </c>
      <c r="M722" t="s">
        <v>499</v>
      </c>
      <c r="N722" t="s">
        <v>500</v>
      </c>
      <c r="O722">
        <v>0</v>
      </c>
      <c r="W722" t="b">
        <v>0</v>
      </c>
    </row>
    <row r="723" spans="2:23" hidden="1" x14ac:dyDescent="0.25">
      <c r="B723" t="s">
        <v>1308</v>
      </c>
      <c r="C723" t="s">
        <v>960</v>
      </c>
      <c r="D723" t="s">
        <v>2910</v>
      </c>
      <c r="E723" t="s">
        <v>1308</v>
      </c>
      <c r="G723" t="s">
        <v>23</v>
      </c>
      <c r="H723" t="s">
        <v>905</v>
      </c>
      <c r="I723" t="s">
        <v>961</v>
      </c>
      <c r="L723">
        <v>0.99</v>
      </c>
      <c r="M723" t="s">
        <v>499</v>
      </c>
      <c r="N723" t="s">
        <v>500</v>
      </c>
      <c r="O723">
        <v>0</v>
      </c>
      <c r="W723" t="b">
        <v>0</v>
      </c>
    </row>
    <row r="724" spans="2:23" hidden="1" x14ac:dyDescent="0.25">
      <c r="B724" t="s">
        <v>1310</v>
      </c>
      <c r="C724" t="s">
        <v>960</v>
      </c>
      <c r="D724" t="s">
        <v>2910</v>
      </c>
      <c r="E724" t="s">
        <v>1310</v>
      </c>
      <c r="G724" t="s">
        <v>23</v>
      </c>
      <c r="H724" t="s">
        <v>905</v>
      </c>
      <c r="I724" t="s">
        <v>961</v>
      </c>
      <c r="L724">
        <v>0.99</v>
      </c>
      <c r="M724" t="s">
        <v>499</v>
      </c>
      <c r="N724" t="s">
        <v>500</v>
      </c>
      <c r="O724">
        <v>0</v>
      </c>
      <c r="W724" t="b">
        <v>0</v>
      </c>
    </row>
    <row r="725" spans="2:23" hidden="1" x14ac:dyDescent="0.25">
      <c r="B725" t="s">
        <v>1312</v>
      </c>
      <c r="C725" t="s">
        <v>960</v>
      </c>
      <c r="D725" t="s">
        <v>2910</v>
      </c>
      <c r="E725" t="s">
        <v>1312</v>
      </c>
      <c r="G725" t="s">
        <v>23</v>
      </c>
      <c r="H725" t="s">
        <v>905</v>
      </c>
      <c r="I725" t="s">
        <v>961</v>
      </c>
      <c r="L725">
        <v>0.99</v>
      </c>
      <c r="M725" t="s">
        <v>499</v>
      </c>
      <c r="N725" t="s">
        <v>500</v>
      </c>
      <c r="O725">
        <v>0</v>
      </c>
      <c r="W725" t="b">
        <v>0</v>
      </c>
    </row>
    <row r="726" spans="2:23" hidden="1" x14ac:dyDescent="0.25">
      <c r="B726" t="s">
        <v>1314</v>
      </c>
      <c r="C726" t="s">
        <v>960</v>
      </c>
      <c r="D726" t="s">
        <v>2910</v>
      </c>
      <c r="E726" t="s">
        <v>1314</v>
      </c>
      <c r="G726" t="s">
        <v>207</v>
      </c>
      <c r="H726" t="s">
        <v>905</v>
      </c>
      <c r="I726" t="s">
        <v>961</v>
      </c>
      <c r="L726">
        <v>0.99</v>
      </c>
      <c r="M726" t="s">
        <v>499</v>
      </c>
      <c r="N726" t="s">
        <v>500</v>
      </c>
      <c r="O726">
        <v>0</v>
      </c>
      <c r="W726" t="b">
        <v>0</v>
      </c>
    </row>
    <row r="727" spans="2:23" hidden="1" x14ac:dyDescent="0.25">
      <c r="B727" t="s">
        <v>1316</v>
      </c>
      <c r="C727" t="s">
        <v>960</v>
      </c>
      <c r="D727" t="s">
        <v>2910</v>
      </c>
      <c r="E727" t="s">
        <v>1316</v>
      </c>
      <c r="G727" t="s">
        <v>207</v>
      </c>
      <c r="H727" t="s">
        <v>240</v>
      </c>
      <c r="I727" t="s">
        <v>961</v>
      </c>
      <c r="L727">
        <v>0.97499999999999998</v>
      </c>
      <c r="M727" t="s">
        <v>499</v>
      </c>
      <c r="N727" t="s">
        <v>500</v>
      </c>
      <c r="O727">
        <v>0</v>
      </c>
      <c r="W727" t="b">
        <v>0</v>
      </c>
    </row>
    <row r="728" spans="2:23" hidden="1" x14ac:dyDescent="0.25">
      <c r="B728" t="s">
        <v>1318</v>
      </c>
      <c r="C728" t="s">
        <v>960</v>
      </c>
      <c r="D728" t="s">
        <v>2910</v>
      </c>
      <c r="E728" t="s">
        <v>1318</v>
      </c>
      <c r="G728" t="s">
        <v>207</v>
      </c>
      <c r="H728" t="s">
        <v>94</v>
      </c>
      <c r="I728" t="s">
        <v>961</v>
      </c>
      <c r="L728">
        <v>0.99</v>
      </c>
      <c r="M728" t="s">
        <v>499</v>
      </c>
      <c r="N728" t="s">
        <v>500</v>
      </c>
      <c r="O728">
        <v>0</v>
      </c>
      <c r="W728" t="b">
        <v>0</v>
      </c>
    </row>
    <row r="729" spans="2:23" hidden="1" x14ac:dyDescent="0.25">
      <c r="B729" t="s">
        <v>1320</v>
      </c>
      <c r="C729" t="s">
        <v>960</v>
      </c>
      <c r="D729" t="s">
        <v>2910</v>
      </c>
      <c r="E729" t="s">
        <v>1320</v>
      </c>
      <c r="G729" t="s">
        <v>207</v>
      </c>
      <c r="H729" t="s">
        <v>94</v>
      </c>
      <c r="I729" t="s">
        <v>961</v>
      </c>
      <c r="L729">
        <v>0.99</v>
      </c>
      <c r="M729" t="s">
        <v>499</v>
      </c>
      <c r="N729" t="s">
        <v>500</v>
      </c>
      <c r="O729">
        <v>0</v>
      </c>
      <c r="W729" t="b">
        <v>0</v>
      </c>
    </row>
    <row r="730" spans="2:23" hidden="1" x14ac:dyDescent="0.25">
      <c r="B730" t="s">
        <v>1322</v>
      </c>
      <c r="C730" t="s">
        <v>960</v>
      </c>
      <c r="D730" t="s">
        <v>2910</v>
      </c>
      <c r="E730" t="s">
        <v>1322</v>
      </c>
      <c r="G730" t="s">
        <v>207</v>
      </c>
      <c r="H730" t="s">
        <v>94</v>
      </c>
      <c r="I730" t="s">
        <v>961</v>
      </c>
      <c r="L730">
        <v>0.99</v>
      </c>
      <c r="M730" t="s">
        <v>499</v>
      </c>
      <c r="N730" t="s">
        <v>500</v>
      </c>
      <c r="O730">
        <v>0</v>
      </c>
      <c r="W730" t="b">
        <v>0</v>
      </c>
    </row>
    <row r="731" spans="2:23" hidden="1" x14ac:dyDescent="0.25">
      <c r="B731" t="s">
        <v>1324</v>
      </c>
      <c r="C731" t="s">
        <v>960</v>
      </c>
      <c r="D731" t="s">
        <v>2910</v>
      </c>
      <c r="E731" t="s">
        <v>1324</v>
      </c>
      <c r="G731" t="s">
        <v>207</v>
      </c>
      <c r="H731" t="s">
        <v>94</v>
      </c>
      <c r="I731" t="s">
        <v>961</v>
      </c>
      <c r="L731">
        <v>0.99</v>
      </c>
      <c r="M731" t="s">
        <v>499</v>
      </c>
      <c r="N731" t="s">
        <v>500</v>
      </c>
      <c r="O731">
        <v>0</v>
      </c>
      <c r="W731" t="b">
        <v>0</v>
      </c>
    </row>
    <row r="732" spans="2:23" hidden="1" x14ac:dyDescent="0.25">
      <c r="B732" t="s">
        <v>1326</v>
      </c>
      <c r="C732" t="s">
        <v>960</v>
      </c>
      <c r="D732" t="s">
        <v>2910</v>
      </c>
      <c r="E732" t="s">
        <v>1326</v>
      </c>
      <c r="G732" t="s">
        <v>207</v>
      </c>
      <c r="H732" t="s">
        <v>579</v>
      </c>
      <c r="I732" t="s">
        <v>961</v>
      </c>
      <c r="L732">
        <v>0.99</v>
      </c>
      <c r="M732" t="s">
        <v>499</v>
      </c>
      <c r="N732" t="s">
        <v>500</v>
      </c>
      <c r="O732">
        <v>0</v>
      </c>
      <c r="W732" t="b">
        <v>0</v>
      </c>
    </row>
    <row r="733" spans="2:23" hidden="1" x14ac:dyDescent="0.25">
      <c r="B733" t="s">
        <v>1328</v>
      </c>
      <c r="C733" t="s">
        <v>960</v>
      </c>
      <c r="D733" t="s">
        <v>2910</v>
      </c>
      <c r="E733" t="s">
        <v>1328</v>
      </c>
      <c r="G733" t="s">
        <v>207</v>
      </c>
      <c r="H733" t="s">
        <v>579</v>
      </c>
      <c r="I733" t="s">
        <v>961</v>
      </c>
      <c r="L733">
        <v>0.99</v>
      </c>
      <c r="M733" t="s">
        <v>499</v>
      </c>
      <c r="N733" t="s">
        <v>500</v>
      </c>
      <c r="O733">
        <v>0</v>
      </c>
      <c r="W733" t="b">
        <v>0</v>
      </c>
    </row>
    <row r="734" spans="2:23" hidden="1" x14ac:dyDescent="0.25">
      <c r="B734" t="s">
        <v>1330</v>
      </c>
      <c r="C734" t="s">
        <v>960</v>
      </c>
      <c r="D734" t="s">
        <v>2910</v>
      </c>
      <c r="E734" t="s">
        <v>1330</v>
      </c>
      <c r="G734" t="s">
        <v>207</v>
      </c>
      <c r="H734" t="s">
        <v>579</v>
      </c>
      <c r="I734" t="s">
        <v>961</v>
      </c>
      <c r="L734">
        <v>0.99</v>
      </c>
      <c r="M734" t="s">
        <v>499</v>
      </c>
      <c r="N734" t="s">
        <v>500</v>
      </c>
      <c r="O734">
        <v>0</v>
      </c>
      <c r="W734" t="b">
        <v>0</v>
      </c>
    </row>
    <row r="735" spans="2:23" hidden="1" x14ac:dyDescent="0.25">
      <c r="B735" t="s">
        <v>1332</v>
      </c>
      <c r="C735" t="s">
        <v>960</v>
      </c>
      <c r="D735" t="s">
        <v>2910</v>
      </c>
      <c r="E735" t="s">
        <v>1332</v>
      </c>
      <c r="G735" t="s">
        <v>207</v>
      </c>
      <c r="H735" t="s">
        <v>579</v>
      </c>
      <c r="I735" t="s">
        <v>961</v>
      </c>
      <c r="L735">
        <v>0.99</v>
      </c>
      <c r="M735" t="s">
        <v>499</v>
      </c>
      <c r="N735" t="s">
        <v>500</v>
      </c>
      <c r="O735">
        <v>0</v>
      </c>
      <c r="W735" t="b">
        <v>0</v>
      </c>
    </row>
    <row r="736" spans="2:23" hidden="1" x14ac:dyDescent="0.25">
      <c r="B736" t="s">
        <v>1334</v>
      </c>
      <c r="C736" t="s">
        <v>960</v>
      </c>
      <c r="D736" t="s">
        <v>2910</v>
      </c>
      <c r="E736" t="s">
        <v>1334</v>
      </c>
      <c r="G736" t="s">
        <v>207</v>
      </c>
      <c r="H736" t="s">
        <v>579</v>
      </c>
      <c r="I736" t="s">
        <v>961</v>
      </c>
      <c r="L736">
        <v>0.99</v>
      </c>
      <c r="M736" t="s">
        <v>499</v>
      </c>
      <c r="N736" t="s">
        <v>500</v>
      </c>
      <c r="O736">
        <v>0</v>
      </c>
      <c r="W736" t="b">
        <v>0</v>
      </c>
    </row>
    <row r="737" spans="2:23" hidden="1" x14ac:dyDescent="0.25">
      <c r="B737" t="s">
        <v>1336</v>
      </c>
      <c r="C737" t="s">
        <v>960</v>
      </c>
      <c r="D737" t="s">
        <v>2910</v>
      </c>
      <c r="E737" t="s">
        <v>1336</v>
      </c>
      <c r="G737" t="s">
        <v>207</v>
      </c>
      <c r="H737" t="s">
        <v>531</v>
      </c>
      <c r="I737" t="s">
        <v>961</v>
      </c>
      <c r="L737">
        <v>0.999</v>
      </c>
      <c r="M737" t="s">
        <v>499</v>
      </c>
      <c r="N737" t="s">
        <v>500</v>
      </c>
      <c r="O737">
        <v>0</v>
      </c>
      <c r="W737" t="b">
        <v>0</v>
      </c>
    </row>
    <row r="738" spans="2:23" hidden="1" x14ac:dyDescent="0.25">
      <c r="B738" t="s">
        <v>1338</v>
      </c>
      <c r="C738" t="s">
        <v>960</v>
      </c>
      <c r="D738" t="s">
        <v>2910</v>
      </c>
      <c r="E738" t="s">
        <v>1338</v>
      </c>
      <c r="G738" t="s">
        <v>207</v>
      </c>
      <c r="H738" t="s">
        <v>531</v>
      </c>
      <c r="I738" t="s">
        <v>961</v>
      </c>
      <c r="L738">
        <v>0.99</v>
      </c>
      <c r="M738" t="s">
        <v>499</v>
      </c>
      <c r="N738" t="s">
        <v>500</v>
      </c>
      <c r="O738">
        <v>0</v>
      </c>
      <c r="W738" t="b">
        <v>0</v>
      </c>
    </row>
    <row r="739" spans="2:23" hidden="1" x14ac:dyDescent="0.25">
      <c r="B739" t="s">
        <v>1340</v>
      </c>
      <c r="C739" t="s">
        <v>960</v>
      </c>
      <c r="D739" t="s">
        <v>2910</v>
      </c>
      <c r="E739" t="s">
        <v>1340</v>
      </c>
      <c r="G739" t="s">
        <v>207</v>
      </c>
      <c r="H739" t="s">
        <v>531</v>
      </c>
      <c r="I739" t="s">
        <v>961</v>
      </c>
      <c r="L739">
        <v>0.99</v>
      </c>
      <c r="M739" t="s">
        <v>499</v>
      </c>
      <c r="N739" t="s">
        <v>500</v>
      </c>
      <c r="O739">
        <v>0</v>
      </c>
      <c r="W739" t="b">
        <v>0</v>
      </c>
    </row>
    <row r="740" spans="2:23" hidden="1" x14ac:dyDescent="0.25">
      <c r="B740" t="s">
        <v>1342</v>
      </c>
      <c r="C740" t="s">
        <v>960</v>
      </c>
      <c r="D740" t="s">
        <v>2910</v>
      </c>
      <c r="E740" t="s">
        <v>1342</v>
      </c>
      <c r="G740" t="s">
        <v>23</v>
      </c>
      <c r="H740" t="s">
        <v>95</v>
      </c>
      <c r="I740" t="s">
        <v>961</v>
      </c>
      <c r="L740">
        <v>0.99</v>
      </c>
      <c r="M740" t="s">
        <v>499</v>
      </c>
      <c r="N740" t="s">
        <v>500</v>
      </c>
      <c r="O740">
        <v>0</v>
      </c>
      <c r="W740" t="b">
        <v>0</v>
      </c>
    </row>
    <row r="741" spans="2:23" hidden="1" x14ac:dyDescent="0.25">
      <c r="B741" t="s">
        <v>1344</v>
      </c>
      <c r="C741" t="s">
        <v>960</v>
      </c>
      <c r="D741" t="s">
        <v>2910</v>
      </c>
      <c r="E741" t="s">
        <v>1344</v>
      </c>
      <c r="G741" t="s">
        <v>207</v>
      </c>
      <c r="H741" t="s">
        <v>822</v>
      </c>
      <c r="I741" t="s">
        <v>961</v>
      </c>
      <c r="L741">
        <v>0.98899999999999999</v>
      </c>
      <c r="M741" t="s">
        <v>499</v>
      </c>
      <c r="N741" t="s">
        <v>500</v>
      </c>
      <c r="O741">
        <v>0</v>
      </c>
      <c r="W741" t="b">
        <v>0</v>
      </c>
    </row>
    <row r="742" spans="2:23" hidden="1" x14ac:dyDescent="0.25">
      <c r="B742" t="s">
        <v>1346</v>
      </c>
      <c r="C742" t="s">
        <v>960</v>
      </c>
      <c r="D742" t="s">
        <v>2910</v>
      </c>
      <c r="E742" t="s">
        <v>1346</v>
      </c>
      <c r="G742" t="s">
        <v>207</v>
      </c>
      <c r="H742" t="s">
        <v>822</v>
      </c>
      <c r="I742" t="s">
        <v>961</v>
      </c>
      <c r="L742">
        <v>0.98899999999999999</v>
      </c>
      <c r="M742" t="s">
        <v>499</v>
      </c>
      <c r="N742" t="s">
        <v>500</v>
      </c>
      <c r="O742">
        <v>0</v>
      </c>
      <c r="W742" t="b">
        <v>0</v>
      </c>
    </row>
    <row r="743" spans="2:23" hidden="1" x14ac:dyDescent="0.25">
      <c r="B743" t="s">
        <v>1348</v>
      </c>
      <c r="C743" t="s">
        <v>960</v>
      </c>
      <c r="D743" t="s">
        <v>2910</v>
      </c>
      <c r="E743" t="s">
        <v>1348</v>
      </c>
      <c r="G743" t="s">
        <v>207</v>
      </c>
      <c r="H743" t="s">
        <v>905</v>
      </c>
      <c r="I743" t="s">
        <v>961</v>
      </c>
      <c r="L743">
        <v>0.99</v>
      </c>
      <c r="M743" t="s">
        <v>499</v>
      </c>
      <c r="N743" t="s">
        <v>500</v>
      </c>
      <c r="O743">
        <v>0</v>
      </c>
      <c r="W743" t="b">
        <v>0</v>
      </c>
    </row>
    <row r="744" spans="2:23" hidden="1" x14ac:dyDescent="0.25">
      <c r="B744" t="s">
        <v>1350</v>
      </c>
      <c r="C744" t="s">
        <v>960</v>
      </c>
      <c r="D744" t="s">
        <v>2910</v>
      </c>
      <c r="E744" t="s">
        <v>1350</v>
      </c>
      <c r="G744" t="s">
        <v>207</v>
      </c>
      <c r="H744" t="s">
        <v>905</v>
      </c>
      <c r="I744" t="s">
        <v>961</v>
      </c>
      <c r="L744">
        <v>0.99</v>
      </c>
      <c r="M744" t="s">
        <v>499</v>
      </c>
      <c r="N744" t="s">
        <v>500</v>
      </c>
      <c r="O744">
        <v>0</v>
      </c>
      <c r="W744" t="b">
        <v>0</v>
      </c>
    </row>
    <row r="745" spans="2:23" hidden="1" x14ac:dyDescent="0.25">
      <c r="B745" t="s">
        <v>1352</v>
      </c>
      <c r="C745" t="s">
        <v>960</v>
      </c>
      <c r="D745" t="s">
        <v>2910</v>
      </c>
      <c r="E745" t="s">
        <v>1352</v>
      </c>
      <c r="G745" t="s">
        <v>207</v>
      </c>
      <c r="H745" t="s">
        <v>94</v>
      </c>
      <c r="I745" t="s">
        <v>961</v>
      </c>
      <c r="L745">
        <v>0.99</v>
      </c>
      <c r="M745" t="s">
        <v>499</v>
      </c>
      <c r="N745" t="s">
        <v>500</v>
      </c>
      <c r="O745">
        <v>0</v>
      </c>
      <c r="W745" t="b">
        <v>0</v>
      </c>
    </row>
    <row r="746" spans="2:23" hidden="1" x14ac:dyDescent="0.25">
      <c r="B746" t="s">
        <v>1354</v>
      </c>
      <c r="C746" t="s">
        <v>960</v>
      </c>
      <c r="D746" t="s">
        <v>2910</v>
      </c>
      <c r="E746" t="s">
        <v>1354</v>
      </c>
      <c r="G746" t="s">
        <v>207</v>
      </c>
      <c r="H746" t="s">
        <v>931</v>
      </c>
      <c r="I746" t="s">
        <v>961</v>
      </c>
      <c r="L746">
        <v>0.99</v>
      </c>
      <c r="M746" t="s">
        <v>499</v>
      </c>
      <c r="N746" t="s">
        <v>500</v>
      </c>
      <c r="O746">
        <v>0</v>
      </c>
      <c r="W746" t="b">
        <v>0</v>
      </c>
    </row>
    <row r="747" spans="2:23" hidden="1" x14ac:dyDescent="0.25">
      <c r="B747" t="s">
        <v>1356</v>
      </c>
      <c r="C747" t="s">
        <v>960</v>
      </c>
      <c r="D747" t="s">
        <v>2910</v>
      </c>
      <c r="E747" t="s">
        <v>1356</v>
      </c>
      <c r="G747" t="s">
        <v>23</v>
      </c>
      <c r="H747" t="s">
        <v>931</v>
      </c>
      <c r="I747" t="s">
        <v>961</v>
      </c>
      <c r="L747">
        <v>0.99</v>
      </c>
      <c r="M747" t="s">
        <v>499</v>
      </c>
      <c r="N747" t="s">
        <v>500</v>
      </c>
      <c r="O747">
        <v>0</v>
      </c>
      <c r="W747" t="b">
        <v>0</v>
      </c>
    </row>
    <row r="748" spans="2:23" hidden="1" x14ac:dyDescent="0.25">
      <c r="B748" t="s">
        <v>1358</v>
      </c>
      <c r="C748" t="s">
        <v>960</v>
      </c>
      <c r="D748" t="s">
        <v>2910</v>
      </c>
      <c r="E748" t="s">
        <v>1358</v>
      </c>
      <c r="G748" t="s">
        <v>207</v>
      </c>
      <c r="H748" t="s">
        <v>931</v>
      </c>
      <c r="I748" t="s">
        <v>961</v>
      </c>
      <c r="L748">
        <v>0.99</v>
      </c>
      <c r="M748" t="s">
        <v>499</v>
      </c>
      <c r="N748" t="s">
        <v>500</v>
      </c>
      <c r="O748">
        <v>0</v>
      </c>
      <c r="W748" t="b">
        <v>0</v>
      </c>
    </row>
    <row r="749" spans="2:23" hidden="1" x14ac:dyDescent="0.25">
      <c r="B749" t="s">
        <v>1360</v>
      </c>
      <c r="C749" t="s">
        <v>960</v>
      </c>
      <c r="D749" t="s">
        <v>2910</v>
      </c>
      <c r="E749" t="s">
        <v>1360</v>
      </c>
      <c r="G749" t="s">
        <v>23</v>
      </c>
      <c r="H749" t="s">
        <v>95</v>
      </c>
      <c r="I749" t="s">
        <v>961</v>
      </c>
      <c r="L749">
        <v>0.99</v>
      </c>
      <c r="M749" t="s">
        <v>499</v>
      </c>
      <c r="N749" t="s">
        <v>500</v>
      </c>
      <c r="O749">
        <v>0</v>
      </c>
      <c r="W749" t="b">
        <v>0</v>
      </c>
    </row>
    <row r="750" spans="2:23" hidden="1" x14ac:dyDescent="0.25">
      <c r="B750" t="s">
        <v>1362</v>
      </c>
      <c r="C750" t="s">
        <v>960</v>
      </c>
      <c r="D750" t="s">
        <v>2910</v>
      </c>
      <c r="E750" t="s">
        <v>1362</v>
      </c>
      <c r="G750" t="s">
        <v>23</v>
      </c>
      <c r="H750" t="s">
        <v>931</v>
      </c>
      <c r="I750" t="s">
        <v>961</v>
      </c>
      <c r="L750">
        <v>0.99</v>
      </c>
      <c r="M750" t="s">
        <v>499</v>
      </c>
      <c r="N750" t="s">
        <v>500</v>
      </c>
      <c r="O750">
        <v>0</v>
      </c>
      <c r="W750" t="b">
        <v>0</v>
      </c>
    </row>
    <row r="751" spans="2:23" hidden="1" x14ac:dyDescent="0.25">
      <c r="B751" t="s">
        <v>1364</v>
      </c>
      <c r="C751" t="s">
        <v>960</v>
      </c>
      <c r="D751" t="s">
        <v>2910</v>
      </c>
      <c r="E751" t="s">
        <v>1364</v>
      </c>
      <c r="G751" t="s">
        <v>207</v>
      </c>
      <c r="H751" t="s">
        <v>579</v>
      </c>
      <c r="I751" t="s">
        <v>961</v>
      </c>
      <c r="L751">
        <v>0.99</v>
      </c>
      <c r="M751" t="s">
        <v>499</v>
      </c>
      <c r="N751" t="s">
        <v>500</v>
      </c>
      <c r="O751">
        <v>0</v>
      </c>
      <c r="W751" t="b">
        <v>0</v>
      </c>
    </row>
    <row r="752" spans="2:23" hidden="1" x14ac:dyDescent="0.25">
      <c r="B752" t="s">
        <v>1366</v>
      </c>
      <c r="C752" t="s">
        <v>960</v>
      </c>
      <c r="D752" t="s">
        <v>2910</v>
      </c>
      <c r="E752" t="s">
        <v>1366</v>
      </c>
      <c r="G752" t="s">
        <v>207</v>
      </c>
      <c r="H752" t="s">
        <v>95</v>
      </c>
      <c r="I752" t="s">
        <v>961</v>
      </c>
      <c r="L752">
        <v>0.99</v>
      </c>
      <c r="M752" t="s">
        <v>499</v>
      </c>
      <c r="N752" t="s">
        <v>500</v>
      </c>
      <c r="O752">
        <v>0</v>
      </c>
      <c r="W752" t="b">
        <v>0</v>
      </c>
    </row>
    <row r="753" spans="2:23" hidden="1" x14ac:dyDescent="0.25">
      <c r="B753" t="s">
        <v>1368</v>
      </c>
      <c r="C753" t="s">
        <v>960</v>
      </c>
      <c r="D753" t="s">
        <v>2910</v>
      </c>
      <c r="E753" t="s">
        <v>1368</v>
      </c>
      <c r="G753" t="s">
        <v>207</v>
      </c>
      <c r="H753" t="s">
        <v>579</v>
      </c>
      <c r="I753" t="s">
        <v>961</v>
      </c>
      <c r="L753">
        <v>0.99</v>
      </c>
      <c r="M753" t="s">
        <v>499</v>
      </c>
      <c r="N753" t="s">
        <v>500</v>
      </c>
      <c r="O753">
        <v>0</v>
      </c>
      <c r="W753" t="b">
        <v>0</v>
      </c>
    </row>
    <row r="754" spans="2:23" hidden="1" x14ac:dyDescent="0.25">
      <c r="B754" t="s">
        <v>1370</v>
      </c>
      <c r="C754" t="s">
        <v>960</v>
      </c>
      <c r="D754" t="s">
        <v>2910</v>
      </c>
      <c r="E754" t="s">
        <v>1370</v>
      </c>
      <c r="G754" t="s">
        <v>207</v>
      </c>
      <c r="H754" t="s">
        <v>579</v>
      </c>
      <c r="I754" t="s">
        <v>961</v>
      </c>
      <c r="L754">
        <v>0.99</v>
      </c>
      <c r="M754" t="s">
        <v>499</v>
      </c>
      <c r="N754" t="s">
        <v>500</v>
      </c>
      <c r="O754">
        <v>0</v>
      </c>
      <c r="W754" t="b">
        <v>0</v>
      </c>
    </row>
    <row r="755" spans="2:23" hidden="1" x14ac:dyDescent="0.25">
      <c r="B755" t="s">
        <v>1372</v>
      </c>
      <c r="C755" t="s">
        <v>960</v>
      </c>
      <c r="D755" t="s">
        <v>2910</v>
      </c>
      <c r="E755" t="s">
        <v>1372</v>
      </c>
      <c r="G755" t="s">
        <v>207</v>
      </c>
      <c r="H755" t="s">
        <v>531</v>
      </c>
      <c r="I755" t="s">
        <v>961</v>
      </c>
      <c r="L755">
        <v>0.9</v>
      </c>
      <c r="M755" t="s">
        <v>499</v>
      </c>
      <c r="N755" t="s">
        <v>500</v>
      </c>
      <c r="O755">
        <v>0</v>
      </c>
      <c r="W755" t="b">
        <v>0</v>
      </c>
    </row>
    <row r="756" spans="2:23" hidden="1" x14ac:dyDescent="0.25">
      <c r="B756" t="s">
        <v>1374</v>
      </c>
      <c r="C756" t="s">
        <v>960</v>
      </c>
      <c r="D756" t="s">
        <v>2910</v>
      </c>
      <c r="E756" t="s">
        <v>1374</v>
      </c>
      <c r="G756" t="s">
        <v>207</v>
      </c>
      <c r="H756" t="s">
        <v>531</v>
      </c>
      <c r="I756" t="s">
        <v>961</v>
      </c>
      <c r="L756">
        <v>0.9</v>
      </c>
      <c r="M756" t="s">
        <v>499</v>
      </c>
      <c r="N756" t="s">
        <v>500</v>
      </c>
      <c r="O756">
        <v>0</v>
      </c>
      <c r="W756" t="b">
        <v>0</v>
      </c>
    </row>
    <row r="757" spans="2:23" hidden="1" x14ac:dyDescent="0.25">
      <c r="B757" t="s">
        <v>1376</v>
      </c>
      <c r="C757" t="s">
        <v>960</v>
      </c>
      <c r="D757" t="s">
        <v>2910</v>
      </c>
      <c r="E757" t="s">
        <v>1376</v>
      </c>
      <c r="G757" t="s">
        <v>207</v>
      </c>
      <c r="H757" t="s">
        <v>531</v>
      </c>
      <c r="I757" t="s">
        <v>961</v>
      </c>
      <c r="L757">
        <v>0.9</v>
      </c>
      <c r="M757" t="s">
        <v>499</v>
      </c>
      <c r="N757" t="s">
        <v>500</v>
      </c>
      <c r="O757">
        <v>0</v>
      </c>
      <c r="W757" t="b">
        <v>0</v>
      </c>
    </row>
    <row r="758" spans="2:23" hidden="1" x14ac:dyDescent="0.25">
      <c r="B758" t="s">
        <v>1378</v>
      </c>
      <c r="C758" t="s">
        <v>960</v>
      </c>
      <c r="D758" t="s">
        <v>2910</v>
      </c>
      <c r="E758" t="s">
        <v>1378</v>
      </c>
      <c r="G758" t="s">
        <v>207</v>
      </c>
      <c r="H758" t="s">
        <v>531</v>
      </c>
      <c r="I758" t="s">
        <v>961</v>
      </c>
      <c r="L758">
        <v>0.99</v>
      </c>
      <c r="M758" t="s">
        <v>499</v>
      </c>
      <c r="N758" t="s">
        <v>500</v>
      </c>
      <c r="O758">
        <v>0</v>
      </c>
      <c r="W758" t="b">
        <v>0</v>
      </c>
    </row>
    <row r="759" spans="2:23" hidden="1" x14ac:dyDescent="0.25">
      <c r="B759" t="s">
        <v>1380</v>
      </c>
      <c r="C759" t="s">
        <v>960</v>
      </c>
      <c r="D759" t="s">
        <v>2910</v>
      </c>
      <c r="E759" t="s">
        <v>1380</v>
      </c>
      <c r="G759" t="s">
        <v>207</v>
      </c>
      <c r="H759" t="s">
        <v>95</v>
      </c>
      <c r="I759" t="s">
        <v>961</v>
      </c>
      <c r="L759">
        <v>0.99</v>
      </c>
      <c r="M759" t="s">
        <v>499</v>
      </c>
      <c r="N759" t="s">
        <v>500</v>
      </c>
      <c r="O759">
        <v>0</v>
      </c>
      <c r="W759" t="b">
        <v>0</v>
      </c>
    </row>
    <row r="760" spans="2:23" hidden="1" x14ac:dyDescent="0.25">
      <c r="B760" t="s">
        <v>1382</v>
      </c>
      <c r="C760" t="s">
        <v>960</v>
      </c>
      <c r="D760" t="s">
        <v>2910</v>
      </c>
      <c r="E760" t="s">
        <v>1382</v>
      </c>
      <c r="G760" t="s">
        <v>207</v>
      </c>
      <c r="H760" t="s">
        <v>95</v>
      </c>
      <c r="I760" t="s">
        <v>961</v>
      </c>
      <c r="L760">
        <v>0.99</v>
      </c>
      <c r="M760" t="s">
        <v>499</v>
      </c>
      <c r="N760" t="s">
        <v>500</v>
      </c>
      <c r="O760">
        <v>0</v>
      </c>
      <c r="W760" t="b">
        <v>0</v>
      </c>
    </row>
    <row r="761" spans="2:23" hidden="1" x14ac:dyDescent="0.25">
      <c r="B761" t="s">
        <v>1384</v>
      </c>
      <c r="C761" t="s">
        <v>960</v>
      </c>
      <c r="D761" t="s">
        <v>2910</v>
      </c>
      <c r="E761" t="s">
        <v>1384</v>
      </c>
      <c r="G761" t="s">
        <v>207</v>
      </c>
      <c r="H761" t="s">
        <v>95</v>
      </c>
      <c r="I761" t="s">
        <v>961</v>
      </c>
      <c r="L761">
        <v>0.96</v>
      </c>
      <c r="M761" t="s">
        <v>499</v>
      </c>
      <c r="N761" t="s">
        <v>500</v>
      </c>
      <c r="O761">
        <v>0</v>
      </c>
      <c r="W761" t="b">
        <v>0</v>
      </c>
    </row>
    <row r="762" spans="2:23" hidden="1" x14ac:dyDescent="0.25">
      <c r="B762" t="s">
        <v>1386</v>
      </c>
      <c r="C762" t="s">
        <v>960</v>
      </c>
      <c r="D762" t="s">
        <v>2910</v>
      </c>
      <c r="E762" t="s">
        <v>1386</v>
      </c>
      <c r="G762" t="s">
        <v>207</v>
      </c>
      <c r="H762" t="s">
        <v>95</v>
      </c>
      <c r="I762" t="s">
        <v>961</v>
      </c>
      <c r="L762">
        <v>0.99</v>
      </c>
      <c r="M762" t="s">
        <v>499</v>
      </c>
      <c r="N762" t="s">
        <v>500</v>
      </c>
      <c r="O762">
        <v>0</v>
      </c>
      <c r="W762" t="b">
        <v>0</v>
      </c>
    </row>
    <row r="763" spans="2:23" hidden="1" x14ac:dyDescent="0.25">
      <c r="B763" t="s">
        <v>1388</v>
      </c>
      <c r="C763" t="s">
        <v>960</v>
      </c>
      <c r="D763" t="s">
        <v>2910</v>
      </c>
      <c r="E763" t="s">
        <v>1388</v>
      </c>
      <c r="G763" t="s">
        <v>207</v>
      </c>
      <c r="H763" t="s">
        <v>95</v>
      </c>
      <c r="I763" t="s">
        <v>961</v>
      </c>
      <c r="L763">
        <v>0.99</v>
      </c>
      <c r="M763" t="s">
        <v>499</v>
      </c>
      <c r="N763" t="s">
        <v>500</v>
      </c>
      <c r="O763">
        <v>0</v>
      </c>
      <c r="W763" t="b">
        <v>0</v>
      </c>
    </row>
    <row r="764" spans="2:23" hidden="1" x14ac:dyDescent="0.25">
      <c r="B764" t="s">
        <v>1390</v>
      </c>
      <c r="C764" t="s">
        <v>960</v>
      </c>
      <c r="D764" t="s">
        <v>2910</v>
      </c>
      <c r="E764" t="s">
        <v>1390</v>
      </c>
      <c r="G764" t="s">
        <v>207</v>
      </c>
      <c r="H764" t="s">
        <v>531</v>
      </c>
      <c r="I764" t="s">
        <v>961</v>
      </c>
      <c r="L764">
        <v>0.9</v>
      </c>
      <c r="M764" t="s">
        <v>499</v>
      </c>
      <c r="N764" t="s">
        <v>500</v>
      </c>
      <c r="O764">
        <v>0</v>
      </c>
      <c r="W764" t="b">
        <v>0</v>
      </c>
    </row>
    <row r="765" spans="2:23" hidden="1" x14ac:dyDescent="0.25">
      <c r="B765" t="s">
        <v>1392</v>
      </c>
      <c r="C765" t="s">
        <v>960</v>
      </c>
      <c r="D765" t="s">
        <v>2910</v>
      </c>
      <c r="E765" t="s">
        <v>1392</v>
      </c>
      <c r="G765" t="s">
        <v>207</v>
      </c>
      <c r="H765" t="s">
        <v>531</v>
      </c>
      <c r="I765" t="s">
        <v>961</v>
      </c>
      <c r="L765">
        <v>0.99</v>
      </c>
      <c r="M765" t="s">
        <v>499</v>
      </c>
      <c r="N765" t="s">
        <v>500</v>
      </c>
      <c r="O765">
        <v>0</v>
      </c>
      <c r="W765" t="b">
        <v>0</v>
      </c>
    </row>
    <row r="766" spans="2:23" hidden="1" x14ac:dyDescent="0.25">
      <c r="B766" t="s">
        <v>1394</v>
      </c>
      <c r="C766" t="s">
        <v>960</v>
      </c>
      <c r="D766" t="s">
        <v>2910</v>
      </c>
      <c r="E766" t="s">
        <v>1394</v>
      </c>
      <c r="G766" t="s">
        <v>207</v>
      </c>
      <c r="H766" t="s">
        <v>531</v>
      </c>
      <c r="I766" t="s">
        <v>961</v>
      </c>
      <c r="L766">
        <v>0.99</v>
      </c>
      <c r="M766" t="s">
        <v>499</v>
      </c>
      <c r="N766" t="s">
        <v>500</v>
      </c>
      <c r="O766">
        <v>0</v>
      </c>
      <c r="W766" t="b">
        <v>0</v>
      </c>
    </row>
    <row r="767" spans="2:23" hidden="1" x14ac:dyDescent="0.25">
      <c r="B767" t="s">
        <v>1396</v>
      </c>
      <c r="C767" t="s">
        <v>960</v>
      </c>
      <c r="D767" t="s">
        <v>2910</v>
      </c>
      <c r="E767" t="s">
        <v>1396</v>
      </c>
      <c r="G767" t="s">
        <v>207</v>
      </c>
      <c r="H767" t="s">
        <v>95</v>
      </c>
      <c r="I767" t="s">
        <v>961</v>
      </c>
      <c r="L767">
        <v>0.99</v>
      </c>
      <c r="M767" t="s">
        <v>499</v>
      </c>
      <c r="N767" t="s">
        <v>500</v>
      </c>
      <c r="O767">
        <v>0</v>
      </c>
      <c r="W767" t="b">
        <v>0</v>
      </c>
    </row>
    <row r="768" spans="2:23" hidden="1" x14ac:dyDescent="0.25">
      <c r="B768" t="s">
        <v>1398</v>
      </c>
      <c r="C768" t="s">
        <v>960</v>
      </c>
      <c r="D768" t="s">
        <v>2910</v>
      </c>
      <c r="E768" t="s">
        <v>1398</v>
      </c>
      <c r="G768" t="s">
        <v>207</v>
      </c>
      <c r="H768" t="s">
        <v>95</v>
      </c>
      <c r="I768" t="s">
        <v>961</v>
      </c>
      <c r="L768">
        <v>0.99</v>
      </c>
      <c r="M768" t="s">
        <v>499</v>
      </c>
      <c r="N768" t="s">
        <v>500</v>
      </c>
      <c r="O768">
        <v>0</v>
      </c>
      <c r="W768" t="b">
        <v>0</v>
      </c>
    </row>
    <row r="769" spans="2:23" hidden="1" x14ac:dyDescent="0.25">
      <c r="B769" t="s">
        <v>1400</v>
      </c>
      <c r="C769" t="s">
        <v>960</v>
      </c>
      <c r="D769" t="s">
        <v>2910</v>
      </c>
      <c r="E769" t="s">
        <v>1400</v>
      </c>
      <c r="G769" t="s">
        <v>207</v>
      </c>
      <c r="H769" t="s">
        <v>240</v>
      </c>
      <c r="I769" t="s">
        <v>961</v>
      </c>
      <c r="L769">
        <v>0.96</v>
      </c>
      <c r="M769" t="s">
        <v>499</v>
      </c>
      <c r="N769" t="s">
        <v>500</v>
      </c>
      <c r="O769">
        <v>0</v>
      </c>
      <c r="W769" t="b">
        <v>0</v>
      </c>
    </row>
    <row r="770" spans="2:23" hidden="1" x14ac:dyDescent="0.25">
      <c r="B770" t="s">
        <v>1402</v>
      </c>
      <c r="C770" t="s">
        <v>960</v>
      </c>
      <c r="D770" t="s">
        <v>2910</v>
      </c>
      <c r="E770" t="s">
        <v>1402</v>
      </c>
      <c r="G770" t="s">
        <v>207</v>
      </c>
      <c r="H770" t="s">
        <v>531</v>
      </c>
      <c r="I770" t="s">
        <v>961</v>
      </c>
      <c r="L770">
        <v>0.9</v>
      </c>
      <c r="M770" t="s">
        <v>499</v>
      </c>
      <c r="N770" t="s">
        <v>500</v>
      </c>
      <c r="O770">
        <v>0</v>
      </c>
      <c r="W770" t="b">
        <v>0</v>
      </c>
    </row>
    <row r="771" spans="2:23" hidden="1" x14ac:dyDescent="0.25">
      <c r="B771" t="s">
        <v>1404</v>
      </c>
      <c r="C771" t="s">
        <v>960</v>
      </c>
      <c r="D771" t="s">
        <v>2910</v>
      </c>
      <c r="E771" t="s">
        <v>1404</v>
      </c>
      <c r="G771" t="s">
        <v>207</v>
      </c>
      <c r="H771" t="s">
        <v>823</v>
      </c>
      <c r="I771" t="s">
        <v>961</v>
      </c>
      <c r="L771">
        <v>0.9</v>
      </c>
      <c r="M771" t="s">
        <v>499</v>
      </c>
      <c r="N771" t="s">
        <v>500</v>
      </c>
      <c r="O771">
        <v>0</v>
      </c>
      <c r="W771" t="b">
        <v>0</v>
      </c>
    </row>
    <row r="772" spans="2:23" hidden="1" x14ac:dyDescent="0.25">
      <c r="B772" t="s">
        <v>1406</v>
      </c>
      <c r="C772" t="s">
        <v>960</v>
      </c>
      <c r="D772" t="s">
        <v>2910</v>
      </c>
      <c r="E772" t="s">
        <v>1406</v>
      </c>
      <c r="G772" t="s">
        <v>207</v>
      </c>
      <c r="H772" t="s">
        <v>823</v>
      </c>
      <c r="I772" t="s">
        <v>961</v>
      </c>
      <c r="L772">
        <v>0.9</v>
      </c>
      <c r="M772" t="s">
        <v>499</v>
      </c>
      <c r="N772" t="s">
        <v>500</v>
      </c>
      <c r="O772">
        <v>0</v>
      </c>
      <c r="W772" t="b">
        <v>0</v>
      </c>
    </row>
    <row r="773" spans="2:23" hidden="1" x14ac:dyDescent="0.25">
      <c r="B773" t="s">
        <v>1408</v>
      </c>
      <c r="C773" t="s">
        <v>960</v>
      </c>
      <c r="D773" t="s">
        <v>2910</v>
      </c>
      <c r="E773" t="s">
        <v>1408</v>
      </c>
      <c r="G773" t="s">
        <v>207</v>
      </c>
      <c r="H773" t="s">
        <v>531</v>
      </c>
      <c r="I773" t="s">
        <v>961</v>
      </c>
      <c r="L773">
        <v>0.9</v>
      </c>
      <c r="M773" t="s">
        <v>499</v>
      </c>
      <c r="N773" t="s">
        <v>500</v>
      </c>
      <c r="O773">
        <v>0</v>
      </c>
      <c r="W773" t="b">
        <v>0</v>
      </c>
    </row>
    <row r="774" spans="2:23" hidden="1" x14ac:dyDescent="0.25">
      <c r="B774" t="s">
        <v>1410</v>
      </c>
      <c r="C774" t="s">
        <v>960</v>
      </c>
      <c r="D774" t="s">
        <v>2910</v>
      </c>
      <c r="E774" t="s">
        <v>1410</v>
      </c>
      <c r="G774" t="s">
        <v>207</v>
      </c>
      <c r="H774" t="s">
        <v>531</v>
      </c>
      <c r="I774" t="s">
        <v>961</v>
      </c>
      <c r="L774">
        <v>0.9</v>
      </c>
      <c r="M774" t="s">
        <v>499</v>
      </c>
      <c r="N774" t="s">
        <v>500</v>
      </c>
      <c r="O774">
        <v>0</v>
      </c>
      <c r="W774" t="b">
        <v>0</v>
      </c>
    </row>
    <row r="775" spans="2:23" hidden="1" x14ac:dyDescent="0.25">
      <c r="B775" t="s">
        <v>1412</v>
      </c>
      <c r="C775" t="s">
        <v>960</v>
      </c>
      <c r="D775" t="s">
        <v>2910</v>
      </c>
      <c r="E775" t="s">
        <v>1412</v>
      </c>
      <c r="G775" t="s">
        <v>207</v>
      </c>
      <c r="H775" t="s">
        <v>531</v>
      </c>
      <c r="I775" t="s">
        <v>961</v>
      </c>
      <c r="L775">
        <v>0.99</v>
      </c>
      <c r="M775" t="s">
        <v>499</v>
      </c>
      <c r="N775" t="s">
        <v>500</v>
      </c>
      <c r="O775">
        <v>0</v>
      </c>
      <c r="W775" t="b">
        <v>0</v>
      </c>
    </row>
    <row r="776" spans="2:23" hidden="1" x14ac:dyDescent="0.25">
      <c r="B776" t="s">
        <v>1414</v>
      </c>
      <c r="C776" t="s">
        <v>960</v>
      </c>
      <c r="D776" t="s">
        <v>2910</v>
      </c>
      <c r="E776" t="s">
        <v>1414</v>
      </c>
      <c r="G776" t="s">
        <v>207</v>
      </c>
      <c r="H776" t="s">
        <v>614</v>
      </c>
      <c r="I776" t="s">
        <v>961</v>
      </c>
      <c r="L776">
        <v>0.92500000000000004</v>
      </c>
      <c r="M776" t="s">
        <v>499</v>
      </c>
      <c r="N776" t="s">
        <v>500</v>
      </c>
      <c r="O776">
        <v>0</v>
      </c>
      <c r="W776" t="b">
        <v>0</v>
      </c>
    </row>
    <row r="777" spans="2:23" hidden="1" x14ac:dyDescent="0.25">
      <c r="B777" t="s">
        <v>1416</v>
      </c>
      <c r="C777" t="s">
        <v>960</v>
      </c>
      <c r="D777" t="s">
        <v>2910</v>
      </c>
      <c r="E777" t="s">
        <v>1416</v>
      </c>
      <c r="G777" t="s">
        <v>23</v>
      </c>
      <c r="H777" t="s">
        <v>822</v>
      </c>
      <c r="I777" t="s">
        <v>961</v>
      </c>
      <c r="L777">
        <v>0.96</v>
      </c>
      <c r="M777" t="s">
        <v>499</v>
      </c>
      <c r="N777" t="s">
        <v>500</v>
      </c>
      <c r="O777">
        <v>0</v>
      </c>
      <c r="W777" t="b">
        <v>0</v>
      </c>
    </row>
    <row r="778" spans="2:23" hidden="1" x14ac:dyDescent="0.25">
      <c r="B778" t="s">
        <v>1418</v>
      </c>
      <c r="C778" t="s">
        <v>960</v>
      </c>
      <c r="D778" t="s">
        <v>2910</v>
      </c>
      <c r="E778" t="s">
        <v>1418</v>
      </c>
      <c r="G778" t="s">
        <v>23</v>
      </c>
      <c r="H778" t="s">
        <v>822</v>
      </c>
      <c r="I778" t="s">
        <v>961</v>
      </c>
      <c r="L778">
        <v>0.96</v>
      </c>
      <c r="M778" t="s">
        <v>499</v>
      </c>
      <c r="N778" t="s">
        <v>500</v>
      </c>
      <c r="O778">
        <v>0</v>
      </c>
      <c r="W778" t="b">
        <v>0</v>
      </c>
    </row>
    <row r="779" spans="2:23" hidden="1" x14ac:dyDescent="0.25">
      <c r="B779" t="s">
        <v>1420</v>
      </c>
      <c r="C779" t="s">
        <v>960</v>
      </c>
      <c r="D779" t="s">
        <v>2910</v>
      </c>
      <c r="E779" t="s">
        <v>1420</v>
      </c>
      <c r="G779" t="s">
        <v>23</v>
      </c>
      <c r="H779" t="s">
        <v>822</v>
      </c>
      <c r="I779" t="s">
        <v>961</v>
      </c>
      <c r="L779">
        <v>0.96</v>
      </c>
      <c r="M779" t="s">
        <v>499</v>
      </c>
      <c r="N779" t="s">
        <v>500</v>
      </c>
      <c r="O779">
        <v>0</v>
      </c>
      <c r="W779" t="b">
        <v>0</v>
      </c>
    </row>
    <row r="780" spans="2:23" hidden="1" x14ac:dyDescent="0.25">
      <c r="B780" t="s">
        <v>1422</v>
      </c>
      <c r="C780" t="s">
        <v>960</v>
      </c>
      <c r="D780" t="s">
        <v>2910</v>
      </c>
      <c r="E780" t="s">
        <v>1422</v>
      </c>
      <c r="G780" t="s">
        <v>23</v>
      </c>
      <c r="H780" t="s">
        <v>95</v>
      </c>
      <c r="I780" t="s">
        <v>961</v>
      </c>
      <c r="L780">
        <v>0.9</v>
      </c>
      <c r="M780" t="s">
        <v>499</v>
      </c>
      <c r="N780" t="s">
        <v>500</v>
      </c>
      <c r="O780">
        <v>0</v>
      </c>
      <c r="W780" t="b">
        <v>0</v>
      </c>
    </row>
    <row r="781" spans="2:23" hidden="1" x14ac:dyDescent="0.25">
      <c r="B781" t="s">
        <v>1424</v>
      </c>
      <c r="C781" t="s">
        <v>960</v>
      </c>
      <c r="D781" t="s">
        <v>2910</v>
      </c>
      <c r="E781" t="s">
        <v>1424</v>
      </c>
      <c r="G781" t="s">
        <v>207</v>
      </c>
      <c r="H781" t="s">
        <v>905</v>
      </c>
      <c r="I781" t="s">
        <v>961</v>
      </c>
      <c r="L781">
        <v>0.99</v>
      </c>
      <c r="M781" t="s">
        <v>499</v>
      </c>
      <c r="N781" t="s">
        <v>500</v>
      </c>
      <c r="O781">
        <v>0</v>
      </c>
      <c r="W781" t="b">
        <v>0</v>
      </c>
    </row>
    <row r="782" spans="2:23" hidden="1" x14ac:dyDescent="0.25">
      <c r="B782" t="s">
        <v>1426</v>
      </c>
      <c r="C782" t="s">
        <v>960</v>
      </c>
      <c r="D782" t="s">
        <v>2910</v>
      </c>
      <c r="E782" t="s">
        <v>1426</v>
      </c>
      <c r="G782" t="s">
        <v>207</v>
      </c>
      <c r="H782" t="s">
        <v>905</v>
      </c>
      <c r="I782" t="s">
        <v>961</v>
      </c>
      <c r="L782">
        <v>0.99</v>
      </c>
      <c r="M782" t="s">
        <v>499</v>
      </c>
      <c r="N782" t="s">
        <v>500</v>
      </c>
      <c r="O782">
        <v>0</v>
      </c>
      <c r="W782" t="b">
        <v>0</v>
      </c>
    </row>
    <row r="783" spans="2:23" hidden="1" x14ac:dyDescent="0.25">
      <c r="B783" t="s">
        <v>1428</v>
      </c>
      <c r="C783" t="s">
        <v>960</v>
      </c>
      <c r="D783" t="s">
        <v>2910</v>
      </c>
      <c r="E783" t="s">
        <v>1428</v>
      </c>
      <c r="G783" t="s">
        <v>23</v>
      </c>
      <c r="H783" t="s">
        <v>897</v>
      </c>
      <c r="I783" t="s">
        <v>961</v>
      </c>
      <c r="L783">
        <v>0.97</v>
      </c>
      <c r="M783" t="s">
        <v>499</v>
      </c>
      <c r="N783" t="s">
        <v>500</v>
      </c>
      <c r="O783">
        <v>0</v>
      </c>
      <c r="W783" t="b">
        <v>0</v>
      </c>
    </row>
    <row r="784" spans="2:23" hidden="1" x14ac:dyDescent="0.25">
      <c r="B784" t="s">
        <v>1430</v>
      </c>
      <c r="C784" t="s">
        <v>960</v>
      </c>
      <c r="D784" t="s">
        <v>2910</v>
      </c>
      <c r="E784" t="s">
        <v>1430</v>
      </c>
      <c r="G784" t="s">
        <v>23</v>
      </c>
      <c r="H784" t="s">
        <v>897</v>
      </c>
      <c r="I784" t="s">
        <v>961</v>
      </c>
      <c r="L784">
        <v>0.97</v>
      </c>
      <c r="M784" t="s">
        <v>499</v>
      </c>
      <c r="N784" t="s">
        <v>500</v>
      </c>
      <c r="O784">
        <v>0</v>
      </c>
      <c r="W784" t="b">
        <v>0</v>
      </c>
    </row>
    <row r="785" spans="1:24" hidden="1" x14ac:dyDescent="0.25">
      <c r="B785" t="s">
        <v>1432</v>
      </c>
      <c r="C785" t="s">
        <v>960</v>
      </c>
      <c r="D785" t="s">
        <v>2910</v>
      </c>
      <c r="E785" t="s">
        <v>1432</v>
      </c>
      <c r="G785" t="s">
        <v>207</v>
      </c>
      <c r="H785" t="s">
        <v>95</v>
      </c>
      <c r="I785" t="s">
        <v>961</v>
      </c>
      <c r="L785">
        <v>0.99</v>
      </c>
      <c r="M785" t="s">
        <v>499</v>
      </c>
      <c r="N785" t="s">
        <v>500</v>
      </c>
      <c r="O785">
        <v>0</v>
      </c>
      <c r="W785" t="b">
        <v>0</v>
      </c>
    </row>
    <row r="786" spans="1:24" hidden="1" x14ac:dyDescent="0.25">
      <c r="B786" t="s">
        <v>1434</v>
      </c>
      <c r="C786" t="s">
        <v>960</v>
      </c>
      <c r="D786" t="s">
        <v>2910</v>
      </c>
      <c r="E786" t="s">
        <v>1434</v>
      </c>
      <c r="G786" t="s">
        <v>207</v>
      </c>
      <c r="H786" t="s">
        <v>95</v>
      </c>
      <c r="I786" t="s">
        <v>961</v>
      </c>
      <c r="L786">
        <v>0.99</v>
      </c>
      <c r="M786" t="s">
        <v>499</v>
      </c>
      <c r="N786" t="s">
        <v>500</v>
      </c>
      <c r="O786">
        <v>0</v>
      </c>
      <c r="W786" t="b">
        <v>0</v>
      </c>
    </row>
    <row r="787" spans="1:24" hidden="1" x14ac:dyDescent="0.25">
      <c r="B787" t="s">
        <v>1436</v>
      </c>
      <c r="C787" t="s">
        <v>960</v>
      </c>
      <c r="D787" t="s">
        <v>2910</v>
      </c>
      <c r="E787" t="s">
        <v>1436</v>
      </c>
      <c r="G787" t="s">
        <v>207</v>
      </c>
      <c r="H787" t="s">
        <v>579</v>
      </c>
      <c r="I787" t="s">
        <v>961</v>
      </c>
      <c r="L787">
        <v>0.99</v>
      </c>
      <c r="M787" t="s">
        <v>499</v>
      </c>
      <c r="N787" t="s">
        <v>500</v>
      </c>
      <c r="O787">
        <v>0</v>
      </c>
      <c r="W787" t="b">
        <v>0</v>
      </c>
    </row>
    <row r="788" spans="1:24" hidden="1" x14ac:dyDescent="0.25">
      <c r="B788" t="s">
        <v>1438</v>
      </c>
      <c r="C788" t="s">
        <v>960</v>
      </c>
      <c r="D788" t="s">
        <v>2910</v>
      </c>
      <c r="E788" t="s">
        <v>1438</v>
      </c>
      <c r="G788" t="s">
        <v>207</v>
      </c>
      <c r="H788" t="s">
        <v>822</v>
      </c>
      <c r="I788" t="s">
        <v>961</v>
      </c>
      <c r="L788">
        <v>0.9</v>
      </c>
      <c r="M788" t="s">
        <v>499</v>
      </c>
      <c r="N788" t="s">
        <v>500</v>
      </c>
      <c r="O788">
        <v>0</v>
      </c>
      <c r="W788" t="b">
        <v>0</v>
      </c>
    </row>
    <row r="789" spans="1:24" hidden="1" x14ac:dyDescent="0.25">
      <c r="B789" t="s">
        <v>1440</v>
      </c>
      <c r="C789" t="s">
        <v>960</v>
      </c>
      <c r="D789" t="s">
        <v>2910</v>
      </c>
      <c r="E789" t="s">
        <v>1440</v>
      </c>
      <c r="G789" t="s">
        <v>23</v>
      </c>
      <c r="H789" t="s">
        <v>822</v>
      </c>
      <c r="I789" t="s">
        <v>961</v>
      </c>
      <c r="L789">
        <v>9.9</v>
      </c>
      <c r="M789" t="s">
        <v>499</v>
      </c>
      <c r="N789" t="s">
        <v>500</v>
      </c>
      <c r="O789">
        <v>9.9000000000000005E-2</v>
      </c>
      <c r="W789" t="b">
        <v>0</v>
      </c>
    </row>
    <row r="790" spans="1:24" hidden="1" x14ac:dyDescent="0.25">
      <c r="B790" t="s">
        <v>1442</v>
      </c>
      <c r="C790" t="s">
        <v>960</v>
      </c>
      <c r="D790" t="s">
        <v>2910</v>
      </c>
      <c r="E790" t="s">
        <v>1442</v>
      </c>
      <c r="G790" t="s">
        <v>23</v>
      </c>
      <c r="H790" t="s">
        <v>95</v>
      </c>
      <c r="I790" t="s">
        <v>961</v>
      </c>
      <c r="L790">
        <v>9.9</v>
      </c>
      <c r="M790" t="s">
        <v>499</v>
      </c>
      <c r="N790" t="s">
        <v>500</v>
      </c>
      <c r="O790">
        <v>0</v>
      </c>
      <c r="W790" t="b">
        <v>0</v>
      </c>
    </row>
    <row r="791" spans="1:24" hidden="1" x14ac:dyDescent="0.25">
      <c r="B791" t="s">
        <v>1444</v>
      </c>
      <c r="C791" t="s">
        <v>960</v>
      </c>
      <c r="D791" t="s">
        <v>2910</v>
      </c>
      <c r="E791" t="s">
        <v>1444</v>
      </c>
      <c r="G791" t="s">
        <v>23</v>
      </c>
      <c r="H791" t="s">
        <v>897</v>
      </c>
      <c r="I791" t="s">
        <v>961</v>
      </c>
      <c r="L791">
        <v>4.99</v>
      </c>
      <c r="M791" t="s">
        <v>499</v>
      </c>
      <c r="N791" t="s">
        <v>500</v>
      </c>
      <c r="O791">
        <v>0</v>
      </c>
      <c r="W791" t="b">
        <v>0</v>
      </c>
    </row>
    <row r="792" spans="1:24" hidden="1" x14ac:dyDescent="0.25">
      <c r="B792" t="s">
        <v>1446</v>
      </c>
      <c r="C792" t="s">
        <v>960</v>
      </c>
      <c r="D792" t="s">
        <v>2910</v>
      </c>
      <c r="E792" t="s">
        <v>1446</v>
      </c>
      <c r="G792" t="s">
        <v>207</v>
      </c>
      <c r="H792" t="s">
        <v>239</v>
      </c>
      <c r="I792" t="s">
        <v>961</v>
      </c>
      <c r="L792">
        <v>0.1</v>
      </c>
      <c r="M792" t="s">
        <v>499</v>
      </c>
      <c r="N792" t="s">
        <v>500</v>
      </c>
      <c r="O792">
        <v>0</v>
      </c>
      <c r="W792" t="b">
        <v>0</v>
      </c>
    </row>
    <row r="793" spans="1:24" hidden="1" x14ac:dyDescent="0.25">
      <c r="B793" t="s">
        <v>1448</v>
      </c>
      <c r="C793" t="s">
        <v>960</v>
      </c>
      <c r="D793" t="s">
        <v>2910</v>
      </c>
      <c r="E793" t="s">
        <v>1448</v>
      </c>
      <c r="G793" t="s">
        <v>23</v>
      </c>
      <c r="H793" t="s">
        <v>240</v>
      </c>
      <c r="I793" t="s">
        <v>961</v>
      </c>
      <c r="L793">
        <v>19.899999999999999</v>
      </c>
      <c r="M793" t="s">
        <v>499</v>
      </c>
      <c r="N793" t="s">
        <v>500</v>
      </c>
      <c r="O793">
        <v>0</v>
      </c>
      <c r="W793" t="b">
        <v>0</v>
      </c>
    </row>
    <row r="794" spans="1:24" hidden="1" x14ac:dyDescent="0.25">
      <c r="B794" t="s">
        <v>1450</v>
      </c>
      <c r="C794" t="s">
        <v>960</v>
      </c>
      <c r="D794" t="s">
        <v>2910</v>
      </c>
      <c r="E794" t="s">
        <v>1450</v>
      </c>
      <c r="G794" t="s">
        <v>207</v>
      </c>
      <c r="H794" t="s">
        <v>927</v>
      </c>
      <c r="I794" t="s">
        <v>961</v>
      </c>
      <c r="L794">
        <v>0.99</v>
      </c>
      <c r="M794" t="s">
        <v>499</v>
      </c>
      <c r="N794" t="s">
        <v>500</v>
      </c>
      <c r="O794">
        <v>0</v>
      </c>
      <c r="W794" t="b">
        <v>0</v>
      </c>
    </row>
    <row r="795" spans="1:24" hidden="1" x14ac:dyDescent="0.25">
      <c r="B795" t="s">
        <v>1452</v>
      </c>
      <c r="C795" t="s">
        <v>960</v>
      </c>
      <c r="D795" t="s">
        <v>2910</v>
      </c>
      <c r="E795" t="s">
        <v>1452</v>
      </c>
      <c r="G795" t="s">
        <v>23</v>
      </c>
      <c r="H795" t="s">
        <v>240</v>
      </c>
      <c r="I795" t="s">
        <v>961</v>
      </c>
      <c r="L795">
        <v>9.1</v>
      </c>
      <c r="M795" t="s">
        <v>499</v>
      </c>
      <c r="N795" t="s">
        <v>500</v>
      </c>
      <c r="O795">
        <v>0</v>
      </c>
      <c r="W795" t="b">
        <v>0</v>
      </c>
    </row>
    <row r="796" spans="1:24" hidden="1" x14ac:dyDescent="0.25">
      <c r="B796" t="s">
        <v>1454</v>
      </c>
      <c r="C796" t="s">
        <v>960</v>
      </c>
      <c r="D796" t="s">
        <v>2910</v>
      </c>
      <c r="E796" t="s">
        <v>1454</v>
      </c>
      <c r="G796" t="s">
        <v>23</v>
      </c>
      <c r="H796" t="s">
        <v>240</v>
      </c>
      <c r="I796" t="s">
        <v>961</v>
      </c>
      <c r="L796">
        <v>9.1</v>
      </c>
      <c r="M796" t="s">
        <v>499</v>
      </c>
      <c r="N796" t="s">
        <v>500</v>
      </c>
      <c r="O796">
        <v>0</v>
      </c>
      <c r="W796" t="b">
        <v>0</v>
      </c>
    </row>
    <row r="797" spans="1:24" hidden="1" x14ac:dyDescent="0.25">
      <c r="B797" t="s">
        <v>1456</v>
      </c>
      <c r="C797" t="s">
        <v>960</v>
      </c>
      <c r="D797" t="s">
        <v>2910</v>
      </c>
      <c r="E797" t="s">
        <v>1456</v>
      </c>
      <c r="G797" t="s">
        <v>207</v>
      </c>
      <c r="H797" t="s">
        <v>240</v>
      </c>
      <c r="I797" t="s">
        <v>961</v>
      </c>
      <c r="L797">
        <v>9</v>
      </c>
      <c r="M797" t="s">
        <v>499</v>
      </c>
      <c r="N797" t="s">
        <v>500</v>
      </c>
      <c r="O797">
        <v>0</v>
      </c>
      <c r="W797" t="b">
        <v>0</v>
      </c>
    </row>
    <row r="798" spans="1:24" hidden="1" x14ac:dyDescent="0.25">
      <c r="A798" t="s">
        <v>1458</v>
      </c>
      <c r="B798" t="s">
        <v>1459</v>
      </c>
      <c r="C798" t="s">
        <v>960</v>
      </c>
      <c r="D798" t="s">
        <v>2910</v>
      </c>
      <c r="E798" t="s">
        <v>1459</v>
      </c>
      <c r="G798" t="s">
        <v>207</v>
      </c>
      <c r="H798" t="s">
        <v>94</v>
      </c>
      <c r="I798" t="s">
        <v>961</v>
      </c>
      <c r="L798">
        <v>370</v>
      </c>
      <c r="M798" t="s">
        <v>499</v>
      </c>
      <c r="N798" t="s">
        <v>500</v>
      </c>
      <c r="O798">
        <v>5</v>
      </c>
      <c r="W798" t="b">
        <v>0</v>
      </c>
      <c r="X798">
        <v>370</v>
      </c>
    </row>
    <row r="799" spans="1:24" hidden="1" x14ac:dyDescent="0.25">
      <c r="A799" t="s">
        <v>1461</v>
      </c>
      <c r="B799" t="s">
        <v>1462</v>
      </c>
      <c r="C799" t="s">
        <v>960</v>
      </c>
      <c r="D799" t="s">
        <v>2910</v>
      </c>
      <c r="E799" t="s">
        <v>1462</v>
      </c>
      <c r="G799" t="s">
        <v>207</v>
      </c>
      <c r="H799" t="s">
        <v>94</v>
      </c>
      <c r="I799" t="s">
        <v>961</v>
      </c>
      <c r="L799">
        <v>200</v>
      </c>
      <c r="M799" t="s">
        <v>499</v>
      </c>
      <c r="N799" t="s">
        <v>500</v>
      </c>
      <c r="O799">
        <v>5</v>
      </c>
      <c r="W799" t="b">
        <v>0</v>
      </c>
      <c r="X799">
        <v>180</v>
      </c>
    </row>
    <row r="800" spans="1:24" hidden="1" x14ac:dyDescent="0.25">
      <c r="B800" t="s">
        <v>1464</v>
      </c>
      <c r="C800" t="s">
        <v>960</v>
      </c>
      <c r="D800" t="s">
        <v>2910</v>
      </c>
      <c r="E800" t="s">
        <v>1464</v>
      </c>
      <c r="G800" t="s">
        <v>23</v>
      </c>
      <c r="H800" t="s">
        <v>823</v>
      </c>
      <c r="I800" t="s">
        <v>961</v>
      </c>
      <c r="L800">
        <v>9.9</v>
      </c>
      <c r="M800" t="s">
        <v>499</v>
      </c>
      <c r="N800" t="s">
        <v>500</v>
      </c>
      <c r="O800">
        <v>0</v>
      </c>
      <c r="W800" t="b">
        <v>0</v>
      </c>
    </row>
    <row r="801" spans="1:24" hidden="1" x14ac:dyDescent="0.25">
      <c r="B801" t="s">
        <v>1466</v>
      </c>
      <c r="C801" t="s">
        <v>960</v>
      </c>
      <c r="D801" t="s">
        <v>2910</v>
      </c>
      <c r="E801" t="s">
        <v>1466</v>
      </c>
      <c r="G801" t="s">
        <v>23</v>
      </c>
      <c r="H801" t="s">
        <v>579</v>
      </c>
      <c r="I801" t="s">
        <v>961</v>
      </c>
      <c r="L801">
        <v>16</v>
      </c>
      <c r="M801" t="s">
        <v>499</v>
      </c>
      <c r="N801" t="s">
        <v>500</v>
      </c>
      <c r="O801">
        <v>0</v>
      </c>
      <c r="W801" t="b">
        <v>0</v>
      </c>
    </row>
    <row r="802" spans="1:24" hidden="1" x14ac:dyDescent="0.25">
      <c r="B802" t="s">
        <v>1468</v>
      </c>
      <c r="C802" t="s">
        <v>960</v>
      </c>
      <c r="D802" t="s">
        <v>2910</v>
      </c>
      <c r="E802" t="s">
        <v>1468</v>
      </c>
      <c r="G802" t="s">
        <v>23</v>
      </c>
      <c r="H802" t="s">
        <v>615</v>
      </c>
      <c r="I802" t="s">
        <v>961</v>
      </c>
      <c r="L802">
        <v>9.9</v>
      </c>
      <c r="M802" t="s">
        <v>499</v>
      </c>
      <c r="N802" t="s">
        <v>500</v>
      </c>
      <c r="O802">
        <v>0</v>
      </c>
      <c r="W802" t="b">
        <v>0</v>
      </c>
    </row>
    <row r="803" spans="1:24" hidden="1" x14ac:dyDescent="0.25">
      <c r="B803" t="s">
        <v>1470</v>
      </c>
      <c r="C803" t="s">
        <v>960</v>
      </c>
      <c r="D803" t="s">
        <v>2910</v>
      </c>
      <c r="E803" t="s">
        <v>1470</v>
      </c>
      <c r="G803" t="s">
        <v>23</v>
      </c>
      <c r="H803" t="s">
        <v>94</v>
      </c>
      <c r="I803" t="s">
        <v>961</v>
      </c>
      <c r="L803">
        <v>9.9</v>
      </c>
      <c r="M803" t="s">
        <v>499</v>
      </c>
      <c r="N803" t="s">
        <v>500</v>
      </c>
      <c r="O803">
        <v>0</v>
      </c>
      <c r="W803" t="b">
        <v>0</v>
      </c>
    </row>
    <row r="804" spans="1:24" hidden="1" x14ac:dyDescent="0.25">
      <c r="B804" t="s">
        <v>1472</v>
      </c>
      <c r="C804" t="s">
        <v>960</v>
      </c>
      <c r="D804" t="s">
        <v>2910</v>
      </c>
      <c r="E804" t="s">
        <v>1472</v>
      </c>
      <c r="G804" t="s">
        <v>207</v>
      </c>
      <c r="H804" t="s">
        <v>95</v>
      </c>
      <c r="I804" t="s">
        <v>961</v>
      </c>
      <c r="L804">
        <v>0.996</v>
      </c>
      <c r="M804" t="s">
        <v>499</v>
      </c>
      <c r="N804" t="s">
        <v>500</v>
      </c>
      <c r="O804">
        <v>0</v>
      </c>
      <c r="W804" t="b">
        <v>0</v>
      </c>
    </row>
    <row r="805" spans="1:24" hidden="1" x14ac:dyDescent="0.25">
      <c r="B805" t="s">
        <v>1474</v>
      </c>
      <c r="C805" t="s">
        <v>960</v>
      </c>
      <c r="D805" t="s">
        <v>2910</v>
      </c>
      <c r="E805" t="s">
        <v>1474</v>
      </c>
      <c r="G805" t="s">
        <v>23</v>
      </c>
      <c r="H805" t="s">
        <v>615</v>
      </c>
      <c r="I805" t="s">
        <v>961</v>
      </c>
      <c r="L805">
        <v>9.9</v>
      </c>
      <c r="M805" t="s">
        <v>499</v>
      </c>
      <c r="N805" t="s">
        <v>500</v>
      </c>
      <c r="O805">
        <v>0</v>
      </c>
      <c r="W805" t="b">
        <v>0</v>
      </c>
    </row>
    <row r="806" spans="1:24" hidden="1" x14ac:dyDescent="0.25">
      <c r="A806" t="s">
        <v>1476</v>
      </c>
      <c r="B806" t="s">
        <v>1477</v>
      </c>
      <c r="C806" t="s">
        <v>960</v>
      </c>
      <c r="D806" t="s">
        <v>2910</v>
      </c>
      <c r="E806" t="s">
        <v>1477</v>
      </c>
      <c r="G806" t="s">
        <v>207</v>
      </c>
      <c r="H806" t="s">
        <v>927</v>
      </c>
      <c r="I806" t="s">
        <v>961</v>
      </c>
      <c r="L806">
        <v>80</v>
      </c>
      <c r="M806" t="s">
        <v>499</v>
      </c>
      <c r="N806" t="s">
        <v>500</v>
      </c>
      <c r="O806">
        <v>8</v>
      </c>
      <c r="W806" t="b">
        <v>0</v>
      </c>
      <c r="X806">
        <v>80</v>
      </c>
    </row>
    <row r="807" spans="1:24" hidden="1" x14ac:dyDescent="0.25">
      <c r="B807" t="s">
        <v>1479</v>
      </c>
      <c r="C807" t="s">
        <v>960</v>
      </c>
      <c r="D807" t="s">
        <v>2910</v>
      </c>
      <c r="E807" t="s">
        <v>1479</v>
      </c>
      <c r="G807" t="s">
        <v>23</v>
      </c>
      <c r="H807" t="s">
        <v>240</v>
      </c>
      <c r="I807" t="s">
        <v>961</v>
      </c>
      <c r="L807">
        <v>9.9</v>
      </c>
      <c r="M807" t="s">
        <v>499</v>
      </c>
      <c r="N807" t="s">
        <v>500</v>
      </c>
      <c r="O807">
        <v>9.9000000000000005E-2</v>
      </c>
      <c r="W807" t="b">
        <v>0</v>
      </c>
    </row>
    <row r="808" spans="1:24" hidden="1" x14ac:dyDescent="0.25">
      <c r="B808" t="s">
        <v>1481</v>
      </c>
      <c r="C808" t="s">
        <v>960</v>
      </c>
      <c r="D808" t="s">
        <v>2910</v>
      </c>
      <c r="E808" t="s">
        <v>1481</v>
      </c>
      <c r="G808" t="s">
        <v>207</v>
      </c>
      <c r="H808" t="s">
        <v>531</v>
      </c>
      <c r="I808" t="s">
        <v>961</v>
      </c>
      <c r="L808">
        <v>0.97499999999999998</v>
      </c>
      <c r="M808" t="s">
        <v>499</v>
      </c>
      <c r="N808" t="s">
        <v>500</v>
      </c>
      <c r="O808">
        <v>0</v>
      </c>
      <c r="W808" t="b">
        <v>0</v>
      </c>
    </row>
    <row r="809" spans="1:24" hidden="1" x14ac:dyDescent="0.25">
      <c r="B809" t="s">
        <v>1483</v>
      </c>
      <c r="C809" t="s">
        <v>960</v>
      </c>
      <c r="D809" t="s">
        <v>2910</v>
      </c>
      <c r="E809" t="s">
        <v>1483</v>
      </c>
      <c r="G809" t="s">
        <v>23</v>
      </c>
      <c r="H809" t="s">
        <v>95</v>
      </c>
      <c r="I809" t="s">
        <v>961</v>
      </c>
      <c r="L809">
        <v>9.9</v>
      </c>
      <c r="M809" t="s">
        <v>499</v>
      </c>
      <c r="N809" t="s">
        <v>500</v>
      </c>
      <c r="O809">
        <v>9.9000000000000005E-2</v>
      </c>
      <c r="W809" t="b">
        <v>0</v>
      </c>
    </row>
    <row r="810" spans="1:24" hidden="1" x14ac:dyDescent="0.25">
      <c r="B810" t="s">
        <v>1485</v>
      </c>
      <c r="C810" t="s">
        <v>960</v>
      </c>
      <c r="D810" t="s">
        <v>2910</v>
      </c>
      <c r="E810" t="s">
        <v>1485</v>
      </c>
      <c r="G810" t="s">
        <v>23</v>
      </c>
      <c r="H810" t="s">
        <v>531</v>
      </c>
      <c r="I810" t="s">
        <v>961</v>
      </c>
      <c r="L810">
        <v>19.899999999999999</v>
      </c>
      <c r="M810" t="s">
        <v>499</v>
      </c>
      <c r="N810" t="s">
        <v>500</v>
      </c>
      <c r="O810">
        <v>0</v>
      </c>
      <c r="W810" t="b">
        <v>0</v>
      </c>
    </row>
    <row r="811" spans="1:24" hidden="1" x14ac:dyDescent="0.25">
      <c r="B811" t="s">
        <v>1487</v>
      </c>
      <c r="C811" t="s">
        <v>960</v>
      </c>
      <c r="D811" t="s">
        <v>2910</v>
      </c>
      <c r="E811" t="s">
        <v>1487</v>
      </c>
      <c r="G811" t="s">
        <v>23</v>
      </c>
      <c r="H811" t="s">
        <v>531</v>
      </c>
      <c r="I811" t="s">
        <v>961</v>
      </c>
      <c r="L811">
        <v>19.899999999999999</v>
      </c>
      <c r="M811" t="s">
        <v>499</v>
      </c>
      <c r="N811" t="s">
        <v>500</v>
      </c>
      <c r="O811">
        <v>0</v>
      </c>
      <c r="W811" t="b">
        <v>0</v>
      </c>
    </row>
    <row r="812" spans="1:24" hidden="1" x14ac:dyDescent="0.25">
      <c r="A812" t="s">
        <v>1489</v>
      </c>
      <c r="B812" t="s">
        <v>1490</v>
      </c>
      <c r="C812" t="s">
        <v>960</v>
      </c>
      <c r="D812" t="s">
        <v>2910</v>
      </c>
      <c r="E812" t="s">
        <v>1490</v>
      </c>
      <c r="G812" t="s">
        <v>207</v>
      </c>
      <c r="H812" t="s">
        <v>95</v>
      </c>
      <c r="I812" t="s">
        <v>961</v>
      </c>
      <c r="L812">
        <v>150</v>
      </c>
      <c r="M812" t="s">
        <v>499</v>
      </c>
      <c r="N812" t="s">
        <v>500</v>
      </c>
      <c r="O812">
        <v>7.5</v>
      </c>
      <c r="W812" t="b">
        <v>0</v>
      </c>
      <c r="X812">
        <v>150</v>
      </c>
    </row>
    <row r="813" spans="1:24" hidden="1" x14ac:dyDescent="0.25">
      <c r="B813" t="s">
        <v>1492</v>
      </c>
      <c r="C813" t="s">
        <v>960</v>
      </c>
      <c r="D813" t="s">
        <v>2910</v>
      </c>
      <c r="E813" t="s">
        <v>1492</v>
      </c>
      <c r="G813" t="s">
        <v>23</v>
      </c>
      <c r="H813" t="s">
        <v>240</v>
      </c>
      <c r="I813" t="s">
        <v>961</v>
      </c>
      <c r="L813">
        <v>9.9</v>
      </c>
      <c r="M813" t="s">
        <v>499</v>
      </c>
      <c r="N813" t="s">
        <v>500</v>
      </c>
      <c r="O813">
        <v>9.9000000000000005E-2</v>
      </c>
      <c r="W813" t="b">
        <v>0</v>
      </c>
    </row>
    <row r="814" spans="1:24" hidden="1" x14ac:dyDescent="0.25">
      <c r="B814" t="s">
        <v>1494</v>
      </c>
      <c r="C814" t="s">
        <v>960</v>
      </c>
      <c r="D814" t="s">
        <v>2910</v>
      </c>
      <c r="E814" t="s">
        <v>1494</v>
      </c>
      <c r="G814" t="s">
        <v>23</v>
      </c>
      <c r="H814" t="s">
        <v>927</v>
      </c>
      <c r="I814" t="s">
        <v>961</v>
      </c>
      <c r="L814">
        <v>9.5</v>
      </c>
      <c r="M814" t="s">
        <v>499</v>
      </c>
      <c r="N814" t="s">
        <v>500</v>
      </c>
      <c r="O814">
        <v>2.1240000000000001</v>
      </c>
      <c r="W814" t="b">
        <v>0</v>
      </c>
    </row>
    <row r="815" spans="1:24" hidden="1" x14ac:dyDescent="0.25">
      <c r="B815" t="s">
        <v>1496</v>
      </c>
      <c r="C815" t="s">
        <v>960</v>
      </c>
      <c r="D815" t="s">
        <v>2910</v>
      </c>
      <c r="E815" t="s">
        <v>1496</v>
      </c>
      <c r="G815" t="s">
        <v>23</v>
      </c>
      <c r="H815" t="s">
        <v>95</v>
      </c>
      <c r="I815" t="s">
        <v>961</v>
      </c>
      <c r="L815">
        <v>0.99</v>
      </c>
      <c r="M815" t="s">
        <v>499</v>
      </c>
      <c r="N815" t="s">
        <v>500</v>
      </c>
      <c r="O815">
        <v>0</v>
      </c>
      <c r="W815" t="b">
        <v>0</v>
      </c>
    </row>
    <row r="816" spans="1:24" hidden="1" x14ac:dyDescent="0.25">
      <c r="B816" t="s">
        <v>1498</v>
      </c>
      <c r="C816" t="s">
        <v>960</v>
      </c>
      <c r="D816" t="s">
        <v>2910</v>
      </c>
      <c r="E816" t="s">
        <v>1498</v>
      </c>
      <c r="G816" t="s">
        <v>207</v>
      </c>
      <c r="H816" t="s">
        <v>95</v>
      </c>
      <c r="I816" t="s">
        <v>961</v>
      </c>
      <c r="L816">
        <v>0.99</v>
      </c>
      <c r="M816" t="s">
        <v>499</v>
      </c>
      <c r="N816" t="s">
        <v>500</v>
      </c>
      <c r="O816">
        <v>0</v>
      </c>
      <c r="W816" t="b">
        <v>0</v>
      </c>
    </row>
    <row r="817" spans="2:23" hidden="1" x14ac:dyDescent="0.25">
      <c r="B817" t="s">
        <v>1500</v>
      </c>
      <c r="C817" t="s">
        <v>960</v>
      </c>
      <c r="D817" t="s">
        <v>2910</v>
      </c>
      <c r="E817" t="s">
        <v>1500</v>
      </c>
      <c r="G817" t="s">
        <v>207</v>
      </c>
      <c r="H817" t="s">
        <v>95</v>
      </c>
      <c r="I817" t="s">
        <v>961</v>
      </c>
      <c r="L817">
        <v>0.99</v>
      </c>
      <c r="M817" t="s">
        <v>499</v>
      </c>
      <c r="N817" t="s">
        <v>500</v>
      </c>
      <c r="O817">
        <v>0</v>
      </c>
      <c r="W817" t="b">
        <v>0</v>
      </c>
    </row>
    <row r="818" spans="2:23" hidden="1" x14ac:dyDescent="0.25">
      <c r="B818" t="s">
        <v>1502</v>
      </c>
      <c r="C818" t="s">
        <v>960</v>
      </c>
      <c r="D818" t="s">
        <v>2910</v>
      </c>
      <c r="E818" t="s">
        <v>1502</v>
      </c>
      <c r="G818" t="s">
        <v>207</v>
      </c>
      <c r="H818" t="s">
        <v>95</v>
      </c>
      <c r="I818" t="s">
        <v>961</v>
      </c>
      <c r="L818">
        <v>0.99</v>
      </c>
      <c r="M818" t="s">
        <v>499</v>
      </c>
      <c r="N818" t="s">
        <v>500</v>
      </c>
      <c r="O818">
        <v>0</v>
      </c>
      <c r="W818" t="b">
        <v>0</v>
      </c>
    </row>
    <row r="819" spans="2:23" hidden="1" x14ac:dyDescent="0.25">
      <c r="B819" t="s">
        <v>1504</v>
      </c>
      <c r="C819" t="s">
        <v>960</v>
      </c>
      <c r="D819" t="s">
        <v>2910</v>
      </c>
      <c r="E819" t="s">
        <v>1504</v>
      </c>
      <c r="G819" t="s">
        <v>207</v>
      </c>
      <c r="H819" t="s">
        <v>95</v>
      </c>
      <c r="I819" t="s">
        <v>961</v>
      </c>
      <c r="L819">
        <v>0.996</v>
      </c>
      <c r="M819" t="s">
        <v>499</v>
      </c>
      <c r="N819" t="s">
        <v>500</v>
      </c>
      <c r="O819">
        <v>0</v>
      </c>
      <c r="W819" t="b">
        <v>0</v>
      </c>
    </row>
    <row r="820" spans="2:23" hidden="1" x14ac:dyDescent="0.25">
      <c r="B820" t="s">
        <v>1506</v>
      </c>
      <c r="C820" t="s">
        <v>960</v>
      </c>
      <c r="D820" t="s">
        <v>2910</v>
      </c>
      <c r="E820" t="s">
        <v>1506</v>
      </c>
      <c r="G820" t="s">
        <v>207</v>
      </c>
      <c r="H820" t="s">
        <v>931</v>
      </c>
      <c r="I820" t="s">
        <v>961</v>
      </c>
      <c r="L820">
        <v>0.99</v>
      </c>
      <c r="M820" t="s">
        <v>499</v>
      </c>
      <c r="N820" t="s">
        <v>500</v>
      </c>
      <c r="O820">
        <v>0</v>
      </c>
      <c r="W820" t="b">
        <v>0</v>
      </c>
    </row>
    <row r="821" spans="2:23" hidden="1" x14ac:dyDescent="0.25">
      <c r="B821" t="s">
        <v>1508</v>
      </c>
      <c r="C821" t="s">
        <v>960</v>
      </c>
      <c r="D821" t="s">
        <v>2910</v>
      </c>
      <c r="E821" t="s">
        <v>1508</v>
      </c>
      <c r="G821" t="s">
        <v>207</v>
      </c>
      <c r="H821" t="s">
        <v>95</v>
      </c>
      <c r="I821" t="s">
        <v>961</v>
      </c>
      <c r="L821">
        <v>0.99</v>
      </c>
      <c r="M821" t="s">
        <v>499</v>
      </c>
      <c r="N821" t="s">
        <v>500</v>
      </c>
      <c r="O821">
        <v>0</v>
      </c>
      <c r="W821" t="b">
        <v>0</v>
      </c>
    </row>
    <row r="822" spans="2:23" hidden="1" x14ac:dyDescent="0.25">
      <c r="B822" t="s">
        <v>1510</v>
      </c>
      <c r="C822" t="s">
        <v>960</v>
      </c>
      <c r="D822" t="s">
        <v>2910</v>
      </c>
      <c r="E822" t="s">
        <v>1510</v>
      </c>
      <c r="G822" t="s">
        <v>207</v>
      </c>
      <c r="H822" t="s">
        <v>95</v>
      </c>
      <c r="I822" t="s">
        <v>961</v>
      </c>
      <c r="L822">
        <v>0.99</v>
      </c>
      <c r="M822" t="s">
        <v>499</v>
      </c>
      <c r="N822" t="s">
        <v>500</v>
      </c>
      <c r="O822">
        <v>0</v>
      </c>
      <c r="W822" t="b">
        <v>0</v>
      </c>
    </row>
    <row r="823" spans="2:23" hidden="1" x14ac:dyDescent="0.25">
      <c r="B823" t="s">
        <v>1512</v>
      </c>
      <c r="C823" t="s">
        <v>960</v>
      </c>
      <c r="D823" t="s">
        <v>2910</v>
      </c>
      <c r="E823" t="s">
        <v>1512</v>
      </c>
      <c r="G823" t="s">
        <v>207</v>
      </c>
      <c r="H823" t="s">
        <v>95</v>
      </c>
      <c r="I823" t="s">
        <v>961</v>
      </c>
      <c r="L823">
        <v>0.99</v>
      </c>
      <c r="M823" t="s">
        <v>499</v>
      </c>
      <c r="N823" t="s">
        <v>500</v>
      </c>
      <c r="O823">
        <v>0</v>
      </c>
      <c r="W823" t="b">
        <v>0</v>
      </c>
    </row>
    <row r="824" spans="2:23" hidden="1" x14ac:dyDescent="0.25">
      <c r="B824" t="s">
        <v>1514</v>
      </c>
      <c r="C824" t="s">
        <v>960</v>
      </c>
      <c r="D824" t="s">
        <v>2910</v>
      </c>
      <c r="E824" t="s">
        <v>1514</v>
      </c>
      <c r="G824" t="s">
        <v>207</v>
      </c>
      <c r="H824" t="s">
        <v>95</v>
      </c>
      <c r="I824" t="s">
        <v>961</v>
      </c>
      <c r="L824">
        <v>0.99</v>
      </c>
      <c r="M824" t="s">
        <v>499</v>
      </c>
      <c r="N824" t="s">
        <v>500</v>
      </c>
      <c r="O824">
        <v>0</v>
      </c>
      <c r="W824" t="b">
        <v>0</v>
      </c>
    </row>
    <row r="825" spans="2:23" hidden="1" x14ac:dyDescent="0.25">
      <c r="B825" t="s">
        <v>1516</v>
      </c>
      <c r="C825" t="s">
        <v>960</v>
      </c>
      <c r="D825" t="s">
        <v>2910</v>
      </c>
      <c r="E825" t="s">
        <v>1516</v>
      </c>
      <c r="G825" t="s">
        <v>207</v>
      </c>
      <c r="H825" t="s">
        <v>95</v>
      </c>
      <c r="I825" t="s">
        <v>961</v>
      </c>
      <c r="L825">
        <v>0.99</v>
      </c>
      <c r="M825" t="s">
        <v>499</v>
      </c>
      <c r="N825" t="s">
        <v>500</v>
      </c>
      <c r="O825">
        <v>0</v>
      </c>
      <c r="W825" t="b">
        <v>0</v>
      </c>
    </row>
    <row r="826" spans="2:23" hidden="1" x14ac:dyDescent="0.25">
      <c r="B826" t="s">
        <v>1518</v>
      </c>
      <c r="C826" t="s">
        <v>960</v>
      </c>
      <c r="D826" t="s">
        <v>2910</v>
      </c>
      <c r="E826" t="s">
        <v>1518</v>
      </c>
      <c r="G826" t="s">
        <v>207</v>
      </c>
      <c r="H826" t="s">
        <v>95</v>
      </c>
      <c r="I826" t="s">
        <v>961</v>
      </c>
      <c r="L826">
        <v>0.996</v>
      </c>
      <c r="M826" t="s">
        <v>499</v>
      </c>
      <c r="N826" t="s">
        <v>500</v>
      </c>
      <c r="O826">
        <v>0</v>
      </c>
      <c r="W826" t="b">
        <v>0</v>
      </c>
    </row>
    <row r="827" spans="2:23" hidden="1" x14ac:dyDescent="0.25">
      <c r="B827" t="s">
        <v>1520</v>
      </c>
      <c r="C827" t="s">
        <v>960</v>
      </c>
      <c r="D827" t="s">
        <v>2910</v>
      </c>
      <c r="E827" t="s">
        <v>1520</v>
      </c>
      <c r="G827" t="s">
        <v>207</v>
      </c>
      <c r="H827" t="s">
        <v>95</v>
      </c>
      <c r="I827" t="s">
        <v>961</v>
      </c>
      <c r="L827">
        <v>0.99</v>
      </c>
      <c r="M827" t="s">
        <v>499</v>
      </c>
      <c r="N827" t="s">
        <v>500</v>
      </c>
      <c r="O827">
        <v>0</v>
      </c>
      <c r="W827" t="b">
        <v>0</v>
      </c>
    </row>
    <row r="828" spans="2:23" hidden="1" x14ac:dyDescent="0.25">
      <c r="B828" t="s">
        <v>1522</v>
      </c>
      <c r="C828" t="s">
        <v>960</v>
      </c>
      <c r="D828" t="s">
        <v>2910</v>
      </c>
      <c r="E828" t="s">
        <v>1522</v>
      </c>
      <c r="G828" t="s">
        <v>207</v>
      </c>
      <c r="H828" t="s">
        <v>95</v>
      </c>
      <c r="I828" t="s">
        <v>961</v>
      </c>
      <c r="L828">
        <v>0.99</v>
      </c>
      <c r="M828" t="s">
        <v>499</v>
      </c>
      <c r="N828" t="s">
        <v>500</v>
      </c>
      <c r="O828">
        <v>0</v>
      </c>
      <c r="W828" t="b">
        <v>0</v>
      </c>
    </row>
    <row r="829" spans="2:23" hidden="1" x14ac:dyDescent="0.25">
      <c r="B829" t="s">
        <v>1524</v>
      </c>
      <c r="C829" t="s">
        <v>960</v>
      </c>
      <c r="D829" t="s">
        <v>2910</v>
      </c>
      <c r="E829" t="s">
        <v>1524</v>
      </c>
      <c r="G829" t="s">
        <v>207</v>
      </c>
      <c r="H829" t="s">
        <v>931</v>
      </c>
      <c r="I829" t="s">
        <v>961</v>
      </c>
      <c r="L829">
        <v>0.99</v>
      </c>
      <c r="M829" t="s">
        <v>499</v>
      </c>
      <c r="N829" t="s">
        <v>500</v>
      </c>
      <c r="O829">
        <v>0</v>
      </c>
      <c r="W829" t="b">
        <v>0</v>
      </c>
    </row>
    <row r="830" spans="2:23" hidden="1" x14ac:dyDescent="0.25">
      <c r="B830" t="s">
        <v>1526</v>
      </c>
      <c r="C830" t="s">
        <v>960</v>
      </c>
      <c r="D830" t="s">
        <v>2910</v>
      </c>
      <c r="E830" t="s">
        <v>1526</v>
      </c>
      <c r="G830" t="s">
        <v>207</v>
      </c>
      <c r="H830" t="s">
        <v>95</v>
      </c>
      <c r="I830" t="s">
        <v>961</v>
      </c>
      <c r="L830">
        <v>0.99</v>
      </c>
      <c r="M830" t="s">
        <v>499</v>
      </c>
      <c r="N830" t="s">
        <v>500</v>
      </c>
      <c r="O830">
        <v>0</v>
      </c>
      <c r="W830" t="b">
        <v>0</v>
      </c>
    </row>
    <row r="831" spans="2:23" hidden="1" x14ac:dyDescent="0.25">
      <c r="B831" t="s">
        <v>1528</v>
      </c>
      <c r="C831" t="s">
        <v>960</v>
      </c>
      <c r="D831" t="s">
        <v>2910</v>
      </c>
      <c r="E831" t="s">
        <v>1528</v>
      </c>
      <c r="G831" t="s">
        <v>207</v>
      </c>
      <c r="H831" t="s">
        <v>531</v>
      </c>
      <c r="I831" t="s">
        <v>961</v>
      </c>
      <c r="L831">
        <v>0.99590000000000001</v>
      </c>
      <c r="M831" t="s">
        <v>499</v>
      </c>
      <c r="N831" t="s">
        <v>500</v>
      </c>
      <c r="O831">
        <v>0</v>
      </c>
      <c r="W831" t="b">
        <v>0</v>
      </c>
    </row>
    <row r="832" spans="2:23" hidden="1" x14ac:dyDescent="0.25">
      <c r="B832" t="s">
        <v>1530</v>
      </c>
      <c r="C832" t="s">
        <v>960</v>
      </c>
      <c r="D832" t="s">
        <v>2910</v>
      </c>
      <c r="E832" t="s">
        <v>1530</v>
      </c>
      <c r="G832" t="s">
        <v>207</v>
      </c>
      <c r="H832" t="s">
        <v>95</v>
      </c>
      <c r="I832" t="s">
        <v>961</v>
      </c>
      <c r="L832">
        <v>0.99</v>
      </c>
      <c r="M832" t="s">
        <v>499</v>
      </c>
      <c r="N832" t="s">
        <v>500</v>
      </c>
      <c r="O832">
        <v>0</v>
      </c>
      <c r="W832" t="b">
        <v>0</v>
      </c>
    </row>
    <row r="833" spans="1:24" hidden="1" x14ac:dyDescent="0.25">
      <c r="B833" t="s">
        <v>1532</v>
      </c>
      <c r="C833" t="s">
        <v>960</v>
      </c>
      <c r="D833" t="s">
        <v>2910</v>
      </c>
      <c r="E833" t="s">
        <v>1532</v>
      </c>
      <c r="G833" t="s">
        <v>207</v>
      </c>
      <c r="H833" t="s">
        <v>95</v>
      </c>
      <c r="I833" t="s">
        <v>961</v>
      </c>
      <c r="L833">
        <v>0.99</v>
      </c>
      <c r="M833" t="s">
        <v>499</v>
      </c>
      <c r="N833" t="s">
        <v>500</v>
      </c>
      <c r="O833">
        <v>0</v>
      </c>
      <c r="W833" t="b">
        <v>0</v>
      </c>
    </row>
    <row r="834" spans="1:24" hidden="1" x14ac:dyDescent="0.25">
      <c r="B834" t="s">
        <v>1534</v>
      </c>
      <c r="C834" t="s">
        <v>960</v>
      </c>
      <c r="D834" t="s">
        <v>2910</v>
      </c>
      <c r="E834" t="s">
        <v>1534</v>
      </c>
      <c r="G834" t="s">
        <v>207</v>
      </c>
      <c r="H834" t="s">
        <v>95</v>
      </c>
      <c r="I834" t="s">
        <v>961</v>
      </c>
      <c r="L834">
        <v>0.99</v>
      </c>
      <c r="M834" t="s">
        <v>499</v>
      </c>
      <c r="N834" t="s">
        <v>500</v>
      </c>
      <c r="O834">
        <v>0</v>
      </c>
      <c r="W834" t="b">
        <v>0</v>
      </c>
    </row>
    <row r="835" spans="1:24" hidden="1" x14ac:dyDescent="0.25">
      <c r="B835" t="s">
        <v>1536</v>
      </c>
      <c r="C835" t="s">
        <v>960</v>
      </c>
      <c r="D835" t="s">
        <v>2910</v>
      </c>
      <c r="E835" t="s">
        <v>1536</v>
      </c>
      <c r="G835" t="s">
        <v>23</v>
      </c>
      <c r="H835" t="s">
        <v>823</v>
      </c>
      <c r="I835" t="s">
        <v>961</v>
      </c>
      <c r="L835">
        <v>9.9</v>
      </c>
      <c r="M835" t="s">
        <v>499</v>
      </c>
      <c r="N835" t="s">
        <v>500</v>
      </c>
      <c r="O835">
        <v>9.9000000000000005E-2</v>
      </c>
      <c r="W835" t="b">
        <v>0</v>
      </c>
    </row>
    <row r="836" spans="1:24" hidden="1" x14ac:dyDescent="0.25">
      <c r="B836" t="s">
        <v>1538</v>
      </c>
      <c r="C836" t="s">
        <v>960</v>
      </c>
      <c r="D836" t="s">
        <v>2910</v>
      </c>
      <c r="E836" t="s">
        <v>1538</v>
      </c>
      <c r="G836" t="s">
        <v>23</v>
      </c>
      <c r="H836" t="s">
        <v>240</v>
      </c>
      <c r="I836" t="s">
        <v>961</v>
      </c>
      <c r="L836">
        <v>9.9</v>
      </c>
      <c r="M836" t="s">
        <v>499</v>
      </c>
      <c r="N836" t="s">
        <v>500</v>
      </c>
      <c r="O836">
        <v>0</v>
      </c>
      <c r="W836" t="b">
        <v>0</v>
      </c>
    </row>
    <row r="837" spans="1:24" hidden="1" x14ac:dyDescent="0.25">
      <c r="B837" t="s">
        <v>1540</v>
      </c>
      <c r="C837" t="s">
        <v>960</v>
      </c>
      <c r="D837" t="s">
        <v>2910</v>
      </c>
      <c r="E837" t="s">
        <v>1540</v>
      </c>
      <c r="G837" t="s">
        <v>23</v>
      </c>
      <c r="H837" t="s">
        <v>531</v>
      </c>
      <c r="I837" t="s">
        <v>961</v>
      </c>
      <c r="L837">
        <v>2</v>
      </c>
      <c r="M837" t="s">
        <v>499</v>
      </c>
      <c r="N837" t="s">
        <v>500</v>
      </c>
      <c r="O837">
        <v>0</v>
      </c>
      <c r="W837" t="b">
        <v>0</v>
      </c>
    </row>
    <row r="838" spans="1:24" hidden="1" x14ac:dyDescent="0.25">
      <c r="B838" t="s">
        <v>1542</v>
      </c>
      <c r="C838" t="s">
        <v>960</v>
      </c>
      <c r="D838" t="s">
        <v>2910</v>
      </c>
      <c r="E838" t="s">
        <v>1542</v>
      </c>
      <c r="G838" t="s">
        <v>207</v>
      </c>
      <c r="H838" t="s">
        <v>94</v>
      </c>
      <c r="I838" t="s">
        <v>961</v>
      </c>
      <c r="L838">
        <v>19.899999999999999</v>
      </c>
      <c r="M838" t="s">
        <v>499</v>
      </c>
      <c r="N838" t="s">
        <v>500</v>
      </c>
      <c r="O838">
        <v>1.99</v>
      </c>
      <c r="W838" t="b">
        <v>0</v>
      </c>
    </row>
    <row r="839" spans="1:24" hidden="1" x14ac:dyDescent="0.25">
      <c r="B839" t="s">
        <v>1544</v>
      </c>
      <c r="C839" t="s">
        <v>960</v>
      </c>
      <c r="D839" t="s">
        <v>2910</v>
      </c>
      <c r="E839" t="s">
        <v>1544</v>
      </c>
      <c r="G839" t="s">
        <v>207</v>
      </c>
      <c r="H839" t="s">
        <v>94</v>
      </c>
      <c r="I839" t="s">
        <v>961</v>
      </c>
      <c r="L839">
        <v>9.9</v>
      </c>
      <c r="M839" t="s">
        <v>499</v>
      </c>
      <c r="N839" t="s">
        <v>500</v>
      </c>
      <c r="O839">
        <v>0</v>
      </c>
      <c r="W839" t="b">
        <v>0</v>
      </c>
    </row>
    <row r="840" spans="1:24" hidden="1" x14ac:dyDescent="0.25">
      <c r="B840" t="s">
        <v>1546</v>
      </c>
      <c r="C840" t="s">
        <v>960</v>
      </c>
      <c r="D840" t="s">
        <v>2910</v>
      </c>
      <c r="E840" t="s">
        <v>1546</v>
      </c>
      <c r="G840" t="s">
        <v>23</v>
      </c>
      <c r="H840" t="s">
        <v>94</v>
      </c>
      <c r="I840" t="s">
        <v>961</v>
      </c>
      <c r="L840">
        <v>9.9</v>
      </c>
      <c r="M840" t="s">
        <v>499</v>
      </c>
      <c r="N840" t="s">
        <v>500</v>
      </c>
      <c r="O840">
        <v>0</v>
      </c>
      <c r="W840" t="b">
        <v>0</v>
      </c>
    </row>
    <row r="841" spans="1:24" hidden="1" x14ac:dyDescent="0.25">
      <c r="B841" t="s">
        <v>1548</v>
      </c>
      <c r="C841" t="s">
        <v>960</v>
      </c>
      <c r="D841" t="s">
        <v>2910</v>
      </c>
      <c r="E841" t="s">
        <v>1548</v>
      </c>
      <c r="G841" t="s">
        <v>23</v>
      </c>
      <c r="H841" t="s">
        <v>579</v>
      </c>
      <c r="I841" t="s">
        <v>961</v>
      </c>
      <c r="L841">
        <v>9</v>
      </c>
      <c r="M841" t="s">
        <v>499</v>
      </c>
      <c r="N841" t="s">
        <v>500</v>
      </c>
      <c r="O841">
        <v>0</v>
      </c>
      <c r="W841" t="b">
        <v>0</v>
      </c>
    </row>
    <row r="842" spans="1:24" hidden="1" x14ac:dyDescent="0.25">
      <c r="B842" t="s">
        <v>1550</v>
      </c>
      <c r="C842" t="s">
        <v>960</v>
      </c>
      <c r="D842" t="s">
        <v>2910</v>
      </c>
      <c r="E842" t="s">
        <v>1550</v>
      </c>
      <c r="G842" t="s">
        <v>23</v>
      </c>
      <c r="H842" t="s">
        <v>95</v>
      </c>
      <c r="I842" t="s">
        <v>961</v>
      </c>
      <c r="L842">
        <v>9</v>
      </c>
      <c r="M842" t="s">
        <v>499</v>
      </c>
      <c r="N842" t="s">
        <v>500</v>
      </c>
      <c r="O842">
        <v>0</v>
      </c>
      <c r="W842" t="b">
        <v>0</v>
      </c>
    </row>
    <row r="843" spans="1:24" hidden="1" x14ac:dyDescent="0.25">
      <c r="B843" t="s">
        <v>1552</v>
      </c>
      <c r="C843" t="s">
        <v>960</v>
      </c>
      <c r="D843" t="s">
        <v>2910</v>
      </c>
      <c r="E843" t="s">
        <v>1552</v>
      </c>
      <c r="G843" t="s">
        <v>23</v>
      </c>
      <c r="H843" t="s">
        <v>615</v>
      </c>
      <c r="I843" t="s">
        <v>961</v>
      </c>
      <c r="L843">
        <v>9.4</v>
      </c>
      <c r="M843" t="s">
        <v>499</v>
      </c>
      <c r="N843" t="s">
        <v>500</v>
      </c>
      <c r="O843">
        <v>0</v>
      </c>
      <c r="W843" t="b">
        <v>0</v>
      </c>
    </row>
    <row r="844" spans="1:24" hidden="1" x14ac:dyDescent="0.25">
      <c r="B844" t="s">
        <v>1554</v>
      </c>
      <c r="C844" t="s">
        <v>960</v>
      </c>
      <c r="D844" t="s">
        <v>2910</v>
      </c>
      <c r="E844" t="s">
        <v>1554</v>
      </c>
      <c r="G844" t="s">
        <v>23</v>
      </c>
      <c r="H844" t="s">
        <v>615</v>
      </c>
      <c r="I844" t="s">
        <v>961</v>
      </c>
      <c r="L844">
        <v>9.9</v>
      </c>
      <c r="M844" t="s">
        <v>499</v>
      </c>
      <c r="N844" t="s">
        <v>500</v>
      </c>
      <c r="O844">
        <v>0</v>
      </c>
      <c r="W844" t="b">
        <v>0</v>
      </c>
    </row>
    <row r="845" spans="1:24" hidden="1" x14ac:dyDescent="0.25">
      <c r="B845" t="s">
        <v>1556</v>
      </c>
      <c r="C845" t="s">
        <v>960</v>
      </c>
      <c r="D845" t="s">
        <v>2910</v>
      </c>
      <c r="E845" t="s">
        <v>1556</v>
      </c>
      <c r="G845" t="s">
        <v>23</v>
      </c>
      <c r="H845" t="s">
        <v>615</v>
      </c>
      <c r="I845" t="s">
        <v>961</v>
      </c>
      <c r="L845">
        <v>9.9</v>
      </c>
      <c r="M845" t="s">
        <v>499</v>
      </c>
      <c r="N845" t="s">
        <v>500</v>
      </c>
      <c r="O845">
        <v>0</v>
      </c>
      <c r="W845" t="b">
        <v>0</v>
      </c>
    </row>
    <row r="846" spans="1:24" hidden="1" x14ac:dyDescent="0.25">
      <c r="B846" t="s">
        <v>1558</v>
      </c>
      <c r="C846" t="s">
        <v>960</v>
      </c>
      <c r="D846" t="s">
        <v>2910</v>
      </c>
      <c r="E846" t="s">
        <v>1558</v>
      </c>
      <c r="G846" t="s">
        <v>23</v>
      </c>
      <c r="H846" t="s">
        <v>823</v>
      </c>
      <c r="I846" t="s">
        <v>961</v>
      </c>
      <c r="L846">
        <v>9.9</v>
      </c>
      <c r="M846" t="s">
        <v>499</v>
      </c>
      <c r="N846" t="s">
        <v>500</v>
      </c>
      <c r="O846">
        <v>0</v>
      </c>
      <c r="W846" t="b">
        <v>0</v>
      </c>
    </row>
    <row r="847" spans="1:24" hidden="1" x14ac:dyDescent="0.25">
      <c r="B847" t="s">
        <v>1560</v>
      </c>
      <c r="C847" t="s">
        <v>960</v>
      </c>
      <c r="D847" t="s">
        <v>2910</v>
      </c>
      <c r="E847" t="s">
        <v>1560</v>
      </c>
      <c r="G847" t="s">
        <v>23</v>
      </c>
      <c r="H847" t="s">
        <v>579</v>
      </c>
      <c r="I847" t="s">
        <v>961</v>
      </c>
      <c r="L847">
        <v>9</v>
      </c>
      <c r="M847" t="s">
        <v>499</v>
      </c>
      <c r="N847" t="s">
        <v>500</v>
      </c>
      <c r="O847">
        <v>0</v>
      </c>
      <c r="W847" t="b">
        <v>0</v>
      </c>
    </row>
    <row r="848" spans="1:24" hidden="1" x14ac:dyDescent="0.25">
      <c r="A848" t="s">
        <v>1562</v>
      </c>
      <c r="B848" t="s">
        <v>1563</v>
      </c>
      <c r="C848" t="s">
        <v>960</v>
      </c>
      <c r="D848" t="s">
        <v>2910</v>
      </c>
      <c r="E848" t="s">
        <v>1563</v>
      </c>
      <c r="G848" t="s">
        <v>207</v>
      </c>
      <c r="H848" t="s">
        <v>531</v>
      </c>
      <c r="I848" t="s">
        <v>961</v>
      </c>
      <c r="L848">
        <v>100</v>
      </c>
      <c r="M848" t="s">
        <v>499</v>
      </c>
      <c r="N848" t="s">
        <v>500</v>
      </c>
      <c r="O848">
        <v>10</v>
      </c>
      <c r="W848" t="b">
        <v>0</v>
      </c>
      <c r="X848">
        <v>100</v>
      </c>
    </row>
    <row r="849" spans="1:24" hidden="1" x14ac:dyDescent="0.25">
      <c r="B849" t="s">
        <v>1565</v>
      </c>
      <c r="C849" t="s">
        <v>960</v>
      </c>
      <c r="D849" t="s">
        <v>2910</v>
      </c>
      <c r="E849" t="s">
        <v>1565</v>
      </c>
      <c r="G849" t="s">
        <v>207</v>
      </c>
      <c r="H849" t="s">
        <v>94</v>
      </c>
      <c r="I849" t="s">
        <v>961</v>
      </c>
      <c r="L849">
        <v>19.899999999999999</v>
      </c>
      <c r="M849" t="s">
        <v>499</v>
      </c>
      <c r="N849" t="s">
        <v>500</v>
      </c>
      <c r="O849">
        <v>0</v>
      </c>
      <c r="W849" t="b">
        <v>0</v>
      </c>
    </row>
    <row r="850" spans="1:24" hidden="1" x14ac:dyDescent="0.25">
      <c r="A850" t="s">
        <v>1567</v>
      </c>
      <c r="B850" t="s">
        <v>1568</v>
      </c>
      <c r="C850" t="s">
        <v>960</v>
      </c>
      <c r="D850" t="s">
        <v>2910</v>
      </c>
      <c r="E850" t="s">
        <v>1568</v>
      </c>
      <c r="G850" t="s">
        <v>207</v>
      </c>
      <c r="H850" t="s">
        <v>897</v>
      </c>
      <c r="I850" t="s">
        <v>961</v>
      </c>
      <c r="L850">
        <v>300</v>
      </c>
      <c r="M850" t="s">
        <v>499</v>
      </c>
      <c r="N850" t="s">
        <v>500</v>
      </c>
      <c r="O850">
        <v>0</v>
      </c>
      <c r="W850" t="b">
        <v>0</v>
      </c>
      <c r="X850">
        <v>300</v>
      </c>
    </row>
    <row r="851" spans="1:24" hidden="1" x14ac:dyDescent="0.25">
      <c r="B851" t="s">
        <v>1570</v>
      </c>
      <c r="C851" t="s">
        <v>960</v>
      </c>
      <c r="D851" t="s">
        <v>2910</v>
      </c>
      <c r="E851" t="s">
        <v>1570</v>
      </c>
      <c r="G851" t="s">
        <v>23</v>
      </c>
      <c r="H851" t="s">
        <v>95</v>
      </c>
      <c r="I851" t="s">
        <v>961</v>
      </c>
      <c r="L851">
        <v>9.9</v>
      </c>
      <c r="M851" t="s">
        <v>499</v>
      </c>
      <c r="N851" t="s">
        <v>500</v>
      </c>
      <c r="O851">
        <v>0</v>
      </c>
      <c r="W851" t="b">
        <v>0</v>
      </c>
    </row>
    <row r="852" spans="1:24" hidden="1" x14ac:dyDescent="0.25">
      <c r="A852" t="s">
        <v>1572</v>
      </c>
      <c r="B852" t="s">
        <v>1573</v>
      </c>
      <c r="C852" t="s">
        <v>960</v>
      </c>
      <c r="D852" t="s">
        <v>2910</v>
      </c>
      <c r="E852" t="s">
        <v>1573</v>
      </c>
      <c r="G852" t="s">
        <v>207</v>
      </c>
      <c r="H852" t="s">
        <v>897</v>
      </c>
      <c r="I852" t="s">
        <v>961</v>
      </c>
      <c r="L852">
        <v>83</v>
      </c>
      <c r="M852" t="s">
        <v>499</v>
      </c>
      <c r="N852" t="s">
        <v>500</v>
      </c>
      <c r="O852">
        <v>0</v>
      </c>
      <c r="W852" t="b">
        <v>0</v>
      </c>
      <c r="X852">
        <v>83</v>
      </c>
    </row>
    <row r="853" spans="1:24" hidden="1" x14ac:dyDescent="0.25">
      <c r="B853" t="s">
        <v>1575</v>
      </c>
      <c r="C853" t="s">
        <v>960</v>
      </c>
      <c r="D853" t="s">
        <v>2910</v>
      </c>
      <c r="E853" t="s">
        <v>1575</v>
      </c>
      <c r="G853" t="s">
        <v>23</v>
      </c>
      <c r="H853" t="s">
        <v>531</v>
      </c>
      <c r="I853" t="s">
        <v>961</v>
      </c>
      <c r="L853">
        <v>20</v>
      </c>
      <c r="M853" t="s">
        <v>499</v>
      </c>
      <c r="N853" t="s">
        <v>500</v>
      </c>
      <c r="O853">
        <v>0</v>
      </c>
      <c r="W853" t="b">
        <v>0</v>
      </c>
    </row>
    <row r="854" spans="1:24" hidden="1" x14ac:dyDescent="0.25">
      <c r="B854" t="s">
        <v>1577</v>
      </c>
      <c r="C854" t="s">
        <v>960</v>
      </c>
      <c r="D854" t="s">
        <v>2910</v>
      </c>
      <c r="E854" t="s">
        <v>1577</v>
      </c>
      <c r="G854" t="s">
        <v>23</v>
      </c>
      <c r="H854" t="s">
        <v>579</v>
      </c>
      <c r="I854" t="s">
        <v>961</v>
      </c>
      <c r="L854">
        <v>9</v>
      </c>
      <c r="M854" t="s">
        <v>499</v>
      </c>
      <c r="N854" t="s">
        <v>500</v>
      </c>
      <c r="O854">
        <v>0</v>
      </c>
      <c r="W854" t="b">
        <v>0</v>
      </c>
    </row>
    <row r="855" spans="1:24" hidden="1" x14ac:dyDescent="0.25">
      <c r="B855" t="s">
        <v>1579</v>
      </c>
      <c r="C855" t="s">
        <v>960</v>
      </c>
      <c r="D855" t="s">
        <v>2910</v>
      </c>
      <c r="E855" t="s">
        <v>1579</v>
      </c>
      <c r="G855" t="s">
        <v>23</v>
      </c>
      <c r="H855" t="s">
        <v>531</v>
      </c>
      <c r="I855" t="s">
        <v>961</v>
      </c>
      <c r="L855">
        <v>9.9</v>
      </c>
      <c r="M855" t="s">
        <v>499</v>
      </c>
      <c r="N855" t="s">
        <v>500</v>
      </c>
      <c r="O855">
        <v>0</v>
      </c>
      <c r="W855" t="b">
        <v>0</v>
      </c>
    </row>
    <row r="856" spans="1:24" hidden="1" x14ac:dyDescent="0.25">
      <c r="B856" t="s">
        <v>1581</v>
      </c>
      <c r="C856" t="s">
        <v>960</v>
      </c>
      <c r="D856" t="s">
        <v>2910</v>
      </c>
      <c r="E856" t="s">
        <v>1581</v>
      </c>
      <c r="G856" t="s">
        <v>23</v>
      </c>
      <c r="H856" t="s">
        <v>95</v>
      </c>
      <c r="I856" t="s">
        <v>961</v>
      </c>
      <c r="L856">
        <v>9.9</v>
      </c>
      <c r="M856" t="s">
        <v>499</v>
      </c>
      <c r="N856" t="s">
        <v>500</v>
      </c>
      <c r="O856">
        <v>9.9000000000000005E-2</v>
      </c>
      <c r="W856" t="b">
        <v>0</v>
      </c>
    </row>
    <row r="857" spans="1:24" hidden="1" x14ac:dyDescent="0.25">
      <c r="B857" t="s">
        <v>1583</v>
      </c>
      <c r="C857" t="s">
        <v>960</v>
      </c>
      <c r="D857" t="s">
        <v>2910</v>
      </c>
      <c r="E857" t="s">
        <v>1583</v>
      </c>
      <c r="G857" t="s">
        <v>207</v>
      </c>
      <c r="H857" t="s">
        <v>927</v>
      </c>
      <c r="I857" t="s">
        <v>961</v>
      </c>
      <c r="L857">
        <v>19.899999999999999</v>
      </c>
      <c r="M857" t="s">
        <v>499</v>
      </c>
      <c r="N857" t="s">
        <v>500</v>
      </c>
      <c r="O857">
        <v>0</v>
      </c>
      <c r="W857" t="b">
        <v>0</v>
      </c>
    </row>
    <row r="858" spans="1:24" hidden="1" x14ac:dyDescent="0.25">
      <c r="B858" t="s">
        <v>1585</v>
      </c>
      <c r="C858" t="s">
        <v>960</v>
      </c>
      <c r="D858" t="s">
        <v>2910</v>
      </c>
      <c r="E858" t="s">
        <v>1585</v>
      </c>
      <c r="G858" t="s">
        <v>207</v>
      </c>
      <c r="H858" t="s">
        <v>897</v>
      </c>
      <c r="I858" t="s">
        <v>961</v>
      </c>
      <c r="L858">
        <v>4.3</v>
      </c>
      <c r="M858" t="s">
        <v>499</v>
      </c>
      <c r="N858" t="s">
        <v>500</v>
      </c>
      <c r="O858">
        <v>0</v>
      </c>
      <c r="W858" t="b">
        <v>0</v>
      </c>
    </row>
    <row r="859" spans="1:24" hidden="1" x14ac:dyDescent="0.25">
      <c r="B859" t="s">
        <v>1587</v>
      </c>
      <c r="C859" t="s">
        <v>960</v>
      </c>
      <c r="D859" t="s">
        <v>2910</v>
      </c>
      <c r="E859" t="s">
        <v>1587</v>
      </c>
      <c r="G859" t="s">
        <v>23</v>
      </c>
      <c r="H859" t="s">
        <v>822</v>
      </c>
      <c r="I859" t="s">
        <v>961</v>
      </c>
      <c r="L859">
        <v>3</v>
      </c>
      <c r="M859" t="s">
        <v>499</v>
      </c>
      <c r="N859" t="s">
        <v>500</v>
      </c>
      <c r="O859">
        <v>1E-3</v>
      </c>
      <c r="W859" t="b">
        <v>0</v>
      </c>
    </row>
    <row r="860" spans="1:24" hidden="1" x14ac:dyDescent="0.25">
      <c r="B860" t="s">
        <v>1589</v>
      </c>
      <c r="C860" t="s">
        <v>960</v>
      </c>
      <c r="D860" t="s">
        <v>2910</v>
      </c>
      <c r="E860" t="s">
        <v>1589</v>
      </c>
      <c r="G860" t="s">
        <v>207</v>
      </c>
      <c r="H860" t="s">
        <v>897</v>
      </c>
      <c r="I860" t="s">
        <v>961</v>
      </c>
      <c r="L860">
        <v>4.9000000000000004</v>
      </c>
      <c r="M860" t="s">
        <v>499</v>
      </c>
      <c r="N860" t="s">
        <v>500</v>
      </c>
      <c r="O860">
        <v>0</v>
      </c>
      <c r="W860" t="b">
        <v>0</v>
      </c>
    </row>
    <row r="861" spans="1:24" hidden="1" x14ac:dyDescent="0.25">
      <c r="B861" t="s">
        <v>1591</v>
      </c>
      <c r="C861" t="s">
        <v>960</v>
      </c>
      <c r="D861" t="s">
        <v>2910</v>
      </c>
      <c r="E861" t="s">
        <v>1591</v>
      </c>
      <c r="G861" t="s">
        <v>207</v>
      </c>
      <c r="H861" t="s">
        <v>905</v>
      </c>
      <c r="I861" t="s">
        <v>961</v>
      </c>
      <c r="L861">
        <v>0.99</v>
      </c>
      <c r="M861" t="s">
        <v>499</v>
      </c>
      <c r="N861" t="s">
        <v>500</v>
      </c>
      <c r="O861">
        <v>0</v>
      </c>
      <c r="W861" t="b">
        <v>0</v>
      </c>
    </row>
    <row r="862" spans="1:24" hidden="1" x14ac:dyDescent="0.25">
      <c r="A862" t="s">
        <v>1593</v>
      </c>
      <c r="B862" t="s">
        <v>1594</v>
      </c>
      <c r="C862" t="s">
        <v>960</v>
      </c>
      <c r="D862" t="s">
        <v>2910</v>
      </c>
      <c r="E862" t="s">
        <v>1594</v>
      </c>
      <c r="G862" t="s">
        <v>207</v>
      </c>
      <c r="H862" t="s">
        <v>238</v>
      </c>
      <c r="I862" t="s">
        <v>961</v>
      </c>
      <c r="L862">
        <v>102</v>
      </c>
      <c r="M862" t="s">
        <v>499</v>
      </c>
      <c r="N862" t="s">
        <v>500</v>
      </c>
      <c r="O862">
        <v>0</v>
      </c>
      <c r="W862" t="b">
        <v>0</v>
      </c>
      <c r="X862">
        <v>102</v>
      </c>
    </row>
    <row r="863" spans="1:24" hidden="1" x14ac:dyDescent="0.25">
      <c r="B863" t="s">
        <v>1596</v>
      </c>
      <c r="C863" t="s">
        <v>960</v>
      </c>
      <c r="D863" t="s">
        <v>2910</v>
      </c>
      <c r="E863" t="s">
        <v>1596</v>
      </c>
      <c r="G863" t="s">
        <v>207</v>
      </c>
      <c r="H863" t="s">
        <v>240</v>
      </c>
      <c r="I863" t="s">
        <v>961</v>
      </c>
      <c r="L863">
        <v>9.9</v>
      </c>
      <c r="M863" t="s">
        <v>499</v>
      </c>
      <c r="N863" t="s">
        <v>500</v>
      </c>
      <c r="O863">
        <v>0</v>
      </c>
      <c r="W863" t="b">
        <v>0</v>
      </c>
    </row>
    <row r="864" spans="1:24" hidden="1" x14ac:dyDescent="0.25">
      <c r="B864" t="s">
        <v>1598</v>
      </c>
      <c r="C864" t="s">
        <v>960</v>
      </c>
      <c r="D864" t="s">
        <v>2910</v>
      </c>
      <c r="E864" t="s">
        <v>1598</v>
      </c>
      <c r="G864" t="s">
        <v>23</v>
      </c>
      <c r="H864" t="s">
        <v>240</v>
      </c>
      <c r="I864" t="s">
        <v>961</v>
      </c>
      <c r="L864">
        <v>3.1</v>
      </c>
      <c r="M864" t="s">
        <v>499</v>
      </c>
      <c r="N864" t="s">
        <v>500</v>
      </c>
      <c r="O864">
        <v>0</v>
      </c>
      <c r="W864" t="b">
        <v>0</v>
      </c>
    </row>
    <row r="865" spans="1:24" hidden="1" x14ac:dyDescent="0.25">
      <c r="B865" t="s">
        <v>1600</v>
      </c>
      <c r="C865" t="s">
        <v>960</v>
      </c>
      <c r="D865" t="s">
        <v>2910</v>
      </c>
      <c r="E865" t="s">
        <v>1600</v>
      </c>
      <c r="G865" t="s">
        <v>207</v>
      </c>
      <c r="H865" t="s">
        <v>531</v>
      </c>
      <c r="I865" t="s">
        <v>961</v>
      </c>
      <c r="L865">
        <v>0.9</v>
      </c>
      <c r="M865" t="s">
        <v>499</v>
      </c>
      <c r="N865" t="s">
        <v>500</v>
      </c>
      <c r="O865">
        <v>0</v>
      </c>
      <c r="W865" t="b">
        <v>0</v>
      </c>
    </row>
    <row r="866" spans="1:24" hidden="1" x14ac:dyDescent="0.25">
      <c r="A866" t="s">
        <v>1602</v>
      </c>
      <c r="B866" t="s">
        <v>1603</v>
      </c>
      <c r="C866" t="s">
        <v>960</v>
      </c>
      <c r="D866" t="s">
        <v>2910</v>
      </c>
      <c r="E866" t="s">
        <v>1603</v>
      </c>
      <c r="G866" t="s">
        <v>207</v>
      </c>
      <c r="H866" t="s">
        <v>240</v>
      </c>
      <c r="I866" t="s">
        <v>961</v>
      </c>
      <c r="L866">
        <v>160</v>
      </c>
      <c r="M866" t="s">
        <v>499</v>
      </c>
      <c r="N866" t="s">
        <v>500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1605</v>
      </c>
      <c r="C867" t="s">
        <v>960</v>
      </c>
      <c r="D867" t="s">
        <v>2910</v>
      </c>
      <c r="E867" t="s">
        <v>1605</v>
      </c>
      <c r="G867" t="s">
        <v>23</v>
      </c>
      <c r="H867" t="s">
        <v>531</v>
      </c>
      <c r="I867" t="s">
        <v>961</v>
      </c>
      <c r="L867">
        <v>18.5</v>
      </c>
      <c r="M867" t="s">
        <v>499</v>
      </c>
      <c r="N867" t="s">
        <v>500</v>
      </c>
      <c r="O867">
        <v>0</v>
      </c>
      <c r="W867" t="b">
        <v>0</v>
      </c>
    </row>
    <row r="868" spans="1:24" hidden="1" x14ac:dyDescent="0.25">
      <c r="B868" t="s">
        <v>1607</v>
      </c>
      <c r="C868" t="s">
        <v>960</v>
      </c>
      <c r="D868" t="s">
        <v>2910</v>
      </c>
      <c r="E868" t="s">
        <v>1607</v>
      </c>
      <c r="G868" t="s">
        <v>207</v>
      </c>
      <c r="H868" t="s">
        <v>95</v>
      </c>
      <c r="I868" t="s">
        <v>961</v>
      </c>
      <c r="L868">
        <v>9.9</v>
      </c>
      <c r="M868" t="s">
        <v>499</v>
      </c>
      <c r="N868" t="s">
        <v>500</v>
      </c>
      <c r="O868">
        <v>0</v>
      </c>
      <c r="W868" t="b">
        <v>0</v>
      </c>
    </row>
    <row r="869" spans="1:24" hidden="1" x14ac:dyDescent="0.25">
      <c r="B869" t="s">
        <v>1609</v>
      </c>
      <c r="C869" t="s">
        <v>960</v>
      </c>
      <c r="D869" t="s">
        <v>2910</v>
      </c>
      <c r="E869" t="s">
        <v>1609</v>
      </c>
      <c r="G869" t="s">
        <v>23</v>
      </c>
      <c r="H869" t="s">
        <v>823</v>
      </c>
      <c r="I869" t="s">
        <v>961</v>
      </c>
      <c r="L869">
        <v>9.9</v>
      </c>
      <c r="M869" t="s">
        <v>499</v>
      </c>
      <c r="N869" t="s">
        <v>500</v>
      </c>
      <c r="O869">
        <v>9.9000000000000005E-2</v>
      </c>
      <c r="W869" t="b">
        <v>0</v>
      </c>
    </row>
    <row r="870" spans="1:24" hidden="1" x14ac:dyDescent="0.25">
      <c r="B870" t="s">
        <v>1611</v>
      </c>
      <c r="C870" t="s">
        <v>960</v>
      </c>
      <c r="D870" t="s">
        <v>2910</v>
      </c>
      <c r="E870" t="s">
        <v>1611</v>
      </c>
      <c r="G870" t="s">
        <v>23</v>
      </c>
      <c r="H870" t="s">
        <v>531</v>
      </c>
      <c r="I870" t="s">
        <v>961</v>
      </c>
      <c r="L870">
        <v>9.9</v>
      </c>
      <c r="M870" t="s">
        <v>499</v>
      </c>
      <c r="N870" t="s">
        <v>500</v>
      </c>
      <c r="O870">
        <v>0</v>
      </c>
      <c r="W870" t="b">
        <v>0</v>
      </c>
    </row>
    <row r="871" spans="1:24" hidden="1" x14ac:dyDescent="0.25">
      <c r="B871" t="s">
        <v>1613</v>
      </c>
      <c r="C871" t="s">
        <v>960</v>
      </c>
      <c r="D871" t="s">
        <v>2910</v>
      </c>
      <c r="E871" t="s">
        <v>1613</v>
      </c>
      <c r="G871" t="s">
        <v>207</v>
      </c>
      <c r="H871" t="s">
        <v>531</v>
      </c>
      <c r="I871" t="s">
        <v>961</v>
      </c>
      <c r="L871">
        <v>0.99</v>
      </c>
      <c r="M871" t="s">
        <v>499</v>
      </c>
      <c r="N871" t="s">
        <v>500</v>
      </c>
      <c r="O871">
        <v>0</v>
      </c>
      <c r="W871" t="b">
        <v>0</v>
      </c>
    </row>
    <row r="872" spans="1:24" hidden="1" x14ac:dyDescent="0.25">
      <c r="B872" t="s">
        <v>1615</v>
      </c>
      <c r="C872" t="s">
        <v>960</v>
      </c>
      <c r="D872" t="s">
        <v>2910</v>
      </c>
      <c r="E872" t="s">
        <v>1615</v>
      </c>
      <c r="G872" t="s">
        <v>207</v>
      </c>
      <c r="H872" t="s">
        <v>531</v>
      </c>
      <c r="I872" t="s">
        <v>961</v>
      </c>
      <c r="L872">
        <v>0.99</v>
      </c>
      <c r="M872" t="s">
        <v>499</v>
      </c>
      <c r="N872" t="s">
        <v>500</v>
      </c>
      <c r="O872">
        <v>0</v>
      </c>
      <c r="W872" t="b">
        <v>0</v>
      </c>
    </row>
    <row r="873" spans="1:24" hidden="1" x14ac:dyDescent="0.25">
      <c r="B873" t="s">
        <v>1617</v>
      </c>
      <c r="C873" t="s">
        <v>960</v>
      </c>
      <c r="D873" t="s">
        <v>2910</v>
      </c>
      <c r="E873" t="s">
        <v>1617</v>
      </c>
      <c r="G873" t="s">
        <v>207</v>
      </c>
      <c r="H873" t="s">
        <v>823</v>
      </c>
      <c r="I873" t="s">
        <v>961</v>
      </c>
      <c r="L873">
        <v>0.99</v>
      </c>
      <c r="M873" t="s">
        <v>499</v>
      </c>
      <c r="N873" t="s">
        <v>500</v>
      </c>
      <c r="O873">
        <v>0</v>
      </c>
      <c r="W873" t="b">
        <v>0</v>
      </c>
    </row>
    <row r="874" spans="1:24" hidden="1" x14ac:dyDescent="0.25">
      <c r="B874" t="s">
        <v>1619</v>
      </c>
      <c r="C874" t="s">
        <v>960</v>
      </c>
      <c r="D874" t="s">
        <v>2910</v>
      </c>
      <c r="E874" t="s">
        <v>1619</v>
      </c>
      <c r="G874" t="s">
        <v>207</v>
      </c>
      <c r="H874" t="s">
        <v>531</v>
      </c>
      <c r="I874" t="s">
        <v>961</v>
      </c>
      <c r="L874">
        <v>0.99</v>
      </c>
      <c r="M874" t="s">
        <v>499</v>
      </c>
      <c r="N874" t="s">
        <v>500</v>
      </c>
      <c r="O874">
        <v>0</v>
      </c>
      <c r="W874" t="b">
        <v>0</v>
      </c>
    </row>
    <row r="875" spans="1:24" hidden="1" x14ac:dyDescent="0.25">
      <c r="B875" t="s">
        <v>1621</v>
      </c>
      <c r="C875" t="s">
        <v>960</v>
      </c>
      <c r="D875" t="s">
        <v>2910</v>
      </c>
      <c r="E875" t="s">
        <v>1621</v>
      </c>
      <c r="G875" t="s">
        <v>207</v>
      </c>
      <c r="H875" t="s">
        <v>531</v>
      </c>
      <c r="I875" t="s">
        <v>961</v>
      </c>
      <c r="L875">
        <v>0.99</v>
      </c>
      <c r="M875" t="s">
        <v>499</v>
      </c>
      <c r="N875" t="s">
        <v>500</v>
      </c>
      <c r="O875">
        <v>0</v>
      </c>
      <c r="W875" t="b">
        <v>0</v>
      </c>
    </row>
    <row r="876" spans="1:24" hidden="1" x14ac:dyDescent="0.25">
      <c r="B876" t="s">
        <v>1623</v>
      </c>
      <c r="C876" t="s">
        <v>960</v>
      </c>
      <c r="D876" t="s">
        <v>2910</v>
      </c>
      <c r="E876" t="s">
        <v>1623</v>
      </c>
      <c r="G876" t="s">
        <v>207</v>
      </c>
      <c r="H876" t="s">
        <v>531</v>
      </c>
      <c r="I876" t="s">
        <v>961</v>
      </c>
      <c r="L876">
        <v>0.99</v>
      </c>
      <c r="M876" t="s">
        <v>499</v>
      </c>
      <c r="N876" t="s">
        <v>500</v>
      </c>
      <c r="O876">
        <v>0</v>
      </c>
      <c r="W876" t="b">
        <v>0</v>
      </c>
    </row>
    <row r="877" spans="1:24" hidden="1" x14ac:dyDescent="0.25">
      <c r="B877" t="s">
        <v>1625</v>
      </c>
      <c r="C877" t="s">
        <v>960</v>
      </c>
      <c r="D877" t="s">
        <v>2910</v>
      </c>
      <c r="E877" t="s">
        <v>1625</v>
      </c>
      <c r="G877" t="s">
        <v>23</v>
      </c>
      <c r="H877" t="s">
        <v>531</v>
      </c>
      <c r="I877" t="s">
        <v>961</v>
      </c>
      <c r="L877">
        <v>9.4</v>
      </c>
      <c r="M877" t="s">
        <v>499</v>
      </c>
      <c r="N877" t="s">
        <v>500</v>
      </c>
      <c r="O877">
        <v>0</v>
      </c>
      <c r="W877" t="b">
        <v>0</v>
      </c>
    </row>
    <row r="878" spans="1:24" hidden="1" x14ac:dyDescent="0.25">
      <c r="B878" t="s">
        <v>1627</v>
      </c>
      <c r="C878" t="s">
        <v>960</v>
      </c>
      <c r="D878" t="s">
        <v>2910</v>
      </c>
      <c r="E878" t="s">
        <v>1627</v>
      </c>
      <c r="G878" t="s">
        <v>207</v>
      </c>
      <c r="H878" t="s">
        <v>905</v>
      </c>
      <c r="I878" t="s">
        <v>961</v>
      </c>
      <c r="L878">
        <v>9.9</v>
      </c>
      <c r="M878" t="s">
        <v>499</v>
      </c>
      <c r="N878" t="s">
        <v>500</v>
      </c>
      <c r="O878">
        <v>0</v>
      </c>
      <c r="W878" t="b">
        <v>0</v>
      </c>
    </row>
    <row r="879" spans="1:24" hidden="1" x14ac:dyDescent="0.25">
      <c r="B879" t="s">
        <v>1629</v>
      </c>
      <c r="C879" t="s">
        <v>960</v>
      </c>
      <c r="D879" t="s">
        <v>2910</v>
      </c>
      <c r="E879" t="s">
        <v>1629</v>
      </c>
      <c r="G879" t="s">
        <v>207</v>
      </c>
      <c r="H879" t="s">
        <v>905</v>
      </c>
      <c r="I879" t="s">
        <v>961</v>
      </c>
      <c r="L879">
        <v>9.9</v>
      </c>
      <c r="M879" t="s">
        <v>499</v>
      </c>
      <c r="N879" t="s">
        <v>500</v>
      </c>
      <c r="O879">
        <v>0</v>
      </c>
      <c r="W879" t="b">
        <v>0</v>
      </c>
    </row>
    <row r="880" spans="1:24" hidden="1" x14ac:dyDescent="0.25">
      <c r="B880" t="s">
        <v>1631</v>
      </c>
      <c r="C880" t="s">
        <v>960</v>
      </c>
      <c r="D880" t="s">
        <v>2910</v>
      </c>
      <c r="E880" t="s">
        <v>1631</v>
      </c>
      <c r="G880" t="s">
        <v>23</v>
      </c>
      <c r="H880" t="s">
        <v>531</v>
      </c>
      <c r="I880" t="s">
        <v>961</v>
      </c>
      <c r="L880">
        <v>9.9</v>
      </c>
      <c r="M880" t="s">
        <v>499</v>
      </c>
      <c r="N880" t="s">
        <v>500</v>
      </c>
      <c r="O880">
        <v>0</v>
      </c>
      <c r="W880" t="b">
        <v>0</v>
      </c>
    </row>
    <row r="881" spans="1:24" hidden="1" x14ac:dyDescent="0.25">
      <c r="B881" t="s">
        <v>1633</v>
      </c>
      <c r="C881" t="s">
        <v>960</v>
      </c>
      <c r="D881" t="s">
        <v>2910</v>
      </c>
      <c r="E881" t="s">
        <v>1633</v>
      </c>
      <c r="G881" t="s">
        <v>23</v>
      </c>
      <c r="H881" t="s">
        <v>239</v>
      </c>
      <c r="I881" t="s">
        <v>961</v>
      </c>
      <c r="L881">
        <v>13</v>
      </c>
      <c r="M881" t="s">
        <v>499</v>
      </c>
      <c r="N881" t="s">
        <v>500</v>
      </c>
      <c r="O881">
        <v>0</v>
      </c>
      <c r="W881" t="b">
        <v>0</v>
      </c>
    </row>
    <row r="882" spans="1:24" hidden="1" x14ac:dyDescent="0.25">
      <c r="B882" t="s">
        <v>1635</v>
      </c>
      <c r="C882" t="s">
        <v>960</v>
      </c>
      <c r="D882" t="s">
        <v>2910</v>
      </c>
      <c r="E882" t="s">
        <v>1635</v>
      </c>
      <c r="G882" t="s">
        <v>23</v>
      </c>
      <c r="H882" t="s">
        <v>239</v>
      </c>
      <c r="I882" t="s">
        <v>961</v>
      </c>
      <c r="L882">
        <v>11.95</v>
      </c>
      <c r="M882" t="s">
        <v>499</v>
      </c>
      <c r="N882" t="s">
        <v>500</v>
      </c>
      <c r="O882">
        <v>0</v>
      </c>
      <c r="W882" t="b">
        <v>0</v>
      </c>
    </row>
    <row r="883" spans="1:24" hidden="1" x14ac:dyDescent="0.25">
      <c r="B883" t="s">
        <v>1637</v>
      </c>
      <c r="C883" t="s">
        <v>960</v>
      </c>
      <c r="D883" t="s">
        <v>2910</v>
      </c>
      <c r="E883" t="s">
        <v>1637</v>
      </c>
      <c r="G883" t="s">
        <v>207</v>
      </c>
      <c r="H883" t="s">
        <v>823</v>
      </c>
      <c r="I883" t="s">
        <v>961</v>
      </c>
      <c r="L883">
        <v>19.899999999999999</v>
      </c>
      <c r="M883" t="s">
        <v>499</v>
      </c>
      <c r="N883" t="s">
        <v>500</v>
      </c>
      <c r="O883">
        <v>0.7</v>
      </c>
      <c r="W883" t="b">
        <v>0</v>
      </c>
    </row>
    <row r="884" spans="1:24" hidden="1" x14ac:dyDescent="0.25">
      <c r="B884" t="s">
        <v>1639</v>
      </c>
      <c r="C884" t="s">
        <v>960</v>
      </c>
      <c r="D884" t="s">
        <v>2910</v>
      </c>
      <c r="E884" t="s">
        <v>1639</v>
      </c>
      <c r="G884" t="s">
        <v>23</v>
      </c>
      <c r="H884" t="s">
        <v>822</v>
      </c>
      <c r="I884" t="s">
        <v>961</v>
      </c>
      <c r="L884">
        <v>9.9</v>
      </c>
      <c r="M884" t="s">
        <v>499</v>
      </c>
      <c r="N884" t="s">
        <v>500</v>
      </c>
      <c r="O884">
        <v>0</v>
      </c>
      <c r="W884" t="b">
        <v>0</v>
      </c>
    </row>
    <row r="885" spans="1:24" hidden="1" x14ac:dyDescent="0.25">
      <c r="B885" t="s">
        <v>1641</v>
      </c>
      <c r="C885" t="s">
        <v>960</v>
      </c>
      <c r="D885" t="s">
        <v>2910</v>
      </c>
      <c r="E885" t="s">
        <v>1641</v>
      </c>
      <c r="G885" t="s">
        <v>23</v>
      </c>
      <c r="H885" t="s">
        <v>240</v>
      </c>
      <c r="I885" t="s">
        <v>961</v>
      </c>
      <c r="L885">
        <v>8</v>
      </c>
      <c r="M885" t="s">
        <v>499</v>
      </c>
      <c r="N885" t="s">
        <v>500</v>
      </c>
      <c r="O885">
        <v>0</v>
      </c>
      <c r="W885" t="b">
        <v>0</v>
      </c>
    </row>
    <row r="886" spans="1:24" hidden="1" x14ac:dyDescent="0.25">
      <c r="A886" t="s">
        <v>1643</v>
      </c>
      <c r="B886" t="s">
        <v>1644</v>
      </c>
      <c r="C886" t="s">
        <v>960</v>
      </c>
      <c r="D886" t="s">
        <v>2910</v>
      </c>
      <c r="E886" t="s">
        <v>1644</v>
      </c>
      <c r="G886" t="s">
        <v>207</v>
      </c>
      <c r="H886" t="s">
        <v>927</v>
      </c>
      <c r="I886" t="s">
        <v>961</v>
      </c>
      <c r="L886">
        <v>35</v>
      </c>
      <c r="M886" t="s">
        <v>499</v>
      </c>
      <c r="N886" t="s">
        <v>500</v>
      </c>
      <c r="O886">
        <v>1</v>
      </c>
      <c r="W886" t="b">
        <v>0</v>
      </c>
      <c r="X886">
        <v>35</v>
      </c>
    </row>
    <row r="887" spans="1:24" hidden="1" x14ac:dyDescent="0.25">
      <c r="B887" t="s">
        <v>1646</v>
      </c>
      <c r="C887" t="s">
        <v>960</v>
      </c>
      <c r="D887" t="s">
        <v>2910</v>
      </c>
      <c r="E887" t="s">
        <v>1646</v>
      </c>
      <c r="G887" t="s">
        <v>23</v>
      </c>
      <c r="H887" t="s">
        <v>927</v>
      </c>
      <c r="I887" t="s">
        <v>961</v>
      </c>
      <c r="L887">
        <v>4</v>
      </c>
      <c r="M887" t="s">
        <v>499</v>
      </c>
      <c r="N887" t="s">
        <v>500</v>
      </c>
      <c r="O887">
        <v>0</v>
      </c>
      <c r="W887" t="b">
        <v>0</v>
      </c>
    </row>
    <row r="888" spans="1:24" hidden="1" x14ac:dyDescent="0.25">
      <c r="B888" t="s">
        <v>1648</v>
      </c>
      <c r="C888" t="s">
        <v>960</v>
      </c>
      <c r="D888" t="s">
        <v>2910</v>
      </c>
      <c r="E888" t="s">
        <v>1648</v>
      </c>
      <c r="G888" t="s">
        <v>23</v>
      </c>
      <c r="H888" t="s">
        <v>531</v>
      </c>
      <c r="I888" t="s">
        <v>961</v>
      </c>
      <c r="L888">
        <v>9.9</v>
      </c>
      <c r="M888" t="s">
        <v>499</v>
      </c>
      <c r="N888" t="s">
        <v>500</v>
      </c>
      <c r="O888">
        <v>0</v>
      </c>
      <c r="W888" t="b">
        <v>0</v>
      </c>
    </row>
    <row r="889" spans="1:24" hidden="1" x14ac:dyDescent="0.25">
      <c r="B889" t="s">
        <v>1650</v>
      </c>
      <c r="C889" t="s">
        <v>960</v>
      </c>
      <c r="D889" t="s">
        <v>2910</v>
      </c>
      <c r="E889" t="s">
        <v>1650</v>
      </c>
      <c r="G889" t="s">
        <v>23</v>
      </c>
      <c r="H889" t="s">
        <v>531</v>
      </c>
      <c r="I889" t="s">
        <v>961</v>
      </c>
      <c r="L889">
        <v>9.9</v>
      </c>
      <c r="M889" t="s">
        <v>499</v>
      </c>
      <c r="N889" t="s">
        <v>500</v>
      </c>
      <c r="O889">
        <v>0</v>
      </c>
      <c r="W889" t="b">
        <v>0</v>
      </c>
    </row>
    <row r="890" spans="1:24" hidden="1" x14ac:dyDescent="0.25">
      <c r="B890" t="s">
        <v>544</v>
      </c>
      <c r="C890" t="s">
        <v>960</v>
      </c>
      <c r="D890" t="s">
        <v>2910</v>
      </c>
      <c r="E890" t="s">
        <v>544</v>
      </c>
      <c r="G890" t="s">
        <v>23</v>
      </c>
      <c r="H890" t="s">
        <v>579</v>
      </c>
      <c r="I890" t="s">
        <v>961</v>
      </c>
      <c r="L890">
        <v>19.899999999999999</v>
      </c>
      <c r="M890" t="s">
        <v>499</v>
      </c>
      <c r="N890" t="s">
        <v>500</v>
      </c>
      <c r="O890">
        <v>1.99</v>
      </c>
      <c r="W890" t="b">
        <v>0</v>
      </c>
    </row>
    <row r="891" spans="1:24" hidden="1" x14ac:dyDescent="0.25">
      <c r="B891" t="s">
        <v>1653</v>
      </c>
      <c r="C891" t="s">
        <v>960</v>
      </c>
      <c r="D891" t="s">
        <v>2910</v>
      </c>
      <c r="E891" t="s">
        <v>1653</v>
      </c>
      <c r="G891" t="s">
        <v>23</v>
      </c>
      <c r="H891" t="s">
        <v>579</v>
      </c>
      <c r="I891" t="s">
        <v>961</v>
      </c>
      <c r="L891">
        <v>19.899999999999999</v>
      </c>
      <c r="M891" t="s">
        <v>499</v>
      </c>
      <c r="N891" t="s">
        <v>500</v>
      </c>
      <c r="O891">
        <v>1.99</v>
      </c>
      <c r="W891" t="b">
        <v>0</v>
      </c>
    </row>
    <row r="892" spans="1:24" hidden="1" x14ac:dyDescent="0.25">
      <c r="B892" t="s">
        <v>1655</v>
      </c>
      <c r="C892" t="s">
        <v>960</v>
      </c>
      <c r="D892" t="s">
        <v>2910</v>
      </c>
      <c r="E892" t="s">
        <v>1655</v>
      </c>
      <c r="G892" t="s">
        <v>23</v>
      </c>
      <c r="H892" t="s">
        <v>579</v>
      </c>
      <c r="I892" t="s">
        <v>961</v>
      </c>
      <c r="L892">
        <v>19.899999999999999</v>
      </c>
      <c r="M892" t="s">
        <v>499</v>
      </c>
      <c r="N892" t="s">
        <v>500</v>
      </c>
      <c r="O892">
        <v>1.99</v>
      </c>
      <c r="W892" t="b">
        <v>0</v>
      </c>
    </row>
    <row r="893" spans="1:24" hidden="1" x14ac:dyDescent="0.25">
      <c r="B893" t="s">
        <v>1657</v>
      </c>
      <c r="C893" t="s">
        <v>960</v>
      </c>
      <c r="D893" t="s">
        <v>2910</v>
      </c>
      <c r="E893" t="s">
        <v>1657</v>
      </c>
      <c r="G893" t="s">
        <v>207</v>
      </c>
      <c r="H893" t="s">
        <v>94</v>
      </c>
      <c r="I893" t="s">
        <v>961</v>
      </c>
      <c r="L893">
        <v>0.996</v>
      </c>
      <c r="M893" t="s">
        <v>499</v>
      </c>
      <c r="N893" t="s">
        <v>500</v>
      </c>
      <c r="O893">
        <v>0</v>
      </c>
      <c r="W893" t="b">
        <v>0</v>
      </c>
    </row>
    <row r="894" spans="1:24" hidden="1" x14ac:dyDescent="0.25">
      <c r="B894" t="s">
        <v>1659</v>
      </c>
      <c r="C894" t="s">
        <v>960</v>
      </c>
      <c r="D894" t="s">
        <v>2910</v>
      </c>
      <c r="E894" t="s">
        <v>1659</v>
      </c>
      <c r="G894" t="s">
        <v>23</v>
      </c>
      <c r="H894" t="s">
        <v>95</v>
      </c>
      <c r="I894" t="s">
        <v>961</v>
      </c>
      <c r="L894">
        <v>19.899999999999999</v>
      </c>
      <c r="M894" t="s">
        <v>499</v>
      </c>
      <c r="N894" t="s">
        <v>500</v>
      </c>
      <c r="O894">
        <v>0</v>
      </c>
      <c r="W894" t="b">
        <v>0</v>
      </c>
    </row>
    <row r="895" spans="1:24" hidden="1" x14ac:dyDescent="0.25">
      <c r="B895" t="s">
        <v>1661</v>
      </c>
      <c r="C895" t="s">
        <v>960</v>
      </c>
      <c r="D895" t="s">
        <v>2910</v>
      </c>
      <c r="E895" t="s">
        <v>1661</v>
      </c>
      <c r="G895" t="s">
        <v>23</v>
      </c>
      <c r="H895" t="s">
        <v>95</v>
      </c>
      <c r="I895" t="s">
        <v>961</v>
      </c>
      <c r="L895">
        <v>19.899999999999999</v>
      </c>
      <c r="M895" t="s">
        <v>499</v>
      </c>
      <c r="N895" t="s">
        <v>500</v>
      </c>
      <c r="O895">
        <v>0</v>
      </c>
      <c r="W895" t="b">
        <v>0</v>
      </c>
    </row>
    <row r="896" spans="1:24" hidden="1" x14ac:dyDescent="0.25">
      <c r="B896" t="s">
        <v>1663</v>
      </c>
      <c r="C896" t="s">
        <v>960</v>
      </c>
      <c r="D896" t="s">
        <v>2910</v>
      </c>
      <c r="E896" t="s">
        <v>1663</v>
      </c>
      <c r="G896" t="s">
        <v>23</v>
      </c>
      <c r="H896" t="s">
        <v>95</v>
      </c>
      <c r="I896" t="s">
        <v>961</v>
      </c>
      <c r="L896">
        <v>19.899999999999999</v>
      </c>
      <c r="M896" t="s">
        <v>499</v>
      </c>
      <c r="N896" t="s">
        <v>500</v>
      </c>
      <c r="O896">
        <v>0</v>
      </c>
      <c r="W896" t="b">
        <v>0</v>
      </c>
    </row>
    <row r="897" spans="2:23" hidden="1" x14ac:dyDescent="0.25">
      <c r="B897" t="s">
        <v>1665</v>
      </c>
      <c r="C897" t="s">
        <v>960</v>
      </c>
      <c r="D897" t="s">
        <v>2910</v>
      </c>
      <c r="E897" t="s">
        <v>1665</v>
      </c>
      <c r="G897" t="s">
        <v>23</v>
      </c>
      <c r="H897" t="s">
        <v>822</v>
      </c>
      <c r="I897" t="s">
        <v>961</v>
      </c>
      <c r="L897">
        <v>15.5</v>
      </c>
      <c r="M897" t="s">
        <v>499</v>
      </c>
      <c r="N897" t="s">
        <v>500</v>
      </c>
      <c r="O897">
        <v>0</v>
      </c>
      <c r="W897" t="b">
        <v>0</v>
      </c>
    </row>
    <row r="898" spans="2:23" hidden="1" x14ac:dyDescent="0.25">
      <c r="B898" t="s">
        <v>16</v>
      </c>
      <c r="C898" t="s">
        <v>1667</v>
      </c>
      <c r="D898" t="s">
        <v>2910</v>
      </c>
      <c r="E898" t="s">
        <v>16</v>
      </c>
      <c r="G898" t="s">
        <v>23</v>
      </c>
      <c r="H898" t="s">
        <v>94</v>
      </c>
      <c r="I898" t="s">
        <v>961</v>
      </c>
      <c r="J898" t="s">
        <v>29</v>
      </c>
      <c r="L898">
        <v>9.1</v>
      </c>
      <c r="M898" t="s">
        <v>12</v>
      </c>
      <c r="N898" t="s">
        <v>13</v>
      </c>
      <c r="O898">
        <v>0.48</v>
      </c>
      <c r="W898" t="b">
        <v>0</v>
      </c>
    </row>
    <row r="899" spans="2:23" hidden="1" x14ac:dyDescent="0.25">
      <c r="B899" t="s">
        <v>17</v>
      </c>
      <c r="C899" t="s">
        <v>1667</v>
      </c>
      <c r="D899" t="s">
        <v>2910</v>
      </c>
      <c r="E899" t="s">
        <v>17</v>
      </c>
      <c r="G899" t="s">
        <v>23</v>
      </c>
      <c r="H899" t="s">
        <v>95</v>
      </c>
      <c r="I899" t="s">
        <v>961</v>
      </c>
      <c r="J899" t="s">
        <v>30</v>
      </c>
      <c r="L899">
        <v>19.899999999999999</v>
      </c>
      <c r="M899" t="s">
        <v>12</v>
      </c>
      <c r="N899" t="s">
        <v>13</v>
      </c>
      <c r="O899">
        <v>0.4</v>
      </c>
      <c r="W899" t="b">
        <v>0</v>
      </c>
    </row>
    <row r="900" spans="2:23" hidden="1" x14ac:dyDescent="0.25">
      <c r="B900" t="s">
        <v>18</v>
      </c>
      <c r="C900" t="s">
        <v>1667</v>
      </c>
      <c r="D900" t="s">
        <v>2910</v>
      </c>
      <c r="E900" t="s">
        <v>18</v>
      </c>
      <c r="G900" t="s">
        <v>23</v>
      </c>
      <c r="H900" t="s">
        <v>95</v>
      </c>
      <c r="I900" t="s">
        <v>961</v>
      </c>
      <c r="J900" t="s">
        <v>31</v>
      </c>
      <c r="L900">
        <v>12</v>
      </c>
      <c r="M900" t="s">
        <v>12</v>
      </c>
      <c r="N900" t="s">
        <v>13</v>
      </c>
      <c r="O900">
        <v>0.35</v>
      </c>
      <c r="W900" t="b">
        <v>0</v>
      </c>
    </row>
  </sheetData>
  <autoFilter ref="A1:Y900" xr:uid="{00000000-0009-0000-0000-000003000000}">
    <filterColumn colId="0">
      <customFilters>
        <customFilter operator="notEqual" val=" "/>
      </customFilters>
    </filterColumn>
    <filterColumn colId="2">
      <filters>
        <filter val="HIDRAULICA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K120"/>
  <sheetViews>
    <sheetView workbookViewId="0">
      <pane ySplit="1" topLeftCell="A2" activePane="bottomLeft" state="frozen"/>
      <selection pane="bottomLeft" activeCell="D46" sqref="D46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x14ac:dyDescent="0.25">
      <c r="A1" s="3" t="s">
        <v>3021</v>
      </c>
      <c r="B1" s="3" t="s">
        <v>3022</v>
      </c>
      <c r="C1" s="3" t="s">
        <v>1673</v>
      </c>
      <c r="D1" s="3" t="s">
        <v>1674</v>
      </c>
      <c r="E1" s="3" t="s">
        <v>951</v>
      </c>
      <c r="F1" s="3" t="s">
        <v>3023</v>
      </c>
      <c r="G1" s="3" t="s">
        <v>1676</v>
      </c>
      <c r="H1" s="3" t="s">
        <v>1677</v>
      </c>
      <c r="I1" s="3" t="s">
        <v>3024</v>
      </c>
      <c r="J1" s="3" t="s">
        <v>3025</v>
      </c>
      <c r="K1" s="3" t="s">
        <v>3026</v>
      </c>
    </row>
    <row r="2" spans="1:11" x14ac:dyDescent="0.25">
      <c r="A2" t="s">
        <v>2926</v>
      </c>
      <c r="C2" t="s">
        <v>273</v>
      </c>
      <c r="D2" t="s">
        <v>204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3027</v>
      </c>
      <c r="K2" t="s">
        <v>3028</v>
      </c>
    </row>
    <row r="3" spans="1:11" x14ac:dyDescent="0.25">
      <c r="A3" t="s">
        <v>2926</v>
      </c>
      <c r="C3" t="s">
        <v>274</v>
      </c>
      <c r="D3" t="s">
        <v>204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3027</v>
      </c>
      <c r="K3" t="s">
        <v>3028</v>
      </c>
    </row>
    <row r="4" spans="1:11" x14ac:dyDescent="0.25">
      <c r="A4" t="s">
        <v>2926</v>
      </c>
      <c r="C4" t="s">
        <v>275</v>
      </c>
      <c r="D4" t="s">
        <v>204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3027</v>
      </c>
      <c r="K4" t="s">
        <v>3028</v>
      </c>
    </row>
    <row r="5" spans="1:11" hidden="1" x14ac:dyDescent="0.25">
      <c r="A5" t="s">
        <v>2596</v>
      </c>
      <c r="B5" t="s">
        <v>2596</v>
      </c>
      <c r="C5" t="s">
        <v>411</v>
      </c>
      <c r="D5" t="s">
        <v>283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3027</v>
      </c>
      <c r="K5" t="s">
        <v>3028</v>
      </c>
    </row>
    <row r="6" spans="1:11" hidden="1" x14ac:dyDescent="0.25">
      <c r="A6" t="s">
        <v>2596</v>
      </c>
      <c r="B6" t="s">
        <v>2596</v>
      </c>
      <c r="C6" t="s">
        <v>2599</v>
      </c>
      <c r="D6" t="s">
        <v>283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3027</v>
      </c>
      <c r="K6" t="s">
        <v>3028</v>
      </c>
    </row>
    <row r="7" spans="1:11" x14ac:dyDescent="0.25">
      <c r="A7" t="s">
        <v>2926</v>
      </c>
      <c r="C7" t="s">
        <v>2601</v>
      </c>
      <c r="D7" t="s">
        <v>284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3027</v>
      </c>
      <c r="K7" t="s">
        <v>3028</v>
      </c>
    </row>
    <row r="8" spans="1:11" x14ac:dyDescent="0.25">
      <c r="A8" t="s">
        <v>2926</v>
      </c>
      <c r="C8" t="s">
        <v>2603</v>
      </c>
      <c r="D8" t="s">
        <v>284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3027</v>
      </c>
      <c r="K8" t="s">
        <v>3028</v>
      </c>
    </row>
    <row r="9" spans="1:11" x14ac:dyDescent="0.25">
      <c r="A9" t="s">
        <v>2926</v>
      </c>
      <c r="C9" t="s">
        <v>2605</v>
      </c>
      <c r="D9" t="s">
        <v>284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3027</v>
      </c>
      <c r="K9" t="s">
        <v>3028</v>
      </c>
    </row>
    <row r="10" spans="1:11" x14ac:dyDescent="0.25">
      <c r="A10" t="s">
        <v>2926</v>
      </c>
      <c r="C10" t="s">
        <v>2607</v>
      </c>
      <c r="D10" t="s">
        <v>284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3027</v>
      </c>
      <c r="K10" t="s">
        <v>3028</v>
      </c>
    </row>
    <row r="11" spans="1:11" hidden="1" x14ac:dyDescent="0.25">
      <c r="A11" t="s">
        <v>2609</v>
      </c>
      <c r="B11" t="s">
        <v>2609</v>
      </c>
      <c r="C11" t="s">
        <v>2611</v>
      </c>
      <c r="D11" t="s">
        <v>2610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3027</v>
      </c>
      <c r="K11" t="s">
        <v>3028</v>
      </c>
    </row>
    <row r="12" spans="1:11" hidden="1" x14ac:dyDescent="0.25">
      <c r="A12" t="s">
        <v>2609</v>
      </c>
      <c r="B12" t="s">
        <v>2609</v>
      </c>
      <c r="C12" t="s">
        <v>2614</v>
      </c>
      <c r="D12" t="s">
        <v>2610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3027</v>
      </c>
      <c r="K12" t="s">
        <v>3028</v>
      </c>
    </row>
    <row r="13" spans="1:11" hidden="1" x14ac:dyDescent="0.25">
      <c r="A13" t="s">
        <v>2609</v>
      </c>
      <c r="B13" t="s">
        <v>2609</v>
      </c>
      <c r="C13" t="s">
        <v>2616</v>
      </c>
      <c r="D13" t="s">
        <v>2610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3027</v>
      </c>
      <c r="K13" t="s">
        <v>3028</v>
      </c>
    </row>
    <row r="14" spans="1:11" hidden="1" x14ac:dyDescent="0.25">
      <c r="A14" t="s">
        <v>2618</v>
      </c>
      <c r="B14" t="s">
        <v>2618</v>
      </c>
      <c r="C14" t="s">
        <v>2620</v>
      </c>
      <c r="D14" t="s">
        <v>2619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3027</v>
      </c>
      <c r="K14" t="s">
        <v>3028</v>
      </c>
    </row>
    <row r="15" spans="1:11" hidden="1" x14ac:dyDescent="0.25">
      <c r="A15" t="s">
        <v>2618</v>
      </c>
      <c r="B15" t="s">
        <v>2618</v>
      </c>
      <c r="C15" t="s">
        <v>2623</v>
      </c>
      <c r="D15" t="s">
        <v>2619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3027</v>
      </c>
      <c r="K15" t="s">
        <v>3028</v>
      </c>
    </row>
    <row r="16" spans="1:11" hidden="1" x14ac:dyDescent="0.25">
      <c r="A16" t="s">
        <v>2618</v>
      </c>
      <c r="B16" t="s">
        <v>2618</v>
      </c>
      <c r="C16" t="s">
        <v>2625</v>
      </c>
      <c r="D16" t="s">
        <v>2619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3027</v>
      </c>
      <c r="K16" t="s">
        <v>3028</v>
      </c>
    </row>
    <row r="17" spans="1:11" hidden="1" x14ac:dyDescent="0.25">
      <c r="A17" t="s">
        <v>2618</v>
      </c>
      <c r="B17" t="s">
        <v>2618</v>
      </c>
      <c r="C17" t="s">
        <v>2627</v>
      </c>
      <c r="D17" t="s">
        <v>2619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3027</v>
      </c>
      <c r="K17" t="s">
        <v>3028</v>
      </c>
    </row>
    <row r="18" spans="1:11" hidden="1" x14ac:dyDescent="0.25">
      <c r="A18" t="s">
        <v>2629</v>
      </c>
      <c r="B18" t="s">
        <v>2629</v>
      </c>
      <c r="C18" t="s">
        <v>2631</v>
      </c>
      <c r="D18" t="s">
        <v>2630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3027</v>
      </c>
      <c r="K18" t="s">
        <v>3028</v>
      </c>
    </row>
    <row r="19" spans="1:11" hidden="1" x14ac:dyDescent="0.25">
      <c r="A19" t="s">
        <v>2629</v>
      </c>
      <c r="B19" t="s">
        <v>2629</v>
      </c>
      <c r="C19" t="s">
        <v>2634</v>
      </c>
      <c r="D19" t="s">
        <v>2630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3027</v>
      </c>
      <c r="K19" t="s">
        <v>3028</v>
      </c>
    </row>
    <row r="20" spans="1:11" hidden="1" x14ac:dyDescent="0.25">
      <c r="A20" t="s">
        <v>2636</v>
      </c>
      <c r="B20" t="s">
        <v>2636</v>
      </c>
      <c r="C20" t="s">
        <v>2638</v>
      </c>
      <c r="D20" t="s">
        <v>2637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3027</v>
      </c>
      <c r="K20" t="s">
        <v>3028</v>
      </c>
    </row>
    <row r="21" spans="1:11" hidden="1" x14ac:dyDescent="0.25">
      <c r="A21" t="s">
        <v>2636</v>
      </c>
      <c r="B21" t="s">
        <v>2636</v>
      </c>
      <c r="C21" t="s">
        <v>2641</v>
      </c>
      <c r="D21" t="s">
        <v>2637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3027</v>
      </c>
      <c r="K21" t="s">
        <v>3028</v>
      </c>
    </row>
    <row r="22" spans="1:11" hidden="1" x14ac:dyDescent="0.25">
      <c r="A22" t="s">
        <v>2636</v>
      </c>
      <c r="B22" t="s">
        <v>2636</v>
      </c>
      <c r="C22" t="s">
        <v>2643</v>
      </c>
      <c r="D22" t="s">
        <v>2637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3027</v>
      </c>
      <c r="K22" t="s">
        <v>3028</v>
      </c>
    </row>
    <row r="23" spans="1:11" hidden="1" x14ac:dyDescent="0.25">
      <c r="A23" t="s">
        <v>2636</v>
      </c>
      <c r="B23" t="s">
        <v>2636</v>
      </c>
      <c r="C23" t="s">
        <v>2645</v>
      </c>
      <c r="D23" t="s">
        <v>2637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3027</v>
      </c>
      <c r="K23" t="s">
        <v>3028</v>
      </c>
    </row>
    <row r="24" spans="1:11" hidden="1" x14ac:dyDescent="0.25">
      <c r="A24" t="s">
        <v>2636</v>
      </c>
      <c r="B24" t="s">
        <v>2636</v>
      </c>
      <c r="C24" t="s">
        <v>2647</v>
      </c>
      <c r="D24" t="s">
        <v>2637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3027</v>
      </c>
      <c r="K24" t="s">
        <v>3028</v>
      </c>
    </row>
    <row r="25" spans="1:11" hidden="1" x14ac:dyDescent="0.25">
      <c r="A25" t="s">
        <v>2636</v>
      </c>
      <c r="B25" t="s">
        <v>2636</v>
      </c>
      <c r="C25" t="s">
        <v>2649</v>
      </c>
      <c r="D25" t="s">
        <v>2637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3027</v>
      </c>
      <c r="K25" t="s">
        <v>3028</v>
      </c>
    </row>
    <row r="26" spans="1:11" hidden="1" x14ac:dyDescent="0.25">
      <c r="A26" t="s">
        <v>2636</v>
      </c>
      <c r="B26" t="s">
        <v>2636</v>
      </c>
      <c r="C26" t="s">
        <v>2651</v>
      </c>
      <c r="D26" t="s">
        <v>2637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3027</v>
      </c>
      <c r="K26" t="s">
        <v>3028</v>
      </c>
    </row>
    <row r="27" spans="1:11" hidden="1" x14ac:dyDescent="0.25">
      <c r="A27" t="s">
        <v>2636</v>
      </c>
      <c r="B27" t="s">
        <v>2636</v>
      </c>
      <c r="C27" t="s">
        <v>2653</v>
      </c>
      <c r="D27" t="s">
        <v>2637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3027</v>
      </c>
      <c r="K27" t="s">
        <v>3028</v>
      </c>
    </row>
    <row r="28" spans="1:11" hidden="1" x14ac:dyDescent="0.25">
      <c r="A28" t="s">
        <v>2655</v>
      </c>
      <c r="B28" t="s">
        <v>2655</v>
      </c>
      <c r="C28" t="s">
        <v>2657</v>
      </c>
      <c r="D28" t="s">
        <v>2656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3027</v>
      </c>
      <c r="K28" t="s">
        <v>3028</v>
      </c>
    </row>
    <row r="29" spans="1:11" hidden="1" x14ac:dyDescent="0.25">
      <c r="A29" t="s">
        <v>2655</v>
      </c>
      <c r="B29" t="s">
        <v>2655</v>
      </c>
      <c r="C29" t="s">
        <v>2660</v>
      </c>
      <c r="D29" t="s">
        <v>2656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3027</v>
      </c>
      <c r="K29" t="s">
        <v>3028</v>
      </c>
    </row>
    <row r="30" spans="1:11" hidden="1" x14ac:dyDescent="0.25">
      <c r="A30" t="s">
        <v>2662</v>
      </c>
      <c r="B30" t="s">
        <v>2662</v>
      </c>
      <c r="C30" t="s">
        <v>2664</v>
      </c>
      <c r="D30" t="s">
        <v>2663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3027</v>
      </c>
      <c r="K30" t="s">
        <v>3028</v>
      </c>
    </row>
    <row r="31" spans="1:11" hidden="1" x14ac:dyDescent="0.25">
      <c r="A31" t="s">
        <v>2662</v>
      </c>
      <c r="B31" t="s">
        <v>2662</v>
      </c>
      <c r="C31" t="s">
        <v>2667</v>
      </c>
      <c r="D31" t="s">
        <v>2663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3027</v>
      </c>
      <c r="K31" t="s">
        <v>3028</v>
      </c>
    </row>
    <row r="32" spans="1:11" hidden="1" x14ac:dyDescent="0.25">
      <c r="A32" t="s">
        <v>2662</v>
      </c>
      <c r="B32" t="s">
        <v>2662</v>
      </c>
      <c r="C32" t="s">
        <v>2669</v>
      </c>
      <c r="D32" t="s">
        <v>2663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3027</v>
      </c>
      <c r="K32" t="s">
        <v>3028</v>
      </c>
    </row>
    <row r="33" spans="1:11" hidden="1" x14ac:dyDescent="0.25">
      <c r="A33" t="s">
        <v>906</v>
      </c>
      <c r="B33" t="s">
        <v>906</v>
      </c>
      <c r="C33" t="s">
        <v>2671</v>
      </c>
      <c r="D33" t="s">
        <v>907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3027</v>
      </c>
      <c r="K33" t="s">
        <v>3028</v>
      </c>
    </row>
    <row r="34" spans="1:11" hidden="1" x14ac:dyDescent="0.25">
      <c r="A34" t="s">
        <v>906</v>
      </c>
      <c r="B34" t="s">
        <v>906</v>
      </c>
      <c r="C34" t="s">
        <v>2674</v>
      </c>
      <c r="D34" t="s">
        <v>907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3027</v>
      </c>
      <c r="K34" t="s">
        <v>3028</v>
      </c>
    </row>
    <row r="35" spans="1:11" hidden="1" x14ac:dyDescent="0.25">
      <c r="A35" t="s">
        <v>2676</v>
      </c>
      <c r="B35" t="s">
        <v>2676</v>
      </c>
      <c r="C35" t="s">
        <v>2678</v>
      </c>
      <c r="D35" t="s">
        <v>2677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3027</v>
      </c>
      <c r="K35" t="s">
        <v>3028</v>
      </c>
    </row>
    <row r="36" spans="1:11" hidden="1" x14ac:dyDescent="0.25">
      <c r="A36" t="s">
        <v>2676</v>
      </c>
      <c r="B36" t="s">
        <v>2676</v>
      </c>
      <c r="C36" t="s">
        <v>2681</v>
      </c>
      <c r="D36" t="s">
        <v>2677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3027</v>
      </c>
      <c r="K36" t="s">
        <v>3028</v>
      </c>
    </row>
    <row r="37" spans="1:11" hidden="1" x14ac:dyDescent="0.25">
      <c r="A37" t="s">
        <v>2676</v>
      </c>
      <c r="B37" t="s">
        <v>2676</v>
      </c>
      <c r="C37" t="s">
        <v>2683</v>
      </c>
      <c r="D37" t="s">
        <v>2677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3027</v>
      </c>
      <c r="K37" t="s">
        <v>3028</v>
      </c>
    </row>
    <row r="38" spans="1:11" hidden="1" x14ac:dyDescent="0.25">
      <c r="A38" t="s">
        <v>2685</v>
      </c>
      <c r="B38" t="s">
        <v>2685</v>
      </c>
      <c r="C38" t="s">
        <v>2687</v>
      </c>
      <c r="D38" t="s">
        <v>2686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3027</v>
      </c>
      <c r="K38" t="s">
        <v>3028</v>
      </c>
    </row>
    <row r="39" spans="1:11" hidden="1" x14ac:dyDescent="0.25">
      <c r="A39" t="s">
        <v>2685</v>
      </c>
      <c r="B39" t="s">
        <v>2685</v>
      </c>
      <c r="C39" t="s">
        <v>2690</v>
      </c>
      <c r="D39" t="s">
        <v>2686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3027</v>
      </c>
      <c r="K39" t="s">
        <v>3028</v>
      </c>
    </row>
    <row r="40" spans="1:11" x14ac:dyDescent="0.25">
      <c r="A40" t="s">
        <v>2929</v>
      </c>
      <c r="C40" t="s">
        <v>2693</v>
      </c>
      <c r="D40" t="s">
        <v>2692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3027</v>
      </c>
      <c r="K40" t="s">
        <v>3028</v>
      </c>
    </row>
    <row r="41" spans="1:11" x14ac:dyDescent="0.25">
      <c r="A41" t="s">
        <v>2929</v>
      </c>
      <c r="C41" t="s">
        <v>2696</v>
      </c>
      <c r="D41" t="s">
        <v>2692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3027</v>
      </c>
      <c r="K41" t="s">
        <v>3028</v>
      </c>
    </row>
    <row r="42" spans="1:11" x14ac:dyDescent="0.25">
      <c r="A42" t="s">
        <v>2929</v>
      </c>
      <c r="C42" t="s">
        <v>2698</v>
      </c>
      <c r="D42" t="s">
        <v>2692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3027</v>
      </c>
      <c r="K42" t="s">
        <v>3028</v>
      </c>
    </row>
    <row r="43" spans="1:11" x14ac:dyDescent="0.25">
      <c r="A43" t="s">
        <v>2929</v>
      </c>
      <c r="C43" t="s">
        <v>2700</v>
      </c>
      <c r="D43" t="s">
        <v>2692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3027</v>
      </c>
      <c r="K43" t="s">
        <v>3028</v>
      </c>
    </row>
    <row r="44" spans="1:11" x14ac:dyDescent="0.25">
      <c r="A44" t="s">
        <v>2929</v>
      </c>
      <c r="C44" t="s">
        <v>2702</v>
      </c>
      <c r="D44" t="s">
        <v>2692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3027</v>
      </c>
      <c r="K44" t="s">
        <v>3028</v>
      </c>
    </row>
    <row r="45" spans="1:11" x14ac:dyDescent="0.25">
      <c r="A45" t="s">
        <v>2929</v>
      </c>
      <c r="C45" t="s">
        <v>2704</v>
      </c>
      <c r="D45" t="s">
        <v>2692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3027</v>
      </c>
      <c r="K45" t="s">
        <v>3028</v>
      </c>
    </row>
    <row r="46" spans="1:11" x14ac:dyDescent="0.25">
      <c r="A46" t="s">
        <v>2929</v>
      </c>
      <c r="C46" t="s">
        <v>2707</v>
      </c>
      <c r="D46" t="s">
        <v>2706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3027</v>
      </c>
      <c r="K46" t="s">
        <v>3028</v>
      </c>
    </row>
    <row r="47" spans="1:11" x14ac:dyDescent="0.25">
      <c r="A47" t="s">
        <v>2929</v>
      </c>
      <c r="C47" t="s">
        <v>2710</v>
      </c>
      <c r="D47" t="s">
        <v>2706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3027</v>
      </c>
      <c r="K47" t="s">
        <v>3028</v>
      </c>
    </row>
    <row r="48" spans="1:11" x14ac:dyDescent="0.25">
      <c r="A48" t="s">
        <v>2929</v>
      </c>
      <c r="C48" t="s">
        <v>2712</v>
      </c>
      <c r="D48" t="s">
        <v>2706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3027</v>
      </c>
      <c r="K48" t="s">
        <v>3028</v>
      </c>
    </row>
    <row r="49" spans="1:11" hidden="1" x14ac:dyDescent="0.25">
      <c r="A49" t="s">
        <v>2714</v>
      </c>
      <c r="B49" t="s">
        <v>2714</v>
      </c>
      <c r="C49" t="s">
        <v>2716</v>
      </c>
      <c r="D49" t="s">
        <v>2715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3027</v>
      </c>
      <c r="K49" t="s">
        <v>3028</v>
      </c>
    </row>
    <row r="50" spans="1:11" hidden="1" x14ac:dyDescent="0.25">
      <c r="A50" t="s">
        <v>2714</v>
      </c>
      <c r="B50" t="s">
        <v>2714</v>
      </c>
      <c r="C50" t="s">
        <v>2719</v>
      </c>
      <c r="D50" t="s">
        <v>2715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3027</v>
      </c>
      <c r="K50" t="s">
        <v>3028</v>
      </c>
    </row>
    <row r="51" spans="1:11" hidden="1" x14ac:dyDescent="0.25">
      <c r="A51" t="s">
        <v>2714</v>
      </c>
      <c r="B51" t="s">
        <v>2714</v>
      </c>
      <c r="C51" t="s">
        <v>2721</v>
      </c>
      <c r="D51" t="s">
        <v>2715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3027</v>
      </c>
      <c r="K51" t="s">
        <v>3028</v>
      </c>
    </row>
    <row r="52" spans="1:11" hidden="1" x14ac:dyDescent="0.25">
      <c r="A52" t="s">
        <v>2714</v>
      </c>
      <c r="B52" t="s">
        <v>2714</v>
      </c>
      <c r="C52" t="s">
        <v>2723</v>
      </c>
      <c r="D52" t="s">
        <v>2715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3027</v>
      </c>
      <c r="K52" t="s">
        <v>3028</v>
      </c>
    </row>
    <row r="53" spans="1:11" hidden="1" x14ac:dyDescent="0.25">
      <c r="A53" t="s">
        <v>2714</v>
      </c>
      <c r="B53" t="s">
        <v>2714</v>
      </c>
      <c r="C53" t="s">
        <v>2725</v>
      </c>
      <c r="D53" t="s">
        <v>2715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3027</v>
      </c>
      <c r="K53" t="s">
        <v>3028</v>
      </c>
    </row>
    <row r="54" spans="1:11" hidden="1" x14ac:dyDescent="0.25">
      <c r="A54" t="s">
        <v>2714</v>
      </c>
      <c r="B54" t="s">
        <v>2714</v>
      </c>
      <c r="C54" t="s">
        <v>2727</v>
      </c>
      <c r="D54" t="s">
        <v>2715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3027</v>
      </c>
      <c r="K54" t="s">
        <v>3028</v>
      </c>
    </row>
    <row r="55" spans="1:11" hidden="1" x14ac:dyDescent="0.25">
      <c r="A55" t="s">
        <v>2714</v>
      </c>
      <c r="B55" t="s">
        <v>2714</v>
      </c>
      <c r="C55" t="s">
        <v>2729</v>
      </c>
      <c r="D55" t="s">
        <v>2715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3027</v>
      </c>
      <c r="K55" t="s">
        <v>3028</v>
      </c>
    </row>
    <row r="56" spans="1:11" hidden="1" x14ac:dyDescent="0.25">
      <c r="A56" t="s">
        <v>2714</v>
      </c>
      <c r="B56" t="s">
        <v>2714</v>
      </c>
      <c r="C56" t="s">
        <v>2731</v>
      </c>
      <c r="D56" t="s">
        <v>2715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3027</v>
      </c>
      <c r="K56" t="s">
        <v>3028</v>
      </c>
    </row>
    <row r="57" spans="1:11" hidden="1" x14ac:dyDescent="0.25">
      <c r="A57" t="s">
        <v>2733</v>
      </c>
      <c r="B57" t="s">
        <v>2733</v>
      </c>
      <c r="C57" t="s">
        <v>2735</v>
      </c>
      <c r="D57" t="s">
        <v>2734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3027</v>
      </c>
      <c r="K57" t="s">
        <v>3028</v>
      </c>
    </row>
    <row r="58" spans="1:11" hidden="1" x14ac:dyDescent="0.25">
      <c r="A58" t="s">
        <v>2733</v>
      </c>
      <c r="B58" t="s">
        <v>2733</v>
      </c>
      <c r="C58" t="s">
        <v>2738</v>
      </c>
      <c r="D58" t="s">
        <v>2734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3027</v>
      </c>
      <c r="K58" t="s">
        <v>3028</v>
      </c>
    </row>
    <row r="59" spans="1:11" hidden="1" x14ac:dyDescent="0.25">
      <c r="A59" t="s">
        <v>2733</v>
      </c>
      <c r="B59" t="s">
        <v>2733</v>
      </c>
      <c r="C59" t="s">
        <v>2740</v>
      </c>
      <c r="D59" t="s">
        <v>2734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3027</v>
      </c>
      <c r="K59" t="s">
        <v>3028</v>
      </c>
    </row>
    <row r="60" spans="1:11" hidden="1" x14ac:dyDescent="0.25">
      <c r="A60" t="s">
        <v>2733</v>
      </c>
      <c r="B60" t="s">
        <v>2733</v>
      </c>
      <c r="C60" t="s">
        <v>2742</v>
      </c>
      <c r="D60" t="s">
        <v>2734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3027</v>
      </c>
      <c r="K60" t="s">
        <v>3028</v>
      </c>
    </row>
    <row r="61" spans="1:11" hidden="1" x14ac:dyDescent="0.25">
      <c r="A61" t="s">
        <v>2733</v>
      </c>
      <c r="B61" t="s">
        <v>2733</v>
      </c>
      <c r="C61" t="s">
        <v>2744</v>
      </c>
      <c r="D61" t="s">
        <v>2734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3027</v>
      </c>
      <c r="K61" t="s">
        <v>3028</v>
      </c>
    </row>
    <row r="62" spans="1:11" hidden="1" x14ac:dyDescent="0.25">
      <c r="A62" t="s">
        <v>2746</v>
      </c>
      <c r="B62" t="s">
        <v>2746</v>
      </c>
      <c r="C62" t="s">
        <v>2748</v>
      </c>
      <c r="D62" t="s">
        <v>2747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3027</v>
      </c>
      <c r="K62" t="s">
        <v>3028</v>
      </c>
    </row>
    <row r="63" spans="1:11" hidden="1" x14ac:dyDescent="0.25">
      <c r="A63" t="s">
        <v>2746</v>
      </c>
      <c r="B63" t="s">
        <v>2746</v>
      </c>
      <c r="C63" t="s">
        <v>2751</v>
      </c>
      <c r="D63" t="s">
        <v>2747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3027</v>
      </c>
      <c r="K63" t="s">
        <v>3028</v>
      </c>
    </row>
    <row r="64" spans="1:11" hidden="1" x14ac:dyDescent="0.25">
      <c r="A64" t="s">
        <v>2746</v>
      </c>
      <c r="B64" t="s">
        <v>2746</v>
      </c>
      <c r="C64" t="s">
        <v>2753</v>
      </c>
      <c r="D64" t="s">
        <v>2747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3027</v>
      </c>
      <c r="K64" t="s">
        <v>3028</v>
      </c>
    </row>
    <row r="65" spans="1:11" hidden="1" x14ac:dyDescent="0.25">
      <c r="A65" t="s">
        <v>2746</v>
      </c>
      <c r="B65" t="s">
        <v>2746</v>
      </c>
      <c r="C65" t="s">
        <v>2755</v>
      </c>
      <c r="D65" t="s">
        <v>2747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3027</v>
      </c>
      <c r="K65" t="s">
        <v>3028</v>
      </c>
    </row>
    <row r="66" spans="1:11" hidden="1" x14ac:dyDescent="0.25">
      <c r="A66" t="s">
        <v>2757</v>
      </c>
      <c r="B66" t="s">
        <v>2757</v>
      </c>
      <c r="C66" t="s">
        <v>2759</v>
      </c>
      <c r="D66" t="s">
        <v>2758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3027</v>
      </c>
      <c r="K66" t="s">
        <v>3028</v>
      </c>
    </row>
    <row r="67" spans="1:11" hidden="1" x14ac:dyDescent="0.25">
      <c r="A67" t="s">
        <v>2757</v>
      </c>
      <c r="B67" t="s">
        <v>2757</v>
      </c>
      <c r="C67" t="s">
        <v>2762</v>
      </c>
      <c r="D67" t="s">
        <v>2758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3027</v>
      </c>
      <c r="K67" t="s">
        <v>3028</v>
      </c>
    </row>
    <row r="68" spans="1:11" x14ac:dyDescent="0.25">
      <c r="A68" t="s">
        <v>2923</v>
      </c>
      <c r="C68" t="s">
        <v>2764</v>
      </c>
      <c r="D68" t="s">
        <v>188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3027</v>
      </c>
      <c r="K68" t="s">
        <v>3028</v>
      </c>
    </row>
    <row r="69" spans="1:11" x14ac:dyDescent="0.25">
      <c r="A69" t="s">
        <v>2923</v>
      </c>
      <c r="C69" t="s">
        <v>2767</v>
      </c>
      <c r="D69" t="s">
        <v>188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3027</v>
      </c>
      <c r="K69" t="s">
        <v>3028</v>
      </c>
    </row>
    <row r="70" spans="1:11" x14ac:dyDescent="0.25">
      <c r="A70" t="s">
        <v>2923</v>
      </c>
      <c r="C70" t="s">
        <v>2769</v>
      </c>
      <c r="D70" t="s">
        <v>188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3027</v>
      </c>
      <c r="K70" t="s">
        <v>3028</v>
      </c>
    </row>
    <row r="71" spans="1:11" hidden="1" x14ac:dyDescent="0.25">
      <c r="A71" t="s">
        <v>2771</v>
      </c>
      <c r="B71" t="s">
        <v>2771</v>
      </c>
      <c r="C71" t="s">
        <v>2773</v>
      </c>
      <c r="D71" t="s">
        <v>2772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3027</v>
      </c>
      <c r="K71" t="s">
        <v>3028</v>
      </c>
    </row>
    <row r="72" spans="1:11" hidden="1" x14ac:dyDescent="0.25">
      <c r="A72" t="s">
        <v>2771</v>
      </c>
      <c r="B72" t="s">
        <v>2771</v>
      </c>
      <c r="C72" t="s">
        <v>2776</v>
      </c>
      <c r="D72" t="s">
        <v>2772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3027</v>
      </c>
      <c r="K72" t="s">
        <v>3028</v>
      </c>
    </row>
    <row r="73" spans="1:11" hidden="1" x14ac:dyDescent="0.25">
      <c r="A73" t="s">
        <v>2771</v>
      </c>
      <c r="B73" t="s">
        <v>2771</v>
      </c>
      <c r="C73" t="s">
        <v>2778</v>
      </c>
      <c r="D73" t="s">
        <v>2772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3027</v>
      </c>
      <c r="K73" t="s">
        <v>3028</v>
      </c>
    </row>
    <row r="74" spans="1:11" hidden="1" x14ac:dyDescent="0.25">
      <c r="A74" t="s">
        <v>2780</v>
      </c>
      <c r="B74" t="s">
        <v>2780</v>
      </c>
      <c r="C74" t="s">
        <v>2782</v>
      </c>
      <c r="D74" t="s">
        <v>2781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3027</v>
      </c>
      <c r="K74" t="s">
        <v>3028</v>
      </c>
    </row>
    <row r="75" spans="1:11" hidden="1" x14ac:dyDescent="0.25">
      <c r="A75" t="s">
        <v>2780</v>
      </c>
      <c r="B75" t="s">
        <v>2780</v>
      </c>
      <c r="C75" t="s">
        <v>2785</v>
      </c>
      <c r="D75" t="s">
        <v>2781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3027</v>
      </c>
      <c r="K75" t="s">
        <v>3028</v>
      </c>
    </row>
    <row r="76" spans="1:11" hidden="1" x14ac:dyDescent="0.25">
      <c r="A76" t="s">
        <v>2780</v>
      </c>
      <c r="B76" t="s">
        <v>2780</v>
      </c>
      <c r="C76" t="s">
        <v>2787</v>
      </c>
      <c r="D76" t="s">
        <v>2781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3027</v>
      </c>
      <c r="K76" t="s">
        <v>3028</v>
      </c>
    </row>
    <row r="77" spans="1:11" x14ac:dyDescent="0.25">
      <c r="A77" t="s">
        <v>2923</v>
      </c>
      <c r="C77" t="s">
        <v>2789</v>
      </c>
      <c r="D77" t="s">
        <v>187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3027</v>
      </c>
      <c r="K77" t="s">
        <v>3028</v>
      </c>
    </row>
    <row r="78" spans="1:11" x14ac:dyDescent="0.25">
      <c r="A78" t="s">
        <v>2923</v>
      </c>
      <c r="C78" t="s">
        <v>2792</v>
      </c>
      <c r="D78" t="s">
        <v>187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3027</v>
      </c>
      <c r="K78" t="s">
        <v>3028</v>
      </c>
    </row>
    <row r="79" spans="1:11" x14ac:dyDescent="0.25">
      <c r="A79" t="s">
        <v>2923</v>
      </c>
      <c r="C79" t="s">
        <v>2794</v>
      </c>
      <c r="D79" t="s">
        <v>187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3027</v>
      </c>
      <c r="K79" t="s">
        <v>3028</v>
      </c>
    </row>
    <row r="80" spans="1:11" hidden="1" x14ac:dyDescent="0.25">
      <c r="A80" t="s">
        <v>2796</v>
      </c>
      <c r="B80" t="s">
        <v>2796</v>
      </c>
      <c r="C80" t="s">
        <v>2798</v>
      </c>
      <c r="D80" t="s">
        <v>2797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3027</v>
      </c>
      <c r="K80" t="s">
        <v>3028</v>
      </c>
    </row>
    <row r="81" spans="1:11" hidden="1" x14ac:dyDescent="0.25">
      <c r="A81" t="s">
        <v>2796</v>
      </c>
      <c r="B81" t="s">
        <v>2796</v>
      </c>
      <c r="C81" t="s">
        <v>2801</v>
      </c>
      <c r="D81" t="s">
        <v>2797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3027</v>
      </c>
      <c r="K81" t="s">
        <v>3028</v>
      </c>
    </row>
    <row r="82" spans="1:11" hidden="1" x14ac:dyDescent="0.25">
      <c r="A82" t="s">
        <v>2796</v>
      </c>
      <c r="B82" t="s">
        <v>2796</v>
      </c>
      <c r="C82" t="s">
        <v>2803</v>
      </c>
      <c r="D82" t="s">
        <v>2797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3027</v>
      </c>
      <c r="K82" t="s">
        <v>3028</v>
      </c>
    </row>
    <row r="83" spans="1:11" hidden="1" x14ac:dyDescent="0.25">
      <c r="A83" t="s">
        <v>2805</v>
      </c>
      <c r="B83" t="s">
        <v>2805</v>
      </c>
      <c r="C83" t="s">
        <v>2807</v>
      </c>
      <c r="D83" t="s">
        <v>2806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3027</v>
      </c>
      <c r="K83" t="s">
        <v>3028</v>
      </c>
    </row>
    <row r="84" spans="1:11" hidden="1" x14ac:dyDescent="0.25">
      <c r="A84" t="s">
        <v>2805</v>
      </c>
      <c r="B84" t="s">
        <v>2805</v>
      </c>
      <c r="C84" t="s">
        <v>2810</v>
      </c>
      <c r="D84" t="s">
        <v>2806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3027</v>
      </c>
      <c r="K84" t="s">
        <v>3028</v>
      </c>
    </row>
    <row r="85" spans="1:11" hidden="1" x14ac:dyDescent="0.25">
      <c r="A85" t="s">
        <v>2805</v>
      </c>
      <c r="B85" t="s">
        <v>2805</v>
      </c>
      <c r="C85" t="s">
        <v>2812</v>
      </c>
      <c r="D85" t="s">
        <v>2806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3027</v>
      </c>
      <c r="K85" t="s">
        <v>3028</v>
      </c>
    </row>
    <row r="86" spans="1:11" hidden="1" x14ac:dyDescent="0.25">
      <c r="A86" t="s">
        <v>2814</v>
      </c>
      <c r="B86" t="s">
        <v>2814</v>
      </c>
      <c r="C86" t="s">
        <v>2816</v>
      </c>
      <c r="D86" t="s">
        <v>2815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3027</v>
      </c>
      <c r="K86" t="s">
        <v>3028</v>
      </c>
    </row>
    <row r="87" spans="1:11" hidden="1" x14ac:dyDescent="0.25">
      <c r="A87" t="s">
        <v>2814</v>
      </c>
      <c r="B87" t="s">
        <v>2814</v>
      </c>
      <c r="C87" t="s">
        <v>2819</v>
      </c>
      <c r="D87" t="s">
        <v>2815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3027</v>
      </c>
      <c r="K87" t="s">
        <v>3028</v>
      </c>
    </row>
    <row r="88" spans="1:11" hidden="1" x14ac:dyDescent="0.25">
      <c r="A88" t="s">
        <v>2814</v>
      </c>
      <c r="B88" t="s">
        <v>2814</v>
      </c>
      <c r="C88" t="s">
        <v>2821</v>
      </c>
      <c r="D88" t="s">
        <v>2815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3027</v>
      </c>
      <c r="K88" t="s">
        <v>3028</v>
      </c>
    </row>
    <row r="89" spans="1:11" hidden="1" x14ac:dyDescent="0.25">
      <c r="A89" t="s">
        <v>2814</v>
      </c>
      <c r="B89" t="s">
        <v>2814</v>
      </c>
      <c r="C89" t="s">
        <v>2823</v>
      </c>
      <c r="D89" t="s">
        <v>2815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3027</v>
      </c>
      <c r="K89" t="s">
        <v>3028</v>
      </c>
    </row>
    <row r="90" spans="1:11" hidden="1" x14ac:dyDescent="0.25">
      <c r="A90" t="s">
        <v>2825</v>
      </c>
      <c r="B90" t="s">
        <v>2825</v>
      </c>
      <c r="C90" t="s">
        <v>2827</v>
      </c>
      <c r="D90" t="s">
        <v>2826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3027</v>
      </c>
      <c r="K90" t="s">
        <v>3028</v>
      </c>
    </row>
    <row r="91" spans="1:11" hidden="1" x14ac:dyDescent="0.25">
      <c r="A91" t="s">
        <v>2825</v>
      </c>
      <c r="B91" t="s">
        <v>2825</v>
      </c>
      <c r="C91" t="s">
        <v>2830</v>
      </c>
      <c r="D91" t="s">
        <v>2826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3027</v>
      </c>
      <c r="K91" t="s">
        <v>3028</v>
      </c>
    </row>
    <row r="92" spans="1:11" hidden="1" x14ac:dyDescent="0.25">
      <c r="A92" t="s">
        <v>2825</v>
      </c>
      <c r="B92" t="s">
        <v>2825</v>
      </c>
      <c r="C92" t="s">
        <v>2832</v>
      </c>
      <c r="D92" t="s">
        <v>2826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3027</v>
      </c>
      <c r="K92" t="s">
        <v>3028</v>
      </c>
    </row>
    <row r="93" spans="1:11" hidden="1" x14ac:dyDescent="0.25">
      <c r="A93" t="s">
        <v>2834</v>
      </c>
      <c r="B93" t="s">
        <v>2834</v>
      </c>
      <c r="C93" t="s">
        <v>2836</v>
      </c>
      <c r="D93" t="s">
        <v>2835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3027</v>
      </c>
      <c r="K93" t="s">
        <v>3028</v>
      </c>
    </row>
    <row r="94" spans="1:11" hidden="1" x14ac:dyDescent="0.25">
      <c r="A94" t="s">
        <v>2839</v>
      </c>
      <c r="B94" t="s">
        <v>2839</v>
      </c>
      <c r="C94" t="s">
        <v>2841</v>
      </c>
      <c r="D94" t="s">
        <v>2840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3027</v>
      </c>
      <c r="K94" t="s">
        <v>3028</v>
      </c>
    </row>
    <row r="95" spans="1:11" hidden="1" x14ac:dyDescent="0.25">
      <c r="A95" t="s">
        <v>2839</v>
      </c>
      <c r="B95" t="s">
        <v>2839</v>
      </c>
      <c r="C95" t="s">
        <v>2844</v>
      </c>
      <c r="D95" t="s">
        <v>2840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3027</v>
      </c>
      <c r="K95" t="s">
        <v>3028</v>
      </c>
    </row>
    <row r="96" spans="1:11" hidden="1" x14ac:dyDescent="0.25">
      <c r="A96" t="s">
        <v>2839</v>
      </c>
      <c r="B96" t="s">
        <v>2839</v>
      </c>
      <c r="C96" t="s">
        <v>2846</v>
      </c>
      <c r="D96" t="s">
        <v>2840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3027</v>
      </c>
      <c r="K96" t="s">
        <v>3028</v>
      </c>
    </row>
    <row r="97" spans="1:11" hidden="1" x14ac:dyDescent="0.25">
      <c r="A97" t="s">
        <v>2848</v>
      </c>
      <c r="B97" t="s">
        <v>2848</v>
      </c>
      <c r="C97" t="s">
        <v>2850</v>
      </c>
      <c r="D97" t="s">
        <v>2849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3027</v>
      </c>
      <c r="K97" t="s">
        <v>3028</v>
      </c>
    </row>
    <row r="98" spans="1:11" hidden="1" x14ac:dyDescent="0.25">
      <c r="A98" t="s">
        <v>2848</v>
      </c>
      <c r="B98" t="s">
        <v>2848</v>
      </c>
      <c r="C98" t="s">
        <v>2853</v>
      </c>
      <c r="D98" t="s">
        <v>2849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3027</v>
      </c>
      <c r="K98" t="s">
        <v>3028</v>
      </c>
    </row>
    <row r="99" spans="1:11" hidden="1" x14ac:dyDescent="0.25">
      <c r="A99" t="s">
        <v>2848</v>
      </c>
      <c r="B99" t="s">
        <v>2848</v>
      </c>
      <c r="C99" t="s">
        <v>2855</v>
      </c>
      <c r="D99" t="s">
        <v>2849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3027</v>
      </c>
      <c r="K99" t="s">
        <v>3028</v>
      </c>
    </row>
    <row r="100" spans="1:11" hidden="1" x14ac:dyDescent="0.25">
      <c r="A100" t="s">
        <v>2848</v>
      </c>
      <c r="B100" t="s">
        <v>2848</v>
      </c>
      <c r="C100" t="s">
        <v>2857</v>
      </c>
      <c r="D100" t="s">
        <v>2849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3027</v>
      </c>
      <c r="K100" t="s">
        <v>3028</v>
      </c>
    </row>
    <row r="101" spans="1:11" hidden="1" x14ac:dyDescent="0.25">
      <c r="A101" t="s">
        <v>2848</v>
      </c>
      <c r="B101" t="s">
        <v>2848</v>
      </c>
      <c r="C101" t="s">
        <v>2859</v>
      </c>
      <c r="D101" t="s">
        <v>2849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3027</v>
      </c>
      <c r="K101" t="s">
        <v>3028</v>
      </c>
    </row>
    <row r="102" spans="1:11" hidden="1" x14ac:dyDescent="0.25">
      <c r="A102" t="s">
        <v>2848</v>
      </c>
      <c r="B102" t="s">
        <v>2848</v>
      </c>
      <c r="C102" t="s">
        <v>2861</v>
      </c>
      <c r="D102" t="s">
        <v>2849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3027</v>
      </c>
      <c r="K102" t="s">
        <v>3028</v>
      </c>
    </row>
    <row r="103" spans="1:11" hidden="1" x14ac:dyDescent="0.25">
      <c r="A103" t="s">
        <v>2848</v>
      </c>
      <c r="B103" t="s">
        <v>2848</v>
      </c>
      <c r="C103" t="s">
        <v>2863</v>
      </c>
      <c r="D103" t="s">
        <v>2849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3027</v>
      </c>
      <c r="K103" t="s">
        <v>3028</v>
      </c>
    </row>
    <row r="104" spans="1:11" hidden="1" x14ac:dyDescent="0.25">
      <c r="A104" t="s">
        <v>2848</v>
      </c>
      <c r="B104" t="s">
        <v>2848</v>
      </c>
      <c r="C104" t="s">
        <v>2865</v>
      </c>
      <c r="D104" t="s">
        <v>2849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3027</v>
      </c>
      <c r="K104" t="s">
        <v>3028</v>
      </c>
    </row>
    <row r="105" spans="1:11" hidden="1" x14ac:dyDescent="0.25">
      <c r="A105" t="s">
        <v>2867</v>
      </c>
      <c r="B105" t="s">
        <v>2867</v>
      </c>
      <c r="C105" t="s">
        <v>2869</v>
      </c>
      <c r="D105" t="s">
        <v>2868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3027</v>
      </c>
      <c r="K105" t="s">
        <v>3028</v>
      </c>
    </row>
    <row r="106" spans="1:11" hidden="1" x14ac:dyDescent="0.25">
      <c r="A106" t="s">
        <v>2867</v>
      </c>
      <c r="B106" t="s">
        <v>2867</v>
      </c>
      <c r="C106" t="s">
        <v>2871</v>
      </c>
      <c r="D106" t="s">
        <v>2868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3027</v>
      </c>
      <c r="K106" t="s">
        <v>3028</v>
      </c>
    </row>
    <row r="107" spans="1:11" hidden="1" x14ac:dyDescent="0.25">
      <c r="A107" t="s">
        <v>2867</v>
      </c>
      <c r="B107" t="s">
        <v>2867</v>
      </c>
      <c r="C107" t="s">
        <v>2873</v>
      </c>
      <c r="D107" t="s">
        <v>2868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3027</v>
      </c>
      <c r="K107" t="s">
        <v>3028</v>
      </c>
    </row>
    <row r="108" spans="1:11" hidden="1" x14ac:dyDescent="0.25">
      <c r="A108" t="s">
        <v>2875</v>
      </c>
      <c r="B108" t="s">
        <v>2875</v>
      </c>
      <c r="C108" t="s">
        <v>2877</v>
      </c>
      <c r="D108" t="s">
        <v>2876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3027</v>
      </c>
      <c r="K108" t="s">
        <v>3028</v>
      </c>
    </row>
    <row r="109" spans="1:11" hidden="1" x14ac:dyDescent="0.25">
      <c r="A109" t="s">
        <v>2875</v>
      </c>
      <c r="B109" t="s">
        <v>2875</v>
      </c>
      <c r="C109" t="s">
        <v>2880</v>
      </c>
      <c r="D109" t="s">
        <v>2876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3027</v>
      </c>
      <c r="K109" t="s">
        <v>3028</v>
      </c>
    </row>
    <row r="110" spans="1:11" hidden="1" x14ac:dyDescent="0.25">
      <c r="A110" t="s">
        <v>932</v>
      </c>
      <c r="B110" t="s">
        <v>932</v>
      </c>
      <c r="C110" t="s">
        <v>2882</v>
      </c>
      <c r="D110" t="s">
        <v>611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3027</v>
      </c>
      <c r="K110" t="s">
        <v>3028</v>
      </c>
    </row>
    <row r="111" spans="1:11" hidden="1" x14ac:dyDescent="0.25">
      <c r="A111" t="s">
        <v>932</v>
      </c>
      <c r="B111" t="s">
        <v>932</v>
      </c>
      <c r="C111" t="s">
        <v>2885</v>
      </c>
      <c r="D111" t="s">
        <v>611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3027</v>
      </c>
      <c r="K111" t="s">
        <v>3028</v>
      </c>
    </row>
    <row r="112" spans="1:11" hidden="1" x14ac:dyDescent="0.25">
      <c r="A112" t="s">
        <v>932</v>
      </c>
      <c r="B112" t="s">
        <v>932</v>
      </c>
      <c r="C112" t="s">
        <v>2887</v>
      </c>
      <c r="D112" t="s">
        <v>611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3027</v>
      </c>
      <c r="K112" t="s">
        <v>3028</v>
      </c>
    </row>
    <row r="113" spans="1:11" x14ac:dyDescent="0.25">
      <c r="A113" t="s">
        <v>2929</v>
      </c>
      <c r="C113" t="s">
        <v>2890</v>
      </c>
      <c r="D113" t="s">
        <v>2889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3027</v>
      </c>
      <c r="K113" t="s">
        <v>3028</v>
      </c>
    </row>
    <row r="114" spans="1:11" x14ac:dyDescent="0.25">
      <c r="A114" t="s">
        <v>2929</v>
      </c>
      <c r="C114" t="s">
        <v>2892</v>
      </c>
      <c r="D114" t="s">
        <v>2889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3027</v>
      </c>
      <c r="K114" t="s">
        <v>3028</v>
      </c>
    </row>
    <row r="115" spans="1:11" hidden="1" x14ac:dyDescent="0.25">
      <c r="A115" t="s">
        <v>2894</v>
      </c>
      <c r="B115" t="s">
        <v>2894</v>
      </c>
      <c r="C115" t="s">
        <v>2896</v>
      </c>
      <c r="D115" t="s">
        <v>2895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3027</v>
      </c>
      <c r="K115" t="s">
        <v>3028</v>
      </c>
    </row>
    <row r="116" spans="1:11" hidden="1" x14ac:dyDescent="0.25">
      <c r="A116" t="s">
        <v>2894</v>
      </c>
      <c r="B116" t="s">
        <v>2894</v>
      </c>
      <c r="C116" t="s">
        <v>2899</v>
      </c>
      <c r="D116" t="s">
        <v>2895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3027</v>
      </c>
      <c r="K116" t="s">
        <v>3028</v>
      </c>
    </row>
    <row r="117" spans="1:11" hidden="1" x14ac:dyDescent="0.25">
      <c r="A117" t="s">
        <v>912</v>
      </c>
      <c r="B117" t="s">
        <v>912</v>
      </c>
      <c r="C117" t="s">
        <v>2901</v>
      </c>
      <c r="D117" t="s">
        <v>913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3027</v>
      </c>
      <c r="K117" t="s">
        <v>3028</v>
      </c>
    </row>
    <row r="118" spans="1:11" hidden="1" x14ac:dyDescent="0.25">
      <c r="A118" t="s">
        <v>912</v>
      </c>
      <c r="B118" t="s">
        <v>912</v>
      </c>
      <c r="C118" t="s">
        <v>2904</v>
      </c>
      <c r="D118" t="s">
        <v>913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3027</v>
      </c>
      <c r="K118" t="s">
        <v>3028</v>
      </c>
    </row>
    <row r="119" spans="1:11" hidden="1" x14ac:dyDescent="0.25">
      <c r="A119" t="s">
        <v>912</v>
      </c>
      <c r="B119" t="s">
        <v>912</v>
      </c>
      <c r="C119" t="s">
        <v>2906</v>
      </c>
      <c r="D119" t="s">
        <v>913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3027</v>
      </c>
      <c r="K119" t="s">
        <v>3028</v>
      </c>
    </row>
    <row r="120" spans="1:11" hidden="1" x14ac:dyDescent="0.25">
      <c r="A120" t="s">
        <v>912</v>
      </c>
      <c r="B120" t="s">
        <v>912</v>
      </c>
      <c r="C120" t="s">
        <v>2908</v>
      </c>
      <c r="D120" t="s">
        <v>913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3027</v>
      </c>
      <c r="K120" t="s">
        <v>3028</v>
      </c>
    </row>
  </sheetData>
  <autoFilter ref="A1:K120" xr:uid="{00000000-0009-0000-0000-000009000000}">
    <filterColumn colId="3">
      <filters>
        <filter val="ALTO ANCHICAYA"/>
        <filter val="BAJO ANCHICAYA"/>
        <filter val="GUADALUPE III"/>
        <filter val="GUADALUPE IV"/>
        <filter val="LA GUACA"/>
        <filter val="PARAISO"/>
        <filter val="TRONERAS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2932</v>
      </c>
      <c r="B1" s="3" t="s">
        <v>2933</v>
      </c>
      <c r="C1" s="3" t="s">
        <v>2934</v>
      </c>
      <c r="D1" s="3" t="s">
        <v>952</v>
      </c>
      <c r="E1" s="3" t="s">
        <v>953</v>
      </c>
      <c r="F1" s="3" t="s">
        <v>2935</v>
      </c>
      <c r="G1" s="3" t="s">
        <v>947</v>
      </c>
      <c r="H1" s="3" t="s">
        <v>2936</v>
      </c>
      <c r="I1" s="3" t="s">
        <v>2937</v>
      </c>
    </row>
    <row r="2" spans="1:9" x14ac:dyDescent="0.25">
      <c r="A2" t="s">
        <v>2834</v>
      </c>
      <c r="B2" t="s">
        <v>2938</v>
      </c>
      <c r="C2" t="s">
        <v>2939</v>
      </c>
      <c r="D2" t="s">
        <v>2940</v>
      </c>
      <c r="E2" t="s">
        <v>2941</v>
      </c>
      <c r="F2" t="s">
        <v>2942</v>
      </c>
      <c r="G2" t="s">
        <v>2943</v>
      </c>
      <c r="H2" t="s">
        <v>2835</v>
      </c>
      <c r="I2" t="s">
        <v>858</v>
      </c>
    </row>
    <row r="3" spans="1:9" x14ac:dyDescent="0.25">
      <c r="A3" t="s">
        <v>1489</v>
      </c>
      <c r="B3" t="s">
        <v>2938</v>
      </c>
      <c r="C3" t="s">
        <v>2939</v>
      </c>
      <c r="D3" t="s">
        <v>2940</v>
      </c>
      <c r="E3" t="s">
        <v>2941</v>
      </c>
      <c r="F3" t="s">
        <v>2942</v>
      </c>
      <c r="G3" t="s">
        <v>2943</v>
      </c>
      <c r="H3" t="s">
        <v>1490</v>
      </c>
      <c r="I3" t="s">
        <v>2944</v>
      </c>
    </row>
    <row r="4" spans="1:9" x14ac:dyDescent="0.25">
      <c r="A4" t="s">
        <v>915</v>
      </c>
      <c r="B4" t="s">
        <v>2938</v>
      </c>
      <c r="C4" t="s">
        <v>2939</v>
      </c>
      <c r="D4" t="s">
        <v>2940</v>
      </c>
      <c r="E4" t="s">
        <v>2941</v>
      </c>
      <c r="F4" t="s">
        <v>2942</v>
      </c>
      <c r="G4" t="s">
        <v>2943</v>
      </c>
      <c r="H4" t="s">
        <v>916</v>
      </c>
      <c r="I4" t="s">
        <v>862</v>
      </c>
    </row>
    <row r="5" spans="1:9" x14ac:dyDescent="0.25">
      <c r="A5" t="s">
        <v>1101</v>
      </c>
      <c r="B5" t="s">
        <v>2938</v>
      </c>
      <c r="C5" t="s">
        <v>2939</v>
      </c>
      <c r="D5" t="s">
        <v>2940</v>
      </c>
      <c r="E5" t="s">
        <v>2941</v>
      </c>
      <c r="F5" t="s">
        <v>2942</v>
      </c>
      <c r="G5" t="s">
        <v>2943</v>
      </c>
      <c r="H5" t="s">
        <v>1102</v>
      </c>
      <c r="I5" t="s">
        <v>2944</v>
      </c>
    </row>
    <row r="6" spans="1:9" x14ac:dyDescent="0.25">
      <c r="A6" t="s">
        <v>1046</v>
      </c>
      <c r="B6" t="s">
        <v>2938</v>
      </c>
      <c r="C6" t="s">
        <v>2939</v>
      </c>
      <c r="D6" t="s">
        <v>2940</v>
      </c>
      <c r="E6" t="s">
        <v>2941</v>
      </c>
      <c r="F6" t="s">
        <v>2942</v>
      </c>
      <c r="G6" t="s">
        <v>2943</v>
      </c>
      <c r="H6" t="s">
        <v>1047</v>
      </c>
      <c r="I6" t="s">
        <v>2944</v>
      </c>
    </row>
    <row r="7" spans="1:9" x14ac:dyDescent="0.25">
      <c r="A7" t="s">
        <v>1643</v>
      </c>
      <c r="B7" t="s">
        <v>2938</v>
      </c>
      <c r="C7" t="s">
        <v>2939</v>
      </c>
      <c r="D7" t="s">
        <v>2940</v>
      </c>
      <c r="E7" t="s">
        <v>2941</v>
      </c>
      <c r="F7" t="s">
        <v>2942</v>
      </c>
      <c r="G7" t="s">
        <v>2943</v>
      </c>
      <c r="H7" t="s">
        <v>1644</v>
      </c>
      <c r="I7" t="s">
        <v>2944</v>
      </c>
    </row>
    <row r="8" spans="1:9" x14ac:dyDescent="0.25">
      <c r="A8" t="s">
        <v>1593</v>
      </c>
      <c r="B8" t="s">
        <v>2938</v>
      </c>
      <c r="C8" t="s">
        <v>2939</v>
      </c>
      <c r="D8" t="s">
        <v>2940</v>
      </c>
      <c r="E8" t="s">
        <v>2941</v>
      </c>
      <c r="F8" t="s">
        <v>2942</v>
      </c>
      <c r="G8" t="s">
        <v>2943</v>
      </c>
      <c r="H8" t="s">
        <v>1594</v>
      </c>
      <c r="I8" t="s">
        <v>2944</v>
      </c>
    </row>
    <row r="9" spans="1:9" x14ac:dyDescent="0.25">
      <c r="A9" t="s">
        <v>1562</v>
      </c>
      <c r="B9" t="s">
        <v>2938</v>
      </c>
      <c r="C9" t="s">
        <v>2939</v>
      </c>
      <c r="D9" t="s">
        <v>2940</v>
      </c>
      <c r="E9" t="s">
        <v>2941</v>
      </c>
      <c r="F9" t="s">
        <v>2942</v>
      </c>
      <c r="G9" t="s">
        <v>2943</v>
      </c>
      <c r="H9" t="s">
        <v>1563</v>
      </c>
      <c r="I9" t="s">
        <v>2944</v>
      </c>
    </row>
    <row r="10" spans="1:9" x14ac:dyDescent="0.25">
      <c r="A10" t="s">
        <v>1602</v>
      </c>
      <c r="B10" t="s">
        <v>2938</v>
      </c>
      <c r="C10" t="s">
        <v>2939</v>
      </c>
      <c r="D10" t="s">
        <v>2940</v>
      </c>
      <c r="E10" t="s">
        <v>2941</v>
      </c>
      <c r="F10" t="s">
        <v>2942</v>
      </c>
      <c r="G10" t="s">
        <v>2943</v>
      </c>
      <c r="H10" t="s">
        <v>1603</v>
      </c>
      <c r="I10" t="s">
        <v>2944</v>
      </c>
    </row>
    <row r="11" spans="1:9" x14ac:dyDescent="0.25">
      <c r="A11" t="s">
        <v>888</v>
      </c>
      <c r="B11" t="s">
        <v>2938</v>
      </c>
      <c r="C11" t="s">
        <v>2939</v>
      </c>
      <c r="D11" t="s">
        <v>2940</v>
      </c>
      <c r="E11" t="s">
        <v>2941</v>
      </c>
      <c r="F11" t="s">
        <v>2942</v>
      </c>
      <c r="G11" t="s">
        <v>2943</v>
      </c>
      <c r="H11" t="s">
        <v>889</v>
      </c>
      <c r="I11" t="s">
        <v>887</v>
      </c>
    </row>
    <row r="12" spans="1:9" x14ac:dyDescent="0.25">
      <c r="A12" t="s">
        <v>2926</v>
      </c>
      <c r="B12" t="s">
        <v>2938</v>
      </c>
      <c r="C12" t="s">
        <v>2939</v>
      </c>
      <c r="D12" t="s">
        <v>2940</v>
      </c>
      <c r="E12" t="s">
        <v>2941</v>
      </c>
      <c r="F12" t="s">
        <v>2942</v>
      </c>
      <c r="G12" t="s">
        <v>2943</v>
      </c>
      <c r="H12" t="s">
        <v>2927</v>
      </c>
      <c r="I12" t="s">
        <v>858</v>
      </c>
    </row>
    <row r="13" spans="1:9" x14ac:dyDescent="0.25">
      <c r="A13" t="s">
        <v>2609</v>
      </c>
      <c r="B13" t="s">
        <v>2938</v>
      </c>
      <c r="C13" t="s">
        <v>2939</v>
      </c>
      <c r="D13" t="s">
        <v>2940</v>
      </c>
      <c r="E13" t="s">
        <v>2941</v>
      </c>
      <c r="F13" t="s">
        <v>2942</v>
      </c>
      <c r="G13" t="s">
        <v>2943</v>
      </c>
      <c r="H13" t="s">
        <v>2610</v>
      </c>
      <c r="I13" t="s">
        <v>858</v>
      </c>
    </row>
    <row r="14" spans="1:9" x14ac:dyDescent="0.25">
      <c r="A14" t="s">
        <v>2636</v>
      </c>
      <c r="B14" t="s">
        <v>2938</v>
      </c>
      <c r="C14" t="s">
        <v>2939</v>
      </c>
      <c r="D14" t="s">
        <v>2940</v>
      </c>
      <c r="E14" t="s">
        <v>2941</v>
      </c>
      <c r="F14" t="s">
        <v>2942</v>
      </c>
      <c r="G14" t="s">
        <v>2943</v>
      </c>
      <c r="H14" t="s">
        <v>2637</v>
      </c>
      <c r="I14" t="s">
        <v>858</v>
      </c>
    </row>
    <row r="15" spans="1:9" x14ac:dyDescent="0.25">
      <c r="A15" t="s">
        <v>2629</v>
      </c>
      <c r="B15" t="s">
        <v>2938</v>
      </c>
      <c r="C15" t="s">
        <v>2939</v>
      </c>
      <c r="D15" t="s">
        <v>2940</v>
      </c>
      <c r="E15" t="s">
        <v>2941</v>
      </c>
      <c r="F15" t="s">
        <v>2942</v>
      </c>
      <c r="G15" t="s">
        <v>2943</v>
      </c>
      <c r="H15" t="s">
        <v>2630</v>
      </c>
      <c r="I15" t="s">
        <v>858</v>
      </c>
    </row>
    <row r="16" spans="1:9" x14ac:dyDescent="0.25">
      <c r="A16" t="s">
        <v>2618</v>
      </c>
      <c r="B16" t="s">
        <v>2938</v>
      </c>
      <c r="C16" t="s">
        <v>2939</v>
      </c>
      <c r="D16" t="s">
        <v>2940</v>
      </c>
      <c r="E16" t="s">
        <v>2941</v>
      </c>
      <c r="F16" t="s">
        <v>2942</v>
      </c>
      <c r="G16" t="s">
        <v>2943</v>
      </c>
      <c r="H16" t="s">
        <v>2619</v>
      </c>
      <c r="I16" t="s">
        <v>858</v>
      </c>
    </row>
    <row r="17" spans="1:9" x14ac:dyDescent="0.25">
      <c r="A17" t="s">
        <v>2386</v>
      </c>
      <c r="B17" t="s">
        <v>2938</v>
      </c>
      <c r="C17" t="s">
        <v>2939</v>
      </c>
      <c r="D17" t="s">
        <v>2940</v>
      </c>
      <c r="E17" t="s">
        <v>2941</v>
      </c>
      <c r="F17" t="s">
        <v>2942</v>
      </c>
      <c r="G17" t="s">
        <v>2943</v>
      </c>
      <c r="H17" t="s">
        <v>651</v>
      </c>
      <c r="I17" t="s">
        <v>876</v>
      </c>
    </row>
    <row r="18" spans="1:9" x14ac:dyDescent="0.25">
      <c r="A18" t="s">
        <v>2388</v>
      </c>
      <c r="B18" t="s">
        <v>2938</v>
      </c>
      <c r="C18" t="s">
        <v>2939</v>
      </c>
      <c r="D18" t="s">
        <v>2940</v>
      </c>
      <c r="E18" t="s">
        <v>2941</v>
      </c>
      <c r="F18" t="s">
        <v>2942</v>
      </c>
      <c r="G18" t="s">
        <v>2943</v>
      </c>
      <c r="H18" t="s">
        <v>2389</v>
      </c>
      <c r="I18" t="s">
        <v>876</v>
      </c>
    </row>
    <row r="19" spans="1:9" x14ac:dyDescent="0.25">
      <c r="A19" t="s">
        <v>2391</v>
      </c>
      <c r="B19" t="s">
        <v>2938</v>
      </c>
      <c r="C19" t="s">
        <v>2939</v>
      </c>
      <c r="D19" t="s">
        <v>2940</v>
      </c>
      <c r="E19" t="s">
        <v>2941</v>
      </c>
      <c r="F19" t="s">
        <v>2942</v>
      </c>
      <c r="G19" t="s">
        <v>2943</v>
      </c>
      <c r="H19" t="s">
        <v>2392</v>
      </c>
      <c r="I19" t="s">
        <v>876</v>
      </c>
    </row>
    <row r="20" spans="1:9" x14ac:dyDescent="0.25">
      <c r="A20" t="s">
        <v>2655</v>
      </c>
      <c r="B20" t="s">
        <v>2938</v>
      </c>
      <c r="C20" t="s">
        <v>2939</v>
      </c>
      <c r="D20" t="s">
        <v>2940</v>
      </c>
      <c r="E20" t="s">
        <v>2941</v>
      </c>
      <c r="F20" t="s">
        <v>2942</v>
      </c>
      <c r="G20" t="s">
        <v>2943</v>
      </c>
      <c r="H20" t="s">
        <v>2656</v>
      </c>
      <c r="I20" t="s">
        <v>858</v>
      </c>
    </row>
    <row r="21" spans="1:9" x14ac:dyDescent="0.25">
      <c r="A21" t="s">
        <v>2662</v>
      </c>
      <c r="B21" t="s">
        <v>2938</v>
      </c>
      <c r="C21" t="s">
        <v>2939</v>
      </c>
      <c r="D21" t="s">
        <v>2940</v>
      </c>
      <c r="E21" t="s">
        <v>2941</v>
      </c>
      <c r="F21" t="s">
        <v>2942</v>
      </c>
      <c r="G21" t="s">
        <v>2943</v>
      </c>
      <c r="H21" t="s">
        <v>2663</v>
      </c>
      <c r="I21" t="s">
        <v>858</v>
      </c>
    </row>
    <row r="22" spans="1:9" x14ac:dyDescent="0.25">
      <c r="A22" t="s">
        <v>1095</v>
      </c>
      <c r="B22" t="s">
        <v>2938</v>
      </c>
      <c r="C22" t="s">
        <v>2939</v>
      </c>
      <c r="D22" t="s">
        <v>2940</v>
      </c>
      <c r="E22" t="s">
        <v>2941</v>
      </c>
      <c r="F22" t="s">
        <v>2942</v>
      </c>
      <c r="G22" t="s">
        <v>2943</v>
      </c>
      <c r="H22" t="s">
        <v>542</v>
      </c>
      <c r="I22" t="s">
        <v>2944</v>
      </c>
    </row>
    <row r="23" spans="1:9" x14ac:dyDescent="0.25">
      <c r="A23" t="s">
        <v>2685</v>
      </c>
      <c r="B23" t="s">
        <v>2938</v>
      </c>
      <c r="C23" t="s">
        <v>2939</v>
      </c>
      <c r="D23" t="s">
        <v>2940</v>
      </c>
      <c r="E23" t="s">
        <v>2941</v>
      </c>
      <c r="F23" t="s">
        <v>2942</v>
      </c>
      <c r="G23" t="s">
        <v>2943</v>
      </c>
      <c r="H23" t="s">
        <v>2686</v>
      </c>
      <c r="I23" t="s">
        <v>858</v>
      </c>
    </row>
    <row r="24" spans="1:9" x14ac:dyDescent="0.25">
      <c r="A24" t="s">
        <v>2413</v>
      </c>
      <c r="B24" t="s">
        <v>2938</v>
      </c>
      <c r="C24" t="s">
        <v>2939</v>
      </c>
      <c r="D24" t="s">
        <v>2940</v>
      </c>
      <c r="E24" t="s">
        <v>2941</v>
      </c>
      <c r="F24" t="s">
        <v>2942</v>
      </c>
      <c r="G24" t="s">
        <v>2943</v>
      </c>
      <c r="H24" t="s">
        <v>2414</v>
      </c>
      <c r="I24" t="s">
        <v>872</v>
      </c>
    </row>
    <row r="25" spans="1:9" x14ac:dyDescent="0.25">
      <c r="A25" t="s">
        <v>2409</v>
      </c>
      <c r="B25" t="s">
        <v>2938</v>
      </c>
      <c r="C25" t="s">
        <v>2939</v>
      </c>
      <c r="D25" t="s">
        <v>2940</v>
      </c>
      <c r="E25" t="s">
        <v>2941</v>
      </c>
      <c r="F25" t="s">
        <v>2942</v>
      </c>
      <c r="G25" t="s">
        <v>2943</v>
      </c>
      <c r="H25" t="s">
        <v>2410</v>
      </c>
      <c r="I25" t="s">
        <v>872</v>
      </c>
    </row>
    <row r="26" spans="1:9" x14ac:dyDescent="0.25">
      <c r="A26" t="s">
        <v>2714</v>
      </c>
      <c r="B26" t="s">
        <v>2938</v>
      </c>
      <c r="C26" t="s">
        <v>2939</v>
      </c>
      <c r="D26" t="s">
        <v>2940</v>
      </c>
      <c r="E26" t="s">
        <v>2941</v>
      </c>
      <c r="F26" t="s">
        <v>2942</v>
      </c>
      <c r="G26" t="s">
        <v>2943</v>
      </c>
      <c r="H26" t="s">
        <v>2715</v>
      </c>
      <c r="I26" t="s">
        <v>858</v>
      </c>
    </row>
    <row r="27" spans="1:9" x14ac:dyDescent="0.25">
      <c r="A27" t="s">
        <v>2929</v>
      </c>
      <c r="B27" t="s">
        <v>2938</v>
      </c>
      <c r="C27" t="s">
        <v>2939</v>
      </c>
      <c r="D27" t="s">
        <v>2940</v>
      </c>
      <c r="E27" t="s">
        <v>2941</v>
      </c>
      <c r="F27" t="s">
        <v>2942</v>
      </c>
      <c r="G27" t="s">
        <v>2943</v>
      </c>
      <c r="H27" t="s">
        <v>2930</v>
      </c>
      <c r="I27" t="s">
        <v>858</v>
      </c>
    </row>
    <row r="28" spans="1:9" x14ac:dyDescent="0.25">
      <c r="A28" t="s">
        <v>2733</v>
      </c>
      <c r="B28" t="s">
        <v>2938</v>
      </c>
      <c r="C28" t="s">
        <v>2939</v>
      </c>
      <c r="D28" t="s">
        <v>2940</v>
      </c>
      <c r="E28" t="s">
        <v>2941</v>
      </c>
      <c r="F28" t="s">
        <v>2942</v>
      </c>
      <c r="G28" t="s">
        <v>2943</v>
      </c>
      <c r="H28" t="s">
        <v>2734</v>
      </c>
      <c r="I28" t="s">
        <v>858</v>
      </c>
    </row>
    <row r="29" spans="1:9" x14ac:dyDescent="0.25">
      <c r="A29" t="s">
        <v>1461</v>
      </c>
      <c r="B29" t="s">
        <v>2938</v>
      </c>
      <c r="C29" t="s">
        <v>2939</v>
      </c>
      <c r="D29" t="s">
        <v>2940</v>
      </c>
      <c r="E29" t="s">
        <v>2941</v>
      </c>
      <c r="F29" t="s">
        <v>2942</v>
      </c>
      <c r="G29" t="s">
        <v>2943</v>
      </c>
      <c r="H29" t="s">
        <v>1462</v>
      </c>
      <c r="I29" t="s">
        <v>2944</v>
      </c>
    </row>
    <row r="30" spans="1:9" x14ac:dyDescent="0.25">
      <c r="A30" t="s">
        <v>1458</v>
      </c>
      <c r="B30" t="s">
        <v>2938</v>
      </c>
      <c r="C30" t="s">
        <v>2939</v>
      </c>
      <c r="D30" t="s">
        <v>2940</v>
      </c>
      <c r="E30" t="s">
        <v>2941</v>
      </c>
      <c r="F30" t="s">
        <v>2942</v>
      </c>
      <c r="G30" t="s">
        <v>2943</v>
      </c>
      <c r="H30" t="s">
        <v>1459</v>
      </c>
      <c r="I30" t="s">
        <v>2944</v>
      </c>
    </row>
    <row r="31" spans="1:9" x14ac:dyDescent="0.25">
      <c r="A31" t="s">
        <v>2676</v>
      </c>
      <c r="B31" t="s">
        <v>2938</v>
      </c>
      <c r="C31" t="s">
        <v>2939</v>
      </c>
      <c r="D31" t="s">
        <v>2940</v>
      </c>
      <c r="E31" t="s">
        <v>2941</v>
      </c>
      <c r="F31" t="s">
        <v>2942</v>
      </c>
      <c r="G31" t="s">
        <v>2943</v>
      </c>
      <c r="H31" t="s">
        <v>2677</v>
      </c>
      <c r="I31" t="s">
        <v>858</v>
      </c>
    </row>
    <row r="32" spans="1:9" x14ac:dyDescent="0.25">
      <c r="A32" t="s">
        <v>2780</v>
      </c>
      <c r="B32" t="s">
        <v>2938</v>
      </c>
      <c r="C32" t="s">
        <v>2939</v>
      </c>
      <c r="D32" t="s">
        <v>2940</v>
      </c>
      <c r="E32" t="s">
        <v>2941</v>
      </c>
      <c r="F32" t="s">
        <v>2942</v>
      </c>
      <c r="G32" t="s">
        <v>2943</v>
      </c>
      <c r="H32" t="s">
        <v>2781</v>
      </c>
      <c r="I32" t="s">
        <v>858</v>
      </c>
    </row>
    <row r="33" spans="1:9" x14ac:dyDescent="0.25">
      <c r="A33" t="s">
        <v>2757</v>
      </c>
      <c r="B33" t="s">
        <v>2938</v>
      </c>
      <c r="C33" t="s">
        <v>2939</v>
      </c>
      <c r="D33" t="s">
        <v>2940</v>
      </c>
      <c r="E33" t="s">
        <v>2941</v>
      </c>
      <c r="F33" t="s">
        <v>2942</v>
      </c>
      <c r="G33" t="s">
        <v>2943</v>
      </c>
      <c r="H33" t="s">
        <v>2758</v>
      </c>
      <c r="I33" t="s">
        <v>858</v>
      </c>
    </row>
    <row r="34" spans="1:9" x14ac:dyDescent="0.25">
      <c r="A34" t="s">
        <v>2771</v>
      </c>
      <c r="B34" t="s">
        <v>2938</v>
      </c>
      <c r="C34" t="s">
        <v>2939</v>
      </c>
      <c r="D34" t="s">
        <v>2940</v>
      </c>
      <c r="E34" t="s">
        <v>2941</v>
      </c>
      <c r="F34" t="s">
        <v>2942</v>
      </c>
      <c r="G34" t="s">
        <v>2943</v>
      </c>
      <c r="H34" t="s">
        <v>2772</v>
      </c>
      <c r="I34" t="s">
        <v>858</v>
      </c>
    </row>
    <row r="35" spans="1:9" x14ac:dyDescent="0.25">
      <c r="A35" t="s">
        <v>1476</v>
      </c>
      <c r="B35" t="s">
        <v>2938</v>
      </c>
      <c r="C35" t="s">
        <v>2939</v>
      </c>
      <c r="D35" t="s">
        <v>2940</v>
      </c>
      <c r="E35" t="s">
        <v>2941</v>
      </c>
      <c r="F35" t="s">
        <v>2942</v>
      </c>
      <c r="G35" t="s">
        <v>2943</v>
      </c>
      <c r="H35" t="s">
        <v>1477</v>
      </c>
      <c r="I35" t="s">
        <v>2944</v>
      </c>
    </row>
    <row r="36" spans="1:9" x14ac:dyDescent="0.25">
      <c r="A36" t="s">
        <v>2596</v>
      </c>
      <c r="B36" t="s">
        <v>2938</v>
      </c>
      <c r="C36" t="s">
        <v>2939</v>
      </c>
      <c r="D36" t="s">
        <v>2940</v>
      </c>
      <c r="E36" t="s">
        <v>2941</v>
      </c>
      <c r="F36" t="s">
        <v>2942</v>
      </c>
      <c r="G36" t="s">
        <v>2943</v>
      </c>
      <c r="H36" t="s">
        <v>283</v>
      </c>
      <c r="I36" t="s">
        <v>858</v>
      </c>
    </row>
    <row r="37" spans="1:9" x14ac:dyDescent="0.25">
      <c r="A37" t="s">
        <v>934</v>
      </c>
      <c r="B37" t="s">
        <v>2938</v>
      </c>
      <c r="C37" t="s">
        <v>2939</v>
      </c>
      <c r="D37" t="s">
        <v>2940</v>
      </c>
      <c r="E37" t="s">
        <v>2941</v>
      </c>
      <c r="F37" t="s">
        <v>2942</v>
      </c>
      <c r="G37" t="s">
        <v>2943</v>
      </c>
      <c r="H37" t="s">
        <v>935</v>
      </c>
      <c r="I37" t="s">
        <v>862</v>
      </c>
    </row>
    <row r="38" spans="1:9" x14ac:dyDescent="0.25">
      <c r="A38" t="s">
        <v>2746</v>
      </c>
      <c r="B38" t="s">
        <v>2938</v>
      </c>
      <c r="C38" t="s">
        <v>2939</v>
      </c>
      <c r="D38" t="s">
        <v>2940</v>
      </c>
      <c r="E38" t="s">
        <v>2941</v>
      </c>
      <c r="F38" t="s">
        <v>2942</v>
      </c>
      <c r="G38" t="s">
        <v>2943</v>
      </c>
      <c r="H38" t="s">
        <v>2747</v>
      </c>
      <c r="I38" t="s">
        <v>858</v>
      </c>
    </row>
    <row r="39" spans="1:9" x14ac:dyDescent="0.25">
      <c r="A39" t="s">
        <v>2923</v>
      </c>
      <c r="B39" t="s">
        <v>2938</v>
      </c>
      <c r="C39" t="s">
        <v>2939</v>
      </c>
      <c r="D39" t="s">
        <v>2940</v>
      </c>
      <c r="E39" t="s">
        <v>2941</v>
      </c>
      <c r="F39" t="s">
        <v>2942</v>
      </c>
      <c r="G39" t="s">
        <v>2943</v>
      </c>
      <c r="H39" t="s">
        <v>2924</v>
      </c>
      <c r="I39" t="s">
        <v>858</v>
      </c>
    </row>
    <row r="40" spans="1:9" x14ac:dyDescent="0.25">
      <c r="A40" t="s">
        <v>2796</v>
      </c>
      <c r="B40" t="s">
        <v>2938</v>
      </c>
      <c r="C40" t="s">
        <v>2939</v>
      </c>
      <c r="D40" t="s">
        <v>2940</v>
      </c>
      <c r="E40" t="s">
        <v>2941</v>
      </c>
      <c r="F40" t="s">
        <v>2942</v>
      </c>
      <c r="G40" t="s">
        <v>2943</v>
      </c>
      <c r="H40" t="s">
        <v>2797</v>
      </c>
      <c r="I40" t="s">
        <v>858</v>
      </c>
    </row>
    <row r="41" spans="1:9" x14ac:dyDescent="0.25">
      <c r="A41" t="s">
        <v>1567</v>
      </c>
      <c r="B41" t="s">
        <v>2938</v>
      </c>
      <c r="C41" t="s">
        <v>2939</v>
      </c>
      <c r="D41" t="s">
        <v>2940</v>
      </c>
      <c r="E41" t="s">
        <v>2941</v>
      </c>
      <c r="F41" t="s">
        <v>2942</v>
      </c>
      <c r="G41" t="s">
        <v>2943</v>
      </c>
      <c r="H41" t="s">
        <v>1568</v>
      </c>
      <c r="I41" t="s">
        <v>2944</v>
      </c>
    </row>
    <row r="42" spans="1:9" x14ac:dyDescent="0.25">
      <c r="A42" t="s">
        <v>2427</v>
      </c>
      <c r="B42" t="s">
        <v>2938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2428</v>
      </c>
      <c r="I42" t="s">
        <v>872</v>
      </c>
    </row>
    <row r="43" spans="1:9" x14ac:dyDescent="0.25">
      <c r="A43" t="s">
        <v>2431</v>
      </c>
      <c r="B43" t="s">
        <v>2938</v>
      </c>
      <c r="C43" t="s">
        <v>2939</v>
      </c>
      <c r="D43" t="s">
        <v>2940</v>
      </c>
      <c r="E43" t="s">
        <v>2941</v>
      </c>
      <c r="F43" t="s">
        <v>2942</v>
      </c>
      <c r="G43" t="s">
        <v>2943</v>
      </c>
      <c r="H43" t="s">
        <v>2432</v>
      </c>
      <c r="I43" t="s">
        <v>872</v>
      </c>
    </row>
    <row r="44" spans="1:9" x14ac:dyDescent="0.25">
      <c r="A44" t="s">
        <v>2434</v>
      </c>
      <c r="B44" t="s">
        <v>2938</v>
      </c>
      <c r="C44" t="s">
        <v>2939</v>
      </c>
      <c r="D44" t="s">
        <v>2940</v>
      </c>
      <c r="E44" t="s">
        <v>2941</v>
      </c>
      <c r="F44" t="s">
        <v>2942</v>
      </c>
      <c r="G44" t="s">
        <v>2943</v>
      </c>
      <c r="H44" t="s">
        <v>2435</v>
      </c>
      <c r="I44" t="s">
        <v>872</v>
      </c>
    </row>
    <row r="45" spans="1:9" x14ac:dyDescent="0.25">
      <c r="A45" t="s">
        <v>2437</v>
      </c>
      <c r="B45" t="s">
        <v>2938</v>
      </c>
      <c r="C45" t="s">
        <v>2939</v>
      </c>
      <c r="D45" t="s">
        <v>2940</v>
      </c>
      <c r="E45" t="s">
        <v>2941</v>
      </c>
      <c r="F45" t="s">
        <v>2942</v>
      </c>
      <c r="G45" t="s">
        <v>2943</v>
      </c>
      <c r="H45" t="s">
        <v>2438</v>
      </c>
      <c r="I45" t="s">
        <v>872</v>
      </c>
    </row>
    <row r="46" spans="1:9" x14ac:dyDescent="0.25">
      <c r="A46" t="s">
        <v>2805</v>
      </c>
      <c r="B46" t="s">
        <v>2938</v>
      </c>
      <c r="C46" t="s">
        <v>2939</v>
      </c>
      <c r="D46" t="s">
        <v>2940</v>
      </c>
      <c r="E46" t="s">
        <v>2941</v>
      </c>
      <c r="F46" t="s">
        <v>2942</v>
      </c>
      <c r="G46" t="s">
        <v>2943</v>
      </c>
      <c r="H46" t="s">
        <v>2806</v>
      </c>
      <c r="I46" t="s">
        <v>858</v>
      </c>
    </row>
    <row r="47" spans="1:9" x14ac:dyDescent="0.25">
      <c r="A47" t="s">
        <v>2814</v>
      </c>
      <c r="B47" t="s">
        <v>2938</v>
      </c>
      <c r="C47" t="s">
        <v>2939</v>
      </c>
      <c r="D47" t="s">
        <v>2940</v>
      </c>
      <c r="E47" t="s">
        <v>2941</v>
      </c>
      <c r="F47" t="s">
        <v>2942</v>
      </c>
      <c r="G47" t="s">
        <v>2943</v>
      </c>
      <c r="H47" t="s">
        <v>2815</v>
      </c>
      <c r="I47" t="s">
        <v>858</v>
      </c>
    </row>
    <row r="48" spans="1:9" x14ac:dyDescent="0.25">
      <c r="A48" t="s">
        <v>2825</v>
      </c>
      <c r="B48" t="s">
        <v>2938</v>
      </c>
      <c r="C48" t="s">
        <v>2939</v>
      </c>
      <c r="D48" t="s">
        <v>2940</v>
      </c>
      <c r="E48" t="s">
        <v>2941</v>
      </c>
      <c r="F48" t="s">
        <v>2942</v>
      </c>
      <c r="G48" t="s">
        <v>2943</v>
      </c>
      <c r="H48" t="s">
        <v>2826</v>
      </c>
      <c r="I48" t="s">
        <v>858</v>
      </c>
    </row>
    <row r="49" spans="1:9" x14ac:dyDescent="0.25">
      <c r="A49" t="s">
        <v>2441</v>
      </c>
      <c r="B49" t="s">
        <v>2938</v>
      </c>
      <c r="C49" t="s">
        <v>2939</v>
      </c>
      <c r="D49" t="s">
        <v>2940</v>
      </c>
      <c r="E49" t="s">
        <v>2941</v>
      </c>
      <c r="F49" t="s">
        <v>2942</v>
      </c>
      <c r="G49" t="s">
        <v>2943</v>
      </c>
      <c r="H49" t="s">
        <v>2442</v>
      </c>
      <c r="I49" t="s">
        <v>862</v>
      </c>
    </row>
    <row r="50" spans="1:9" x14ac:dyDescent="0.25">
      <c r="A50" t="s">
        <v>2445</v>
      </c>
      <c r="B50" t="s">
        <v>2938</v>
      </c>
      <c r="C50" t="s">
        <v>2939</v>
      </c>
      <c r="D50" t="s">
        <v>2940</v>
      </c>
      <c r="E50" t="s">
        <v>2941</v>
      </c>
      <c r="F50" t="s">
        <v>2942</v>
      </c>
      <c r="G50" t="s">
        <v>2943</v>
      </c>
      <c r="H50" t="s">
        <v>2446</v>
      </c>
      <c r="I50" t="s">
        <v>862</v>
      </c>
    </row>
    <row r="51" spans="1:9" x14ac:dyDescent="0.25">
      <c r="A51" t="s">
        <v>906</v>
      </c>
      <c r="B51" t="s">
        <v>2938</v>
      </c>
      <c r="C51" t="s">
        <v>2939</v>
      </c>
      <c r="D51" t="s">
        <v>2940</v>
      </c>
      <c r="E51" t="s">
        <v>2941</v>
      </c>
      <c r="F51" t="s">
        <v>2942</v>
      </c>
      <c r="G51" t="s">
        <v>2943</v>
      </c>
      <c r="H51" t="s">
        <v>907</v>
      </c>
      <c r="I51" t="s">
        <v>858</v>
      </c>
    </row>
    <row r="52" spans="1:9" x14ac:dyDescent="0.25">
      <c r="A52" t="s">
        <v>2839</v>
      </c>
      <c r="B52" t="s">
        <v>2938</v>
      </c>
      <c r="C52" t="s">
        <v>2939</v>
      </c>
      <c r="D52" t="s">
        <v>2940</v>
      </c>
      <c r="E52" t="s">
        <v>2941</v>
      </c>
      <c r="F52" t="s">
        <v>2942</v>
      </c>
      <c r="G52" t="s">
        <v>2943</v>
      </c>
      <c r="H52" t="s">
        <v>2840</v>
      </c>
      <c r="I52" t="s">
        <v>858</v>
      </c>
    </row>
    <row r="53" spans="1:9" x14ac:dyDescent="0.25">
      <c r="A53" t="s">
        <v>2875</v>
      </c>
      <c r="B53" t="s">
        <v>2938</v>
      </c>
      <c r="C53" t="s">
        <v>2939</v>
      </c>
      <c r="D53" t="s">
        <v>2940</v>
      </c>
      <c r="E53" t="s">
        <v>2941</v>
      </c>
      <c r="F53" t="s">
        <v>2942</v>
      </c>
      <c r="G53" t="s">
        <v>2943</v>
      </c>
      <c r="H53" t="s">
        <v>2876</v>
      </c>
      <c r="I53" t="s">
        <v>858</v>
      </c>
    </row>
    <row r="54" spans="1:9" x14ac:dyDescent="0.25">
      <c r="A54" t="s">
        <v>2848</v>
      </c>
      <c r="B54" t="s">
        <v>2938</v>
      </c>
      <c r="C54" t="s">
        <v>2939</v>
      </c>
      <c r="D54" t="s">
        <v>2940</v>
      </c>
      <c r="E54" t="s">
        <v>2941</v>
      </c>
      <c r="F54" t="s">
        <v>2942</v>
      </c>
      <c r="G54" t="s">
        <v>2943</v>
      </c>
      <c r="H54" t="s">
        <v>2849</v>
      </c>
      <c r="I54" t="s">
        <v>858</v>
      </c>
    </row>
    <row r="55" spans="1:9" x14ac:dyDescent="0.25">
      <c r="A55" t="s">
        <v>2867</v>
      </c>
      <c r="B55" t="s">
        <v>2938</v>
      </c>
      <c r="C55" t="s">
        <v>2939</v>
      </c>
      <c r="D55" t="s">
        <v>2940</v>
      </c>
      <c r="E55" t="s">
        <v>2941</v>
      </c>
      <c r="F55" t="s">
        <v>2942</v>
      </c>
      <c r="G55" t="s">
        <v>2943</v>
      </c>
      <c r="H55" t="s">
        <v>2868</v>
      </c>
      <c r="I55" t="s">
        <v>858</v>
      </c>
    </row>
    <row r="56" spans="1:9" x14ac:dyDescent="0.25">
      <c r="A56" t="s">
        <v>932</v>
      </c>
      <c r="B56" t="s">
        <v>2938</v>
      </c>
      <c r="C56" t="s">
        <v>2939</v>
      </c>
      <c r="D56" t="s">
        <v>2940</v>
      </c>
      <c r="E56" t="s">
        <v>2941</v>
      </c>
      <c r="F56" t="s">
        <v>2942</v>
      </c>
      <c r="G56" t="s">
        <v>2943</v>
      </c>
      <c r="H56" t="s">
        <v>611</v>
      </c>
      <c r="I56" t="s">
        <v>858</v>
      </c>
    </row>
    <row r="57" spans="1:9" x14ac:dyDescent="0.25">
      <c r="A57" t="s">
        <v>2380</v>
      </c>
      <c r="B57" t="s">
        <v>2938</v>
      </c>
      <c r="C57" t="s">
        <v>2939</v>
      </c>
      <c r="D57" t="s">
        <v>2940</v>
      </c>
      <c r="E57" t="s">
        <v>2941</v>
      </c>
      <c r="F57" t="s">
        <v>2942</v>
      </c>
      <c r="G57" t="s">
        <v>2943</v>
      </c>
      <c r="H57" t="s">
        <v>649</v>
      </c>
      <c r="I57" t="s">
        <v>862</v>
      </c>
    </row>
    <row r="58" spans="1:9" x14ac:dyDescent="0.25">
      <c r="A58" t="s">
        <v>2384</v>
      </c>
      <c r="B58" t="s">
        <v>2938</v>
      </c>
      <c r="C58" t="s">
        <v>2939</v>
      </c>
      <c r="D58" t="s">
        <v>2940</v>
      </c>
      <c r="E58" t="s">
        <v>2941</v>
      </c>
      <c r="F58" t="s">
        <v>2942</v>
      </c>
      <c r="G58" t="s">
        <v>2943</v>
      </c>
      <c r="H58" t="s">
        <v>650</v>
      </c>
      <c r="I58" t="s">
        <v>862</v>
      </c>
    </row>
    <row r="59" spans="1:9" x14ac:dyDescent="0.25">
      <c r="A59" t="s">
        <v>2455</v>
      </c>
      <c r="B59" t="s">
        <v>2938</v>
      </c>
      <c r="C59" t="s">
        <v>2939</v>
      </c>
      <c r="D59" t="s">
        <v>2940</v>
      </c>
      <c r="E59" t="s">
        <v>2941</v>
      </c>
      <c r="F59" t="s">
        <v>2942</v>
      </c>
      <c r="G59" t="s">
        <v>2943</v>
      </c>
      <c r="H59" t="s">
        <v>2456</v>
      </c>
      <c r="I59" t="s">
        <v>862</v>
      </c>
    </row>
    <row r="60" spans="1:9" x14ac:dyDescent="0.25">
      <c r="A60" t="s">
        <v>884</v>
      </c>
      <c r="B60" t="s">
        <v>2938</v>
      </c>
      <c r="C60" t="s">
        <v>2939</v>
      </c>
      <c r="D60" t="s">
        <v>2940</v>
      </c>
      <c r="E60" t="s">
        <v>2941</v>
      </c>
      <c r="F60" t="s">
        <v>2942</v>
      </c>
      <c r="G60" t="s">
        <v>2943</v>
      </c>
      <c r="H60" t="s">
        <v>885</v>
      </c>
      <c r="I60" t="s">
        <v>883</v>
      </c>
    </row>
    <row r="61" spans="1:9" x14ac:dyDescent="0.25">
      <c r="A61" t="s">
        <v>2473</v>
      </c>
      <c r="B61" t="s">
        <v>2938</v>
      </c>
      <c r="C61" t="s">
        <v>2939</v>
      </c>
      <c r="D61" t="s">
        <v>2940</v>
      </c>
      <c r="E61" t="s">
        <v>2941</v>
      </c>
      <c r="F61" t="s">
        <v>2942</v>
      </c>
      <c r="G61" t="s">
        <v>2943</v>
      </c>
      <c r="H61" t="s">
        <v>2474</v>
      </c>
      <c r="I61" t="s">
        <v>862</v>
      </c>
    </row>
    <row r="62" spans="1:9" x14ac:dyDescent="0.25">
      <c r="A62" t="s">
        <v>902</v>
      </c>
      <c r="B62" t="s">
        <v>2938</v>
      </c>
      <c r="C62" t="s">
        <v>2939</v>
      </c>
      <c r="D62" t="s">
        <v>2940</v>
      </c>
      <c r="E62" t="s">
        <v>2941</v>
      </c>
      <c r="F62" t="s">
        <v>2942</v>
      </c>
      <c r="G62" t="s">
        <v>2943</v>
      </c>
      <c r="H62" t="s">
        <v>903</v>
      </c>
      <c r="I62" t="s">
        <v>901</v>
      </c>
    </row>
    <row r="63" spans="1:9" x14ac:dyDescent="0.25">
      <c r="A63" t="s">
        <v>2494</v>
      </c>
      <c r="B63" t="s">
        <v>2938</v>
      </c>
      <c r="C63" t="s">
        <v>2939</v>
      </c>
      <c r="D63" t="s">
        <v>2940</v>
      </c>
      <c r="E63" t="s">
        <v>2941</v>
      </c>
      <c r="F63" t="s">
        <v>2942</v>
      </c>
      <c r="G63" t="s">
        <v>2943</v>
      </c>
      <c r="H63" t="s">
        <v>2495</v>
      </c>
      <c r="I63" t="s">
        <v>854</v>
      </c>
    </row>
    <row r="64" spans="1:9" x14ac:dyDescent="0.25">
      <c r="A64" t="s">
        <v>2394</v>
      </c>
      <c r="B64" t="s">
        <v>2938</v>
      </c>
      <c r="C64" t="s">
        <v>2939</v>
      </c>
      <c r="D64" t="s">
        <v>2940</v>
      </c>
      <c r="E64" t="s">
        <v>2941</v>
      </c>
      <c r="F64" t="s">
        <v>2942</v>
      </c>
      <c r="G64" t="s">
        <v>2943</v>
      </c>
      <c r="H64" t="s">
        <v>2395</v>
      </c>
      <c r="I64" t="s">
        <v>862</v>
      </c>
    </row>
    <row r="65" spans="1:9" x14ac:dyDescent="0.25">
      <c r="A65" t="s">
        <v>2400</v>
      </c>
      <c r="B65" t="s">
        <v>2938</v>
      </c>
      <c r="C65" t="s">
        <v>2939</v>
      </c>
      <c r="D65" t="s">
        <v>2940</v>
      </c>
      <c r="E65" t="s">
        <v>2941</v>
      </c>
      <c r="F65" t="s">
        <v>2942</v>
      </c>
      <c r="G65" t="s">
        <v>2943</v>
      </c>
      <c r="H65" t="s">
        <v>2401</v>
      </c>
      <c r="I65" t="s">
        <v>862</v>
      </c>
    </row>
    <row r="66" spans="1:9" x14ac:dyDescent="0.25">
      <c r="A66" t="s">
        <v>2417</v>
      </c>
      <c r="B66" t="s">
        <v>2938</v>
      </c>
      <c r="C66" t="s">
        <v>2939</v>
      </c>
      <c r="D66" t="s">
        <v>2940</v>
      </c>
      <c r="E66" t="s">
        <v>2941</v>
      </c>
      <c r="F66" t="s">
        <v>2942</v>
      </c>
      <c r="G66" t="s">
        <v>2943</v>
      </c>
      <c r="H66" t="s">
        <v>2418</v>
      </c>
      <c r="I66" t="s">
        <v>872</v>
      </c>
    </row>
    <row r="67" spans="1:9" x14ac:dyDescent="0.25">
      <c r="A67" t="s">
        <v>2422</v>
      </c>
      <c r="B67" t="s">
        <v>2938</v>
      </c>
      <c r="C67" t="s">
        <v>2939</v>
      </c>
      <c r="D67" t="s">
        <v>2940</v>
      </c>
      <c r="E67" t="s">
        <v>2941</v>
      </c>
      <c r="F67" t="s">
        <v>2942</v>
      </c>
      <c r="G67" t="s">
        <v>2943</v>
      </c>
      <c r="H67" t="s">
        <v>2423</v>
      </c>
      <c r="I67" t="s">
        <v>872</v>
      </c>
    </row>
    <row r="68" spans="1:9" x14ac:dyDescent="0.25">
      <c r="A68" t="s">
        <v>1572</v>
      </c>
      <c r="B68" t="s">
        <v>2938</v>
      </c>
      <c r="C68" t="s">
        <v>2939</v>
      </c>
      <c r="D68" t="s">
        <v>2940</v>
      </c>
      <c r="E68" t="s">
        <v>2941</v>
      </c>
      <c r="F68" t="s">
        <v>2942</v>
      </c>
      <c r="G68" t="s">
        <v>2943</v>
      </c>
      <c r="H68" t="s">
        <v>1573</v>
      </c>
      <c r="I68" t="s">
        <v>2944</v>
      </c>
    </row>
    <row r="69" spans="1:9" x14ac:dyDescent="0.25">
      <c r="A69" t="s">
        <v>863</v>
      </c>
      <c r="B69" t="s">
        <v>2938</v>
      </c>
      <c r="C69" t="s">
        <v>2939</v>
      </c>
      <c r="D69" t="s">
        <v>2940</v>
      </c>
      <c r="E69" t="s">
        <v>2941</v>
      </c>
      <c r="F69" t="s">
        <v>2942</v>
      </c>
      <c r="G69" t="s">
        <v>2943</v>
      </c>
      <c r="H69" t="s">
        <v>864</v>
      </c>
      <c r="I69" t="s">
        <v>862</v>
      </c>
    </row>
    <row r="70" spans="1:9" x14ac:dyDescent="0.25">
      <c r="A70" t="s">
        <v>921</v>
      </c>
      <c r="B70" t="s">
        <v>2938</v>
      </c>
      <c r="C70" t="s">
        <v>2939</v>
      </c>
      <c r="D70" t="s">
        <v>2940</v>
      </c>
      <c r="E70" t="s">
        <v>2941</v>
      </c>
      <c r="F70" t="s">
        <v>2942</v>
      </c>
      <c r="G70" t="s">
        <v>2943</v>
      </c>
      <c r="H70" t="s">
        <v>922</v>
      </c>
      <c r="I70" t="s">
        <v>876</v>
      </c>
    </row>
    <row r="71" spans="1:9" x14ac:dyDescent="0.25">
      <c r="A71" t="s">
        <v>2448</v>
      </c>
      <c r="B71" t="s">
        <v>2938</v>
      </c>
      <c r="C71" t="s">
        <v>2939</v>
      </c>
      <c r="D71" t="s">
        <v>2940</v>
      </c>
      <c r="E71" t="s">
        <v>2941</v>
      </c>
      <c r="F71" t="s">
        <v>2942</v>
      </c>
      <c r="G71" t="s">
        <v>2943</v>
      </c>
      <c r="H71" t="s">
        <v>2449</v>
      </c>
      <c r="I71" t="s">
        <v>872</v>
      </c>
    </row>
    <row r="72" spans="1:9" x14ac:dyDescent="0.25">
      <c r="A72" t="s">
        <v>2452</v>
      </c>
      <c r="B72" t="s">
        <v>2938</v>
      </c>
      <c r="C72" t="s">
        <v>2939</v>
      </c>
      <c r="D72" t="s">
        <v>2940</v>
      </c>
      <c r="E72" t="s">
        <v>2941</v>
      </c>
      <c r="F72" t="s">
        <v>2942</v>
      </c>
      <c r="G72" t="s">
        <v>2943</v>
      </c>
      <c r="H72" t="s">
        <v>2453</v>
      </c>
      <c r="I72" t="s">
        <v>872</v>
      </c>
    </row>
    <row r="73" spans="1:9" x14ac:dyDescent="0.25">
      <c r="A73" t="s">
        <v>855</v>
      </c>
      <c r="B73" t="s">
        <v>2938</v>
      </c>
      <c r="C73" t="s">
        <v>2939</v>
      </c>
      <c r="D73" t="s">
        <v>2940</v>
      </c>
      <c r="E73" t="s">
        <v>2941</v>
      </c>
      <c r="F73" t="s">
        <v>2942</v>
      </c>
      <c r="G73" t="s">
        <v>2943</v>
      </c>
      <c r="H73" t="s">
        <v>856</v>
      </c>
      <c r="I73" t="s">
        <v>854</v>
      </c>
    </row>
    <row r="74" spans="1:9" x14ac:dyDescent="0.25">
      <c r="A74" t="s">
        <v>2894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2895</v>
      </c>
      <c r="I74" t="s">
        <v>858</v>
      </c>
    </row>
    <row r="75" spans="1:9" x14ac:dyDescent="0.25">
      <c r="A75" t="s">
        <v>2529</v>
      </c>
      <c r="B75" t="s">
        <v>2938</v>
      </c>
      <c r="C75" t="s">
        <v>2939</v>
      </c>
      <c r="D75" t="s">
        <v>2940</v>
      </c>
      <c r="E75" t="s">
        <v>2941</v>
      </c>
      <c r="F75" t="s">
        <v>2942</v>
      </c>
      <c r="G75" t="s">
        <v>2943</v>
      </c>
      <c r="H75" t="s">
        <v>2530</v>
      </c>
      <c r="I75" t="s">
        <v>854</v>
      </c>
    </row>
    <row r="76" spans="1:9" x14ac:dyDescent="0.25">
      <c r="A76" t="s">
        <v>2536</v>
      </c>
      <c r="B76" t="s">
        <v>2938</v>
      </c>
      <c r="C76" t="s">
        <v>2939</v>
      </c>
      <c r="D76" t="s">
        <v>2940</v>
      </c>
      <c r="E76" t="s">
        <v>2941</v>
      </c>
      <c r="F76" t="s">
        <v>2942</v>
      </c>
      <c r="G76" t="s">
        <v>2943</v>
      </c>
      <c r="H76" t="s">
        <v>2537</v>
      </c>
      <c r="I76" t="s">
        <v>862</v>
      </c>
    </row>
    <row r="77" spans="1:9" x14ac:dyDescent="0.25">
      <c r="A77" t="s">
        <v>2540</v>
      </c>
      <c r="B77" t="s">
        <v>2938</v>
      </c>
      <c r="C77" t="s">
        <v>2939</v>
      </c>
      <c r="D77" t="s">
        <v>2940</v>
      </c>
      <c r="E77" t="s">
        <v>2941</v>
      </c>
      <c r="F77" t="s">
        <v>2942</v>
      </c>
      <c r="G77" t="s">
        <v>2943</v>
      </c>
      <c r="H77" t="s">
        <v>2541</v>
      </c>
      <c r="I77" t="s">
        <v>862</v>
      </c>
    </row>
    <row r="78" spans="1:9" x14ac:dyDescent="0.25">
      <c r="A78" t="s">
        <v>2543</v>
      </c>
      <c r="B78" t="s">
        <v>2938</v>
      </c>
      <c r="C78" t="s">
        <v>2939</v>
      </c>
      <c r="D78" t="s">
        <v>2940</v>
      </c>
      <c r="E78" t="s">
        <v>2941</v>
      </c>
      <c r="F78" t="s">
        <v>2942</v>
      </c>
      <c r="G78" t="s">
        <v>2943</v>
      </c>
      <c r="H78" t="s">
        <v>2544</v>
      </c>
      <c r="I78" t="s">
        <v>862</v>
      </c>
    </row>
    <row r="79" spans="1:9" x14ac:dyDescent="0.25">
      <c r="A79" t="s">
        <v>2546</v>
      </c>
      <c r="B79" t="s">
        <v>2938</v>
      </c>
      <c r="C79" t="s">
        <v>2939</v>
      </c>
      <c r="D79" t="s">
        <v>2940</v>
      </c>
      <c r="E79" t="s">
        <v>2941</v>
      </c>
      <c r="F79" t="s">
        <v>2942</v>
      </c>
      <c r="G79" t="s">
        <v>2943</v>
      </c>
      <c r="H79" t="s">
        <v>2547</v>
      </c>
      <c r="I79" t="s">
        <v>862</v>
      </c>
    </row>
    <row r="80" spans="1:9" x14ac:dyDescent="0.25">
      <c r="A80" t="s">
        <v>2549</v>
      </c>
      <c r="B80" t="s">
        <v>2938</v>
      </c>
      <c r="C80" t="s">
        <v>2939</v>
      </c>
      <c r="D80" t="s">
        <v>2940</v>
      </c>
      <c r="E80" t="s">
        <v>2941</v>
      </c>
      <c r="F80" t="s">
        <v>2942</v>
      </c>
      <c r="G80" t="s">
        <v>2943</v>
      </c>
      <c r="H80" t="s">
        <v>2550</v>
      </c>
      <c r="I80" t="s">
        <v>862</v>
      </c>
    </row>
    <row r="81" spans="1:9" x14ac:dyDescent="0.25">
      <c r="A81" t="s">
        <v>912</v>
      </c>
      <c r="B81" t="s">
        <v>2938</v>
      </c>
      <c r="C81" t="s">
        <v>2939</v>
      </c>
      <c r="D81" t="s">
        <v>2940</v>
      </c>
      <c r="E81" t="s">
        <v>2941</v>
      </c>
      <c r="F81" t="s">
        <v>2942</v>
      </c>
      <c r="G81" t="s">
        <v>2943</v>
      </c>
      <c r="H81" t="s">
        <v>913</v>
      </c>
      <c r="I81" t="s">
        <v>858</v>
      </c>
    </row>
    <row r="82" spans="1:9" x14ac:dyDescent="0.25">
      <c r="A82" t="s">
        <v>2578</v>
      </c>
      <c r="B82" t="s">
        <v>2938</v>
      </c>
      <c r="C82" t="s">
        <v>2939</v>
      </c>
      <c r="D82" t="s">
        <v>2940</v>
      </c>
      <c r="E82" t="s">
        <v>2941</v>
      </c>
      <c r="F82" t="s">
        <v>2942</v>
      </c>
      <c r="G82" t="s">
        <v>2943</v>
      </c>
      <c r="H82" t="s">
        <v>2579</v>
      </c>
      <c r="I82" t="s">
        <v>872</v>
      </c>
    </row>
    <row r="83" spans="1:9" x14ac:dyDescent="0.25">
      <c r="A83" t="s">
        <v>2582</v>
      </c>
      <c r="B83" t="s">
        <v>2938</v>
      </c>
      <c r="C83" t="s">
        <v>2939</v>
      </c>
      <c r="D83" t="s">
        <v>2940</v>
      </c>
      <c r="E83" t="s">
        <v>2941</v>
      </c>
      <c r="F83" t="s">
        <v>2942</v>
      </c>
      <c r="G83" t="s">
        <v>2943</v>
      </c>
      <c r="H83" t="s">
        <v>2583</v>
      </c>
      <c r="I83" t="s">
        <v>872</v>
      </c>
    </row>
    <row r="84" spans="1:9" x14ac:dyDescent="0.25">
      <c r="A84" t="s">
        <v>2585</v>
      </c>
      <c r="B84" t="s">
        <v>2938</v>
      </c>
      <c r="C84" t="s">
        <v>2939</v>
      </c>
      <c r="D84" t="s">
        <v>2940</v>
      </c>
      <c r="E84" t="s">
        <v>2941</v>
      </c>
      <c r="F84" t="s">
        <v>2942</v>
      </c>
      <c r="G84" t="s">
        <v>2943</v>
      </c>
      <c r="H84" t="s">
        <v>2586</v>
      </c>
      <c r="I84" t="s">
        <v>872</v>
      </c>
    </row>
    <row r="85" spans="1:9" x14ac:dyDescent="0.25">
      <c r="A85" t="s">
        <v>2588</v>
      </c>
      <c r="B85" t="s">
        <v>2938</v>
      </c>
      <c r="C85" t="s">
        <v>2939</v>
      </c>
      <c r="D85" t="s">
        <v>2940</v>
      </c>
      <c r="E85" t="s">
        <v>2941</v>
      </c>
      <c r="F85" t="s">
        <v>2942</v>
      </c>
      <c r="G85" t="s">
        <v>2943</v>
      </c>
      <c r="H85" t="s">
        <v>2589</v>
      </c>
      <c r="I85" t="s">
        <v>872</v>
      </c>
    </row>
    <row r="86" spans="1:9" x14ac:dyDescent="0.25">
      <c r="A86" t="s">
        <v>2945</v>
      </c>
      <c r="B86" t="s">
        <v>2946</v>
      </c>
      <c r="C86" t="s">
        <v>2947</v>
      </c>
      <c r="D86" t="s">
        <v>2948</v>
      </c>
      <c r="E86" t="s">
        <v>2949</v>
      </c>
      <c r="F86" t="s">
        <v>2950</v>
      </c>
      <c r="G86" t="s">
        <v>2943</v>
      </c>
      <c r="H86">
        <v>12</v>
      </c>
      <c r="I86" t="s">
        <v>2951</v>
      </c>
    </row>
    <row r="87" spans="1:9" x14ac:dyDescent="0.25">
      <c r="A87" t="s">
        <v>2945</v>
      </c>
      <c r="B87" t="s">
        <v>2952</v>
      </c>
      <c r="C87" t="s">
        <v>2953</v>
      </c>
      <c r="D87" t="s">
        <v>499</v>
      </c>
      <c r="E87" t="s">
        <v>500</v>
      </c>
      <c r="F87" t="s">
        <v>2954</v>
      </c>
      <c r="G87" t="s">
        <v>2943</v>
      </c>
      <c r="H87">
        <v>349</v>
      </c>
      <c r="I87" t="s">
        <v>2953</v>
      </c>
    </row>
    <row r="88" spans="1:9" x14ac:dyDescent="0.25">
      <c r="A88" t="s">
        <v>2945</v>
      </c>
      <c r="B88" t="s">
        <v>2952</v>
      </c>
      <c r="C88" t="s">
        <v>2953</v>
      </c>
      <c r="D88" t="s">
        <v>12</v>
      </c>
      <c r="E88" t="s">
        <v>13</v>
      </c>
      <c r="F88" t="s">
        <v>2955</v>
      </c>
      <c r="G88" t="s">
        <v>2943</v>
      </c>
      <c r="H88">
        <v>3</v>
      </c>
      <c r="I88" t="s">
        <v>2953</v>
      </c>
    </row>
    <row r="89" spans="1:9" x14ac:dyDescent="0.25">
      <c r="A89" t="s">
        <v>2945</v>
      </c>
      <c r="B89" t="s">
        <v>2956</v>
      </c>
      <c r="C89" t="s">
        <v>2957</v>
      </c>
      <c r="D89" t="s">
        <v>2958</v>
      </c>
      <c r="E89" t="s">
        <v>2959</v>
      </c>
      <c r="F89" t="s">
        <v>2960</v>
      </c>
      <c r="G89" t="s">
        <v>2943</v>
      </c>
      <c r="H89">
        <v>2051</v>
      </c>
      <c r="I89" t="s">
        <v>2961</v>
      </c>
    </row>
    <row r="90" spans="1:9" x14ac:dyDescent="0.25">
      <c r="A90" t="s">
        <v>2945</v>
      </c>
      <c r="B90" t="s">
        <v>2956</v>
      </c>
      <c r="C90" t="s">
        <v>2962</v>
      </c>
      <c r="D90" t="s">
        <v>2963</v>
      </c>
      <c r="E90" t="s">
        <v>2964</v>
      </c>
      <c r="F90" t="s">
        <v>2965</v>
      </c>
      <c r="G90" t="s">
        <v>2943</v>
      </c>
      <c r="H90">
        <v>84</v>
      </c>
      <c r="I90" t="s">
        <v>2966</v>
      </c>
    </row>
    <row r="91" spans="1:9" x14ac:dyDescent="0.25">
      <c r="A91" t="s">
        <v>2945</v>
      </c>
      <c r="B91" t="s">
        <v>2967</v>
      </c>
      <c r="C91" t="s">
        <v>2968</v>
      </c>
      <c r="D91" t="s">
        <v>747</v>
      </c>
      <c r="E91" t="s">
        <v>2969</v>
      </c>
      <c r="F91" t="s">
        <v>2970</v>
      </c>
      <c r="G91" t="s">
        <v>2943</v>
      </c>
      <c r="H91">
        <v>76</v>
      </c>
      <c r="I91" t="s">
        <v>2971</v>
      </c>
    </row>
    <row r="92" spans="1:9" x14ac:dyDescent="0.25">
      <c r="A92" t="s">
        <v>2945</v>
      </c>
      <c r="B92" t="s">
        <v>2967</v>
      </c>
      <c r="C92" t="s">
        <v>2972</v>
      </c>
      <c r="D92" t="s">
        <v>270</v>
      </c>
      <c r="E92" t="s">
        <v>2973</v>
      </c>
      <c r="F92" t="s">
        <v>2974</v>
      </c>
      <c r="G92" t="s">
        <v>2943</v>
      </c>
      <c r="H92">
        <v>119</v>
      </c>
      <c r="I92" t="s">
        <v>2971</v>
      </c>
    </row>
    <row r="93" spans="1:9" x14ac:dyDescent="0.25">
      <c r="A93" t="s">
        <v>2945</v>
      </c>
      <c r="B93" t="s">
        <v>2975</v>
      </c>
      <c r="C93" t="s">
        <v>2976</v>
      </c>
      <c r="D93" t="s">
        <v>182</v>
      </c>
      <c r="E93" t="s">
        <v>183</v>
      </c>
      <c r="F93" t="s">
        <v>2977</v>
      </c>
      <c r="G93" t="s">
        <v>2943</v>
      </c>
      <c r="H93">
        <v>7</v>
      </c>
      <c r="I93" t="s">
        <v>2978</v>
      </c>
    </row>
    <row r="94" spans="1:9" x14ac:dyDescent="0.25">
      <c r="A94" t="s">
        <v>2945</v>
      </c>
      <c r="B94" t="s">
        <v>2956</v>
      </c>
      <c r="C94" t="s">
        <v>850</v>
      </c>
      <c r="D94" t="s">
        <v>2979</v>
      </c>
      <c r="E94" t="s">
        <v>2980</v>
      </c>
      <c r="F94" t="s">
        <v>2981</v>
      </c>
      <c r="G94" t="s">
        <v>2943</v>
      </c>
      <c r="H94">
        <v>3334.93</v>
      </c>
      <c r="I94" t="s">
        <v>2982</v>
      </c>
    </row>
    <row r="95" spans="1:9" x14ac:dyDescent="0.25">
      <c r="A95" t="s">
        <v>2945</v>
      </c>
      <c r="B95" t="s">
        <v>2983</v>
      </c>
      <c r="C95" t="s">
        <v>2984</v>
      </c>
      <c r="D95" t="s">
        <v>2985</v>
      </c>
      <c r="E95" t="s">
        <v>2986</v>
      </c>
      <c r="F95" t="s">
        <v>2987</v>
      </c>
      <c r="G95" t="s">
        <v>2943</v>
      </c>
      <c r="H95">
        <v>0</v>
      </c>
    </row>
    <row r="96" spans="1:9" x14ac:dyDescent="0.25">
      <c r="A96" t="s">
        <v>2988</v>
      </c>
      <c r="B96" t="s">
        <v>2956</v>
      </c>
      <c r="C96" t="s">
        <v>853</v>
      </c>
      <c r="D96" t="s">
        <v>2989</v>
      </c>
      <c r="E96" t="s">
        <v>2980</v>
      </c>
      <c r="F96" t="s">
        <v>2990</v>
      </c>
      <c r="G96" t="s">
        <v>2943</v>
      </c>
      <c r="H96">
        <v>3334.93</v>
      </c>
      <c r="I96" t="s">
        <v>2982</v>
      </c>
    </row>
    <row r="97" spans="1:9" x14ac:dyDescent="0.25">
      <c r="A97" t="s">
        <v>2988</v>
      </c>
      <c r="B97" t="s">
        <v>2991</v>
      </c>
      <c r="C97" t="s">
        <v>2992</v>
      </c>
      <c r="D97" t="s">
        <v>270</v>
      </c>
      <c r="E97" t="s">
        <v>409</v>
      </c>
      <c r="F97" t="s">
        <v>2993</v>
      </c>
      <c r="G97" t="s">
        <v>2943</v>
      </c>
      <c r="H97">
        <v>119</v>
      </c>
      <c r="I97" t="s">
        <v>2994</v>
      </c>
    </row>
    <row r="98" spans="1:9" x14ac:dyDescent="0.25">
      <c r="A98" t="s">
        <v>2988</v>
      </c>
      <c r="B98" t="s">
        <v>2956</v>
      </c>
      <c r="C98" t="s">
        <v>838</v>
      </c>
      <c r="D98" t="s">
        <v>270</v>
      </c>
      <c r="E98" t="s">
        <v>2995</v>
      </c>
      <c r="F98" t="s">
        <v>2996</v>
      </c>
      <c r="G98" t="s">
        <v>2943</v>
      </c>
      <c r="H98">
        <v>0</v>
      </c>
      <c r="I98" t="s">
        <v>2997</v>
      </c>
    </row>
    <row r="99" spans="1:9" x14ac:dyDescent="0.25">
      <c r="A99" t="s">
        <v>2988</v>
      </c>
      <c r="B99" t="s">
        <v>2998</v>
      </c>
      <c r="C99" t="s">
        <v>2999</v>
      </c>
      <c r="D99" t="s">
        <v>2958</v>
      </c>
      <c r="E99" t="s">
        <v>2959</v>
      </c>
      <c r="F99" t="s">
        <v>3000</v>
      </c>
      <c r="G99" t="s">
        <v>2943</v>
      </c>
      <c r="H99">
        <v>19839</v>
      </c>
      <c r="I99" t="s">
        <v>3001</v>
      </c>
    </row>
  </sheetData>
  <autoFilter ref="A1:I99" xr:uid="{00000000-0009-0000-0000-000006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2911</v>
      </c>
      <c r="B1" s="1" t="s">
        <v>943</v>
      </c>
      <c r="C1" s="1" t="s">
        <v>944</v>
      </c>
      <c r="D1" s="1" t="s">
        <v>0</v>
      </c>
      <c r="E1" s="1" t="s">
        <v>1</v>
      </c>
      <c r="F1" s="1" t="s">
        <v>2912</v>
      </c>
      <c r="G1" s="1" t="s">
        <v>949</v>
      </c>
      <c r="H1" s="1" t="s">
        <v>950</v>
      </c>
      <c r="I1" s="1" t="s">
        <v>2913</v>
      </c>
      <c r="J1" s="1" t="s">
        <v>2914</v>
      </c>
    </row>
  </sheetData>
  <autoFilter ref="A1:J1" xr:uid="{00000000-0009-0000-0000-000004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943</v>
      </c>
      <c r="B1" s="1" t="s">
        <v>2915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952</v>
      </c>
      <c r="J1" s="1" t="s">
        <v>953</v>
      </c>
      <c r="K1" s="1" t="s">
        <v>954</v>
      </c>
      <c r="L1" s="1" t="s">
        <v>2922</v>
      </c>
    </row>
    <row r="2" spans="1:12" x14ac:dyDescent="0.25">
      <c r="A2" t="s">
        <v>2923</v>
      </c>
      <c r="B2" t="s">
        <v>2924</v>
      </c>
      <c r="C2" t="s">
        <v>186</v>
      </c>
      <c r="D2" t="s">
        <v>187</v>
      </c>
      <c r="E2" t="s">
        <v>615</v>
      </c>
      <c r="F2">
        <v>276</v>
      </c>
      <c r="G2">
        <v>7.3724999999999996</v>
      </c>
      <c r="H2" t="s">
        <v>197</v>
      </c>
      <c r="I2" t="s">
        <v>182</v>
      </c>
      <c r="J2" t="s">
        <v>183</v>
      </c>
      <c r="K2">
        <v>7</v>
      </c>
      <c r="L2" t="s">
        <v>2925</v>
      </c>
    </row>
    <row r="3" spans="1:12" x14ac:dyDescent="0.25">
      <c r="A3" t="s">
        <v>2923</v>
      </c>
      <c r="B3" t="s">
        <v>2924</v>
      </c>
      <c r="C3" t="s">
        <v>186</v>
      </c>
      <c r="D3" t="s">
        <v>188</v>
      </c>
      <c r="E3" t="s">
        <v>615</v>
      </c>
      <c r="F3">
        <v>324</v>
      </c>
      <c r="G3">
        <v>8.6582000000000008</v>
      </c>
      <c r="H3" t="s">
        <v>197</v>
      </c>
      <c r="I3" t="s">
        <v>182</v>
      </c>
      <c r="J3" t="s">
        <v>183</v>
      </c>
      <c r="K3">
        <v>8</v>
      </c>
      <c r="L3" t="s">
        <v>2925</v>
      </c>
    </row>
    <row r="4" spans="1:12" x14ac:dyDescent="0.25">
      <c r="A4" t="s">
        <v>2926</v>
      </c>
      <c r="B4" t="s">
        <v>2927</v>
      </c>
      <c r="C4" t="s">
        <v>2928</v>
      </c>
      <c r="D4" t="s">
        <v>204</v>
      </c>
      <c r="E4" t="s">
        <v>239</v>
      </c>
      <c r="F4">
        <v>355</v>
      </c>
      <c r="G4">
        <v>3.5091999999999999</v>
      </c>
      <c r="H4" t="s">
        <v>20</v>
      </c>
      <c r="I4" t="s">
        <v>182</v>
      </c>
      <c r="J4" t="s">
        <v>183</v>
      </c>
      <c r="K4">
        <v>10</v>
      </c>
      <c r="L4" t="s">
        <v>2925</v>
      </c>
    </row>
    <row r="5" spans="1:12" x14ac:dyDescent="0.25">
      <c r="A5" t="s">
        <v>2926</v>
      </c>
      <c r="B5" t="s">
        <v>2927</v>
      </c>
      <c r="C5" t="s">
        <v>2928</v>
      </c>
      <c r="D5" t="s">
        <v>284</v>
      </c>
      <c r="E5" t="s">
        <v>239</v>
      </c>
      <c r="F5">
        <v>72</v>
      </c>
      <c r="G5">
        <v>0.59050000000000002</v>
      </c>
      <c r="H5" t="s">
        <v>20</v>
      </c>
      <c r="I5" t="s">
        <v>182</v>
      </c>
      <c r="J5" t="s">
        <v>183</v>
      </c>
      <c r="K5">
        <v>11</v>
      </c>
      <c r="L5" t="s">
        <v>2925</v>
      </c>
    </row>
    <row r="6" spans="1:12" x14ac:dyDescent="0.25">
      <c r="A6" t="s">
        <v>2929</v>
      </c>
      <c r="B6" t="s">
        <v>2930</v>
      </c>
      <c r="C6" t="s">
        <v>2931</v>
      </c>
      <c r="D6" t="s">
        <v>2692</v>
      </c>
      <c r="E6" t="s">
        <v>238</v>
      </c>
      <c r="F6">
        <v>270</v>
      </c>
      <c r="G6">
        <v>4.6154999999999999</v>
      </c>
      <c r="H6" t="s">
        <v>198</v>
      </c>
      <c r="I6" t="s">
        <v>182</v>
      </c>
      <c r="J6" t="s">
        <v>183</v>
      </c>
      <c r="K6">
        <v>13</v>
      </c>
      <c r="L6" t="s">
        <v>2925</v>
      </c>
    </row>
    <row r="7" spans="1:12" x14ac:dyDescent="0.25">
      <c r="A7" t="s">
        <v>2929</v>
      </c>
      <c r="B7" t="s">
        <v>2930</v>
      </c>
      <c r="C7" t="s">
        <v>2931</v>
      </c>
      <c r="D7" t="s">
        <v>2706</v>
      </c>
      <c r="E7" t="s">
        <v>238</v>
      </c>
      <c r="F7">
        <v>202</v>
      </c>
      <c r="G7">
        <v>3.6503000000000001</v>
      </c>
      <c r="H7" t="s">
        <v>198</v>
      </c>
      <c r="I7" t="s">
        <v>182</v>
      </c>
      <c r="J7" t="s">
        <v>183</v>
      </c>
      <c r="K7">
        <v>14</v>
      </c>
      <c r="L7" t="s">
        <v>2925</v>
      </c>
    </row>
    <row r="8" spans="1:12" x14ac:dyDescent="0.25">
      <c r="A8" t="s">
        <v>2929</v>
      </c>
      <c r="B8" t="s">
        <v>2930</v>
      </c>
      <c r="C8" t="s">
        <v>2931</v>
      </c>
      <c r="D8" t="s">
        <v>2889</v>
      </c>
      <c r="E8" t="s">
        <v>238</v>
      </c>
      <c r="F8">
        <v>40</v>
      </c>
      <c r="G8">
        <v>0.6633</v>
      </c>
      <c r="H8" t="s">
        <v>198</v>
      </c>
      <c r="I8" t="s">
        <v>182</v>
      </c>
      <c r="J8" t="s">
        <v>183</v>
      </c>
      <c r="K8">
        <v>15</v>
      </c>
      <c r="L8" t="s">
        <v>2925</v>
      </c>
    </row>
  </sheetData>
  <autoFilter ref="A1:L8" xr:uid="{00000000-0009-0000-0000-000005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x14ac:dyDescent="0.25">
      <c r="A1" s="3" t="s">
        <v>834</v>
      </c>
      <c r="B1" s="3" t="s">
        <v>3002</v>
      </c>
      <c r="C1" s="3" t="s">
        <v>3003</v>
      </c>
      <c r="D1" s="3" t="s">
        <v>3004</v>
      </c>
      <c r="E1" s="3" t="s">
        <v>3005</v>
      </c>
      <c r="F1" s="3" t="s">
        <v>3006</v>
      </c>
      <c r="G1" s="3" t="s">
        <v>3007</v>
      </c>
      <c r="H1" s="3" t="s">
        <v>3008</v>
      </c>
    </row>
    <row r="2" spans="1:8" x14ac:dyDescent="0.25">
      <c r="A2" t="s">
        <v>238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3009</v>
      </c>
    </row>
    <row r="3" spans="1:8" x14ac:dyDescent="0.25">
      <c r="A3" t="s">
        <v>530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3009</v>
      </c>
    </row>
    <row r="4" spans="1:8" x14ac:dyDescent="0.25">
      <c r="A4" t="s">
        <v>94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3009</v>
      </c>
    </row>
    <row r="5" spans="1:8" x14ac:dyDescent="0.25">
      <c r="A5" t="s">
        <v>615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3009</v>
      </c>
    </row>
    <row r="6" spans="1:8" x14ac:dyDescent="0.25">
      <c r="A6" t="s">
        <v>822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3009</v>
      </c>
    </row>
    <row r="7" spans="1:8" x14ac:dyDescent="0.25">
      <c r="A7" t="s">
        <v>614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3009</v>
      </c>
    </row>
    <row r="8" spans="1:8" x14ac:dyDescent="0.25">
      <c r="A8" t="s">
        <v>897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3009</v>
      </c>
    </row>
    <row r="9" spans="1:8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3011</v>
      </c>
    </row>
    <row r="10" spans="1:8" x14ac:dyDescent="0.25">
      <c r="A10" t="s">
        <v>905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3009</v>
      </c>
    </row>
    <row r="11" spans="1:8" x14ac:dyDescent="0.25">
      <c r="A11" t="s">
        <v>823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3009</v>
      </c>
    </row>
    <row r="12" spans="1:8" x14ac:dyDescent="0.25">
      <c r="A12" t="s">
        <v>531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3009</v>
      </c>
    </row>
    <row r="13" spans="1:8" x14ac:dyDescent="0.25">
      <c r="A13" t="s">
        <v>95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3009</v>
      </c>
    </row>
    <row r="14" spans="1:8" x14ac:dyDescent="0.25">
      <c r="A14" t="s">
        <v>240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3009</v>
      </c>
    </row>
    <row r="15" spans="1:8" x14ac:dyDescent="0.25">
      <c r="A15" t="s">
        <v>579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3009</v>
      </c>
    </row>
    <row r="16" spans="1:8" x14ac:dyDescent="0.25">
      <c r="A16" t="s">
        <v>927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3009</v>
      </c>
    </row>
    <row r="17" spans="1:8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3011</v>
      </c>
    </row>
    <row r="18" spans="1:8" x14ac:dyDescent="0.25">
      <c r="A18" t="s">
        <v>931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3009</v>
      </c>
    </row>
    <row r="19" spans="1:8" x14ac:dyDescent="0.25">
      <c r="A19" t="s">
        <v>239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3009</v>
      </c>
    </row>
  </sheetData>
  <autoFilter ref="A1:H19" xr:uid="{00000000-0009-0000-0000-000007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x14ac:dyDescent="0.25">
      <c r="A1" s="3" t="s">
        <v>834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</row>
    <row r="2" spans="1:9" x14ac:dyDescent="0.25">
      <c r="A2" t="s">
        <v>238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530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94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615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822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614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897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905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823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531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95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240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579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927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931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239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08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x14ac:dyDescent="0.25">
      <c r="A1" s="3" t="s">
        <v>3029</v>
      </c>
      <c r="B1" s="3" t="s">
        <v>834</v>
      </c>
      <c r="C1" s="3" t="s">
        <v>945</v>
      </c>
      <c r="D1" s="3" t="s">
        <v>836</v>
      </c>
      <c r="E1" s="3" t="s">
        <v>837</v>
      </c>
      <c r="F1" s="3" t="s">
        <v>839</v>
      </c>
      <c r="G1" s="3" t="s">
        <v>853</v>
      </c>
      <c r="H1" s="3" t="s">
        <v>840</v>
      </c>
      <c r="I1" s="3" t="s">
        <v>841</v>
      </c>
      <c r="J1" s="3" t="s">
        <v>846</v>
      </c>
      <c r="K1" s="3" t="s">
        <v>844</v>
      </c>
    </row>
    <row r="2" spans="1:11" x14ac:dyDescent="0.25">
      <c r="A2">
        <v>1</v>
      </c>
      <c r="B2" t="s">
        <v>614</v>
      </c>
      <c r="C2" t="s">
        <v>862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894</v>
      </c>
      <c r="K2">
        <v>5</v>
      </c>
    </row>
    <row r="3" spans="1:11" x14ac:dyDescent="0.25">
      <c r="A3">
        <v>2</v>
      </c>
      <c r="B3" t="s">
        <v>240</v>
      </c>
      <c r="C3" t="s">
        <v>858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924</v>
      </c>
      <c r="K3">
        <v>10</v>
      </c>
    </row>
    <row r="4" spans="1:11" x14ac:dyDescent="0.25">
      <c r="A4">
        <v>3</v>
      </c>
      <c r="B4" t="s">
        <v>615</v>
      </c>
      <c r="C4" t="s">
        <v>858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869</v>
      </c>
      <c r="K4">
        <v>21</v>
      </c>
    </row>
    <row r="5" spans="1:11" x14ac:dyDescent="0.25">
      <c r="A5">
        <v>4</v>
      </c>
      <c r="B5" t="s">
        <v>927</v>
      </c>
      <c r="C5" t="s">
        <v>872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928</v>
      </c>
      <c r="K5">
        <v>2</v>
      </c>
    </row>
    <row r="6" spans="1:11" x14ac:dyDescent="0.25">
      <c r="A6">
        <v>5</v>
      </c>
      <c r="B6" t="s">
        <v>614</v>
      </c>
      <c r="C6" t="s">
        <v>887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888</v>
      </c>
      <c r="K6">
        <v>1</v>
      </c>
    </row>
    <row r="7" spans="1:11" x14ac:dyDescent="0.25">
      <c r="A7">
        <v>6</v>
      </c>
      <c r="B7" t="s">
        <v>823</v>
      </c>
      <c r="C7" t="s">
        <v>872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909</v>
      </c>
      <c r="K7">
        <v>2</v>
      </c>
    </row>
    <row r="8" spans="1:11" x14ac:dyDescent="0.25">
      <c r="A8">
        <v>7</v>
      </c>
      <c r="B8" t="s">
        <v>614</v>
      </c>
      <c r="C8" t="s">
        <v>872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891</v>
      </c>
      <c r="K8">
        <v>4</v>
      </c>
    </row>
    <row r="9" spans="1:11" x14ac:dyDescent="0.25">
      <c r="A9">
        <v>8</v>
      </c>
      <c r="B9" t="s">
        <v>615</v>
      </c>
      <c r="C9" t="s">
        <v>872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873</v>
      </c>
      <c r="K9">
        <v>4</v>
      </c>
    </row>
    <row r="10" spans="1:11" x14ac:dyDescent="0.25">
      <c r="A10">
        <v>9</v>
      </c>
      <c r="B10" t="s">
        <v>238</v>
      </c>
      <c r="C10" t="s">
        <v>858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859</v>
      </c>
      <c r="K10">
        <v>45</v>
      </c>
    </row>
    <row r="11" spans="1:11" x14ac:dyDescent="0.25">
      <c r="A11">
        <v>10</v>
      </c>
      <c r="B11" t="s">
        <v>95</v>
      </c>
      <c r="C11" t="s">
        <v>872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918</v>
      </c>
      <c r="K11">
        <v>2</v>
      </c>
    </row>
    <row r="12" spans="1:11" x14ac:dyDescent="0.25">
      <c r="A12">
        <v>11</v>
      </c>
      <c r="B12" t="s">
        <v>822</v>
      </c>
      <c r="C12" t="s">
        <v>862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880</v>
      </c>
      <c r="K12">
        <v>5</v>
      </c>
    </row>
    <row r="13" spans="1:11" x14ac:dyDescent="0.25">
      <c r="A13">
        <v>12</v>
      </c>
      <c r="B13" t="s">
        <v>531</v>
      </c>
      <c r="C13" t="s">
        <v>858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912</v>
      </c>
      <c r="K13">
        <v>4</v>
      </c>
    </row>
    <row r="14" spans="1:11" x14ac:dyDescent="0.25">
      <c r="A14">
        <v>13</v>
      </c>
      <c r="B14" t="s">
        <v>897</v>
      </c>
      <c r="C14" t="s">
        <v>858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898</v>
      </c>
      <c r="K14">
        <v>8</v>
      </c>
    </row>
    <row r="15" spans="1:11" x14ac:dyDescent="0.25">
      <c r="A15">
        <v>14</v>
      </c>
      <c r="B15" t="s">
        <v>905</v>
      </c>
      <c r="C15" t="s">
        <v>858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906</v>
      </c>
      <c r="K15">
        <v>2</v>
      </c>
    </row>
    <row r="16" spans="1:11" x14ac:dyDescent="0.25">
      <c r="A16">
        <v>15</v>
      </c>
      <c r="B16" t="s">
        <v>822</v>
      </c>
      <c r="C16" t="s">
        <v>883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884</v>
      </c>
      <c r="K16">
        <v>1</v>
      </c>
    </row>
    <row r="17" spans="1:11" x14ac:dyDescent="0.25">
      <c r="A17">
        <v>16</v>
      </c>
      <c r="B17" t="s">
        <v>94</v>
      </c>
      <c r="C17" t="s">
        <v>862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866</v>
      </c>
      <c r="K17">
        <v>14</v>
      </c>
    </row>
    <row r="18" spans="1:11" x14ac:dyDescent="0.25">
      <c r="A18">
        <v>17</v>
      </c>
      <c r="B18" t="s">
        <v>931</v>
      </c>
      <c r="C18" t="s">
        <v>858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932</v>
      </c>
      <c r="K18">
        <v>3</v>
      </c>
    </row>
    <row r="19" spans="1:11" x14ac:dyDescent="0.25">
      <c r="A19">
        <v>18</v>
      </c>
      <c r="B19" t="s">
        <v>238</v>
      </c>
      <c r="C19" t="s">
        <v>862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863</v>
      </c>
      <c r="K19">
        <v>3</v>
      </c>
    </row>
    <row r="20" spans="1:11" x14ac:dyDescent="0.25">
      <c r="A20">
        <v>19</v>
      </c>
      <c r="B20" t="s">
        <v>95</v>
      </c>
      <c r="C20" t="s">
        <v>876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921</v>
      </c>
      <c r="K20">
        <v>10</v>
      </c>
    </row>
    <row r="21" spans="1:11" x14ac:dyDescent="0.25">
      <c r="A21">
        <v>20</v>
      </c>
      <c r="B21" t="s">
        <v>531</v>
      </c>
      <c r="C21" t="s">
        <v>862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915</v>
      </c>
      <c r="K21">
        <v>11</v>
      </c>
    </row>
    <row r="22" spans="1:11" x14ac:dyDescent="0.25">
      <c r="A22">
        <v>21</v>
      </c>
      <c r="B22" t="s">
        <v>239</v>
      </c>
      <c r="C22" t="s">
        <v>858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940</v>
      </c>
      <c r="K22">
        <v>9</v>
      </c>
    </row>
    <row r="23" spans="1:11" x14ac:dyDescent="0.25">
      <c r="A23">
        <v>22</v>
      </c>
      <c r="B23" t="s">
        <v>931</v>
      </c>
      <c r="C23" t="s">
        <v>862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934</v>
      </c>
      <c r="K23">
        <v>1</v>
      </c>
    </row>
    <row r="24" spans="1:11" x14ac:dyDescent="0.25">
      <c r="A24">
        <v>23</v>
      </c>
      <c r="B24" t="s">
        <v>238</v>
      </c>
      <c r="C24" t="s">
        <v>854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855</v>
      </c>
      <c r="K24">
        <v>3</v>
      </c>
    </row>
    <row r="25" spans="1:11" x14ac:dyDescent="0.25">
      <c r="A25">
        <v>24</v>
      </c>
      <c r="B25" t="s">
        <v>822</v>
      </c>
      <c r="C25" t="s">
        <v>876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877</v>
      </c>
      <c r="K25">
        <v>3</v>
      </c>
    </row>
    <row r="26" spans="1:11" x14ac:dyDescent="0.25">
      <c r="A26">
        <v>25</v>
      </c>
      <c r="B26" t="s">
        <v>239</v>
      </c>
      <c r="C26" t="s">
        <v>854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937</v>
      </c>
      <c r="K26">
        <v>4</v>
      </c>
    </row>
    <row r="27" spans="1:11" x14ac:dyDescent="0.25">
      <c r="A27">
        <v>26</v>
      </c>
      <c r="B27" t="s">
        <v>897</v>
      </c>
      <c r="C27" t="s">
        <v>901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902</v>
      </c>
      <c r="K27">
        <v>1</v>
      </c>
    </row>
  </sheetData>
  <autoFilter ref="A1:K27" xr:uid="{00000000-0009-0000-0000-00000A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x14ac:dyDescent="0.25">
      <c r="A1" s="3" t="s">
        <v>3030</v>
      </c>
      <c r="B1" s="3" t="s">
        <v>2919</v>
      </c>
      <c r="C1" s="3" t="s">
        <v>3031</v>
      </c>
      <c r="D1" s="3" t="s">
        <v>3032</v>
      </c>
    </row>
    <row r="2" spans="1:4" x14ac:dyDescent="0.25">
      <c r="A2" t="s">
        <v>3033</v>
      </c>
      <c r="B2">
        <v>19539</v>
      </c>
      <c r="C2" t="s">
        <v>3034</v>
      </c>
      <c r="D2" t="s">
        <v>3035</v>
      </c>
    </row>
    <row r="3" spans="1:4" x14ac:dyDescent="0.25">
      <c r="A3" t="s">
        <v>3036</v>
      </c>
      <c r="B3">
        <v>18061</v>
      </c>
      <c r="C3" t="s">
        <v>3037</v>
      </c>
      <c r="D3" t="s">
        <v>3038</v>
      </c>
    </row>
    <row r="4" spans="1:4" x14ac:dyDescent="0.25">
      <c r="A4" t="s">
        <v>3039</v>
      </c>
      <c r="B4">
        <v>1478</v>
      </c>
      <c r="C4" t="s">
        <v>3040</v>
      </c>
      <c r="D4" t="s">
        <v>3041</v>
      </c>
    </row>
    <row r="5" spans="1:4" x14ac:dyDescent="0.25">
      <c r="A5" t="s">
        <v>3042</v>
      </c>
      <c r="B5">
        <v>1778</v>
      </c>
      <c r="C5" t="s">
        <v>3043</v>
      </c>
      <c r="D5" t="s">
        <v>3044</v>
      </c>
    </row>
    <row r="6" spans="1:4" x14ac:dyDescent="0.25">
      <c r="A6" t="s">
        <v>3045</v>
      </c>
      <c r="B6">
        <v>19839</v>
      </c>
      <c r="C6" t="s">
        <v>3043</v>
      </c>
      <c r="D6" t="s">
        <v>3046</v>
      </c>
    </row>
    <row r="7" spans="1:4" x14ac:dyDescent="0.25">
      <c r="A7" t="s">
        <v>3047</v>
      </c>
      <c r="B7">
        <v>3875.8760000000002</v>
      </c>
      <c r="C7" t="s">
        <v>3048</v>
      </c>
      <c r="D7" t="s">
        <v>3049</v>
      </c>
    </row>
    <row r="8" spans="1:4" x14ac:dyDescent="0.25">
      <c r="A8" t="s">
        <v>3050</v>
      </c>
      <c r="B8">
        <v>0</v>
      </c>
      <c r="C8" t="s">
        <v>3051</v>
      </c>
      <c r="D8" t="s">
        <v>3052</v>
      </c>
    </row>
  </sheetData>
  <autoFilter ref="A1:D8" xr:uid="{00000000-0009-0000-0000-00000B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3053</v>
      </c>
      <c r="B1" s="3" t="s">
        <v>3054</v>
      </c>
      <c r="C1" s="3" t="s">
        <v>3031</v>
      </c>
      <c r="D1" s="3" t="s">
        <v>3055</v>
      </c>
    </row>
    <row r="2" spans="1:4" x14ac:dyDescent="0.25">
      <c r="A2" t="s">
        <v>3056</v>
      </c>
      <c r="B2" t="s">
        <v>3057</v>
      </c>
      <c r="C2" t="s">
        <v>3058</v>
      </c>
      <c r="D2" t="s">
        <v>3059</v>
      </c>
    </row>
    <row r="3" spans="1:4" x14ac:dyDescent="0.25">
      <c r="A3" t="s">
        <v>3060</v>
      </c>
      <c r="B3" t="s">
        <v>3061</v>
      </c>
      <c r="C3" t="s">
        <v>3062</v>
      </c>
      <c r="D3" t="s">
        <v>3063</v>
      </c>
    </row>
    <row r="4" spans="1:4" x14ac:dyDescent="0.25">
      <c r="A4" t="s">
        <v>409</v>
      </c>
      <c r="B4" t="s">
        <v>3064</v>
      </c>
      <c r="C4" t="s">
        <v>3065</v>
      </c>
      <c r="D4" t="s">
        <v>3066</v>
      </c>
    </row>
    <row r="5" spans="1:4" x14ac:dyDescent="0.25">
      <c r="A5" t="s">
        <v>3067</v>
      </c>
      <c r="B5" t="s">
        <v>3068</v>
      </c>
      <c r="C5" t="s">
        <v>3069</v>
      </c>
      <c r="D5" t="s">
        <v>3070</v>
      </c>
    </row>
    <row r="6" spans="1:4" x14ac:dyDescent="0.25">
      <c r="A6" t="s">
        <v>3071</v>
      </c>
      <c r="B6" t="s">
        <v>3072</v>
      </c>
      <c r="C6" t="s">
        <v>3073</v>
      </c>
      <c r="D6" t="s">
        <v>3074</v>
      </c>
    </row>
    <row r="7" spans="1:4" x14ac:dyDescent="0.25">
      <c r="A7" t="s">
        <v>3075</v>
      </c>
      <c r="B7" t="s">
        <v>3076</v>
      </c>
      <c r="C7" t="s">
        <v>3077</v>
      </c>
      <c r="D7" t="s">
        <v>3078</v>
      </c>
    </row>
    <row r="8" spans="1:4" x14ac:dyDescent="0.25">
      <c r="A8" t="s">
        <v>3079</v>
      </c>
      <c r="B8" t="s">
        <v>3080</v>
      </c>
      <c r="C8" t="s">
        <v>3081</v>
      </c>
      <c r="D8" t="s">
        <v>3082</v>
      </c>
    </row>
    <row r="9" spans="1:4" x14ac:dyDescent="0.25">
      <c r="A9" t="s">
        <v>3083</v>
      </c>
      <c r="B9" t="s">
        <v>3084</v>
      </c>
      <c r="C9" t="s">
        <v>3085</v>
      </c>
      <c r="D9" t="s">
        <v>3086</v>
      </c>
    </row>
  </sheetData>
  <autoFilter ref="A1:D9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Inventario_Columnas</vt:lpstr>
      <vt:lpstr>Generadores</vt:lpstr>
      <vt:lpstr>Térmica</vt:lpstr>
      <vt:lpstr>Hidraulica_01</vt:lpstr>
      <vt:lpstr>Hidraulica_02</vt:lpstr>
      <vt:lpstr>Hidraulica_03</vt:lpstr>
      <vt:lpstr>Demanda_Real</vt:lpstr>
      <vt:lpstr>Demanda_OR</vt:lpstr>
      <vt:lpstr>Renovables</vt:lpstr>
      <vt:lpstr>Renovables_traz</vt:lpstr>
      <vt:lpstr>Detalle_Unidades</vt:lpstr>
      <vt:lpstr>Auditoria_Hidraulica</vt:lpstr>
      <vt:lpstr>Trazabilidad</vt:lpstr>
      <vt:lpstr>Sin_Subarea</vt:lpstr>
      <vt:lpstr>Cadenas_Hidraulicas</vt:lpstr>
      <vt:lpstr>Capacidad_Subareas_18</vt:lpstr>
      <vt:lpstr>Renovables_Subareas</vt:lpstr>
      <vt:lpstr>Costos_Ordenados</vt:lpstr>
      <vt:lpstr>Conciliacion_Capacidad</vt:lpstr>
      <vt:lpstr>Notas_Fase1b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2026-08-23T13:44:52Z</dcterms:modified>
</cp:coreProperties>
</file>