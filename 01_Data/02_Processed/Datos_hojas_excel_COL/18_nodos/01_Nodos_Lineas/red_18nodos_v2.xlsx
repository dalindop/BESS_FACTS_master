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1_Nodos_Lineas\"/>
    </mc:Choice>
  </mc:AlternateContent>
  <xr:revisionPtr revIDLastSave="0" documentId="13_ncr:1_{B178F96D-F766-40FB-9C1E-4D2530039D9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d_Equivalente" sheetId="1" r:id="rId1"/>
    <sheet name="Revision_Manual" sheetId="2" r:id="rId2"/>
    <sheet name="Lineas_Internas" sheetId="3" r:id="rId3"/>
    <sheet name="Conteo_Subestaciones" sheetId="4" r:id="rId4"/>
    <sheet name="Limites_Corriente" sheetId="5" r:id="rId5"/>
    <sheet name="Circuitos_Paralelos" sheetId="6" r:id="rId6"/>
    <sheet name="Internacionales_Excluid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" i="1" l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F83" i="1"/>
  <c r="E83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J21" i="1"/>
  <c r="I21" i="1"/>
</calcChain>
</file>

<file path=xl/sharedStrings.xml><?xml version="1.0" encoding="utf-8"?>
<sst xmlns="http://schemas.openxmlformats.org/spreadsheetml/2006/main" count="3319" uniqueCount="988">
  <si>
    <t>Red equivalente STN v2 - 18 nodos por subarea</t>
  </si>
  <si>
    <t>Fuente: PARATEC_Líneas_14-08-2026_STN.xlsx</t>
  </si>
  <si>
    <t>Las asignaciones manuales de v1 se conservaron. Los extremos internacionales se excluyen solo por pertenecer a Ecuador o Venezuela.</t>
  </si>
  <si>
    <t>Resumen</t>
  </si>
  <si>
    <t>Indicador</t>
  </si>
  <si>
    <t>Resultado</t>
  </si>
  <si>
    <t>Subareas / nodos</t>
  </si>
  <si>
    <t>Lineas filtradas</t>
  </si>
  <si>
    <t>Lineas internacionales excluidas</t>
  </si>
  <si>
    <t>Lineas internas descartadas</t>
  </si>
  <si>
    <t>Lineas externas utilizadas</t>
  </si>
  <si>
    <t>Lineas no asignadas</t>
  </si>
  <si>
    <t>Enlaces agregados</t>
  </si>
  <si>
    <t>Subareas aisladas</t>
  </si>
  <si>
    <t>Ninguna</t>
  </si>
  <si>
    <t>Rango X_pu agregado</t>
  </si>
  <si>
    <t>0.004455995 a 0.098186178</t>
  </si>
  <si>
    <t>Enlaces nuevos frente a v1</t>
  </si>
  <si>
    <t>Ninguno</t>
  </si>
  <si>
    <t>Enlaces desaparecidos frente a v1</t>
  </si>
  <si>
    <t>Capacidades equivalentes</t>
  </si>
  <si>
    <t>nodo_desde</t>
  </si>
  <si>
    <t>nodo_hasta</t>
  </si>
  <si>
    <t>R_pu</t>
  </si>
  <si>
    <t>X_pu</t>
  </si>
  <si>
    <t>S_suma_nominal</t>
  </si>
  <si>
    <t>S_suma_termico</t>
  </si>
  <si>
    <t>S_reparto_nominal</t>
  </si>
  <si>
    <t>S_reparto_termico</t>
  </si>
  <si>
    <t>relacion_nominal</t>
  </si>
  <si>
    <t>relacion_termico</t>
  </si>
  <si>
    <t>n_circuitos</t>
  </si>
  <si>
    <t>lineas_agregadas</t>
  </si>
  <si>
    <t>SubArea Antioquia</t>
  </si>
  <si>
    <t>SubArea Bogota</t>
  </si>
  <si>
    <t>BACATA - PRIMAVERA 1 500 kV</t>
  </si>
  <si>
    <t>SubArea CQR</t>
  </si>
  <si>
    <t>ANCON SUR (ISA) - ESMERALDA 1 230 kV; ANCON SUR (ISA) - ESMERALDA 2 230 kV; SAN CARLOS - ESMERALDA 1 230 kV; SAN CARLOS - ESMERALDA 2 230 kV; LA SIERRA (ANTIOQUIA) - PURNIO 2 230 kV; LA SIERRA (ANTIOQUIA) - PURNIO 1 230 kV; LA VIRGINIA - SAN CARLOS 1 500 kV; PURNIO - SAN CARLOS 1 230 kV; PURNIO - SAN CARLOS 2 230 kV; HELICONIA - LA VIRGINIA 1 500 kV</t>
  </si>
  <si>
    <t>SubArea Cerromatoso</t>
  </si>
  <si>
    <t>CERROMATOSO - PORCE III 1 500 kV; ANTIOQUIA - CERROMATOSO 1 500 kV; ANTIOQUIA - CERROMATOSO 2 500 kV; CERROMATOSO - PRIMAVERA 1 500 kV</t>
  </si>
  <si>
    <t>SubArea Santander</t>
  </si>
  <si>
    <t>COMUNEROS - PRIMAVERA 1 230 kV; COMUNEROS - PRIMAVERA 2 230 kV; PORCE III - SOGAMOSO 1 500 kV; GUATIGUARA - PRIMAVERA 1 230 kV; PRIMAVERA - SOGAMOSO 1 500 kV</t>
  </si>
  <si>
    <t>SubArea Arauca</t>
  </si>
  <si>
    <t>LOS PALOS - TOLEDO 1 230 kV</t>
  </si>
  <si>
    <t>SubArea Atlantico</t>
  </si>
  <si>
    <t>SubArea Bolivar</t>
  </si>
  <si>
    <t>BOLIVAR - SABANALARGA 1 220 kV; BOLIVAR - SABANALARGA 2 220 kV; SABANALARGA - TERNERA 2 220 kV; BOLIVAR - SABANALARGA 1 500 kV</t>
  </si>
  <si>
    <t>SubArea Cordoba_Sucre</t>
  </si>
  <si>
    <t>CHINU - SABANALARGA 1 500 kV; CHINU - SABANALARGA 2 500 kV</t>
  </si>
  <si>
    <t>SubArea GCM</t>
  </si>
  <si>
    <t>FUNDACION - SABANALARGA 2 220 kV; FUNDACION - SABANALARGA 3 220 kV; FUNDACION - SABANALARGA 1 220 kV</t>
  </si>
  <si>
    <t>SubArea Boyaca-Casanare</t>
  </si>
  <si>
    <t>CHIVOR - SOCHAGOTA 1 230 kV; CHIVOR - SOCHAGOTA 2 230 kV</t>
  </si>
  <si>
    <t>LA MESA - SAN FELIPE 1 230 kV; LA MESA - SAN FELIPE 2 230 kV; NOROESTE - PURNIO 1 230 kV; NOROESTE - PURNIO 2 230 kV; LA VIRGINIA (500 - 230) - NUEVA ESPERANZA 1 500 kV</t>
  </si>
  <si>
    <t>SubArea Huila-Tolima</t>
  </si>
  <si>
    <t>IBAGUE - LA MESA 1 230 kV; IBAGUE - LA MESA 2 230 kV</t>
  </si>
  <si>
    <t>SubArea Meta</t>
  </si>
  <si>
    <t>GUAVIO - SURIA (DELSUR) 1 230 KV; GUAVIO - LA REFORMA 1 230 kV; LA REFORMA - TUNAL 1 230 kV; LA REFORMA - TUNAL 2 230 kV</t>
  </si>
  <si>
    <t>BOLIVAR - TOLUVIEJO 1 220 kV</t>
  </si>
  <si>
    <t>BOLIVAR - EL COPEY 1 500 kV</t>
  </si>
  <si>
    <t>GUATIGUARA - SOCHAGOTA 1 230 kV; GUATIGUARA - SOCHAGOTA 2 230 kV</t>
  </si>
  <si>
    <t>SubArea Valle</t>
  </si>
  <si>
    <t>CARTAGO - LA VIRGINIA 1 230 kV; CARTAGO - LA VIRGINIA 2 230 kV; ESMERALDA - YUMBO 2 230 kV; ESMERALDA - YUMBO 3 230 kV; LA VIRGINIA - SAN MARCOS (VALLE) 1 500 kV</t>
  </si>
  <si>
    <t>SubArea Caqueta</t>
  </si>
  <si>
    <t>SubArea Cauca-Narino</t>
  </si>
  <si>
    <t>ALTAMIRA - TESALIA 1 230 kV</t>
  </si>
  <si>
    <t>ALTAMIRA - BETANIA 1 230 kV</t>
  </si>
  <si>
    <t>SubArea Putumayo</t>
  </si>
  <si>
    <t>ALTAMIRA - RENACER 1 230 kV</t>
  </si>
  <si>
    <t>BETANIA - TESALIA 1 230 kV; BETANIA - SAN BERNARDINO 1 230 kV; BETANIA - SAN BERNARDINO 2 230 kV</t>
  </si>
  <si>
    <t>JAMONDINO - MOCOA (JUNIN) 1 230 kV</t>
  </si>
  <si>
    <t>JUANCHITO - PAEZ 1 230 kV; ALFEREZ (EEB) - SAN BERNARDINO 1 230 kV; ALFEREZ (EEB) - TESALIA 2 230 kV; ALFEREZ (EEB) - TESALIA 1 230 kV</t>
  </si>
  <si>
    <t>CERROMATOSO - CHINU 3 500 kV; CERROMATOSO - SAHAGUN 1 500 kV; CERROMATOSO - CHINU 2 500 kV</t>
  </si>
  <si>
    <t>CHINU - EL COPEY 1 500 kV</t>
  </si>
  <si>
    <t>SubArea Norte de Santander</t>
  </si>
  <si>
    <t>LA LOMA - OCAÑA 1 500 kV</t>
  </si>
  <si>
    <t>LOS PALOS - TASAJERO 1 230 kV; OCAÑA - SOGAMOSO 1 500 kV; OCAÑA - LOS PALOS 1 230 kV; GUATIGUARA - TASAJERO 1 230 kV</t>
  </si>
  <si>
    <t>Relaciones menores a 0,9</t>
  </si>
  <si>
    <t>Nota metodologica</t>
  </si>
  <si>
    <t>Nota</t>
  </si>
  <si>
    <t>Criterio internacional corregido: solo se excluyen extremos identificados como CUATRICENTENARIO, COROZO, PIMAMPIRO o POMASQUI, pertenecientes a Venezuela o Ecuador. CUESTECITAS se conserva por ser colombiana.</t>
  </si>
  <si>
    <t>S_suma = suma de las capacidades individuales calculadas con la corriente correspondiente.</t>
  </si>
  <si>
    <t>S_reparto = min_k[S_k * X_pu,k * suma_j(1/X_pu,j)], suponiendo reparto inverso a la reactancia y saturacion de la linea limitante.</t>
  </si>
  <si>
    <t>La relacion es S_reparto / S_suma para el mismo limite de corriente.</t>
  </si>
  <si>
    <t>X_eq = 1 / suma_k(1/X_pu,k). R_eq = 1 / suma_k(1/R_pu,k), usado como aproximacion para la resistencia equivalente.</t>
  </si>
  <si>
    <t>Los pares de subareas se tratan como enlaces no dirigidos y se ordenan alfabeticamente.</t>
  </si>
  <si>
    <t>Revision manual de extremos - v2</t>
  </si>
  <si>
    <t>Fuente: red_18nodos_v1.xlsx</t>
  </si>
  <si>
    <t>Filas de Revision_Manual leidas</t>
  </si>
  <si>
    <t>Asignaciones manuales completas</t>
  </si>
  <si>
    <t>GUATAPE - VARIANTE</t>
  </si>
  <si>
    <t>Se mantiene como GUATAPE - GUATAPE interna.</t>
  </si>
  <si>
    <t>Criterio internacional</t>
  </si>
  <si>
    <t>Solo extremos fuera de Colombia se excluyen.</t>
  </si>
  <si>
    <t>Asignaciones manuales</t>
  </si>
  <si>
    <t>nombre_linea</t>
  </si>
  <si>
    <t>tension</t>
  </si>
  <si>
    <t>se_desde</t>
  </si>
  <si>
    <t>se_hasta</t>
  </si>
  <si>
    <t>extremo_sin_match</t>
  </si>
  <si>
    <t>candidatos_encontrados</t>
  </si>
  <si>
    <t>subestaciones_relacionadas</t>
  </si>
  <si>
    <t>NODO_DESDE_MANUAL</t>
  </si>
  <si>
    <t>NODO_HASTA_MANUAL</t>
  </si>
  <si>
    <t>CARTAGO - LA VIRGINIA 1 230 kV</t>
  </si>
  <si>
    <t>CARTAGO</t>
  </si>
  <si>
    <t>LA VIRGINIA</t>
  </si>
  <si>
    <t>LA VIRGINIA (115); LA VIRGINIA (500 - 230)</t>
  </si>
  <si>
    <t>CARTAGO - LA VIRGINIA (500 - 230)</t>
  </si>
  <si>
    <t>LA VIRGINIA (500 - 230)</t>
  </si>
  <si>
    <t>CARTAGO - LA VIRGINIA 2 230 kV</t>
  </si>
  <si>
    <t>CERROMATOSO - PORCE III 1 500 kV</t>
  </si>
  <si>
    <t>CERROMATOSO</t>
  </si>
  <si>
    <t>PORCE III</t>
  </si>
  <si>
    <t>CERROMATOSO (230); CERROMATOSO (500 - 110)</t>
  </si>
  <si>
    <t>CERROMATOSO (500 - 110) - PORCE III</t>
  </si>
  <si>
    <t>CERROMATOSO (500 - 110)</t>
  </si>
  <si>
    <t>CERROMATOSO - CHINU 3 500 kV</t>
  </si>
  <si>
    <t>CHINU</t>
  </si>
  <si>
    <t>CERROMATOSO (500 - 110) - CHINU</t>
  </si>
  <si>
    <t>ANTIOQUIA - CERROMATOSO 1 500 kV</t>
  </si>
  <si>
    <t>ANTIOQUIA</t>
  </si>
  <si>
    <t>CERROMATOSO (500 - 110) - ANTIOQUIA</t>
  </si>
  <si>
    <t>ANTIOQUIA - CERROMATOSO 2 500 kV</t>
  </si>
  <si>
    <t>CERROMATOSO - SAHAGUN 1 500 kV</t>
  </si>
  <si>
    <t>SAHAGUN</t>
  </si>
  <si>
    <t>CERROMATOSO (500 - 110) - SAHAGUN</t>
  </si>
  <si>
    <t>CERROMATOSO - CHINU 2 500 kV</t>
  </si>
  <si>
    <t>CERROMATOSO - PRIMAVERA 1 500 kV</t>
  </si>
  <si>
    <t>PRIMAVERA</t>
  </si>
  <si>
    <t>CERROMATOSO (500 - 110) - PRIMAVERA</t>
  </si>
  <si>
    <t>ESMERALDA - LA VIRGINIA 2 230 kV</t>
  </si>
  <si>
    <t>ESMERALDA</t>
  </si>
  <si>
    <t>ESMERALDA - LA VIRGINIA (500 - 230)</t>
  </si>
  <si>
    <t>ESMERALDA - LA VIRGINIA 1 230 kV</t>
  </si>
  <si>
    <t>GUATAPE - VARIANTE 2 230 kV</t>
  </si>
  <si>
    <t>GUATAPE</t>
  </si>
  <si>
    <t>VARIANTE</t>
  </si>
  <si>
    <t>GUATAPE - GUATAPE</t>
  </si>
  <si>
    <t>GUATAPE - VARIANTE 1 230 kV</t>
  </si>
  <si>
    <t>ARMENIA - LA VIRGINIA 1 230 kV</t>
  </si>
  <si>
    <t>ARMENIA</t>
  </si>
  <si>
    <t>LA VIRGINIA (500 - 230) - ARMENIA</t>
  </si>
  <si>
    <t>NOROESTE - PURNIO 1 230 kV</t>
  </si>
  <si>
    <t>NOROESTE</t>
  </si>
  <si>
    <t>PURNIO</t>
  </si>
  <si>
    <t>PURNIO (115); PURNIO (230)</t>
  </si>
  <si>
    <t>NOROESTE - PURNIO (230)</t>
  </si>
  <si>
    <t>PURNIO (230)</t>
  </si>
  <si>
    <t>NOROESTE - PURNIO 2 230 kV</t>
  </si>
  <si>
    <t>MIEL I - PURNIO 1 230 kV</t>
  </si>
  <si>
    <t>MIEL I</t>
  </si>
  <si>
    <t>PURNIO (230) - MIEL I</t>
  </si>
  <si>
    <t>MIEL I - PURNIO 2 230 kV</t>
  </si>
  <si>
    <t>LA SIERRA (ANTIOQUIA) - PURNIO 2 230 kV</t>
  </si>
  <si>
    <t>LA SIERRA (ANTIOQUIA)</t>
  </si>
  <si>
    <t>PURNIO (230) - LA SIERRA (ANTIOQUIA)</t>
  </si>
  <si>
    <t>LA SIERRA (ANTIOQUIA) - PURNIO 1 230 kV</t>
  </si>
  <si>
    <t>LA VIRGINIA - SAN CARLOS 1 500 kV</t>
  </si>
  <si>
    <t>SAN CARLOS</t>
  </si>
  <si>
    <t>SAN CARLOS - LA VIRGINIA (500 - 230)</t>
  </si>
  <si>
    <t>PURNIO - SAN CARLOS 1 230 kV</t>
  </si>
  <si>
    <t>SAN CARLOS - PURNIO (230)</t>
  </si>
  <si>
    <t>PURNIO - SAN CARLOS 2 230 kV</t>
  </si>
  <si>
    <t>LA VIRGINIA - SAN MARCOS (VALLE) 1 500 kV</t>
  </si>
  <si>
    <t>SAN MARCOS (VALLE)</t>
  </si>
  <si>
    <t>SAN MARCOS (VALLE) - LA VIRGINIA (500 - 230)</t>
  </si>
  <si>
    <t>CERROMATOSO - URRA 1 230 kV</t>
  </si>
  <si>
    <t>URRA</t>
  </si>
  <si>
    <t>URRA - CERROMATOSO (230)</t>
  </si>
  <si>
    <t>CERROMATOSO (230)</t>
  </si>
  <si>
    <t>CERROMATOSO - URRA 2 230 kV</t>
  </si>
  <si>
    <t>LA VIRGINIA (500 - 230) - NUEVA ESPERANZA 1 500 kV</t>
  </si>
  <si>
    <t>NUEVA ESPERANZA</t>
  </si>
  <si>
    <t>NUEVA ESPERANZA - LA VIRGINIA (500 - 230)</t>
  </si>
  <si>
    <t>HELICONIA - LA VIRGINIA 1 500 kV</t>
  </si>
  <si>
    <t>HELICONIA</t>
  </si>
  <si>
    <t>HELICONIA - LA VIRGINIA (500 - 230)</t>
  </si>
  <si>
    <t>ALFEREZ - JUANCHITO 1 230 kV</t>
  </si>
  <si>
    <t>ALFEREZ</t>
  </si>
  <si>
    <t>JUANCHITO</t>
  </si>
  <si>
    <t>ALFEREZ (EEB); ALFEREZ II</t>
  </si>
  <si>
    <t>ALFEREZ (EEB) - JUANCHITO</t>
  </si>
  <si>
    <t>ALFEREZ II</t>
  </si>
  <si>
    <t>ALFEREZ - PANCE 1 230 kV</t>
  </si>
  <si>
    <t>PANCE</t>
  </si>
  <si>
    <t>ALFEREZ (EEB) - PANCE</t>
  </si>
  <si>
    <t>ALFEREZ - SAN MARCOS (VALLE) 1 500 kV</t>
  </si>
  <si>
    <t>ALFEREZ (EEB) - SAN MARCOS (VALLE)</t>
  </si>
  <si>
    <t>ALFEREZ (EEB)</t>
  </si>
  <si>
    <t>Lineas internas a una subarea - v2</t>
  </si>
  <si>
    <t>CUESTECITAS reincorporadas como internas</t>
  </si>
  <si>
    <t>Dos lineas internas GUATAPE - GUATAPE</t>
  </si>
  <si>
    <t>Detalle</t>
  </si>
  <si>
    <t>fila_fuente</t>
  </si>
  <si>
    <t>subarea</t>
  </si>
  <si>
    <t>fuente_asignacion</t>
  </si>
  <si>
    <t>ALTO ANCHICAYA - PANCE 1 230 kV</t>
  </si>
  <si>
    <t>ALTO ANCHICAYA</t>
  </si>
  <si>
    <t>Nombre exacto</t>
  </si>
  <si>
    <t>ALTO ANCHICAYA - PANCE</t>
  </si>
  <si>
    <t>ALTO ANCHICAYA - YUMBO 1 230 kV</t>
  </si>
  <si>
    <t>YUMBO</t>
  </si>
  <si>
    <t>ALTO ANCHICAYA - YUMBO</t>
  </si>
  <si>
    <t>ANCON SUR (EPM) - HELICONIA 2 230 kV</t>
  </si>
  <si>
    <t>ANCON SUR (EPM)</t>
  </si>
  <si>
    <t>ANCON SUR (EPM) - HELICONIA</t>
  </si>
  <si>
    <t>ANCON SUR (EPM) - GUAYABAL 1 220 kV</t>
  </si>
  <si>
    <t>GUAYABAL</t>
  </si>
  <si>
    <t>ANCON SUR (EPM) - GUAYABAL</t>
  </si>
  <si>
    <t>ANCON SUR (EPM) - HELICONIA 1 230 KV</t>
  </si>
  <si>
    <t>ANCON SUR (EPM) - MEDELLIN</t>
  </si>
  <si>
    <t>ANCON SUR (EPM) - MIRAFLORES 1 220 kV</t>
  </si>
  <si>
    <t>MIRAFLORES</t>
  </si>
  <si>
    <t>ANCON SUR (EPM) - MIRAFLORES</t>
  </si>
  <si>
    <t>ANCON SUR (EPM) - ANCON SUR (ISA) 1 220 kV</t>
  </si>
  <si>
    <t>ANCON SUR (ISA)</t>
  </si>
  <si>
    <t>ANCON SUR (ISA) - ANCON SUR (EPM)</t>
  </si>
  <si>
    <t>ANCON SUR (EPM) - ANCON SUR (ISA) 2 220 kV</t>
  </si>
  <si>
    <t>ANCON SUR (ISA) - SAN CARLOS 1 230 kV</t>
  </si>
  <si>
    <t>ANCON SUR (ISA) - SAN CARLOS</t>
  </si>
  <si>
    <t>ANCON SUR (ISA) - SAN CARLOS 2 230 kV</t>
  </si>
  <si>
    <t>BACATA - NUEVA ESPERANZA 1 500 kV</t>
  </si>
  <si>
    <t>BACATA</t>
  </si>
  <si>
    <t>BACATA - NUEVA ESPERANZA</t>
  </si>
  <si>
    <t>BACATA - NOROESTE 1 230 kV</t>
  </si>
  <si>
    <t>BACATA - NOROESTE</t>
  </si>
  <si>
    <t>BACATA - NOROESTE 2 230 kV</t>
  </si>
  <si>
    <t>BACATA - TORCA 1 230 kV</t>
  </si>
  <si>
    <t>TORCA</t>
  </si>
  <si>
    <t>BACATA - TORCA</t>
  </si>
  <si>
    <t>BACATA - TORCA 2 230 kV</t>
  </si>
  <si>
    <t>BALSILLAS - LA MESA 1 230 kV</t>
  </si>
  <si>
    <t>BALSILLAS</t>
  </si>
  <si>
    <t>LA MESA</t>
  </si>
  <si>
    <t>BALSILLAS - LA MESA</t>
  </si>
  <si>
    <t>BALSILLAS - NOROESTE 1 230 kV</t>
  </si>
  <si>
    <t>BALSILLAS - NOROESTE</t>
  </si>
  <si>
    <t>BANADIA - SAMORE 1 230 kV</t>
  </si>
  <si>
    <t>BANADIA</t>
  </si>
  <si>
    <t>SAMORE</t>
  </si>
  <si>
    <t>BANADIA - SAMORE</t>
  </si>
  <si>
    <t>BANADIA - CAÑO LIMON 1 230 kV</t>
  </si>
  <si>
    <t>CAÑO LIMON</t>
  </si>
  <si>
    <t>BANADIA - CAÑO LIMON</t>
  </si>
  <si>
    <t>BARBOSA (ANTIOQUIA) - MIRAFLORES 1 220 kV</t>
  </si>
  <si>
    <t>BARBOSA (ANTIOQUIA)</t>
  </si>
  <si>
    <t>BARBOSA (ANTIOQUIA) - MIRAFLORES</t>
  </si>
  <si>
    <t>BARBOSA (ANTIOQUIA) - LA TASAJERA 1 220 kV</t>
  </si>
  <si>
    <t>LA TASAJERA</t>
  </si>
  <si>
    <t>BARBOSA (ANTIOQUIA) - LA TASAJERA</t>
  </si>
  <si>
    <t>BARBOSA (ANTIOQUIA) - PORCE II (EEPPM) 1 220 kV</t>
  </si>
  <si>
    <t>PORCE II (EEPPM)</t>
  </si>
  <si>
    <t>BARBOSA (ANTIOQUIA) - PORCE II (EEPPM)</t>
  </si>
  <si>
    <t>BARBOSA (ANTIOQUIA) - GUATAPE 1 220 kV</t>
  </si>
  <si>
    <t>BARBOSA (ANTIOQUIA) - GUATAPE</t>
  </si>
  <si>
    <t>BARBOSA (ANTIOQUIA) - GUADALUPE IV 1 220 kV</t>
  </si>
  <si>
    <t>GUADALUPE IV</t>
  </si>
  <si>
    <t>BARBOSA (ANTIOQUIA) - GUADALUPE IV</t>
  </si>
  <si>
    <t>BARBOSA (ANTIOQUIA) - EL SALTO (EPM) 1 220 kV</t>
  </si>
  <si>
    <t>EL SALTO (EPM)</t>
  </si>
  <si>
    <t>BARBOSA (ANTIOQUIA) - EL SALTO (EPM)</t>
  </si>
  <si>
    <t>BELEN (CUCUTA) - TASAJERO 1 230 kV</t>
  </si>
  <si>
    <t>BELEN (CUCUTA)</t>
  </si>
  <si>
    <t>TASAJERO</t>
  </si>
  <si>
    <t>BELEN (CUCUTA) - TASAJERO</t>
  </si>
  <si>
    <t>BELEN (CUCUTA) - SAN MATEO (CUCUTA) 1 230 kV</t>
  </si>
  <si>
    <t>SAN MATEO (CUCUTA)</t>
  </si>
  <si>
    <t>BELEN (CUCUTA) - SAN MATEO (CUCUTA)</t>
  </si>
  <si>
    <t>BELLO - LA TASAJERA 1 220 kV</t>
  </si>
  <si>
    <t>BELLO</t>
  </si>
  <si>
    <t>BELLO - LA TASAJERA</t>
  </si>
  <si>
    <t>BELLO - EL SALTO (EPM) 1 220 kV</t>
  </si>
  <si>
    <t>BELLO - EL SALTO (EPM)</t>
  </si>
  <si>
    <t>BELLO - GUAYABAL 1 220 kV</t>
  </si>
  <si>
    <t>BELLO - GUAYABAL</t>
  </si>
  <si>
    <t>BETANIA - IBAGUE 1 230 kV</t>
  </si>
  <si>
    <t>BETANIA</t>
  </si>
  <si>
    <t>IBAGUE</t>
  </si>
  <si>
    <t>BETANIA - IBAGUE</t>
  </si>
  <si>
    <t>BETANIA - TULUNI 1 230 kV</t>
  </si>
  <si>
    <t>TULUNI</t>
  </si>
  <si>
    <t>BETANIA - TULUNI</t>
  </si>
  <si>
    <t>BOLIVAR - EL BOSQUE 1 220 kV</t>
  </si>
  <si>
    <t>BOLIVAR</t>
  </si>
  <si>
    <t>EL BOSQUE</t>
  </si>
  <si>
    <t>BOLIVAR - EL BOSQUE</t>
  </si>
  <si>
    <t>BUCARAMANGA - SOGAMOSO 1 230 kV</t>
  </si>
  <si>
    <t>BUCARAMANGA</t>
  </si>
  <si>
    <t>SOGAMOSO</t>
  </si>
  <si>
    <t>BUCARAMANGA - SOGAMOSO</t>
  </si>
  <si>
    <t>BUCARAMANGA - GUATIGUARA 1 230 kV</t>
  </si>
  <si>
    <t>GUATIGUARA</t>
  </si>
  <si>
    <t>BUCARAMANGA - GUATIGUARA</t>
  </si>
  <si>
    <t>BUCARAMANGA - LOS PALOS 1 230 kV</t>
  </si>
  <si>
    <t>LOS PALOS</t>
  </si>
  <si>
    <t>BUCARAMANGA - LOS PALOS</t>
  </si>
  <si>
    <t>BOLIVAR - CARTAGENA 2 220 kV</t>
  </si>
  <si>
    <t>CARTAGENA</t>
  </si>
  <si>
    <t>CARTAGENA - BOLIVAR</t>
  </si>
  <si>
    <t>CARTAGENA - TERMOCANDELARIA 2 220 kV</t>
  </si>
  <si>
    <t>TERMOCANDELARIA</t>
  </si>
  <si>
    <t>CARTAGENA - TERMOCANDELARIA</t>
  </si>
  <si>
    <t>CARTAGENA - TERMOCANDELARIA 1 220 kV</t>
  </si>
  <si>
    <t>BOLIVAR - CARTAGENA 1 220 kV</t>
  </si>
  <si>
    <t>CARTAGO - SAN MARCOS (VALLE) 1 230 kV</t>
  </si>
  <si>
    <t>CARTAGO - SAN MARCOS (VALLE)</t>
  </si>
  <si>
    <t>CARTAGO - SAN MARCOS (VALLE) 2 230 kV</t>
  </si>
  <si>
    <t>CHINU - SAHAGUN 1 500 kV</t>
  </si>
  <si>
    <t>CHINU - SAHAGUN</t>
  </si>
  <si>
    <t>CHINU - TOLUVIEJO 1 230 kV</t>
  </si>
  <si>
    <t>TOLUVIEJO</t>
  </si>
  <si>
    <t>CHINU - TOLUVIEJO</t>
  </si>
  <si>
    <t>CHINU - MONTERIA (ISA) 1 230 kV</t>
  </si>
  <si>
    <t>MONTERIA (ISA)</t>
  </si>
  <si>
    <t>CHINU - MONTERIA 230 KV</t>
  </si>
  <si>
    <t>CHIVOR - GUAVIO 2 230 kV</t>
  </si>
  <si>
    <t>CHIVOR</t>
  </si>
  <si>
    <t>GUAVIO</t>
  </si>
  <si>
    <t>CHIVOR - GUAVIO</t>
  </si>
  <si>
    <t>CHIVOR - GUAVIO 1 230 kV</t>
  </si>
  <si>
    <t>CHIVOR - TORCA 1 230 kV</t>
  </si>
  <si>
    <t>CHIVOR - TORCA</t>
  </si>
  <si>
    <t>CHIVOR - TORCA 2 230 kV</t>
  </si>
  <si>
    <t>CIRCO - GUAVIO 1 230 kV</t>
  </si>
  <si>
    <t>CIRCO</t>
  </si>
  <si>
    <t>CIRCO - GUAVIO</t>
  </si>
  <si>
    <t>CIRCO - GUAVIO 2 230 kV</t>
  </si>
  <si>
    <t>CIRCO - NUEVA ESPERANZA 1 230 kV</t>
  </si>
  <si>
    <t>CIRCO - NUEVA ESPERANZA</t>
  </si>
  <si>
    <t>CIRCO - TUNAL 1 230 kV</t>
  </si>
  <si>
    <t>TUNAL</t>
  </si>
  <si>
    <t>CIRCO - TUNAL</t>
  </si>
  <si>
    <t>BARRANCA - COMUNEROS 1 230 kV</t>
  </si>
  <si>
    <t>BARRANCA</t>
  </si>
  <si>
    <t>COMUNEROS</t>
  </si>
  <si>
    <t>COMUNEROS - BARRANCA</t>
  </si>
  <si>
    <t>COMUNEROS - GUATIGUARA 1 230 kV</t>
  </si>
  <si>
    <t>COMUNEROS - GUATIGUARA</t>
  </si>
  <si>
    <t>CUESTECITAS - GUAJIRA 1 220 kV</t>
  </si>
  <si>
    <t>CUESTECITAS</t>
  </si>
  <si>
    <t>GUAJIRA</t>
  </si>
  <si>
    <t>CUESTECITAS - GUAJIRA</t>
  </si>
  <si>
    <t>CUESTECITAS - GUAJIRA 2 220 kV</t>
  </si>
  <si>
    <t>CUESTECITAS - SAN JUAN (GEB) 1 220 kV</t>
  </si>
  <si>
    <t>SAN JUAN (GEB)</t>
  </si>
  <si>
    <t>CUESTECITAS - SAN JUAN (SAMPI)</t>
  </si>
  <si>
    <t>CUESTECITAS - NUEVA CUESTECITAS 2 220 kV</t>
  </si>
  <si>
    <t>NUEVA CUESTECITAS</t>
  </si>
  <si>
    <t>CUESTECITAS - NUEVA CUESTECITAS</t>
  </si>
  <si>
    <t>CUESTECITAS - NUEVA CUESTECITAS 1 220 kV</t>
  </si>
  <si>
    <t>EL COPEY - LA LOMA 1 500 kV</t>
  </si>
  <si>
    <t>EL COPEY</t>
  </si>
  <si>
    <t>LA LOMA</t>
  </si>
  <si>
    <t>EL COPEY - LA LOMA</t>
  </si>
  <si>
    <t>EL COPEY - NUEVA CUESTECITAS 2 500 kV</t>
  </si>
  <si>
    <t>EL COPEY - NUEVA CUESTECITAS</t>
  </si>
  <si>
    <t>EL COPEY - NUEVA CUESTECITAS 1 500 kV</t>
  </si>
  <si>
    <t>EL COPEY - FUNDACION 1 220 kV</t>
  </si>
  <si>
    <t>FUNDACION</t>
  </si>
  <si>
    <t>EL COPEY - FUNDACION</t>
  </si>
  <si>
    <t>EL COPEY - VALLEDUPAR 1 220 kV</t>
  </si>
  <si>
    <t>VALLEDUPAR</t>
  </si>
  <si>
    <t>EL COPEY - VALLEDUPAR</t>
  </si>
  <si>
    <t>EL COPEY - FUNDACION 2 220 kV</t>
  </si>
  <si>
    <t>EL COPEY - VALLEDUPAR 2 220 kV</t>
  </si>
  <si>
    <t>EL SALTO (EPM) - PORCE II (EEPPM) 1 220 kV</t>
  </si>
  <si>
    <t>EL SALTO (EPM) - PORCE II (EEPPM)</t>
  </si>
  <si>
    <t>GUADALUPE IV - EL SALTO (EPM) 1 220 kV</t>
  </si>
  <si>
    <t>EL SALTO (EPM) - GUADALUPE IV</t>
  </si>
  <si>
    <t>ENVIGADO - OCCIDENTE 1 220 kV</t>
  </si>
  <si>
    <t>ENVIGADO</t>
  </si>
  <si>
    <t>OCCIDENTE</t>
  </si>
  <si>
    <t>ENVIGADO - OCCIDENTE</t>
  </si>
  <si>
    <t>ENVIGADO - GUATAPE 1 220 kV</t>
  </si>
  <si>
    <t>ENVIGADO - GUATAPE</t>
  </si>
  <si>
    <t>ENVIGADO - ORIENTE 1 220 kV</t>
  </si>
  <si>
    <t>ORIENTE</t>
  </si>
  <si>
    <t>ENVIGADO - ORIENTE</t>
  </si>
  <si>
    <t>ESMERALDA - LA ENEA 1 230 kV</t>
  </si>
  <si>
    <t>LA ENEA</t>
  </si>
  <si>
    <t>ESMERALDA - LA ENEA</t>
  </si>
  <si>
    <t>ESMERALDA - LA ENEA 2 230 kV</t>
  </si>
  <si>
    <t>Revision_Manual</t>
  </si>
  <si>
    <t>ESMERALDA - LA HERMOSA 1 230 kV</t>
  </si>
  <si>
    <t>LA HERMOSA</t>
  </si>
  <si>
    <t>ESMERALDA - LA HERMOSA</t>
  </si>
  <si>
    <t>ESMERALDA - LA HERMOSA 2 230 kV</t>
  </si>
  <si>
    <t>FUNDACION - RIO CORDOBA 1 220 kV</t>
  </si>
  <si>
    <t>RIO CORDOBA</t>
  </si>
  <si>
    <t>FUNDACION - RIO CORDOBA</t>
  </si>
  <si>
    <t>FUNDACION - RIO CORDOBA 2 220 kV</t>
  </si>
  <si>
    <t>GUADALUPE IV - OCCIDENTE 1 220 kV</t>
  </si>
  <si>
    <t>GUADALUPE IV - OCCIDENTE</t>
  </si>
  <si>
    <t>GUADALUPE IV - PORCE II (EEPPM) 1 220 kV</t>
  </si>
  <si>
    <t>GUADALUPE IV - PORCE II (EEPPM)</t>
  </si>
  <si>
    <t>GUAJIRA - SANTA MARTA 2 220 kV</t>
  </si>
  <si>
    <t>SANTA MARTA</t>
  </si>
  <si>
    <t>GUAJIRA - SANTA MARTA</t>
  </si>
  <si>
    <t>GUAJIRA - TERMOCOL 1 220 kV</t>
  </si>
  <si>
    <t>TERMOCOL</t>
  </si>
  <si>
    <t>GUAJIRA - TERMOCOL</t>
  </si>
  <si>
    <t>GUATAPE - PLAYAS 1 220 kV</t>
  </si>
  <si>
    <t>PLAYAS</t>
  </si>
  <si>
    <t>GUATAPE - PLAYAS</t>
  </si>
  <si>
    <t>GUATAPE - SAN CARLOS 1 230 kV</t>
  </si>
  <si>
    <t>GUATAPE - SAN CARLOS</t>
  </si>
  <si>
    <t>GUATAPE_VARIANTE_EXPLICITA</t>
  </si>
  <si>
    <t>GUATAPE - SAN CARLOS 2 230 kV</t>
  </si>
  <si>
    <t>GUATAPE - ORIENTE 1 220 kV</t>
  </si>
  <si>
    <t>GUATAPE - ORIENTE</t>
  </si>
  <si>
    <t>GUATAPE - MIRAFLORES 1 220 kV</t>
  </si>
  <si>
    <t>GUATAPE - MIRAFLORES</t>
  </si>
  <si>
    <t>GUATAPE - JAGUAS 2 230 kV</t>
  </si>
  <si>
    <t>JAGUAS</t>
  </si>
  <si>
    <t>GUATAPE - JAGUAS</t>
  </si>
  <si>
    <t>GUATAPE - JAGUAS 1 230 kV</t>
  </si>
  <si>
    <t>GUAVIO - NUEVA ESPERANZA 1 230 kV</t>
  </si>
  <si>
    <t>GUAVIO - NUEVA ESPERANZA</t>
  </si>
  <si>
    <t>GUAVIO - TORCA 1 230 kV</t>
  </si>
  <si>
    <t>GUAVIO - TORCA</t>
  </si>
  <si>
    <t>GUAVIO - TORCA 2 230 kV</t>
  </si>
  <si>
    <t>JAGUAS - MALENA 1 230 kV</t>
  </si>
  <si>
    <t>MALENA</t>
  </si>
  <si>
    <t>JAGUAS - MALENA</t>
  </si>
  <si>
    <t>JAMONDINO - TESALIA 1 230 kV</t>
  </si>
  <si>
    <t>JAMONDINO</t>
  </si>
  <si>
    <t>TESALIA</t>
  </si>
  <si>
    <t>JAMONDINO - TESALIA</t>
  </si>
  <si>
    <t>JAMONDINO - SAN BERNARDINO 1 230 kV</t>
  </si>
  <si>
    <t>SAN BERNARDINO</t>
  </si>
  <si>
    <t>JAMONDINO - SAN BERNARDINO</t>
  </si>
  <si>
    <t>JAMONDINO - SAN BERNARDINO 2 230 kV</t>
  </si>
  <si>
    <t>JUANCHITO - SALVAJINA 1 230 kV</t>
  </si>
  <si>
    <t>SALVAJINA</t>
  </si>
  <si>
    <t>JUANCHITO - SALVAJINA</t>
  </si>
  <si>
    <t>JUANCHITO - SAN MARCOS (VALLE) 1 230 kV</t>
  </si>
  <si>
    <t>JUANCHITO - SAN MARCOS (VALLE)</t>
  </si>
  <si>
    <t>LA ENEA - SAN FELIPE 1 230 kV</t>
  </si>
  <si>
    <t>SAN FELIPE</t>
  </si>
  <si>
    <t>LA ENEA - SAN FELIPE</t>
  </si>
  <si>
    <t>LA ENEA - SAN FELIPE 2 230 kV</t>
  </si>
  <si>
    <t>LA GUACA - LA MESA 1 230 kV</t>
  </si>
  <si>
    <t>LA GUACA</t>
  </si>
  <si>
    <t>LA GUACA - LA MESA</t>
  </si>
  <si>
    <t>LA GUACA - LA MESA 2 230 kV</t>
  </si>
  <si>
    <t>LA GUACA - PARAISO 1 230 kV</t>
  </si>
  <si>
    <t>PARAISO</t>
  </si>
  <si>
    <t>LA GUACA - PARAISO</t>
  </si>
  <si>
    <t>LA GUACA - PARAISO 2 230 kV</t>
  </si>
  <si>
    <t>ARMENIA - LA HERMOSA 1 230 kV</t>
  </si>
  <si>
    <t>LA HERMOSA - ARMENIA</t>
  </si>
  <si>
    <t>LA MESA - NOROESTE 1 230 kV</t>
  </si>
  <si>
    <t>LA MESA - NOROESTE</t>
  </si>
  <si>
    <t>LA REFORMA - SURIA (DELSUR) 1 230 KV</t>
  </si>
  <si>
    <t>LA REFORMA</t>
  </si>
  <si>
    <t>SURIA (DELSUR)</t>
  </si>
  <si>
    <t>LA REFORMA - SURIA (DELSUR)</t>
  </si>
  <si>
    <t>LA TASAJERA - OCCIDENTE 1 220 kV</t>
  </si>
  <si>
    <t>LA TASAJERA - OCCIDENTE</t>
  </si>
  <si>
    <t>GUATIGUARA - LOS PALOS 1 230 kV</t>
  </si>
  <si>
    <t>LOS PALOS - GUATIGUARA</t>
  </si>
  <si>
    <t>MALENA - PRIMAVERA 1 230 kV</t>
  </si>
  <si>
    <t>MALENA - PRIMAVERA</t>
  </si>
  <si>
    <t>ANTIOQUIA - HELICONIA 1 500 KV</t>
  </si>
  <si>
    <t>MEDELLIN - ANTIOQUIA</t>
  </si>
  <si>
    <t>MOCOA (JUNIN) - RENACER 1 230 KV</t>
  </si>
  <si>
    <t>MOCOA (JUNIN)</t>
  </si>
  <si>
    <t>RENACER</t>
  </si>
  <si>
    <t>MOCOA (JUNIN) - RENACER</t>
  </si>
  <si>
    <t>CARACOLI - NUEVA BARRANQUILLA 1 220 kV</t>
  </si>
  <si>
    <t>CARACOLI</t>
  </si>
  <si>
    <t>NUEVA BARRANQUILLA</t>
  </si>
  <si>
    <t>NUEVA BARRANQUILLA - CARACOLI</t>
  </si>
  <si>
    <t>TERMOFLORES - NUEVA BARRANQUILLA 1 220 kV</t>
  </si>
  <si>
    <t>TERMOFLORES</t>
  </si>
  <si>
    <t>NUEVA BARRANQUILLA - TERMOFLORES</t>
  </si>
  <si>
    <t>TERMOFLORES - NUEVA BARRANQUILLA 2 220 kV</t>
  </si>
  <si>
    <t>SAN MATEO (CUCUTA) - OCAÑA 1 230 kV</t>
  </si>
  <si>
    <t>OCAÑA</t>
  </si>
  <si>
    <t>OCAÑA - SAN MATEO (CUCUTA)</t>
  </si>
  <si>
    <t>HELICONIA - OCCIDENTE 1 230 KV</t>
  </si>
  <si>
    <t>OCCIDENTE - MEDELLIN</t>
  </si>
  <si>
    <t>ORIENTE - PLAYAS 1 220 kV</t>
  </si>
  <si>
    <t>ORIENTE - PLAYAS</t>
  </si>
  <si>
    <t>PAIPA - SOCHAGOTA 2 230 kV</t>
  </si>
  <si>
    <t>PAIPA</t>
  </si>
  <si>
    <t>SOCHAGOTA</t>
  </si>
  <si>
    <t>PAIPA - SOCHAGOTA</t>
  </si>
  <si>
    <t>PAIPA - SOCHAGOTA 1 230 kV</t>
  </si>
  <si>
    <t>GUATIGUARA - PALENQUE 1 230 KV</t>
  </si>
  <si>
    <t>PALENQUE</t>
  </si>
  <si>
    <t>PALENQUE - GUATIGUARA</t>
  </si>
  <si>
    <t>GUATIGUARA - PALENQUE 2 230 KV</t>
  </si>
  <si>
    <t>PALENQUE - SOGAMOSO 1 230 KV</t>
  </si>
  <si>
    <t>PALENQUE - SOGAMOSO</t>
  </si>
  <si>
    <t>PALENQUE - SOGAMOSO 2 230 KV</t>
  </si>
  <si>
    <t>PANCE - YUMBO 1 230 kV</t>
  </si>
  <si>
    <t>PANCE - YUMBO</t>
  </si>
  <si>
    <t>PANCE - SALVAJINA 1 230 kV</t>
  </si>
  <si>
    <t>PANCE - SALVAJINA</t>
  </si>
  <si>
    <t>NUEVA ESPERANZA - PARAISO 1 230 kV</t>
  </si>
  <si>
    <t>PARAISO - NUEVA ESPERANZA</t>
  </si>
  <si>
    <t>NUEVA ESPERANZA - PARAISO 2 230 kV</t>
  </si>
  <si>
    <t>PLAYAS - PRIMAVERA 1 230 kV</t>
  </si>
  <si>
    <t>PLAYAS - PRIMAVERA</t>
  </si>
  <si>
    <t>ANTIOQUIA - PORCE III 1 500 KV</t>
  </si>
  <si>
    <t>PORCE III - ANTIOQUIA</t>
  </si>
  <si>
    <t>LA SIERRA (ANTIOQUIA) - PRIMAVERA 1 230 kV</t>
  </si>
  <si>
    <t>PRIMAVERA - LA SIERRA (ANTIOQUIA)</t>
  </si>
  <si>
    <t>NUEVA BARRANQUILLA - SABANALARGA 3 220 kV</t>
  </si>
  <si>
    <t>SABANALARGA</t>
  </si>
  <si>
    <t>SABANALARGA - NUEVA BARRANQUILLA</t>
  </si>
  <si>
    <t>NUEVA BARRANQUILLA - SABANALARGA 1 220 kV</t>
  </si>
  <si>
    <t>NUEVA BARRANQUILLA - SABANALARGA 2 220 kV</t>
  </si>
  <si>
    <t>CARACOLI - SABANALARGA 1 220 kV</t>
  </si>
  <si>
    <t>SABANALARGA - CARACOLI</t>
  </si>
  <si>
    <t>SABANALARGA - TEBSA 1 220 kV</t>
  </si>
  <si>
    <t>TEBSA</t>
  </si>
  <si>
    <t>SABANALARGA - TEBSA</t>
  </si>
  <si>
    <t>SABANALARGA - TEBSA 3 220 kV</t>
  </si>
  <si>
    <t>SABANALARGA - TEBSA 2 220 kV</t>
  </si>
  <si>
    <t>SAMORE - TOLEDO 1 230 kV</t>
  </si>
  <si>
    <t>TOLEDO</t>
  </si>
  <si>
    <t>SAMORE - TOLEDO</t>
  </si>
  <si>
    <t>PAEZ - SAN BERNARDINO 1 230 kV</t>
  </si>
  <si>
    <t>PAEZ</t>
  </si>
  <si>
    <t>SAN BERNARDINO - PAEZ</t>
  </si>
  <si>
    <t>PORCE III - SAN CARLOS 1 500 kV</t>
  </si>
  <si>
    <t>SAN CARLOS - PORCE III</t>
  </si>
  <si>
    <t>LA SIERRA (ANTIOQUIA) - SAN CARLOS 1 230 kV</t>
  </si>
  <si>
    <t>SAN CARLOS - LA SIERRA (ANTIOQUIA)</t>
  </si>
  <si>
    <t>PRIMAVERA - SAN CARLOS 1 500 kV</t>
  </si>
  <si>
    <t>SAN CARLOS - PRIMAVERA</t>
  </si>
  <si>
    <t>MIEL I - SAN FELIPE 1 230 kV</t>
  </si>
  <si>
    <t>SAN FELIPE - MIEL I</t>
  </si>
  <si>
    <t>MIEL I - SAN FELIPE 2 230 kV</t>
  </si>
  <si>
    <t>SAN MARCOS (VALLE) - YUMBO 1 230 kV</t>
  </si>
  <si>
    <t>SAN MARCOS (VALLE) - YUMBO</t>
  </si>
  <si>
    <t>SAN MATEO (BOGOTA) - TUNAL 1 230 kV</t>
  </si>
  <si>
    <t>SAN MATEO (BOGOTA)</t>
  </si>
  <si>
    <t>SAN MATEO (BOGOTA) - TUNAL</t>
  </si>
  <si>
    <t>NUEVA ESPERANZA - SAN MATEO (BOGOTA) 1 230 kV</t>
  </si>
  <si>
    <t>SAN MATEO (BOGOTA) - NUEVA ESPERANZA</t>
  </si>
  <si>
    <t>SAN MATEO (CUCUTA) - TASAJERO 1 230 kV</t>
  </si>
  <si>
    <t>SAN MATEO (CUCUTA) - TASAJERO</t>
  </si>
  <si>
    <t>RIO CORDOBA - SANTA MARTA 2 220 kV</t>
  </si>
  <si>
    <t>SANTA MARTA - RIO CORDOBA</t>
  </si>
  <si>
    <t>RIO CORDOBA - SANTA MARTA 1 220 kV</t>
  </si>
  <si>
    <t>SANTA MARTA - TERMOCOL 1 220 kV</t>
  </si>
  <si>
    <t>SANTA MARTA - TERMOCOL</t>
  </si>
  <si>
    <t>SAN ANTONIO - SOCHAGOTA 1 230 kV</t>
  </si>
  <si>
    <t>SAN ANTONIO</t>
  </si>
  <si>
    <t>SOCHAGOTA - SAN ANTONIO</t>
  </si>
  <si>
    <t>SAN ANTONIO - SOCHAGOTA 2 230 kV</t>
  </si>
  <si>
    <t>BARRANCA - SOGAMOSO 1 230 kV</t>
  </si>
  <si>
    <t>SOGAMOSO - BARRANCA</t>
  </si>
  <si>
    <t>CARACOLI - TEBSA 1 220 kV</t>
  </si>
  <si>
    <t>TEBSA - CARACOLI</t>
  </si>
  <si>
    <t>RIO CORDOBA - TERMOCOL 1 220 kV</t>
  </si>
  <si>
    <t>TERMOCOL - RIO CORDOBA</t>
  </si>
  <si>
    <t>CARACOLI - TERMOFLORES 1 220 kV</t>
  </si>
  <si>
    <t>TERMOFLORES - CARACOLI</t>
  </si>
  <si>
    <t>TERMOCANDELARIA - TERNERA 1 220 kV</t>
  </si>
  <si>
    <t>TERNERA</t>
  </si>
  <si>
    <t>TERNERA - TERMOCANDELARIA</t>
  </si>
  <si>
    <t>TERMOCANDELARIA - TERNERA 2 220 kV</t>
  </si>
  <si>
    <t>EL BOSQUE - TERNERA 1 220 kV</t>
  </si>
  <si>
    <t>TERNERA - EL BOSQUE</t>
  </si>
  <si>
    <t>URABA - URRA 1 230 kV</t>
  </si>
  <si>
    <t>URABA</t>
  </si>
  <si>
    <t>URABA - URRA</t>
  </si>
  <si>
    <t>MONTERIA (ISA) - URABA 1 230 kV</t>
  </si>
  <si>
    <t>URABA - MONTERIA 230 KV</t>
  </si>
  <si>
    <t>ALFEREZ (EEB) - YUMBO 1 230 kV</t>
  </si>
  <si>
    <t>YUMBO - ALFEREZ (EEB)</t>
  </si>
  <si>
    <t>IBAGUE - TULUNI 1 230 kV</t>
  </si>
  <si>
    <t>IBAGUE - TULUNI</t>
  </si>
  <si>
    <t>EL RIO - TERMOFLORES 1 220 kV</t>
  </si>
  <si>
    <t>EL RIO</t>
  </si>
  <si>
    <t>EL RIO - TERMOFLORES</t>
  </si>
  <si>
    <t>EL RIO - TEBSA 1 220 kV</t>
  </si>
  <si>
    <t>EL RIO - TEBSA</t>
  </si>
  <si>
    <t>SAN JUAN (GEB) - VALLEDUPAR 1 220 kV</t>
  </si>
  <si>
    <t>SAN JUAN (GEB) - VALLEDUPAR</t>
  </si>
  <si>
    <t>Conteo de subestaciones unicas por subarea - v2</t>
  </si>
  <si>
    <t>Fuente: PARATEC_Subestaciones_14-08-2026_STN.xlsx</t>
  </si>
  <si>
    <t>Conteo</t>
  </si>
  <si>
    <t>Subestaciones unicas</t>
  </si>
  <si>
    <t>Criterio</t>
  </si>
  <si>
    <t>Filas de continuacion y niveles multiples cuentan una vez por nombre.</t>
  </si>
  <si>
    <t>subarea_operativa</t>
  </si>
  <si>
    <t>n_subestaciones_unicas</t>
  </si>
  <si>
    <t>nombres_solicitados</t>
  </si>
  <si>
    <t>BANADIA; CAÑO LIMON; SAMORE; TOLEDO</t>
  </si>
  <si>
    <t>ALTAMIRA</t>
  </si>
  <si>
    <t>MOCOA (JUNIN); RENACER</t>
  </si>
  <si>
    <t>Limites de corriente y control cruzado - v2</t>
  </si>
  <si>
    <t>Lineas analizadas</t>
  </si>
  <si>
    <t>Coinciden mismo orden</t>
  </si>
  <si>
    <t>Coinciden extremos invertidos</t>
  </si>
  <si>
    <t>Coinciden ignorando orientacion</t>
  </si>
  <si>
    <t>Difieren</t>
  </si>
  <si>
    <t>No evaluables</t>
  </si>
  <si>
    <t>Termico &gt; nominal</t>
  </si>
  <si>
    <t>tension_kV</t>
  </si>
  <si>
    <t>corriente_nominal_A</t>
  </si>
  <si>
    <t>limite_termico_A</t>
  </si>
  <si>
    <t>limite_emergencia_A</t>
  </si>
  <si>
    <t>termico_sobre_nominal</t>
  </si>
  <si>
    <t>emergencia_sobre_nominal</t>
  </si>
  <si>
    <t>control_nombre_vs_relacionadas</t>
  </si>
  <si>
    <t>extremos_desde_nombre</t>
  </si>
  <si>
    <t>estado_red</t>
  </si>
  <si>
    <t>COINCIDE_ORDEN</t>
  </si>
  <si>
    <t>ALTO ANCHICAYA | PANCE</t>
  </si>
  <si>
    <t>INTERNA: DESCARTADA</t>
  </si>
  <si>
    <t>ALTO ANCHICAYA | YUMBO</t>
  </si>
  <si>
    <t>ANCON SUR (EPM) | HELICONIA</t>
  </si>
  <si>
    <t>ANCON SUR (EPM) | GUAYABAL</t>
  </si>
  <si>
    <t>DIFIERE</t>
  </si>
  <si>
    <t>ANCON SUR (EPM) | MIRAFLORES</t>
  </si>
  <si>
    <t>COINCIDE_EXTREMOS_INVERTIDOS</t>
  </si>
  <si>
    <t>ANCON SUR (EPM) | ANCON SUR (ISA)</t>
  </si>
  <si>
    <t>ANCON SUR (ISA) | SAN CARLOS</t>
  </si>
  <si>
    <t>ANCON SUR (ISA) - ESMERALDA 1 230 kV</t>
  </si>
  <si>
    <t>ANCON SUR (ISA) | ESMERALDA</t>
  </si>
  <si>
    <t>ANCON SUR (ISA) - ESMERALDA</t>
  </si>
  <si>
    <t>ENLACE ENTRE SUBAREAS</t>
  </si>
  <si>
    <t>ANCON SUR (ISA) - ESMERALDA 2 230 kV</t>
  </si>
  <si>
    <t>BACATA | PRIMAVERA</t>
  </si>
  <si>
    <t>BACATA - PRIMAVERA</t>
  </si>
  <si>
    <t>BACATA | NUEVA ESPERANZA</t>
  </si>
  <si>
    <t>BACATA | NOROESTE</t>
  </si>
  <si>
    <t>BACATA | TORCA</t>
  </si>
  <si>
    <t>BALSILLAS | LA MESA</t>
  </si>
  <si>
    <t>BALSILLAS | NOROESTE</t>
  </si>
  <si>
    <t>BANADIA | SAMORE</t>
  </si>
  <si>
    <t>BANADIA | CAÑO LIMON</t>
  </si>
  <si>
    <t>BARBOSA (ANTIOQUIA) | MIRAFLORES</t>
  </si>
  <si>
    <t>BARBOSA (ANTIOQUIA) | LA TASAJERA</t>
  </si>
  <si>
    <t>BARBOSA (ANTIOQUIA) | PORCE II (EEPPM)</t>
  </si>
  <si>
    <t>BARBOSA (ANTIOQUIA) | GUATAPE</t>
  </si>
  <si>
    <t>BARBOSA (ANTIOQUIA) | GUADALUPE IV</t>
  </si>
  <si>
    <t>BARBOSA (ANTIOQUIA) | EL SALTO (EPM)</t>
  </si>
  <si>
    <t>BELEN (CUCUTA) | TASAJERO</t>
  </si>
  <si>
    <t>BELEN (CUCUTA) | SAN MATEO (CUCUTA)</t>
  </si>
  <si>
    <t>BELLO | LA TASAJERA</t>
  </si>
  <si>
    <t>BELLO | EL SALTO (EPM)</t>
  </si>
  <si>
    <t>BELLO | GUAYABAL</t>
  </si>
  <si>
    <t>BETANIA - TESALIA 1 230 kV</t>
  </si>
  <si>
    <t>BETANIA | TESALIA</t>
  </si>
  <si>
    <t>BETANIA - TESALIA</t>
  </si>
  <si>
    <t>BETANIA - SAN BERNARDINO 1 230 kV</t>
  </si>
  <si>
    <t>BETANIA | SAN BERNARDINO</t>
  </si>
  <si>
    <t>BETANIA - SAN BERNARDINO</t>
  </si>
  <si>
    <t>BETANIA - SAN BERNARDINO 2 230 kV</t>
  </si>
  <si>
    <t>BETANIA | IBAGUE</t>
  </si>
  <si>
    <t>BETANIA | TULUNI</t>
  </si>
  <si>
    <t>BOLIVAR - SABANALARGA 1 220 kV</t>
  </si>
  <si>
    <t>BOLIVAR | SABANALARGA</t>
  </si>
  <si>
    <t>BOLIVAR - SABANALARGA</t>
  </si>
  <si>
    <t>BOLIVAR | EL BOSQUE</t>
  </si>
  <si>
    <t>BOLIVAR - SABANALARGA 2 220 kV</t>
  </si>
  <si>
    <t>BUCARAMANGA | SOGAMOSO</t>
  </si>
  <si>
    <t>BUCARAMANGA | GUATIGUARA</t>
  </si>
  <si>
    <t>BUCARAMANGA | LOS PALOS</t>
  </si>
  <si>
    <t>BOLIVAR | CARTAGENA</t>
  </si>
  <si>
    <t>CARTAGENA | TERMOCANDELARIA</t>
  </si>
  <si>
    <t>CARTAGO | LA VIRGINIA</t>
  </si>
  <si>
    <t>CARTAGO | SAN MARCOS (VALLE)</t>
  </si>
  <si>
    <t>CERROMATOSO | PORCE III</t>
  </si>
  <si>
    <t>CERROMATOSO | CHINU</t>
  </si>
  <si>
    <t>ANTIOQUIA | CERROMATOSO</t>
  </si>
  <si>
    <t>CERROMATOSO | SAHAGUN</t>
  </si>
  <si>
    <t>CERROMATOSO | PRIMAVERA</t>
  </si>
  <si>
    <t>CHINU | EL COPEY</t>
  </si>
  <si>
    <t>CHINU - EL COPEY</t>
  </si>
  <si>
    <t>CHINU - SABANALARGA 1 500 kV</t>
  </si>
  <si>
    <t>CHINU | SABANALARGA</t>
  </si>
  <si>
    <t>CHINU - SABANALARGA</t>
  </si>
  <si>
    <t>CHINU - SABANALARGA 2 500 kV</t>
  </si>
  <si>
    <t>CHINU | SAHAGUN</t>
  </si>
  <si>
    <t>CHINU | TOLUVIEJO</t>
  </si>
  <si>
    <t>CHINU | MONTERIA (ISA)</t>
  </si>
  <si>
    <t>CHIVOR | GUAVIO</t>
  </si>
  <si>
    <t>CHIVOR | TORCA</t>
  </si>
  <si>
    <t>CHIVOR - SOCHAGOTA 1 230 kV</t>
  </si>
  <si>
    <t>CHIVOR | SOCHAGOTA</t>
  </si>
  <si>
    <t>CHIVOR - SOCHAGOTA</t>
  </si>
  <si>
    <t>CHIVOR - SOCHAGOTA 2 230 kV</t>
  </si>
  <si>
    <t>CIRCO | GUAVIO</t>
  </si>
  <si>
    <t>CIRCO | NUEVA ESPERANZA</t>
  </si>
  <si>
    <t>CIRCO | TUNAL</t>
  </si>
  <si>
    <t>BARRANCA | COMUNEROS</t>
  </si>
  <si>
    <t>COMUNEROS | GUATIGUARA</t>
  </si>
  <si>
    <t>COMUNEROS - PRIMAVERA 1 230 kV</t>
  </si>
  <si>
    <t>COMUNEROS | PRIMAVERA</t>
  </si>
  <si>
    <t>COMUNEROS - PRIMAVERA</t>
  </si>
  <si>
    <t>COMUNEROS - PRIMAVERA 2 230 kV</t>
  </si>
  <si>
    <t>CUESTECITAS | GUAJIRA</t>
  </si>
  <si>
    <t>CUESTECITAS | SAN JUAN (GEB)</t>
  </si>
  <si>
    <t>CUESTECITAS | NUEVA CUESTECITAS</t>
  </si>
  <si>
    <t>EL COPEY | LA LOMA</t>
  </si>
  <si>
    <t>BOLIVAR | EL COPEY</t>
  </si>
  <si>
    <t>EL COPEY - BOLIVAR</t>
  </si>
  <si>
    <t>EL COPEY | NUEVA CUESTECITAS</t>
  </si>
  <si>
    <t>EL COPEY | FUNDACION</t>
  </si>
  <si>
    <t>EL COPEY | VALLEDUPAR</t>
  </si>
  <si>
    <t>EL SALTO (EPM) | PORCE II (EEPPM)</t>
  </si>
  <si>
    <t>GUADALUPE IV | EL SALTO (EPM)</t>
  </si>
  <si>
    <t>ENVIGADO | OCCIDENTE</t>
  </si>
  <si>
    <t>ENVIGADO | GUATAPE</t>
  </si>
  <si>
    <t>ENVIGADO | ORIENTE</t>
  </si>
  <si>
    <t>ESMERALDA | LA ENEA</t>
  </si>
  <si>
    <t>ESMERALDA | LA VIRGINIA</t>
  </si>
  <si>
    <t>ESMERALDA - YUMBO 2 230 kV</t>
  </si>
  <si>
    <t>ESMERALDA | YUMBO</t>
  </si>
  <si>
    <t>ESMERALDA - YUMBO</t>
  </si>
  <si>
    <t>SAN CARLOS - ESMERALDA 1 230 kV</t>
  </si>
  <si>
    <t>SAN CARLOS | ESMERALDA</t>
  </si>
  <si>
    <t>ESMERALDA - SAN CARLOS</t>
  </si>
  <si>
    <t>SAN CARLOS - ESMERALDA 2 230 kV</t>
  </si>
  <si>
    <t>ESMERALDA | LA HERMOSA</t>
  </si>
  <si>
    <t>ESMERALDA - YUMBO 3 230 kV</t>
  </si>
  <si>
    <t>FUNDACION - SABANALARGA 2 220 kV</t>
  </si>
  <si>
    <t>FUNDACION | SABANALARGA</t>
  </si>
  <si>
    <t>FUNDACION - SABANALARGA</t>
  </si>
  <si>
    <t>FUNDACION - SABANALARGA 3 220 kV</t>
  </si>
  <si>
    <t>FUNDACION - SABANALARGA 1 220 kV</t>
  </si>
  <si>
    <t>FUNDACION | RIO CORDOBA</t>
  </si>
  <si>
    <t>GUADALUPE IV | OCCIDENTE</t>
  </si>
  <si>
    <t>GUADALUPE IV | PORCE II (EEPPM)</t>
  </si>
  <si>
    <t>GUAJIRA | SANTA MARTA</t>
  </si>
  <si>
    <t>GUAJIRA | TERMOCOL</t>
  </si>
  <si>
    <t>GUATAPE | PLAYAS</t>
  </si>
  <si>
    <t>GUATAPE | SAN CARLOS</t>
  </si>
  <si>
    <t>GUATAPE | VARIANTE</t>
  </si>
  <si>
    <t>INTERNA: GUATAPE - GUATAPE</t>
  </si>
  <si>
    <t>GUATAPE | ORIENTE</t>
  </si>
  <si>
    <t>GUATAPE | MIRAFLORES</t>
  </si>
  <si>
    <t>GUATAPE | JAGUAS</t>
  </si>
  <si>
    <t>GUAVIO - SURIA (DELSUR) 1 230 KV</t>
  </si>
  <si>
    <t>GUAVIO | SURIA (DELSUR)</t>
  </si>
  <si>
    <t>GUAVIO - SURIA (DELSUR)</t>
  </si>
  <si>
    <t>GUAVIO | NUEVA ESPERANZA</t>
  </si>
  <si>
    <t>GUAVIO - LA REFORMA 1 230 kV</t>
  </si>
  <si>
    <t>GUAVIO | LA REFORMA</t>
  </si>
  <si>
    <t>GUAVIO - LA REFORMA</t>
  </si>
  <si>
    <t>GUAVIO | TORCA</t>
  </si>
  <si>
    <t>JAGUAS | MALENA</t>
  </si>
  <si>
    <t>JAMONDINO | MOCOA (JUNIN)</t>
  </si>
  <si>
    <t>JAMONDINO - MOCOA (JUNIN)</t>
  </si>
  <si>
    <t>JAMONDINO - PIMAMPIRO 3 230 KV</t>
  </si>
  <si>
    <t>JAMONDINO | PIMAMPIRO</t>
  </si>
  <si>
    <t>JAMONDINO - JAMONDINO</t>
  </si>
  <si>
    <t>EXCLUIDA: PIMAMPIRO</t>
  </si>
  <si>
    <t>JAMONDINO - PIMAMPIRO 4 230 KV</t>
  </si>
  <si>
    <t>JAMONDINO - PIMAMPIRO 1 230 KV</t>
  </si>
  <si>
    <t>JAMONDINO - PIMAMPIRO 2 230 KV</t>
  </si>
  <si>
    <t>JAMONDINO - PIMAMPIRO</t>
  </si>
  <si>
    <t>JAMONDINO | TESALIA</t>
  </si>
  <si>
    <t>JAMONDINO | SAN BERNARDINO</t>
  </si>
  <si>
    <t>JUANCHITO | SALVAJINA</t>
  </si>
  <si>
    <t>JUANCHITO - PAEZ 1 230 kV</t>
  </si>
  <si>
    <t>JUANCHITO | PAEZ</t>
  </si>
  <si>
    <t>JUANCHITO - PAEZ</t>
  </si>
  <si>
    <t>JUANCHITO | SAN MARCOS (VALLE)</t>
  </si>
  <si>
    <t>LA ENEA | SAN FELIPE</t>
  </si>
  <si>
    <t>LA GUACA | LA MESA</t>
  </si>
  <si>
    <t>LA GUACA | PARAISO</t>
  </si>
  <si>
    <t>ARMENIA | LA HERMOSA</t>
  </si>
  <si>
    <t>LA MESA | NOROESTE</t>
  </si>
  <si>
    <t>IBAGUE - LA MESA 1 230 kV</t>
  </si>
  <si>
    <t>IBAGUE | LA MESA</t>
  </si>
  <si>
    <t>LA MESA - IBAGUE</t>
  </si>
  <si>
    <t>IBAGUE - LA MESA 2 230 kV</t>
  </si>
  <si>
    <t>LA MESA - SAN FELIPE 1 230 kV</t>
  </si>
  <si>
    <t>LA MESA | SAN FELIPE</t>
  </si>
  <si>
    <t>LA MESA - SAN FELIPE</t>
  </si>
  <si>
    <t>LA MESA - SAN FELIPE 2 230 kV</t>
  </si>
  <si>
    <t>LA REFORMA | SURIA (DELSUR)</t>
  </si>
  <si>
    <t>LA TASAJERA | OCCIDENTE</t>
  </si>
  <si>
    <t>ARMENIA | LA VIRGINIA</t>
  </si>
  <si>
    <t>GUATIGUARA | LOS PALOS</t>
  </si>
  <si>
    <t>LOS PALOS - TASAJERO 1 230 kV</t>
  </si>
  <si>
    <t>LOS PALOS | TASAJERO</t>
  </si>
  <si>
    <t>LOS PALOS - TASAJERO</t>
  </si>
  <si>
    <t>LOS PALOS | TOLEDO</t>
  </si>
  <si>
    <t>LOS PALOS - TOLEDO</t>
  </si>
  <si>
    <t>MALENA | PRIMAVERA</t>
  </si>
  <si>
    <t>ANTIOQUIA | HELICONIA</t>
  </si>
  <si>
    <t>MOCOA (JUNIN) | RENACER</t>
  </si>
  <si>
    <t>NOROESTE | PURNIO</t>
  </si>
  <si>
    <t>CARACOLI | NUEVA BARRANQUILLA</t>
  </si>
  <si>
    <t>TERMOFLORES | NUEVA BARRANQUILLA</t>
  </si>
  <si>
    <t>LA LOMA | OCAÑA</t>
  </si>
  <si>
    <t>OCAÑA - LA LOMA</t>
  </si>
  <si>
    <t>OCAÑA - SOGAMOSO 1 500 kV</t>
  </si>
  <si>
    <t>OCAÑA | SOGAMOSO</t>
  </si>
  <si>
    <t>OCAÑA - SOGAMOSO</t>
  </si>
  <si>
    <t>SAN MATEO (CUCUTA) | OCAÑA</t>
  </si>
  <si>
    <t>OCAÑA - LOS PALOS 1 230 kV</t>
  </si>
  <si>
    <t>OCAÑA | LOS PALOS</t>
  </si>
  <si>
    <t>OCAÑA - LOS PALOS</t>
  </si>
  <si>
    <t>HELICONIA | OCCIDENTE</t>
  </si>
  <si>
    <t>ORIENTE | PLAYAS</t>
  </si>
  <si>
    <t>PAIPA | SOCHAGOTA</t>
  </si>
  <si>
    <t>GUATIGUARA | PALENQUE</t>
  </si>
  <si>
    <t>PALENQUE | SOGAMOSO</t>
  </si>
  <si>
    <t>PANCE | YUMBO</t>
  </si>
  <si>
    <t>PANCE | SALVAJINA</t>
  </si>
  <si>
    <t>NUEVA ESPERANZA | PARAISO</t>
  </si>
  <si>
    <t>PLAYAS | PRIMAVERA</t>
  </si>
  <si>
    <t>ANTIOQUIA | PORCE III</t>
  </si>
  <si>
    <t>PORCE III - SOGAMOSO 1 500 kV</t>
  </si>
  <si>
    <t>PORCE III | SOGAMOSO</t>
  </si>
  <si>
    <t>PORCE III - SOGAMOSO</t>
  </si>
  <si>
    <t>GUATIGUARA - PRIMAVERA 1 230 kV</t>
  </si>
  <si>
    <t>GUATIGUARA | PRIMAVERA</t>
  </si>
  <si>
    <t>PRIMAVERA - GUATIGUARA</t>
  </si>
  <si>
    <t>LA SIERRA (ANTIOQUIA) | PRIMAVERA</t>
  </si>
  <si>
    <t>PRIMAVERA - SOGAMOSO 1 500 kV</t>
  </si>
  <si>
    <t>PRIMAVERA | SOGAMOSO</t>
  </si>
  <si>
    <t>PRIMAVERA - SOGAMOSO</t>
  </si>
  <si>
    <t>MIEL I | PURNIO</t>
  </si>
  <si>
    <t>LA SIERRA (ANTIOQUIA) | PURNIO</t>
  </si>
  <si>
    <t>NUEVA BARRANQUILLA | SABANALARGA</t>
  </si>
  <si>
    <t>SABANALARGA - TERNERA 2 220 kV</t>
  </si>
  <si>
    <t>SABANALARGA | TERNERA</t>
  </si>
  <si>
    <t>SABANALARGA - TERNERA</t>
  </si>
  <si>
    <t>CARACOLI | SABANALARGA</t>
  </si>
  <si>
    <t>SABANALARGA | TEBSA</t>
  </si>
  <si>
    <t>SAMORE | TOLEDO</t>
  </si>
  <si>
    <t>ALFEREZ (EEB) - SAN BERNARDINO 1 230 kV</t>
  </si>
  <si>
    <t>ALFEREZ (EEB) | SAN BERNARDINO</t>
  </si>
  <si>
    <t>SAN BERNARDINO - ALFEREZ (EEB)</t>
  </si>
  <si>
    <t>PAEZ | SAN BERNARDINO</t>
  </si>
  <si>
    <t>PORCE III | SAN CARLOS</t>
  </si>
  <si>
    <t>LA VIRGINIA | SAN CARLOS</t>
  </si>
  <si>
    <t>PURNIO | SAN CARLOS</t>
  </si>
  <si>
    <t>LA SIERRA (ANTIOQUIA) | SAN CARLOS</t>
  </si>
  <si>
    <t>PRIMAVERA | SAN CARLOS</t>
  </si>
  <si>
    <t>MIEL I | SAN FELIPE</t>
  </si>
  <si>
    <t>LA VIRGINIA | SAN MARCOS (VALLE)</t>
  </si>
  <si>
    <t>SAN MARCOS (VALLE) | YUMBO</t>
  </si>
  <si>
    <t>SAN MATEO (BOGOTA) | TUNAL</t>
  </si>
  <si>
    <t>NUEVA ESPERANZA | SAN MATEO (BOGOTA)</t>
  </si>
  <si>
    <t>SAN MATEO (CUCUTA) | TASAJERO</t>
  </si>
  <si>
    <t>RIO CORDOBA | SANTA MARTA</t>
  </si>
  <si>
    <t>SANTA MARTA | TERMOCOL</t>
  </si>
  <si>
    <t>SAN ANTONIO | SOCHAGOTA</t>
  </si>
  <si>
    <t>GUATIGUARA - SOCHAGOTA 1 230 kV</t>
  </si>
  <si>
    <t>GUATIGUARA | SOCHAGOTA</t>
  </si>
  <si>
    <t>SOCHAGOTA - GUATIGUARA</t>
  </si>
  <si>
    <t>GUATIGUARA - SOCHAGOTA 2 230 kV</t>
  </si>
  <si>
    <t>BARRANCA | SOGAMOSO</t>
  </si>
  <si>
    <t>GUATIGUARA - TASAJERO 1 230 kV</t>
  </si>
  <si>
    <t>GUATIGUARA | TASAJERO</t>
  </si>
  <si>
    <t>TASAJERO - GUATIGUARA</t>
  </si>
  <si>
    <t>CARACOLI | TEBSA</t>
  </si>
  <si>
    <t>RIO CORDOBA | TERMOCOL</t>
  </si>
  <si>
    <t>CARACOLI | TERMOFLORES</t>
  </si>
  <si>
    <t>TERMOCANDELARIA | TERNERA</t>
  </si>
  <si>
    <t>EL BOSQUE | TERNERA</t>
  </si>
  <si>
    <t>LA REFORMA - TUNAL 1 230 kV</t>
  </si>
  <si>
    <t>LA REFORMA | TUNAL</t>
  </si>
  <si>
    <t>TUNAL - LA REFORMA</t>
  </si>
  <si>
    <t>LA REFORMA - TUNAL 2 230 kV</t>
  </si>
  <si>
    <t>URABA | URRA</t>
  </si>
  <si>
    <t>MONTERIA (ISA) | URABA</t>
  </si>
  <si>
    <t>CERROMATOSO | URRA</t>
  </si>
  <si>
    <t>ALFEREZ (EEB) | YUMBO</t>
  </si>
  <si>
    <t>ALFEREZ (EEB) - TESALIA 2 230 kV</t>
  </si>
  <si>
    <t>ALFEREZ (EEB) | TESALIA</t>
  </si>
  <si>
    <t>ALFEREZ (EEB) - TESALIA</t>
  </si>
  <si>
    <t>ALFEREZ (EEB) - TESALIA 1 230 kV</t>
  </si>
  <si>
    <t>IBAGUE | TULUNI</t>
  </si>
  <si>
    <t>LA VIRGINIA | NUEVA ESPERANZA</t>
  </si>
  <si>
    <t>HELICONIA | LA VIRGINIA</t>
  </si>
  <si>
    <t>EL RIO | TERMOFLORES</t>
  </si>
  <si>
    <t>EL RIO | TEBSA</t>
  </si>
  <si>
    <t>SAN JUAN (GEB) | VALLEDUPAR</t>
  </si>
  <si>
    <t>BOLIVAR | TOLUVIEJO</t>
  </si>
  <si>
    <t>BOLIVAR - TOLUVIEJO</t>
  </si>
  <si>
    <t>BOLIVAR - SABANALARGA 1 500 kV</t>
  </si>
  <si>
    <t>ALTAMIRA | TESALIA</t>
  </si>
  <si>
    <t>ALTAMIRA - TESALIA</t>
  </si>
  <si>
    <t>ALTAMIRA | RENACER</t>
  </si>
  <si>
    <t>ALTAMIRA - RENACER</t>
  </si>
  <si>
    <t>ALTAMIRA | BETANIA</t>
  </si>
  <si>
    <t>ALTAMIRA - BETANIA</t>
  </si>
  <si>
    <t>ALFEREZ | JUANCHITO</t>
  </si>
  <si>
    <t>ALFEREZ | PANCE</t>
  </si>
  <si>
    <t>ALFEREZ | SAN MARCOS (VALLE)</t>
  </si>
  <si>
    <t>Circuitos paralelos por par de nodos - v2</t>
  </si>
  <si>
    <t>Pares de nodos</t>
  </si>
  <si>
    <t>Capacidad nominal individual</t>
  </si>
  <si>
    <t>sqrt(3) * V * corriente nominal / 1000</t>
  </si>
  <si>
    <t>Capacidad termica individual</t>
  </si>
  <si>
    <t>sqrt(3) * V * limite termico / 1000</t>
  </si>
  <si>
    <t>Reactancia</t>
  </si>
  <si>
    <t>X1 * longitud_total / Z_base</t>
  </si>
  <si>
    <t>Detalle de circuitos</t>
  </si>
  <si>
    <t>R_pu_individual</t>
  </si>
  <si>
    <t>X_pu_individual</t>
  </si>
  <si>
    <t>S_nominal_MVA</t>
  </si>
  <si>
    <t>S_termico_MVA</t>
  </si>
  <si>
    <t>n_circuitos_paralelo</t>
  </si>
  <si>
    <t>relacion_nominal_grupo</t>
  </si>
  <si>
    <t>relacion_termico_grupo</t>
  </si>
  <si>
    <t>Lineas internacionales excluidas - criterio corregido</t>
  </si>
  <si>
    <t>Criterio corregido</t>
  </si>
  <si>
    <t>Extremos extranjeros excluidos</t>
  </si>
  <si>
    <t>CUATRICENTENARIO y COROZO (Venezuela); PIMAMPIRO y POMASQUI (Ecuador).</t>
  </si>
  <si>
    <t>Se conserva: es una subestacion colombiana en La Guajira.</t>
  </si>
  <si>
    <t>Lineas excluidas</t>
  </si>
  <si>
    <t>Interconexion Cuestecitas - Cuatricentenario</t>
  </si>
  <si>
    <t>No aparece en el listado PARATEC filtrado por estado Operacion.</t>
  </si>
  <si>
    <t>La Loma - Oca?a</t>
  </si>
  <si>
    <t>No se excluye; es una linea domestica entre Cesar y Norte de Santander.</t>
  </si>
  <si>
    <t>extremos_nombre</t>
  </si>
  <si>
    <t>tokens_extranjeros</t>
  </si>
  <si>
    <t>PIMAMPIRO</t>
  </si>
  <si>
    <t>nodo</t>
  </si>
  <si>
    <t>linea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</si>
  <si>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</si>
  <si>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</si>
  <si>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</si>
  <si>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</si>
  <si>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</si>
  <si>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</si>
  <si>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</si>
  <si>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</si>
  <si>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</si>
  <si>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</si>
  <si>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</si>
  <si>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</si>
  <si>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</si>
  <si>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</si>
  <si>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</si>
  <si>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</si>
  <si>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</si>
  <si>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</si>
  <si>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</si>
  <si>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</si>
  <si>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</si>
  <si>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</si>
  <si>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</si>
  <si>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</si>
  <si>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</si>
  <si>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</si>
  <si>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</si>
  <si>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</si>
  <si>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</si>
  <si>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</si>
  <si>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</si>
  <si>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</si>
  <si>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</si>
  <si>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</si>
  <si>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</si>
  <si>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</si>
  <si>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</si>
  <si>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</si>
  <si>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</si>
  <si>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</si>
  <si>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</si>
  <si>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</si>
  <si>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</si>
  <si>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</si>
  <si>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ANT</t>
  </si>
  <si>
    <t>ARA</t>
  </si>
  <si>
    <t>ATL</t>
  </si>
  <si>
    <t>BOG</t>
  </si>
  <si>
    <t>BOL</t>
  </si>
  <si>
    <t>BYC</t>
  </si>
  <si>
    <t>CQR</t>
  </si>
  <si>
    <t>CAQ</t>
  </si>
  <si>
    <t>CAN</t>
  </si>
  <si>
    <t>CER</t>
  </si>
  <si>
    <t>CSU</t>
  </si>
  <si>
    <t>GCM</t>
  </si>
  <si>
    <t>HTO</t>
  </si>
  <si>
    <t>MET</t>
  </si>
  <si>
    <t>NDS</t>
  </si>
  <si>
    <t>PUT</t>
  </si>
  <si>
    <t>SAN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</si>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</sst>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showGridLines="0" tabSelected="1" workbookViewId="0">
      <pane ySplit="4" topLeftCell="A14" activePane="bottomLeft" state="frozen"/>
      <selection pane="bottomLeft" activeCell="L15" sqref="L15"/>
    </sheetView>
  </sheetViews>
  <sheetFormatPr defaultRowHeight="15" x14ac:dyDescent="0.25"/>
  <cols>
    <col min="1" max="1" width="80" customWidth="1"/>
    <col min="2" max="2" width="28" customWidth="1"/>
    <col min="3" max="3" width="24" customWidth="1"/>
    <col min="4" max="4" width="22" customWidth="1"/>
    <col min="5" max="5" width="20" customWidth="1"/>
    <col min="6" max="8" width="20" hidden="1" customWidth="1"/>
    <col min="9" max="10" width="21" hidden="1" customWidth="1"/>
    <col min="11" max="11" width="13" customWidth="1"/>
    <col min="12" max="12" width="80" customWidth="1"/>
  </cols>
  <sheetData>
    <row r="1" spans="1:12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6</v>
      </c>
      <c r="B7" s="2">
        <v>18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7</v>
      </c>
      <c r="B8" s="2">
        <v>256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 t="s">
        <v>8</v>
      </c>
      <c r="B9" s="2">
        <v>4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 t="s">
        <v>9</v>
      </c>
      <c r="B10" s="2">
        <v>180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10</v>
      </c>
      <c r="B11" s="2">
        <v>72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 t="s">
        <v>11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 t="s">
        <v>12</v>
      </c>
      <c r="B13" s="2">
        <v>26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 t="s">
        <v>13</v>
      </c>
      <c r="B14" s="2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 t="s">
        <v>15</v>
      </c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 t="s">
        <v>17</v>
      </c>
      <c r="B16" s="2" t="s">
        <v>18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 t="s">
        <v>19</v>
      </c>
      <c r="B17" s="2" t="s">
        <v>18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3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29</v>
      </c>
      <c r="J20" s="4" t="s">
        <v>30</v>
      </c>
      <c r="K20" s="4" t="s">
        <v>31</v>
      </c>
      <c r="L20" s="4" t="s">
        <v>32</v>
      </c>
    </row>
    <row r="21" spans="1:12" x14ac:dyDescent="0.25">
      <c r="A21" s="2" t="s">
        <v>33</v>
      </c>
      <c r="B21" s="2" t="s">
        <v>34</v>
      </c>
      <c r="C21" s="2">
        <v>1.8431712000000001E-3</v>
      </c>
      <c r="D21" s="2">
        <v>2.6072207999999999E-2</v>
      </c>
      <c r="E21" s="2">
        <v>1649.7783942093561</v>
      </c>
      <c r="F21" s="2">
        <v>1649.7783942093561</v>
      </c>
      <c r="G21" s="2">
        <v>1649.7783942093549</v>
      </c>
      <c r="H21" s="2">
        <v>1649.7783942093549</v>
      </c>
      <c r="I21" s="2">
        <f>G21/E21</f>
        <v>0.99999999999999933</v>
      </c>
      <c r="J21" s="2">
        <f>H21/F21</f>
        <v>0.99999999999999933</v>
      </c>
      <c r="K21" s="2">
        <v>1</v>
      </c>
      <c r="L21" s="2" t="s">
        <v>35</v>
      </c>
    </row>
    <row r="22" spans="1:12" ht="75" x14ac:dyDescent="0.25">
      <c r="A22" s="2" t="s">
        <v>33</v>
      </c>
      <c r="B22" s="2" t="s">
        <v>36</v>
      </c>
      <c r="C22" s="2">
        <v>5.6770177839512981E-4</v>
      </c>
      <c r="D22" s="2">
        <v>6.4577106635870371E-3</v>
      </c>
      <c r="E22" s="2">
        <v>6935.3392796026928</v>
      </c>
      <c r="F22" s="2">
        <v>8124.6692871279383</v>
      </c>
      <c r="G22" s="2">
        <v>4754.8295324128603</v>
      </c>
      <c r="H22" s="2">
        <v>4754.8295324128603</v>
      </c>
      <c r="I22" s="2">
        <f t="shared" ref="I22:I46" si="0">G22/E22</f>
        <v>0.68559436542594809</v>
      </c>
      <c r="J22" s="2">
        <f t="shared" ref="J22:J46" si="1">H22/F22</f>
        <v>0.58523360944008185</v>
      </c>
      <c r="K22" s="2">
        <v>10</v>
      </c>
      <c r="L22" s="2" t="s">
        <v>37</v>
      </c>
    </row>
    <row r="23" spans="1:12" ht="30" x14ac:dyDescent="0.25">
      <c r="A23" s="5" t="s">
        <v>33</v>
      </c>
      <c r="B23" s="5" t="s">
        <v>38</v>
      </c>
      <c r="C23" s="5">
        <v>3.4403533630858409E-4</v>
      </c>
      <c r="D23" s="5">
        <v>4.4559950382538401E-3</v>
      </c>
      <c r="E23" s="5">
        <v>7971.7638418357583</v>
      </c>
      <c r="F23" s="2">
        <v>8363.2073243463237</v>
      </c>
      <c r="G23" s="2">
        <v>6693.0383594067698</v>
      </c>
      <c r="H23" s="2">
        <v>6693.0383594067689</v>
      </c>
      <c r="I23" s="5">
        <f t="shared" si="0"/>
        <v>0.83959315556762404</v>
      </c>
      <c r="J23" s="5">
        <f t="shared" si="1"/>
        <v>0.80029564015739663</v>
      </c>
      <c r="K23" s="5">
        <v>4</v>
      </c>
      <c r="L23" s="5" t="s">
        <v>39</v>
      </c>
    </row>
    <row r="24" spans="1:12" ht="45" x14ac:dyDescent="0.25">
      <c r="A24" s="2" t="s">
        <v>33</v>
      </c>
      <c r="B24" s="2" t="s">
        <v>40</v>
      </c>
      <c r="C24" s="2">
        <v>7.6857032451366279E-4</v>
      </c>
      <c r="D24" s="2">
        <v>8.7522695591496103E-3</v>
      </c>
      <c r="E24" s="2">
        <v>4763.2090028467164</v>
      </c>
      <c r="F24" s="2">
        <v>4763.2090028467164</v>
      </c>
      <c r="G24" s="2">
        <v>3385.920344387896</v>
      </c>
      <c r="H24" s="2">
        <v>3385.920344387896</v>
      </c>
      <c r="I24" s="2">
        <f t="shared" si="0"/>
        <v>0.71084857757959219</v>
      </c>
      <c r="J24" s="2">
        <f t="shared" si="1"/>
        <v>0.71084857757959219</v>
      </c>
      <c r="K24" s="2">
        <v>5</v>
      </c>
      <c r="L24" s="2" t="s">
        <v>41</v>
      </c>
    </row>
    <row r="25" spans="1:12" x14ac:dyDescent="0.25">
      <c r="A25" s="2" t="s">
        <v>42</v>
      </c>
      <c r="B25" s="2" t="s">
        <v>40</v>
      </c>
      <c r="C25" s="2">
        <v>8.0801701323251433E-3</v>
      </c>
      <c r="D25" s="2">
        <v>7.7527580340264649E-2</v>
      </c>
      <c r="E25" s="2">
        <v>318.69734859267339</v>
      </c>
      <c r="F25" s="2">
        <v>346.18499490879151</v>
      </c>
      <c r="G25" s="2">
        <v>318.69734859267351</v>
      </c>
      <c r="H25" s="2">
        <v>346.18499490879151</v>
      </c>
      <c r="I25" s="2">
        <f t="shared" si="0"/>
        <v>1.0000000000000004</v>
      </c>
      <c r="J25" s="2">
        <f t="shared" si="1"/>
        <v>1</v>
      </c>
      <c r="K25" s="2">
        <v>1</v>
      </c>
      <c r="L25" s="2" t="s">
        <v>43</v>
      </c>
    </row>
    <row r="26" spans="1:12" ht="30" x14ac:dyDescent="0.25">
      <c r="A26" s="2" t="s">
        <v>44</v>
      </c>
      <c r="B26" s="2" t="s">
        <v>45</v>
      </c>
      <c r="C26" s="2">
        <v>5.4105170230786699E-4</v>
      </c>
      <c r="D26" s="2">
        <v>6.1995170605567348E-3</v>
      </c>
      <c r="E26" s="2">
        <v>2912.5819969916729</v>
      </c>
      <c r="F26" s="2">
        <v>3675.5850187419142</v>
      </c>
      <c r="G26" s="2">
        <v>2773.82775077925</v>
      </c>
      <c r="H26" s="2">
        <v>3579.5586688627468</v>
      </c>
      <c r="I26" s="2">
        <f t="shared" si="0"/>
        <v>0.95236039831471242</v>
      </c>
      <c r="J26" s="2">
        <f t="shared" si="1"/>
        <v>0.97387453986521155</v>
      </c>
      <c r="K26" s="2">
        <v>4</v>
      </c>
      <c r="L26" s="2" t="s">
        <v>46</v>
      </c>
    </row>
    <row r="27" spans="1:12" x14ac:dyDescent="0.25">
      <c r="A27" s="2" t="s">
        <v>44</v>
      </c>
      <c r="B27" s="2" t="s">
        <v>47</v>
      </c>
      <c r="C27" s="2">
        <v>9.7970417188117907E-4</v>
      </c>
      <c r="D27" s="2">
        <v>1.214247572075158E-2</v>
      </c>
      <c r="E27" s="2">
        <v>4221.8738434491388</v>
      </c>
      <c r="F27" s="2">
        <v>4524.9827347736918</v>
      </c>
      <c r="G27" s="2">
        <v>4088.2651569886689</v>
      </c>
      <c r="H27" s="2">
        <v>4088.2651569886689</v>
      </c>
      <c r="I27" s="2">
        <f t="shared" si="0"/>
        <v>0.96835322621783604</v>
      </c>
      <c r="J27" s="2">
        <f t="shared" si="1"/>
        <v>0.90348745986831602</v>
      </c>
      <c r="K27" s="2">
        <v>2</v>
      </c>
      <c r="L27" s="2" t="s">
        <v>48</v>
      </c>
    </row>
    <row r="28" spans="1:12" ht="30" x14ac:dyDescent="0.25">
      <c r="A28" s="2" t="s">
        <v>44</v>
      </c>
      <c r="B28" s="2" t="s">
        <v>49</v>
      </c>
      <c r="C28" s="2">
        <v>5.6753236219606509E-3</v>
      </c>
      <c r="D28" s="2">
        <v>3.1803693171420087E-2</v>
      </c>
      <c r="E28" s="2">
        <v>943.10166472125366</v>
      </c>
      <c r="F28" s="2">
        <v>1050.939148000492</v>
      </c>
      <c r="G28" s="2">
        <v>783.02021323657516</v>
      </c>
      <c r="H28" s="2">
        <v>970.4198679288653</v>
      </c>
      <c r="I28" s="2">
        <f t="shared" si="0"/>
        <v>0.83026066279716226</v>
      </c>
      <c r="J28" s="2">
        <f t="shared" si="1"/>
        <v>0.92338349920181206</v>
      </c>
      <c r="K28" s="2">
        <v>3</v>
      </c>
      <c r="L28" s="2" t="s">
        <v>50</v>
      </c>
    </row>
    <row r="29" spans="1:12" x14ac:dyDescent="0.25">
      <c r="A29" s="2" t="s">
        <v>34</v>
      </c>
      <c r="B29" s="2" t="s">
        <v>51</v>
      </c>
      <c r="C29" s="2">
        <v>5.4395916824196604E-3</v>
      </c>
      <c r="D29" s="2">
        <v>5.3167621928166361E-2</v>
      </c>
      <c r="E29" s="2">
        <v>764.87363662241626</v>
      </c>
      <c r="F29" s="2">
        <v>813.47498228279881</v>
      </c>
      <c r="G29" s="2">
        <v>764.87363662241626</v>
      </c>
      <c r="H29" s="2">
        <v>813.47498228279869</v>
      </c>
      <c r="I29" s="2">
        <f t="shared" si="0"/>
        <v>1</v>
      </c>
      <c r="J29" s="2">
        <f t="shared" si="1"/>
        <v>0.99999999999999989</v>
      </c>
      <c r="K29" s="2">
        <v>2</v>
      </c>
      <c r="L29" s="2" t="s">
        <v>52</v>
      </c>
    </row>
    <row r="30" spans="1:12" ht="45" x14ac:dyDescent="0.25">
      <c r="A30" s="2" t="s">
        <v>34</v>
      </c>
      <c r="B30" s="2" t="s">
        <v>36</v>
      </c>
      <c r="C30" s="2">
        <v>1.077894408851415E-3</v>
      </c>
      <c r="D30" s="2">
        <v>1.204469736581769E-2</v>
      </c>
      <c r="E30" s="2">
        <v>3609.8017290704479</v>
      </c>
      <c r="F30" s="2">
        <v>3609.8017290704479</v>
      </c>
      <c r="G30" s="2">
        <v>2268.1214127519852</v>
      </c>
      <c r="H30" s="2">
        <v>2268.1214127519852</v>
      </c>
      <c r="I30" s="2">
        <f t="shared" si="0"/>
        <v>0.62832298917870044</v>
      </c>
      <c r="J30" s="2">
        <f t="shared" si="1"/>
        <v>0.62832298917870044</v>
      </c>
      <c r="K30" s="2">
        <v>5</v>
      </c>
      <c r="L30" s="2" t="s">
        <v>53</v>
      </c>
    </row>
    <row r="31" spans="1:12" x14ac:dyDescent="0.25">
      <c r="A31" s="2" t="s">
        <v>34</v>
      </c>
      <c r="B31" s="2" t="s">
        <v>54</v>
      </c>
      <c r="C31" s="2">
        <v>4.3854299561713501E-3</v>
      </c>
      <c r="D31" s="2">
        <v>3.9567234389605813E-2</v>
      </c>
      <c r="E31" s="2">
        <v>769.65409685130624</v>
      </c>
      <c r="F31" s="2">
        <v>769.65409685130624</v>
      </c>
      <c r="G31" s="2">
        <v>769.07767656906935</v>
      </c>
      <c r="H31" s="2">
        <v>769.07767656906935</v>
      </c>
      <c r="I31" s="2">
        <f t="shared" si="0"/>
        <v>0.99925106579098966</v>
      </c>
      <c r="J31" s="2">
        <f t="shared" si="1"/>
        <v>0.99925106579098966</v>
      </c>
      <c r="K31" s="2">
        <v>2</v>
      </c>
      <c r="L31" s="2" t="s">
        <v>55</v>
      </c>
    </row>
    <row r="32" spans="1:12" ht="30" x14ac:dyDescent="0.25">
      <c r="A32" s="2" t="s">
        <v>34</v>
      </c>
      <c r="B32" s="2" t="s">
        <v>56</v>
      </c>
      <c r="C32" s="2">
        <v>1.296732471385508E-3</v>
      </c>
      <c r="D32" s="2">
        <v>1.5094391110111819E-2</v>
      </c>
      <c r="E32" s="2">
        <v>1912.184091556041</v>
      </c>
      <c r="F32" s="2">
        <v>2581.4485236006549</v>
      </c>
      <c r="G32" s="2">
        <v>1407.168581289083</v>
      </c>
      <c r="H32" s="2">
        <v>2374.5969809253279</v>
      </c>
      <c r="I32" s="2">
        <f t="shared" si="0"/>
        <v>0.73589597753843805</v>
      </c>
      <c r="J32" s="2">
        <f t="shared" si="1"/>
        <v>0.91986997192304787</v>
      </c>
      <c r="K32" s="2">
        <v>4</v>
      </c>
      <c r="L32" s="2" t="s">
        <v>57</v>
      </c>
    </row>
    <row r="33" spans="1:12" x14ac:dyDescent="0.25">
      <c r="A33" s="2" t="s">
        <v>45</v>
      </c>
      <c r="B33" s="2" t="s">
        <v>47</v>
      </c>
      <c r="C33" s="2">
        <v>1.441566115702479E-2</v>
      </c>
      <c r="D33" s="2">
        <v>8.854997107438016E-2</v>
      </c>
      <c r="E33" s="2">
        <v>381.05117766515298</v>
      </c>
      <c r="F33" s="2">
        <v>435.92254724893502</v>
      </c>
      <c r="G33" s="2">
        <v>381.05117766515298</v>
      </c>
      <c r="H33" s="2">
        <v>435.92254724893502</v>
      </c>
      <c r="I33" s="2">
        <f t="shared" si="0"/>
        <v>1</v>
      </c>
      <c r="J33" s="2">
        <f t="shared" si="1"/>
        <v>1</v>
      </c>
      <c r="K33" s="2">
        <v>1</v>
      </c>
      <c r="L33" s="2" t="s">
        <v>58</v>
      </c>
    </row>
    <row r="34" spans="1:12" x14ac:dyDescent="0.25">
      <c r="A34" s="2" t="s">
        <v>45</v>
      </c>
      <c r="B34" s="2" t="s">
        <v>49</v>
      </c>
      <c r="C34" s="2">
        <v>1.5801264E-3</v>
      </c>
      <c r="D34" s="2">
        <v>2.2281782399999998E-2</v>
      </c>
      <c r="E34" s="2">
        <v>1649.7783942093561</v>
      </c>
      <c r="F34" s="2">
        <v>2144.2788997702701</v>
      </c>
      <c r="G34" s="2">
        <v>1649.7783942093561</v>
      </c>
      <c r="H34" s="2">
        <v>2144.2788997702701</v>
      </c>
      <c r="I34" s="2">
        <f t="shared" si="0"/>
        <v>1</v>
      </c>
      <c r="J34" s="2">
        <f t="shared" si="1"/>
        <v>1</v>
      </c>
      <c r="K34" s="2">
        <v>1</v>
      </c>
      <c r="L34" s="2" t="s">
        <v>59</v>
      </c>
    </row>
    <row r="35" spans="1:12" x14ac:dyDescent="0.25">
      <c r="A35" s="2" t="s">
        <v>51</v>
      </c>
      <c r="B35" s="2" t="s">
        <v>40</v>
      </c>
      <c r="C35" s="2">
        <v>8.1702448110826525E-3</v>
      </c>
      <c r="D35" s="2">
        <v>6.9265891999701124E-2</v>
      </c>
      <c r="E35" s="2">
        <v>729.41855659148132</v>
      </c>
      <c r="F35" s="2">
        <v>729.41855659148132</v>
      </c>
      <c r="G35" s="2">
        <v>658.6615517470284</v>
      </c>
      <c r="H35" s="2">
        <v>658.6615517470284</v>
      </c>
      <c r="I35" s="2">
        <f t="shared" si="0"/>
        <v>0.90299533209698535</v>
      </c>
      <c r="J35" s="2">
        <f t="shared" si="1"/>
        <v>0.90299533209698535</v>
      </c>
      <c r="K35" s="2">
        <v>2</v>
      </c>
      <c r="L35" s="2" t="s">
        <v>60</v>
      </c>
    </row>
    <row r="36" spans="1:12" ht="45" x14ac:dyDescent="0.25">
      <c r="A36" s="2" t="s">
        <v>36</v>
      </c>
      <c r="B36" s="2" t="s">
        <v>61</v>
      </c>
      <c r="C36" s="2">
        <v>5.3067510757593035E-4</v>
      </c>
      <c r="D36" s="2">
        <v>5.4948282735785376E-3</v>
      </c>
      <c r="E36" s="2">
        <v>3312.789656588538</v>
      </c>
      <c r="F36" s="2">
        <v>4301.7213856780636</v>
      </c>
      <c r="G36" s="2">
        <v>1155.5013492358451</v>
      </c>
      <c r="H36" s="2">
        <v>1155.5013492358451</v>
      </c>
      <c r="I36" s="2">
        <f t="shared" si="0"/>
        <v>0.34880009569510773</v>
      </c>
      <c r="J36" s="2">
        <f t="shared" si="1"/>
        <v>0.26861371196259098</v>
      </c>
      <c r="K36" s="2">
        <v>5</v>
      </c>
      <c r="L36" s="2" t="s">
        <v>62</v>
      </c>
    </row>
    <row r="37" spans="1:12" x14ac:dyDescent="0.25">
      <c r="A37" s="2" t="s">
        <v>63</v>
      </c>
      <c r="B37" s="2" t="s">
        <v>64</v>
      </c>
      <c r="C37" s="2">
        <v>4.7257277882797729E-3</v>
      </c>
      <c r="D37" s="2">
        <v>3.5109432892249527E-2</v>
      </c>
      <c r="E37" s="2">
        <v>414.30655317047552</v>
      </c>
      <c r="F37" s="2">
        <v>563.29756363755018</v>
      </c>
      <c r="G37" s="2">
        <v>414.30655317047552</v>
      </c>
      <c r="H37" s="2">
        <v>563.29756363755018</v>
      </c>
      <c r="I37" s="2">
        <f t="shared" si="0"/>
        <v>1</v>
      </c>
      <c r="J37" s="2">
        <f t="shared" si="1"/>
        <v>1</v>
      </c>
      <c r="K37" s="2">
        <v>1</v>
      </c>
      <c r="L37" s="2" t="s">
        <v>65</v>
      </c>
    </row>
    <row r="38" spans="1:12" x14ac:dyDescent="0.25">
      <c r="A38" s="2" t="s">
        <v>63</v>
      </c>
      <c r="B38" s="2" t="s">
        <v>54</v>
      </c>
      <c r="C38" s="2">
        <v>7.4627637051039699E-3</v>
      </c>
      <c r="D38" s="2">
        <v>5.5986340264650283E-2</v>
      </c>
      <c r="E38" s="2">
        <v>414.30655317047552</v>
      </c>
      <c r="F38" s="2">
        <v>550.15129800810246</v>
      </c>
      <c r="G38" s="2">
        <v>414.30655317047552</v>
      </c>
      <c r="H38" s="2">
        <v>550.15129800810246</v>
      </c>
      <c r="I38" s="2">
        <f t="shared" si="0"/>
        <v>1</v>
      </c>
      <c r="J38" s="2">
        <f t="shared" si="1"/>
        <v>1</v>
      </c>
      <c r="K38" s="2">
        <v>1</v>
      </c>
      <c r="L38" s="2" t="s">
        <v>66</v>
      </c>
    </row>
    <row r="39" spans="1:12" x14ac:dyDescent="0.25">
      <c r="A39" s="2" t="s">
        <v>63</v>
      </c>
      <c r="B39" s="2" t="s">
        <v>67</v>
      </c>
      <c r="C39" s="2">
        <v>1.2867470699432891E-2</v>
      </c>
      <c r="D39" s="2">
        <v>9.8186177693761825E-2</v>
      </c>
      <c r="E39" s="2">
        <v>414.30655317047552</v>
      </c>
      <c r="F39" s="2">
        <v>550.94804137958408</v>
      </c>
      <c r="G39" s="2">
        <v>414.30655317047552</v>
      </c>
      <c r="H39" s="2">
        <v>550.94804137958408</v>
      </c>
      <c r="I39" s="2">
        <f t="shared" si="0"/>
        <v>1</v>
      </c>
      <c r="J39" s="2">
        <f t="shared" si="1"/>
        <v>1</v>
      </c>
      <c r="K39" s="2">
        <v>1</v>
      </c>
      <c r="L39" s="2" t="s">
        <v>68</v>
      </c>
    </row>
    <row r="40" spans="1:12" ht="30" x14ac:dyDescent="0.25">
      <c r="A40" s="2" t="s">
        <v>64</v>
      </c>
      <c r="B40" s="2" t="s">
        <v>54</v>
      </c>
      <c r="C40" s="2">
        <v>2.2691567591254119E-3</v>
      </c>
      <c r="D40" s="2">
        <v>1.7550937022548532E-2</v>
      </c>
      <c r="E40" s="2">
        <v>1051.7012503558219</v>
      </c>
      <c r="F40" s="2">
        <v>1782.7132936902669</v>
      </c>
      <c r="G40" s="2">
        <v>571.75442040815869</v>
      </c>
      <c r="H40" s="2">
        <v>986.8261390698508</v>
      </c>
      <c r="I40" s="2">
        <f t="shared" si="0"/>
        <v>0.54364718137847334</v>
      </c>
      <c r="J40" s="2">
        <f t="shared" si="1"/>
        <v>0.55355291429228803</v>
      </c>
      <c r="K40" s="2">
        <v>3</v>
      </c>
      <c r="L40" s="2" t="s">
        <v>69</v>
      </c>
    </row>
    <row r="41" spans="1:12" x14ac:dyDescent="0.25">
      <c r="A41" s="2" t="s">
        <v>64</v>
      </c>
      <c r="B41" s="2" t="s">
        <v>67</v>
      </c>
      <c r="C41" s="2">
        <v>1.244615500945179E-2</v>
      </c>
      <c r="D41" s="2">
        <v>7.3440839319470694E-2</v>
      </c>
      <c r="E41" s="2">
        <v>274.87646316118082</v>
      </c>
      <c r="F41" s="2">
        <v>274.87646316118082</v>
      </c>
      <c r="G41" s="2">
        <v>274.87646316118082</v>
      </c>
      <c r="H41" s="2">
        <v>274.87646316118082</v>
      </c>
      <c r="I41" s="2">
        <f t="shared" si="0"/>
        <v>1</v>
      </c>
      <c r="J41" s="2">
        <f t="shared" si="1"/>
        <v>1</v>
      </c>
      <c r="K41" s="2">
        <v>1</v>
      </c>
      <c r="L41" s="2" t="s">
        <v>70</v>
      </c>
    </row>
    <row r="42" spans="1:12" ht="30" x14ac:dyDescent="0.25">
      <c r="A42" s="2" t="s">
        <v>64</v>
      </c>
      <c r="B42" s="2" t="s">
        <v>61</v>
      </c>
      <c r="C42" s="2">
        <v>2.0422864359928052E-3</v>
      </c>
      <c r="D42" s="2">
        <v>1.8773821542214301E-2</v>
      </c>
      <c r="E42" s="2">
        <v>1627.746707937079</v>
      </c>
      <c r="F42" s="2">
        <v>1627.746707937079</v>
      </c>
      <c r="G42" s="2">
        <v>676.32516507656646</v>
      </c>
      <c r="H42" s="2">
        <v>676.32516507656646</v>
      </c>
      <c r="I42" s="2">
        <f t="shared" si="0"/>
        <v>0.41549779322466307</v>
      </c>
      <c r="J42" s="2">
        <f t="shared" si="1"/>
        <v>0.41549779322466307</v>
      </c>
      <c r="K42" s="2">
        <v>4</v>
      </c>
      <c r="L42" s="2" t="s">
        <v>71</v>
      </c>
    </row>
    <row r="43" spans="1:12" ht="30" x14ac:dyDescent="0.25">
      <c r="A43" s="2" t="s">
        <v>38</v>
      </c>
      <c r="B43" s="2" t="s">
        <v>47</v>
      </c>
      <c r="C43" s="2">
        <v>3.446098485410753E-4</v>
      </c>
      <c r="D43" s="2">
        <v>4.7985993730319931E-3</v>
      </c>
      <c r="E43" s="2">
        <v>6321.9854476264027</v>
      </c>
      <c r="F43" s="2">
        <v>6672.7257361591001</v>
      </c>
      <c r="G43" s="2">
        <v>4755.4687279545533</v>
      </c>
      <c r="H43" s="2">
        <v>4852.5595478169589</v>
      </c>
      <c r="I43" s="2">
        <f t="shared" si="0"/>
        <v>0.75221127402942689</v>
      </c>
      <c r="J43" s="2">
        <f t="shared" si="1"/>
        <v>0.72722298797944451</v>
      </c>
      <c r="K43" s="2">
        <v>3</v>
      </c>
      <c r="L43" s="2" t="s">
        <v>72</v>
      </c>
    </row>
    <row r="44" spans="1:12" x14ac:dyDescent="0.25">
      <c r="A44" s="2" t="s">
        <v>47</v>
      </c>
      <c r="B44" s="2" t="s">
        <v>49</v>
      </c>
      <c r="C44" s="2">
        <v>2.6140868000000001E-3</v>
      </c>
      <c r="D44" s="2">
        <v>2.8987524800000001E-2</v>
      </c>
      <c r="E44" s="2">
        <v>2078.4609690826528</v>
      </c>
      <c r="F44" s="2">
        <v>2078.4609690826528</v>
      </c>
      <c r="G44" s="2">
        <v>2078.4609690826519</v>
      </c>
      <c r="H44" s="2">
        <v>2078.4609690826519</v>
      </c>
      <c r="I44" s="2">
        <f t="shared" si="0"/>
        <v>0.99999999999999956</v>
      </c>
      <c r="J44" s="2">
        <f t="shared" si="1"/>
        <v>0.99999999999999956</v>
      </c>
      <c r="K44" s="2">
        <v>1</v>
      </c>
      <c r="L44" s="2" t="s">
        <v>73</v>
      </c>
    </row>
    <row r="45" spans="1:12" x14ac:dyDescent="0.25">
      <c r="A45" s="2" t="s">
        <v>49</v>
      </c>
      <c r="B45" s="2" t="s">
        <v>74</v>
      </c>
      <c r="C45" s="2">
        <v>1.0751999999999999E-3</v>
      </c>
      <c r="D45" s="2">
        <v>2.3923199999999999E-2</v>
      </c>
      <c r="E45" s="2">
        <v>1649.7783942093561</v>
      </c>
      <c r="F45" s="2">
        <v>2144.2788997702701</v>
      </c>
      <c r="G45" s="2">
        <v>1649.7783942093561</v>
      </c>
      <c r="H45" s="2">
        <v>2144.2788997702701</v>
      </c>
      <c r="I45" s="2">
        <f t="shared" si="0"/>
        <v>1</v>
      </c>
      <c r="J45" s="2">
        <f t="shared" si="1"/>
        <v>1</v>
      </c>
      <c r="K45" s="2">
        <v>1</v>
      </c>
      <c r="L45" s="2" t="s">
        <v>75</v>
      </c>
    </row>
    <row r="46" spans="1:12" ht="30" x14ac:dyDescent="0.25">
      <c r="A46" s="2" t="s">
        <v>74</v>
      </c>
      <c r="B46" s="2" t="s">
        <v>40</v>
      </c>
      <c r="C46" s="2">
        <v>1.305884247969807E-3</v>
      </c>
      <c r="D46" s="2">
        <v>1.407934656508677E-2</v>
      </c>
      <c r="E46" s="2">
        <v>2722.991715595183</v>
      </c>
      <c r="F46" s="2">
        <v>2722.991715595183</v>
      </c>
      <c r="G46" s="2">
        <v>2363.3895115229079</v>
      </c>
      <c r="H46" s="2">
        <v>2363.3895115229079</v>
      </c>
      <c r="I46" s="2">
        <f t="shared" si="0"/>
        <v>0.86793856110073608</v>
      </c>
      <c r="J46" s="2">
        <f t="shared" si="1"/>
        <v>0.86793856110073608</v>
      </c>
      <c r="K46" s="2">
        <v>4</v>
      </c>
      <c r="L46" s="2" t="s">
        <v>76</v>
      </c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3" t="s">
        <v>77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4" t="s">
        <v>21</v>
      </c>
      <c r="B49" s="4" t="s">
        <v>22</v>
      </c>
      <c r="C49" s="4" t="s">
        <v>29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 t="s">
        <v>33</v>
      </c>
      <c r="B50" s="2" t="s">
        <v>36</v>
      </c>
      <c r="C50" s="2">
        <v>0.68559436542594809</v>
      </c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 t="s">
        <v>33</v>
      </c>
      <c r="B51" s="2" t="s">
        <v>38</v>
      </c>
      <c r="C51" s="2">
        <v>0.83959315556762393</v>
      </c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 t="s">
        <v>33</v>
      </c>
      <c r="B52" s="2" t="s">
        <v>40</v>
      </c>
      <c r="C52" s="2">
        <v>0.7108485775795923</v>
      </c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 t="s">
        <v>44</v>
      </c>
      <c r="B53" s="2" t="s">
        <v>49</v>
      </c>
      <c r="C53" s="2">
        <v>0.83026066279716226</v>
      </c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 t="s">
        <v>34</v>
      </c>
      <c r="B54" s="2" t="s">
        <v>36</v>
      </c>
      <c r="C54" s="2">
        <v>0.62832298917870022</v>
      </c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 t="s">
        <v>34</v>
      </c>
      <c r="B55" s="2" t="s">
        <v>56</v>
      </c>
      <c r="C55" s="2">
        <v>0.73589597753843838</v>
      </c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 t="s">
        <v>36</v>
      </c>
      <c r="B56" s="2" t="s">
        <v>61</v>
      </c>
      <c r="C56" s="2">
        <v>0.34880009569510773</v>
      </c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 t="s">
        <v>64</v>
      </c>
      <c r="B57" s="2" t="s">
        <v>54</v>
      </c>
      <c r="C57" s="2">
        <v>0.54364718137847312</v>
      </c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 t="s">
        <v>64</v>
      </c>
      <c r="B58" s="2" t="s">
        <v>61</v>
      </c>
      <c r="C58" s="2">
        <v>0.41549779322466301</v>
      </c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 t="s">
        <v>38</v>
      </c>
      <c r="B59" s="2" t="s">
        <v>47</v>
      </c>
      <c r="C59" s="2">
        <v>0.75221127402942689</v>
      </c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 t="s">
        <v>74</v>
      </c>
      <c r="B60" s="2" t="s">
        <v>40</v>
      </c>
      <c r="C60" s="2">
        <v>0.86793856110073608</v>
      </c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4" t="s">
        <v>21</v>
      </c>
      <c r="B62" s="4" t="s">
        <v>22</v>
      </c>
      <c r="C62" s="4" t="s">
        <v>30</v>
      </c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 t="s">
        <v>33</v>
      </c>
      <c r="B63" s="2" t="s">
        <v>36</v>
      </c>
      <c r="C63" s="2">
        <v>0.58523360944008185</v>
      </c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 t="s">
        <v>33</v>
      </c>
      <c r="B64" s="2" t="s">
        <v>38</v>
      </c>
      <c r="C64" s="2">
        <v>0.80029564015739663</v>
      </c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 t="s">
        <v>33</v>
      </c>
      <c r="B65" s="2" t="s">
        <v>40</v>
      </c>
      <c r="C65" s="2">
        <v>0.7108485775795923</v>
      </c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 t="s">
        <v>34</v>
      </c>
      <c r="B66" s="2" t="s">
        <v>36</v>
      </c>
      <c r="C66" s="2">
        <v>0.62832298917870022</v>
      </c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 t="s">
        <v>36</v>
      </c>
      <c r="B67" s="2" t="s">
        <v>61</v>
      </c>
      <c r="C67" s="2">
        <v>0.26861371196259087</v>
      </c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 t="s">
        <v>64</v>
      </c>
      <c r="B68" s="2" t="s">
        <v>54</v>
      </c>
      <c r="C68" s="2">
        <v>0.55355291429228803</v>
      </c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 t="s">
        <v>64</v>
      </c>
      <c r="B69" s="2" t="s">
        <v>61</v>
      </c>
      <c r="C69" s="2">
        <v>0.41549779322466301</v>
      </c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 t="s">
        <v>38</v>
      </c>
      <c r="B70" s="2" t="s">
        <v>47</v>
      </c>
      <c r="C70" s="2">
        <v>0.72722298797944451</v>
      </c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 t="s">
        <v>74</v>
      </c>
      <c r="B71" s="2" t="s">
        <v>40</v>
      </c>
      <c r="C71" s="2">
        <v>0.86793856110073608</v>
      </c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3" t="s">
        <v>78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4" t="s">
        <v>79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45" x14ac:dyDescent="0.25">
      <c r="A75" s="2" t="s">
        <v>80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30" x14ac:dyDescent="0.25">
      <c r="A76" s="2" t="s">
        <v>81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30" x14ac:dyDescent="0.25">
      <c r="A77" s="2" t="s">
        <v>82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 t="s">
        <v>83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30" x14ac:dyDescent="0.25">
      <c r="A79" s="2" t="s">
        <v>84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30" x14ac:dyDescent="0.25">
      <c r="A80" s="2" t="s">
        <v>85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2" spans="2:12" x14ac:dyDescent="0.25">
      <c r="B82" s="4" t="s">
        <v>925</v>
      </c>
      <c r="C82" s="4" t="s">
        <v>21</v>
      </c>
      <c r="D82" s="4" t="s">
        <v>22</v>
      </c>
      <c r="E82" s="4" t="s">
        <v>21</v>
      </c>
      <c r="F82" s="4" t="s">
        <v>22</v>
      </c>
      <c r="H82" s="4" t="s">
        <v>924</v>
      </c>
      <c r="I82" s="4" t="s">
        <v>924</v>
      </c>
    </row>
    <row r="83" spans="2:12" x14ac:dyDescent="0.25">
      <c r="B83" t="s">
        <v>944</v>
      </c>
      <c r="C83" s="2" t="s">
        <v>33</v>
      </c>
      <c r="D83" s="2" t="s">
        <v>34</v>
      </c>
      <c r="E83" t="str">
        <f>_xlfn.XLOOKUP(C83,$I$83:$I$100, $H$83:$H$100, "")</f>
        <v>b1</v>
      </c>
      <c r="F83" t="str">
        <f>_xlfn.XLOOKUP(D83,$I$83:$I$100, $H$83:$H$100, "")</f>
        <v>b4</v>
      </c>
      <c r="H83" s="7" t="s">
        <v>926</v>
      </c>
      <c r="I83" s="8" t="s">
        <v>33</v>
      </c>
      <c r="J83" s="9" t="s">
        <v>970</v>
      </c>
      <c r="K83" t="s">
        <v>970</v>
      </c>
      <c r="L83" t="str">
        <f>_xlfn.XLOOKUP(K83,$J$83:$J$100, $H$83:$H$100, "")</f>
        <v>b1</v>
      </c>
    </row>
    <row r="84" spans="2:12" x14ac:dyDescent="0.25">
      <c r="B84" t="s">
        <v>945</v>
      </c>
      <c r="C84" s="2" t="s">
        <v>33</v>
      </c>
      <c r="D84" s="2" t="s">
        <v>36</v>
      </c>
      <c r="E84" t="str">
        <f t="shared" ref="E84:E108" si="2">_xlfn.XLOOKUP(C84,$I$83:$I$100, $H$83:$H$100, "")</f>
        <v>b1</v>
      </c>
      <c r="F84" t="str">
        <f t="shared" ref="F84:F108" si="3">_xlfn.XLOOKUP(D84,$I$83:$I$100, $H$83:$H$100, "")</f>
        <v>b11</v>
      </c>
      <c r="H84" s="7" t="s">
        <v>927</v>
      </c>
      <c r="I84" s="8" t="s">
        <v>42</v>
      </c>
      <c r="J84" s="9" t="s">
        <v>971</v>
      </c>
      <c r="K84" t="s">
        <v>970</v>
      </c>
      <c r="L84" t="str">
        <f t="shared" ref="L84:L108" si="4">_xlfn.XLOOKUP(K84,$J$83:$J$100, $H$83:$H$100, "")</f>
        <v>b1</v>
      </c>
    </row>
    <row r="85" spans="2:12" x14ac:dyDescent="0.25">
      <c r="B85" t="s">
        <v>946</v>
      </c>
      <c r="C85" s="2" t="s">
        <v>33</v>
      </c>
      <c r="D85" s="2" t="s">
        <v>38</v>
      </c>
      <c r="E85" t="str">
        <f t="shared" si="2"/>
        <v>b1</v>
      </c>
      <c r="F85" t="str">
        <f t="shared" si="3"/>
        <v>b9</v>
      </c>
      <c r="H85" s="7" t="s">
        <v>928</v>
      </c>
      <c r="I85" s="8" t="s">
        <v>44</v>
      </c>
      <c r="J85" s="9" t="s">
        <v>972</v>
      </c>
      <c r="K85" t="s">
        <v>970</v>
      </c>
      <c r="L85" t="str">
        <f t="shared" si="4"/>
        <v>b1</v>
      </c>
    </row>
    <row r="86" spans="2:12" x14ac:dyDescent="0.25">
      <c r="B86" t="s">
        <v>947</v>
      </c>
      <c r="C86" s="2" t="s">
        <v>33</v>
      </c>
      <c r="D86" s="2" t="s">
        <v>40</v>
      </c>
      <c r="E86" t="str">
        <f t="shared" si="2"/>
        <v>b1</v>
      </c>
      <c r="F86" t="str">
        <f t="shared" si="3"/>
        <v>b17</v>
      </c>
      <c r="H86" s="7" t="s">
        <v>929</v>
      </c>
      <c r="I86" s="8" t="s">
        <v>34</v>
      </c>
      <c r="J86" s="9" t="s">
        <v>973</v>
      </c>
      <c r="K86" t="s">
        <v>972</v>
      </c>
      <c r="L86" t="str">
        <f t="shared" si="4"/>
        <v>b3</v>
      </c>
    </row>
    <row r="87" spans="2:12" x14ac:dyDescent="0.25">
      <c r="B87" t="s">
        <v>948</v>
      </c>
      <c r="C87" s="2" t="s">
        <v>42</v>
      </c>
      <c r="D87" s="2" t="s">
        <v>40</v>
      </c>
      <c r="E87" t="str">
        <f t="shared" si="2"/>
        <v>b2</v>
      </c>
      <c r="F87" t="str">
        <f t="shared" si="3"/>
        <v>b17</v>
      </c>
      <c r="H87" s="7" t="s">
        <v>930</v>
      </c>
      <c r="I87" s="8" t="s">
        <v>45</v>
      </c>
      <c r="J87" s="9" t="s">
        <v>974</v>
      </c>
      <c r="K87" t="s">
        <v>973</v>
      </c>
      <c r="L87" t="str">
        <f t="shared" si="4"/>
        <v>b4</v>
      </c>
    </row>
    <row r="88" spans="2:12" x14ac:dyDescent="0.25">
      <c r="B88" t="s">
        <v>949</v>
      </c>
      <c r="C88" s="2" t="s">
        <v>44</v>
      </c>
      <c r="D88" s="2" t="s">
        <v>45</v>
      </c>
      <c r="E88" t="str">
        <f t="shared" si="2"/>
        <v>b3</v>
      </c>
      <c r="F88" t="str">
        <f t="shared" si="3"/>
        <v>b5</v>
      </c>
      <c r="H88" s="7" t="s">
        <v>931</v>
      </c>
      <c r="I88" s="8" t="s">
        <v>51</v>
      </c>
      <c r="J88" s="9" t="s">
        <v>975</v>
      </c>
      <c r="K88" t="s">
        <v>973</v>
      </c>
      <c r="L88" t="str">
        <f t="shared" si="4"/>
        <v>b4</v>
      </c>
    </row>
    <row r="89" spans="2:12" ht="30" x14ac:dyDescent="0.25">
      <c r="B89" t="s">
        <v>950</v>
      </c>
      <c r="C89" s="2" t="s">
        <v>44</v>
      </c>
      <c r="D89" s="2" t="s">
        <v>47</v>
      </c>
      <c r="E89" t="str">
        <f t="shared" si="2"/>
        <v>b3</v>
      </c>
      <c r="F89" t="str">
        <f t="shared" si="3"/>
        <v>b10</v>
      </c>
      <c r="H89" s="7" t="s">
        <v>932</v>
      </c>
      <c r="I89" s="8" t="s">
        <v>63</v>
      </c>
      <c r="J89" s="9" t="s">
        <v>976</v>
      </c>
      <c r="K89" t="s">
        <v>974</v>
      </c>
      <c r="L89" t="str">
        <f t="shared" si="4"/>
        <v>b5</v>
      </c>
    </row>
    <row r="90" spans="2:12" x14ac:dyDescent="0.25">
      <c r="B90" t="s">
        <v>951</v>
      </c>
      <c r="C90" s="2" t="s">
        <v>44</v>
      </c>
      <c r="D90" s="2" t="s">
        <v>49</v>
      </c>
      <c r="E90" t="str">
        <f t="shared" si="2"/>
        <v>b3</v>
      </c>
      <c r="F90" t="str">
        <f t="shared" si="3"/>
        <v>b12</v>
      </c>
      <c r="H90" s="7" t="s">
        <v>933</v>
      </c>
      <c r="I90" s="8" t="s">
        <v>64</v>
      </c>
      <c r="J90" s="9" t="s">
        <v>977</v>
      </c>
      <c r="K90" t="s">
        <v>974</v>
      </c>
      <c r="L90" t="str">
        <f t="shared" si="4"/>
        <v>b5</v>
      </c>
    </row>
    <row r="91" spans="2:12" ht="30" x14ac:dyDescent="0.25">
      <c r="B91" t="s">
        <v>952</v>
      </c>
      <c r="C91" s="2" t="s">
        <v>34</v>
      </c>
      <c r="D91" s="2" t="s">
        <v>51</v>
      </c>
      <c r="E91" t="str">
        <f t="shared" si="2"/>
        <v>b4</v>
      </c>
      <c r="F91" t="str">
        <f t="shared" si="3"/>
        <v>b6</v>
      </c>
      <c r="H91" s="7" t="s">
        <v>934</v>
      </c>
      <c r="I91" s="8" t="s">
        <v>38</v>
      </c>
      <c r="J91" s="9" t="s">
        <v>978</v>
      </c>
      <c r="K91" t="s">
        <v>974</v>
      </c>
      <c r="L91" t="str">
        <f t="shared" si="4"/>
        <v>b5</v>
      </c>
    </row>
    <row r="92" spans="2:12" x14ac:dyDescent="0.25">
      <c r="B92" t="s">
        <v>953</v>
      </c>
      <c r="C92" s="2" t="s">
        <v>34</v>
      </c>
      <c r="D92" s="2" t="s">
        <v>36</v>
      </c>
      <c r="E92" t="str">
        <f t="shared" si="2"/>
        <v>b4</v>
      </c>
      <c r="F92" t="str">
        <f t="shared" si="3"/>
        <v>b11</v>
      </c>
      <c r="H92" s="7" t="s">
        <v>935</v>
      </c>
      <c r="I92" s="8" t="s">
        <v>47</v>
      </c>
      <c r="J92" s="9" t="s">
        <v>979</v>
      </c>
      <c r="K92" t="s">
        <v>975</v>
      </c>
      <c r="L92" t="str">
        <f t="shared" si="4"/>
        <v>b6</v>
      </c>
    </row>
    <row r="93" spans="2:12" x14ac:dyDescent="0.25">
      <c r="B93" t="s">
        <v>954</v>
      </c>
      <c r="C93" s="2" t="s">
        <v>34</v>
      </c>
      <c r="D93" s="2" t="s">
        <v>54</v>
      </c>
      <c r="E93" t="str">
        <f t="shared" si="2"/>
        <v>b4</v>
      </c>
      <c r="F93" t="str">
        <f t="shared" si="3"/>
        <v>b13</v>
      </c>
      <c r="H93" s="7" t="s">
        <v>936</v>
      </c>
      <c r="I93" s="8" t="s">
        <v>36</v>
      </c>
      <c r="J93" s="9" t="s">
        <v>980</v>
      </c>
      <c r="K93" t="s">
        <v>975</v>
      </c>
      <c r="L93" t="str">
        <f t="shared" si="4"/>
        <v>b6</v>
      </c>
    </row>
    <row r="94" spans="2:12" x14ac:dyDescent="0.25">
      <c r="B94" t="s">
        <v>955</v>
      </c>
      <c r="C94" s="2" t="s">
        <v>34</v>
      </c>
      <c r="D94" s="2" t="s">
        <v>56</v>
      </c>
      <c r="E94" t="str">
        <f t="shared" si="2"/>
        <v>b4</v>
      </c>
      <c r="F94" t="str">
        <f t="shared" si="3"/>
        <v>b14</v>
      </c>
      <c r="H94" s="7" t="s">
        <v>937</v>
      </c>
      <c r="I94" s="8" t="s">
        <v>49</v>
      </c>
      <c r="J94" s="9" t="s">
        <v>981</v>
      </c>
      <c r="K94" t="s">
        <v>975</v>
      </c>
      <c r="L94" t="str">
        <f t="shared" si="4"/>
        <v>b6</v>
      </c>
    </row>
    <row r="95" spans="2:12" ht="30" x14ac:dyDescent="0.25">
      <c r="B95" t="s">
        <v>956</v>
      </c>
      <c r="C95" s="2" t="s">
        <v>45</v>
      </c>
      <c r="D95" s="2" t="s">
        <v>47</v>
      </c>
      <c r="E95" t="str">
        <f t="shared" si="2"/>
        <v>b5</v>
      </c>
      <c r="F95" t="str">
        <f t="shared" si="3"/>
        <v>b10</v>
      </c>
      <c r="H95" s="7" t="s">
        <v>938</v>
      </c>
      <c r="I95" s="8" t="s">
        <v>54</v>
      </c>
      <c r="J95" s="9" t="s">
        <v>982</v>
      </c>
      <c r="K95" t="s">
        <v>976</v>
      </c>
      <c r="L95" t="str">
        <f t="shared" si="4"/>
        <v>b7</v>
      </c>
    </row>
    <row r="96" spans="2:12" x14ac:dyDescent="0.25">
      <c r="B96" t="s">
        <v>957</v>
      </c>
      <c r="C96" s="2" t="s">
        <v>45</v>
      </c>
      <c r="D96" s="2" t="s">
        <v>49</v>
      </c>
      <c r="E96" t="str">
        <f t="shared" si="2"/>
        <v>b5</v>
      </c>
      <c r="F96" t="str">
        <f t="shared" si="3"/>
        <v>b12</v>
      </c>
      <c r="H96" s="7" t="s">
        <v>939</v>
      </c>
      <c r="I96" s="8" t="s">
        <v>56</v>
      </c>
      <c r="J96" s="9" t="s">
        <v>983</v>
      </c>
      <c r="K96" t="s">
        <v>976</v>
      </c>
      <c r="L96" t="str">
        <f t="shared" si="4"/>
        <v>b7</v>
      </c>
    </row>
    <row r="97" spans="2:12" ht="30" x14ac:dyDescent="0.25">
      <c r="B97" t="s">
        <v>958</v>
      </c>
      <c r="C97" s="2" t="s">
        <v>51</v>
      </c>
      <c r="D97" s="2" t="s">
        <v>40</v>
      </c>
      <c r="E97" t="str">
        <f t="shared" si="2"/>
        <v>b6</v>
      </c>
      <c r="F97" t="str">
        <f t="shared" si="3"/>
        <v>b17</v>
      </c>
      <c r="H97" s="7" t="s">
        <v>940</v>
      </c>
      <c r="I97" s="8" t="s">
        <v>74</v>
      </c>
      <c r="J97" s="9" t="s">
        <v>984</v>
      </c>
      <c r="K97" t="s">
        <v>978</v>
      </c>
      <c r="L97" t="str">
        <f t="shared" si="4"/>
        <v>b9</v>
      </c>
    </row>
    <row r="98" spans="2:12" x14ac:dyDescent="0.25">
      <c r="B98" t="s">
        <v>959</v>
      </c>
      <c r="C98" s="2" t="s">
        <v>36</v>
      </c>
      <c r="D98" s="2" t="s">
        <v>61</v>
      </c>
      <c r="E98" t="str">
        <f t="shared" si="2"/>
        <v>b11</v>
      </c>
      <c r="F98" t="str">
        <f t="shared" si="3"/>
        <v>b18</v>
      </c>
      <c r="H98" s="7" t="s">
        <v>941</v>
      </c>
      <c r="I98" s="8" t="s">
        <v>67</v>
      </c>
      <c r="J98" s="9" t="s">
        <v>985</v>
      </c>
      <c r="K98" t="s">
        <v>979</v>
      </c>
      <c r="L98" t="str">
        <f t="shared" si="4"/>
        <v>b10</v>
      </c>
    </row>
    <row r="99" spans="2:12" x14ac:dyDescent="0.25">
      <c r="B99" t="s">
        <v>960</v>
      </c>
      <c r="C99" s="2" t="s">
        <v>63</v>
      </c>
      <c r="D99" s="2" t="s">
        <v>64</v>
      </c>
      <c r="E99" t="str">
        <f t="shared" si="2"/>
        <v>b7</v>
      </c>
      <c r="F99" t="str">
        <f t="shared" si="3"/>
        <v>b8</v>
      </c>
      <c r="H99" s="7" t="s">
        <v>942</v>
      </c>
      <c r="I99" s="8" t="s">
        <v>40</v>
      </c>
      <c r="J99" s="9" t="s">
        <v>986</v>
      </c>
      <c r="K99" t="s">
        <v>980</v>
      </c>
      <c r="L99" t="str">
        <f t="shared" si="4"/>
        <v>b11</v>
      </c>
    </row>
    <row r="100" spans="2:12" x14ac:dyDescent="0.25">
      <c r="B100" t="s">
        <v>961</v>
      </c>
      <c r="C100" s="2" t="s">
        <v>63</v>
      </c>
      <c r="D100" s="2" t="s">
        <v>54</v>
      </c>
      <c r="E100" t="str">
        <f t="shared" si="2"/>
        <v>b7</v>
      </c>
      <c r="F100" t="str">
        <f t="shared" si="3"/>
        <v>b13</v>
      </c>
      <c r="H100" s="7" t="s">
        <v>943</v>
      </c>
      <c r="I100" s="8" t="s">
        <v>61</v>
      </c>
      <c r="J100" s="9" t="s">
        <v>987</v>
      </c>
      <c r="K100" t="s">
        <v>980</v>
      </c>
      <c r="L100" t="str">
        <f t="shared" si="4"/>
        <v>b11</v>
      </c>
    </row>
    <row r="101" spans="2:12" x14ac:dyDescent="0.25">
      <c r="B101" t="s">
        <v>962</v>
      </c>
      <c r="C101" s="2" t="s">
        <v>63</v>
      </c>
      <c r="D101" s="2" t="s">
        <v>67</v>
      </c>
      <c r="E101" t="str">
        <f t="shared" si="2"/>
        <v>b7</v>
      </c>
      <c r="F101" t="str">
        <f t="shared" si="3"/>
        <v>b16</v>
      </c>
      <c r="H101" s="6"/>
      <c r="K101" t="s">
        <v>981</v>
      </c>
      <c r="L101" t="str">
        <f t="shared" si="4"/>
        <v>b12</v>
      </c>
    </row>
    <row r="102" spans="2:12" x14ac:dyDescent="0.25">
      <c r="B102" t="s">
        <v>963</v>
      </c>
      <c r="C102" s="2" t="s">
        <v>64</v>
      </c>
      <c r="D102" s="2" t="s">
        <v>54</v>
      </c>
      <c r="E102" t="str">
        <f t="shared" si="2"/>
        <v>b8</v>
      </c>
      <c r="F102" t="str">
        <f t="shared" si="3"/>
        <v>b13</v>
      </c>
      <c r="K102" t="s">
        <v>981</v>
      </c>
      <c r="L102" t="str">
        <f t="shared" si="4"/>
        <v>b12</v>
      </c>
    </row>
    <row r="103" spans="2:12" x14ac:dyDescent="0.25">
      <c r="B103" t="s">
        <v>964</v>
      </c>
      <c r="C103" s="2" t="s">
        <v>64</v>
      </c>
      <c r="D103" s="2" t="s">
        <v>67</v>
      </c>
      <c r="E103" t="str">
        <f t="shared" si="2"/>
        <v>b8</v>
      </c>
      <c r="F103" t="str">
        <f t="shared" si="3"/>
        <v>b16</v>
      </c>
      <c r="K103" t="s">
        <v>982</v>
      </c>
      <c r="L103" t="str">
        <f t="shared" si="4"/>
        <v>b13</v>
      </c>
    </row>
    <row r="104" spans="2:12" x14ac:dyDescent="0.25">
      <c r="B104" t="s">
        <v>965</v>
      </c>
      <c r="C104" s="2" t="s">
        <v>64</v>
      </c>
      <c r="D104" s="2" t="s">
        <v>61</v>
      </c>
      <c r="E104" t="str">
        <f t="shared" si="2"/>
        <v>b8</v>
      </c>
      <c r="F104" t="str">
        <f t="shared" si="3"/>
        <v>b18</v>
      </c>
      <c r="K104" t="s">
        <v>984</v>
      </c>
      <c r="L104" t="str">
        <f t="shared" si="4"/>
        <v>b15</v>
      </c>
    </row>
    <row r="105" spans="2:12" ht="30" x14ac:dyDescent="0.25">
      <c r="B105" t="s">
        <v>966</v>
      </c>
      <c r="C105" s="2" t="s">
        <v>38</v>
      </c>
      <c r="D105" s="2" t="s">
        <v>47</v>
      </c>
      <c r="E105" t="str">
        <f t="shared" si="2"/>
        <v>b9</v>
      </c>
      <c r="F105" t="str">
        <f t="shared" si="3"/>
        <v>b10</v>
      </c>
      <c r="K105" t="s">
        <v>986</v>
      </c>
      <c r="L105" t="str">
        <f t="shared" si="4"/>
        <v>b17</v>
      </c>
    </row>
    <row r="106" spans="2:12" x14ac:dyDescent="0.25">
      <c r="B106" t="s">
        <v>967</v>
      </c>
      <c r="C106" s="2" t="s">
        <v>47</v>
      </c>
      <c r="D106" s="2" t="s">
        <v>49</v>
      </c>
      <c r="E106" t="str">
        <f t="shared" si="2"/>
        <v>b10</v>
      </c>
      <c r="F106" t="str">
        <f t="shared" si="3"/>
        <v>b12</v>
      </c>
      <c r="K106" t="s">
        <v>986</v>
      </c>
      <c r="L106" t="str">
        <f t="shared" si="4"/>
        <v>b17</v>
      </c>
    </row>
    <row r="107" spans="2:12" ht="30" x14ac:dyDescent="0.25">
      <c r="B107" t="s">
        <v>968</v>
      </c>
      <c r="C107" s="2" t="s">
        <v>49</v>
      </c>
      <c r="D107" s="2" t="s">
        <v>74</v>
      </c>
      <c r="E107" t="str">
        <f t="shared" si="2"/>
        <v>b12</v>
      </c>
      <c r="F107" t="str">
        <f t="shared" si="3"/>
        <v>b15</v>
      </c>
      <c r="K107" t="s">
        <v>987</v>
      </c>
      <c r="L107" t="str">
        <f t="shared" si="4"/>
        <v>b18</v>
      </c>
    </row>
    <row r="108" spans="2:12" ht="30" x14ac:dyDescent="0.25">
      <c r="B108" t="s">
        <v>969</v>
      </c>
      <c r="C108" s="2" t="s">
        <v>74</v>
      </c>
      <c r="D108" s="2" t="s">
        <v>40</v>
      </c>
      <c r="E108" t="str">
        <f t="shared" si="2"/>
        <v>b15</v>
      </c>
      <c r="F108" t="str">
        <f t="shared" si="3"/>
        <v>b17</v>
      </c>
      <c r="K108" t="s">
        <v>987</v>
      </c>
      <c r="L108" t="str">
        <f t="shared" si="4"/>
        <v>b18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workbookViewId="0">
      <pane ySplit="4" topLeftCell="A11" activePane="bottomLeft" state="frozen"/>
      <selection pane="bottomLeft" activeCell="A22" sqref="A22"/>
    </sheetView>
  </sheetViews>
  <sheetFormatPr defaultRowHeight="15" x14ac:dyDescent="0.25"/>
  <cols>
    <col min="1" max="1" width="80" customWidth="1"/>
    <col min="2" max="2" width="46" customWidth="1"/>
    <col min="3" max="3" width="23" customWidth="1"/>
    <col min="4" max="4" width="20" customWidth="1"/>
    <col min="5" max="5" width="19" customWidth="1"/>
    <col min="6" max="6" width="44" customWidth="1"/>
    <col min="7" max="7" width="46" customWidth="1"/>
    <col min="8" max="9" width="25" customWidth="1"/>
  </cols>
  <sheetData>
    <row r="1" spans="1:9" ht="18.75" x14ac:dyDescent="0.25">
      <c r="A1" s="1" t="s">
        <v>86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 t="s">
        <v>87</v>
      </c>
      <c r="B2" s="2"/>
      <c r="C2" s="2"/>
      <c r="D2" s="2"/>
      <c r="E2" s="2"/>
      <c r="F2" s="2"/>
      <c r="G2" s="2"/>
      <c r="H2" s="2"/>
      <c r="I2" s="2"/>
    </row>
    <row r="3" spans="1:9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3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</row>
    <row r="7" spans="1:9" x14ac:dyDescent="0.25">
      <c r="A7" s="2" t="s">
        <v>88</v>
      </c>
      <c r="B7" s="2">
        <v>31</v>
      </c>
      <c r="C7" s="2"/>
      <c r="D7" s="2"/>
      <c r="E7" s="2"/>
      <c r="F7" s="2"/>
      <c r="G7" s="2"/>
      <c r="H7" s="2"/>
      <c r="I7" s="2"/>
    </row>
    <row r="8" spans="1:9" x14ac:dyDescent="0.25">
      <c r="A8" s="2" t="s">
        <v>89</v>
      </c>
      <c r="B8" s="2">
        <v>29</v>
      </c>
      <c r="C8" s="2"/>
      <c r="D8" s="2"/>
      <c r="E8" s="2"/>
      <c r="F8" s="2"/>
      <c r="G8" s="2"/>
      <c r="H8" s="2"/>
      <c r="I8" s="2"/>
    </row>
    <row r="9" spans="1:9" x14ac:dyDescent="0.25">
      <c r="A9" s="2" t="s">
        <v>90</v>
      </c>
      <c r="B9" s="2" t="s">
        <v>91</v>
      </c>
      <c r="C9" s="2"/>
      <c r="D9" s="2"/>
      <c r="E9" s="2"/>
      <c r="F9" s="2"/>
      <c r="G9" s="2"/>
      <c r="H9" s="2"/>
      <c r="I9" s="2"/>
    </row>
    <row r="10" spans="1:9" x14ac:dyDescent="0.25">
      <c r="A10" s="2" t="s">
        <v>92</v>
      </c>
      <c r="B10" s="2" t="s">
        <v>93</v>
      </c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3" t="s">
        <v>94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</row>
    <row r="14" spans="1:9" x14ac:dyDescent="0.25">
      <c r="A14" s="2" t="s">
        <v>104</v>
      </c>
      <c r="B14" s="2">
        <v>230</v>
      </c>
      <c r="C14" s="2" t="s">
        <v>105</v>
      </c>
      <c r="D14" s="2" t="s">
        <v>106</v>
      </c>
      <c r="E14" s="2" t="s">
        <v>106</v>
      </c>
      <c r="F14" s="2" t="s">
        <v>107</v>
      </c>
      <c r="G14" s="2" t="s">
        <v>108</v>
      </c>
      <c r="H14" s="2" t="s">
        <v>105</v>
      </c>
      <c r="I14" s="2" t="s">
        <v>109</v>
      </c>
    </row>
    <row r="15" spans="1:9" x14ac:dyDescent="0.25">
      <c r="A15" s="2" t="s">
        <v>110</v>
      </c>
      <c r="B15" s="2">
        <v>230</v>
      </c>
      <c r="C15" s="2" t="s">
        <v>105</v>
      </c>
      <c r="D15" s="2" t="s">
        <v>106</v>
      </c>
      <c r="E15" s="2" t="s">
        <v>106</v>
      </c>
      <c r="F15" s="2" t="s">
        <v>107</v>
      </c>
      <c r="G15" s="2" t="s">
        <v>108</v>
      </c>
      <c r="H15" s="2" t="s">
        <v>105</v>
      </c>
      <c r="I15" s="2" t="s">
        <v>109</v>
      </c>
    </row>
    <row r="16" spans="1:9" ht="30" x14ac:dyDescent="0.25">
      <c r="A16" s="2" t="s">
        <v>111</v>
      </c>
      <c r="B16" s="2">
        <v>500</v>
      </c>
      <c r="C16" s="2" t="s">
        <v>112</v>
      </c>
      <c r="D16" s="2" t="s">
        <v>113</v>
      </c>
      <c r="E16" s="2" t="s">
        <v>112</v>
      </c>
      <c r="F16" s="2" t="s">
        <v>114</v>
      </c>
      <c r="G16" s="2" t="s">
        <v>115</v>
      </c>
      <c r="H16" s="2" t="s">
        <v>116</v>
      </c>
      <c r="I16" s="2" t="s">
        <v>113</v>
      </c>
    </row>
    <row r="17" spans="1:9" ht="30" x14ac:dyDescent="0.25">
      <c r="A17" s="2" t="s">
        <v>117</v>
      </c>
      <c r="B17" s="2">
        <v>500</v>
      </c>
      <c r="C17" s="2" t="s">
        <v>112</v>
      </c>
      <c r="D17" s="2" t="s">
        <v>118</v>
      </c>
      <c r="E17" s="2" t="s">
        <v>112</v>
      </c>
      <c r="F17" s="2" t="s">
        <v>114</v>
      </c>
      <c r="G17" s="2" t="s">
        <v>119</v>
      </c>
      <c r="H17" s="2" t="s">
        <v>116</v>
      </c>
      <c r="I17" s="2" t="s">
        <v>118</v>
      </c>
    </row>
    <row r="18" spans="1:9" ht="30" x14ac:dyDescent="0.25">
      <c r="A18" s="2" t="s">
        <v>120</v>
      </c>
      <c r="B18" s="2">
        <v>500</v>
      </c>
      <c r="C18" s="2" t="s">
        <v>121</v>
      </c>
      <c r="D18" s="2" t="s">
        <v>112</v>
      </c>
      <c r="E18" s="2" t="s">
        <v>112</v>
      </c>
      <c r="F18" s="2" t="s">
        <v>114</v>
      </c>
      <c r="G18" s="2" t="s">
        <v>122</v>
      </c>
      <c r="H18" s="2" t="s">
        <v>121</v>
      </c>
      <c r="I18" s="2" t="s">
        <v>116</v>
      </c>
    </row>
    <row r="19" spans="1:9" ht="30" x14ac:dyDescent="0.25">
      <c r="A19" s="2" t="s">
        <v>123</v>
      </c>
      <c r="B19" s="2">
        <v>500</v>
      </c>
      <c r="C19" s="2" t="s">
        <v>121</v>
      </c>
      <c r="D19" s="2" t="s">
        <v>112</v>
      </c>
      <c r="E19" s="2" t="s">
        <v>112</v>
      </c>
      <c r="F19" s="2" t="s">
        <v>114</v>
      </c>
      <c r="G19" s="2" t="s">
        <v>122</v>
      </c>
      <c r="H19" s="2" t="s">
        <v>121</v>
      </c>
      <c r="I19" s="2" t="s">
        <v>116</v>
      </c>
    </row>
    <row r="20" spans="1:9" ht="30" x14ac:dyDescent="0.25">
      <c r="A20" s="2" t="s">
        <v>124</v>
      </c>
      <c r="B20" s="2">
        <v>500</v>
      </c>
      <c r="C20" s="2" t="s">
        <v>112</v>
      </c>
      <c r="D20" s="2" t="s">
        <v>125</v>
      </c>
      <c r="E20" s="2" t="s">
        <v>112</v>
      </c>
      <c r="F20" s="2" t="s">
        <v>114</v>
      </c>
      <c r="G20" s="2" t="s">
        <v>126</v>
      </c>
      <c r="H20" s="2" t="s">
        <v>116</v>
      </c>
      <c r="I20" s="2" t="s">
        <v>125</v>
      </c>
    </row>
    <row r="21" spans="1:9" ht="30" x14ac:dyDescent="0.25">
      <c r="A21" s="2" t="s">
        <v>127</v>
      </c>
      <c r="B21" s="2">
        <v>500</v>
      </c>
      <c r="C21" s="2" t="s">
        <v>112</v>
      </c>
      <c r="D21" s="2" t="s">
        <v>118</v>
      </c>
      <c r="E21" s="2" t="s">
        <v>112</v>
      </c>
      <c r="F21" s="2" t="s">
        <v>114</v>
      </c>
      <c r="G21" s="2" t="s">
        <v>119</v>
      </c>
      <c r="H21" s="2" t="s">
        <v>116</v>
      </c>
      <c r="I21" s="2" t="s">
        <v>118</v>
      </c>
    </row>
    <row r="22" spans="1:9" ht="30" x14ac:dyDescent="0.25">
      <c r="A22" s="2" t="s">
        <v>128</v>
      </c>
      <c r="B22" s="2">
        <v>500</v>
      </c>
      <c r="C22" s="2" t="s">
        <v>112</v>
      </c>
      <c r="D22" s="2" t="s">
        <v>129</v>
      </c>
      <c r="E22" s="2" t="s">
        <v>112</v>
      </c>
      <c r="F22" s="2" t="s">
        <v>114</v>
      </c>
      <c r="G22" s="2" t="s">
        <v>130</v>
      </c>
      <c r="H22" s="2" t="s">
        <v>116</v>
      </c>
      <c r="I22" s="2" t="s">
        <v>129</v>
      </c>
    </row>
    <row r="23" spans="1:9" x14ac:dyDescent="0.25">
      <c r="A23" s="2" t="s">
        <v>131</v>
      </c>
      <c r="B23" s="2">
        <v>230</v>
      </c>
      <c r="C23" s="2" t="s">
        <v>132</v>
      </c>
      <c r="D23" s="2" t="s">
        <v>106</v>
      </c>
      <c r="E23" s="2" t="s">
        <v>106</v>
      </c>
      <c r="F23" s="2" t="s">
        <v>107</v>
      </c>
      <c r="G23" s="2" t="s">
        <v>133</v>
      </c>
      <c r="H23" s="2" t="s">
        <v>132</v>
      </c>
      <c r="I23" s="2" t="s">
        <v>109</v>
      </c>
    </row>
    <row r="24" spans="1:9" x14ac:dyDescent="0.25">
      <c r="A24" s="2" t="s">
        <v>134</v>
      </c>
      <c r="B24" s="2">
        <v>230</v>
      </c>
      <c r="C24" s="2" t="s">
        <v>132</v>
      </c>
      <c r="D24" s="2" t="s">
        <v>106</v>
      </c>
      <c r="E24" s="2" t="s">
        <v>106</v>
      </c>
      <c r="F24" s="2" t="s">
        <v>107</v>
      </c>
      <c r="G24" s="2" t="s">
        <v>133</v>
      </c>
      <c r="H24" s="2" t="s">
        <v>132</v>
      </c>
      <c r="I24" s="2" t="s">
        <v>109</v>
      </c>
    </row>
    <row r="25" spans="1:9" x14ac:dyDescent="0.25">
      <c r="A25" s="2" t="s">
        <v>135</v>
      </c>
      <c r="B25" s="2">
        <v>230</v>
      </c>
      <c r="C25" s="2" t="s">
        <v>136</v>
      </c>
      <c r="D25" s="2" t="s">
        <v>137</v>
      </c>
      <c r="E25" s="2" t="s">
        <v>137</v>
      </c>
      <c r="F25" s="2"/>
      <c r="G25" s="2" t="s">
        <v>138</v>
      </c>
      <c r="H25" s="2" t="s">
        <v>136</v>
      </c>
      <c r="I25" s="2"/>
    </row>
    <row r="26" spans="1:9" x14ac:dyDescent="0.25">
      <c r="A26" s="2" t="s">
        <v>139</v>
      </c>
      <c r="B26" s="2">
        <v>230</v>
      </c>
      <c r="C26" s="2" t="s">
        <v>136</v>
      </c>
      <c r="D26" s="2" t="s">
        <v>137</v>
      </c>
      <c r="E26" s="2" t="s">
        <v>137</v>
      </c>
      <c r="F26" s="2"/>
      <c r="G26" s="2" t="s">
        <v>138</v>
      </c>
      <c r="H26" s="2" t="s">
        <v>136</v>
      </c>
      <c r="I26" s="2"/>
    </row>
    <row r="27" spans="1:9" x14ac:dyDescent="0.25">
      <c r="A27" s="2" t="s">
        <v>140</v>
      </c>
      <c r="B27" s="2">
        <v>230</v>
      </c>
      <c r="C27" s="2" t="s">
        <v>141</v>
      </c>
      <c r="D27" s="2" t="s">
        <v>106</v>
      </c>
      <c r="E27" s="2" t="s">
        <v>106</v>
      </c>
      <c r="F27" s="2" t="s">
        <v>107</v>
      </c>
      <c r="G27" s="2" t="s">
        <v>142</v>
      </c>
      <c r="H27" s="2" t="s">
        <v>141</v>
      </c>
      <c r="I27" s="2" t="s">
        <v>109</v>
      </c>
    </row>
    <row r="28" spans="1:9" x14ac:dyDescent="0.25">
      <c r="A28" s="2" t="s">
        <v>143</v>
      </c>
      <c r="B28" s="2">
        <v>230</v>
      </c>
      <c r="C28" s="2" t="s">
        <v>144</v>
      </c>
      <c r="D28" s="2" t="s">
        <v>145</v>
      </c>
      <c r="E28" s="2" t="s">
        <v>145</v>
      </c>
      <c r="F28" s="2" t="s">
        <v>146</v>
      </c>
      <c r="G28" s="2" t="s">
        <v>147</v>
      </c>
      <c r="H28" s="2" t="s">
        <v>144</v>
      </c>
      <c r="I28" s="2" t="s">
        <v>148</v>
      </c>
    </row>
    <row r="29" spans="1:9" x14ac:dyDescent="0.25">
      <c r="A29" s="2" t="s">
        <v>149</v>
      </c>
      <c r="B29" s="2">
        <v>230</v>
      </c>
      <c r="C29" s="2" t="s">
        <v>144</v>
      </c>
      <c r="D29" s="2" t="s">
        <v>145</v>
      </c>
      <c r="E29" s="2" t="s">
        <v>145</v>
      </c>
      <c r="F29" s="2" t="s">
        <v>146</v>
      </c>
      <c r="G29" s="2" t="s">
        <v>147</v>
      </c>
      <c r="H29" s="2" t="s">
        <v>144</v>
      </c>
      <c r="I29" s="2" t="s">
        <v>148</v>
      </c>
    </row>
    <row r="30" spans="1:9" x14ac:dyDescent="0.25">
      <c r="A30" s="2" t="s">
        <v>150</v>
      </c>
      <c r="B30" s="2">
        <v>230</v>
      </c>
      <c r="C30" s="2" t="s">
        <v>151</v>
      </c>
      <c r="D30" s="2" t="s">
        <v>145</v>
      </c>
      <c r="E30" s="2" t="s">
        <v>145</v>
      </c>
      <c r="F30" s="2" t="s">
        <v>146</v>
      </c>
      <c r="G30" s="2" t="s">
        <v>152</v>
      </c>
      <c r="H30" s="2" t="s">
        <v>151</v>
      </c>
      <c r="I30" s="2" t="s">
        <v>148</v>
      </c>
    </row>
    <row r="31" spans="1:9" x14ac:dyDescent="0.25">
      <c r="A31" s="2" t="s">
        <v>153</v>
      </c>
      <c r="B31" s="2">
        <v>230</v>
      </c>
      <c r="C31" s="2" t="s">
        <v>151</v>
      </c>
      <c r="D31" s="2" t="s">
        <v>145</v>
      </c>
      <c r="E31" s="2" t="s">
        <v>145</v>
      </c>
      <c r="F31" s="2" t="s">
        <v>146</v>
      </c>
      <c r="G31" s="2" t="s">
        <v>152</v>
      </c>
      <c r="H31" s="2" t="s">
        <v>151</v>
      </c>
      <c r="I31" s="2" t="s">
        <v>148</v>
      </c>
    </row>
    <row r="32" spans="1:9" x14ac:dyDescent="0.25">
      <c r="A32" s="2" t="s">
        <v>154</v>
      </c>
      <c r="B32" s="2">
        <v>230</v>
      </c>
      <c r="C32" s="2" t="s">
        <v>155</v>
      </c>
      <c r="D32" s="2" t="s">
        <v>145</v>
      </c>
      <c r="E32" s="2" t="s">
        <v>145</v>
      </c>
      <c r="F32" s="2" t="s">
        <v>146</v>
      </c>
      <c r="G32" s="2" t="s">
        <v>156</v>
      </c>
      <c r="H32" s="2" t="s">
        <v>155</v>
      </c>
      <c r="I32" s="2" t="s">
        <v>148</v>
      </c>
    </row>
    <row r="33" spans="1:9" x14ac:dyDescent="0.25">
      <c r="A33" s="2" t="s">
        <v>157</v>
      </c>
      <c r="B33" s="2">
        <v>230</v>
      </c>
      <c r="C33" s="2" t="s">
        <v>155</v>
      </c>
      <c r="D33" s="2" t="s">
        <v>145</v>
      </c>
      <c r="E33" s="2" t="s">
        <v>145</v>
      </c>
      <c r="F33" s="2" t="s">
        <v>146</v>
      </c>
      <c r="G33" s="2" t="s">
        <v>156</v>
      </c>
      <c r="H33" s="2" t="s">
        <v>155</v>
      </c>
      <c r="I33" s="2" t="s">
        <v>148</v>
      </c>
    </row>
    <row r="34" spans="1:9" x14ac:dyDescent="0.25">
      <c r="A34" s="2" t="s">
        <v>158</v>
      </c>
      <c r="B34" s="2">
        <v>500</v>
      </c>
      <c r="C34" s="2" t="s">
        <v>106</v>
      </c>
      <c r="D34" s="2" t="s">
        <v>159</v>
      </c>
      <c r="E34" s="2" t="s">
        <v>106</v>
      </c>
      <c r="F34" s="2" t="s">
        <v>107</v>
      </c>
      <c r="G34" s="2" t="s">
        <v>160</v>
      </c>
      <c r="H34" s="2" t="s">
        <v>109</v>
      </c>
      <c r="I34" s="2" t="s">
        <v>159</v>
      </c>
    </row>
    <row r="35" spans="1:9" x14ac:dyDescent="0.25">
      <c r="A35" s="2" t="s">
        <v>161</v>
      </c>
      <c r="B35" s="2">
        <v>230</v>
      </c>
      <c r="C35" s="2" t="s">
        <v>145</v>
      </c>
      <c r="D35" s="2" t="s">
        <v>159</v>
      </c>
      <c r="E35" s="2" t="s">
        <v>145</v>
      </c>
      <c r="F35" s="2" t="s">
        <v>146</v>
      </c>
      <c r="G35" s="2" t="s">
        <v>162</v>
      </c>
      <c r="H35" s="2" t="s">
        <v>148</v>
      </c>
      <c r="I35" s="2" t="s">
        <v>159</v>
      </c>
    </row>
    <row r="36" spans="1:9" x14ac:dyDescent="0.25">
      <c r="A36" s="2" t="s">
        <v>163</v>
      </c>
      <c r="B36" s="2">
        <v>230</v>
      </c>
      <c r="C36" s="2" t="s">
        <v>145</v>
      </c>
      <c r="D36" s="2" t="s">
        <v>159</v>
      </c>
      <c r="E36" s="2" t="s">
        <v>145</v>
      </c>
      <c r="F36" s="2" t="s">
        <v>146</v>
      </c>
      <c r="G36" s="2" t="s">
        <v>162</v>
      </c>
      <c r="H36" s="2" t="s">
        <v>148</v>
      </c>
      <c r="I36" s="2" t="s">
        <v>159</v>
      </c>
    </row>
    <row r="37" spans="1:9" ht="30" x14ac:dyDescent="0.25">
      <c r="A37" s="2" t="s">
        <v>164</v>
      </c>
      <c r="B37" s="2">
        <v>500</v>
      </c>
      <c r="C37" s="2" t="s">
        <v>106</v>
      </c>
      <c r="D37" s="2" t="s">
        <v>165</v>
      </c>
      <c r="E37" s="2" t="s">
        <v>106</v>
      </c>
      <c r="F37" s="2" t="s">
        <v>107</v>
      </c>
      <c r="G37" s="2" t="s">
        <v>166</v>
      </c>
      <c r="H37" s="2" t="s">
        <v>109</v>
      </c>
      <c r="I37" s="2" t="s">
        <v>165</v>
      </c>
    </row>
    <row r="38" spans="1:9" ht="30" x14ac:dyDescent="0.25">
      <c r="A38" s="2" t="s">
        <v>167</v>
      </c>
      <c r="B38" s="2">
        <v>230</v>
      </c>
      <c r="C38" s="2" t="s">
        <v>112</v>
      </c>
      <c r="D38" s="2" t="s">
        <v>168</v>
      </c>
      <c r="E38" s="2" t="s">
        <v>112</v>
      </c>
      <c r="F38" s="2" t="s">
        <v>114</v>
      </c>
      <c r="G38" s="2" t="s">
        <v>169</v>
      </c>
      <c r="H38" s="2" t="s">
        <v>170</v>
      </c>
      <c r="I38" s="2" t="s">
        <v>168</v>
      </c>
    </row>
    <row r="39" spans="1:9" ht="30" x14ac:dyDescent="0.25">
      <c r="A39" s="2" t="s">
        <v>171</v>
      </c>
      <c r="B39" s="2">
        <v>230</v>
      </c>
      <c r="C39" s="2" t="s">
        <v>112</v>
      </c>
      <c r="D39" s="2" t="s">
        <v>168</v>
      </c>
      <c r="E39" s="2" t="s">
        <v>112</v>
      </c>
      <c r="F39" s="2" t="s">
        <v>114</v>
      </c>
      <c r="G39" s="2" t="s">
        <v>169</v>
      </c>
      <c r="H39" s="2" t="s">
        <v>170</v>
      </c>
      <c r="I39" s="2" t="s">
        <v>168</v>
      </c>
    </row>
    <row r="40" spans="1:9" x14ac:dyDescent="0.25">
      <c r="A40" s="2" t="s">
        <v>172</v>
      </c>
      <c r="B40" s="2">
        <v>500</v>
      </c>
      <c r="C40" s="2" t="s">
        <v>106</v>
      </c>
      <c r="D40" s="2" t="s">
        <v>173</v>
      </c>
      <c r="E40" s="2" t="s">
        <v>106</v>
      </c>
      <c r="F40" s="2" t="s">
        <v>107</v>
      </c>
      <c r="G40" s="2" t="s">
        <v>174</v>
      </c>
      <c r="H40" s="2" t="s">
        <v>109</v>
      </c>
      <c r="I40" s="2" t="s">
        <v>173</v>
      </c>
    </row>
    <row r="41" spans="1:9" x14ac:dyDescent="0.25">
      <c r="A41" s="2" t="s">
        <v>175</v>
      </c>
      <c r="B41" s="2">
        <v>500</v>
      </c>
      <c r="C41" s="2" t="s">
        <v>176</v>
      </c>
      <c r="D41" s="2" t="s">
        <v>106</v>
      </c>
      <c r="E41" s="2" t="s">
        <v>106</v>
      </c>
      <c r="F41" s="2" t="s">
        <v>107</v>
      </c>
      <c r="G41" s="2" t="s">
        <v>177</v>
      </c>
      <c r="H41" s="2" t="s">
        <v>176</v>
      </c>
      <c r="I41" s="2" t="s">
        <v>109</v>
      </c>
    </row>
    <row r="42" spans="1:9" x14ac:dyDescent="0.25">
      <c r="A42" s="2" t="s">
        <v>178</v>
      </c>
      <c r="B42" s="2">
        <v>230</v>
      </c>
      <c r="C42" s="2" t="s">
        <v>179</v>
      </c>
      <c r="D42" s="2" t="s">
        <v>180</v>
      </c>
      <c r="E42" s="2" t="s">
        <v>179</v>
      </c>
      <c r="F42" s="2" t="s">
        <v>181</v>
      </c>
      <c r="G42" s="2" t="s">
        <v>182</v>
      </c>
      <c r="H42" s="2" t="s">
        <v>183</v>
      </c>
      <c r="I42" s="2" t="s">
        <v>180</v>
      </c>
    </row>
    <row r="43" spans="1:9" x14ac:dyDescent="0.25">
      <c r="A43" s="2" t="s">
        <v>184</v>
      </c>
      <c r="B43" s="2">
        <v>230</v>
      </c>
      <c r="C43" s="2" t="s">
        <v>179</v>
      </c>
      <c r="D43" s="2" t="s">
        <v>185</v>
      </c>
      <c r="E43" s="2" t="s">
        <v>179</v>
      </c>
      <c r="F43" s="2" t="s">
        <v>181</v>
      </c>
      <c r="G43" s="2" t="s">
        <v>186</v>
      </c>
      <c r="H43" s="2" t="s">
        <v>183</v>
      </c>
      <c r="I43" s="2" t="s">
        <v>185</v>
      </c>
    </row>
    <row r="44" spans="1:9" ht="30" x14ac:dyDescent="0.25">
      <c r="A44" s="2" t="s">
        <v>187</v>
      </c>
      <c r="B44" s="2">
        <v>500</v>
      </c>
      <c r="C44" s="2" t="s">
        <v>179</v>
      </c>
      <c r="D44" s="2" t="s">
        <v>165</v>
      </c>
      <c r="E44" s="2" t="s">
        <v>179</v>
      </c>
      <c r="F44" s="2" t="s">
        <v>181</v>
      </c>
      <c r="G44" s="2" t="s">
        <v>188</v>
      </c>
      <c r="H44" s="2" t="s">
        <v>189</v>
      </c>
      <c r="I44" s="2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80" customWidth="1"/>
    <col min="2" max="2" width="49" customWidth="1"/>
    <col min="3" max="3" width="12" customWidth="1"/>
    <col min="4" max="4" width="28" customWidth="1"/>
    <col min="5" max="5" width="23" customWidth="1"/>
    <col min="6" max="6" width="20" customWidth="1"/>
    <col min="7" max="7" width="28" customWidth="1"/>
    <col min="8" max="8" width="40" customWidth="1"/>
  </cols>
  <sheetData>
    <row r="1" spans="1:8" ht="18.75" x14ac:dyDescent="0.25">
      <c r="A1" s="1" t="s">
        <v>190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30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3" t="s">
        <v>3</v>
      </c>
      <c r="B5" s="2"/>
      <c r="C5" s="2"/>
      <c r="D5" s="2"/>
      <c r="E5" s="2"/>
      <c r="F5" s="2"/>
      <c r="G5" s="2"/>
      <c r="H5" s="2"/>
    </row>
    <row r="6" spans="1:8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</row>
    <row r="7" spans="1:8" x14ac:dyDescent="0.25">
      <c r="A7" s="2" t="s">
        <v>9</v>
      </c>
      <c r="B7" s="2">
        <v>180</v>
      </c>
      <c r="C7" s="2"/>
      <c r="D7" s="2"/>
      <c r="E7" s="2"/>
      <c r="F7" s="2"/>
      <c r="G7" s="2"/>
      <c r="H7" s="2"/>
    </row>
    <row r="8" spans="1:8" x14ac:dyDescent="0.25">
      <c r="A8" s="2" t="s">
        <v>191</v>
      </c>
      <c r="B8" s="2">
        <v>7</v>
      </c>
      <c r="C8" s="2"/>
      <c r="D8" s="2"/>
      <c r="E8" s="2"/>
      <c r="F8" s="2"/>
      <c r="G8" s="2"/>
      <c r="H8" s="2"/>
    </row>
    <row r="9" spans="1:8" x14ac:dyDescent="0.25">
      <c r="A9" s="2" t="s">
        <v>90</v>
      </c>
      <c r="B9" s="2" t="s">
        <v>192</v>
      </c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3" t="s">
        <v>193</v>
      </c>
      <c r="B11" s="2"/>
      <c r="C11" s="2"/>
      <c r="D11" s="2"/>
      <c r="E11" s="2"/>
      <c r="F11" s="2"/>
      <c r="G11" s="2"/>
      <c r="H11" s="2"/>
    </row>
    <row r="12" spans="1:8" x14ac:dyDescent="0.25">
      <c r="A12" s="4" t="s">
        <v>194</v>
      </c>
      <c r="B12" s="4" t="s">
        <v>95</v>
      </c>
      <c r="C12" s="4" t="s">
        <v>96</v>
      </c>
      <c r="D12" s="4" t="s">
        <v>195</v>
      </c>
      <c r="E12" s="4" t="s">
        <v>97</v>
      </c>
      <c r="F12" s="4" t="s">
        <v>98</v>
      </c>
      <c r="G12" s="4" t="s">
        <v>196</v>
      </c>
      <c r="H12" s="4" t="s">
        <v>101</v>
      </c>
    </row>
    <row r="13" spans="1:8" x14ac:dyDescent="0.25">
      <c r="A13" s="2">
        <v>7</v>
      </c>
      <c r="B13" s="2" t="s">
        <v>197</v>
      </c>
      <c r="C13" s="2">
        <v>230</v>
      </c>
      <c r="D13" s="2" t="s">
        <v>61</v>
      </c>
      <c r="E13" s="2" t="s">
        <v>198</v>
      </c>
      <c r="F13" s="2" t="s">
        <v>185</v>
      </c>
      <c r="G13" s="2" t="s">
        <v>199</v>
      </c>
      <c r="H13" s="2" t="s">
        <v>200</v>
      </c>
    </row>
    <row r="14" spans="1:8" x14ac:dyDescent="0.25">
      <c r="A14" s="2">
        <v>8</v>
      </c>
      <c r="B14" s="2" t="s">
        <v>201</v>
      </c>
      <c r="C14" s="2">
        <v>230</v>
      </c>
      <c r="D14" s="2" t="s">
        <v>61</v>
      </c>
      <c r="E14" s="2" t="s">
        <v>198</v>
      </c>
      <c r="F14" s="2" t="s">
        <v>202</v>
      </c>
      <c r="G14" s="2" t="s">
        <v>199</v>
      </c>
      <c r="H14" s="2" t="s">
        <v>203</v>
      </c>
    </row>
    <row r="15" spans="1:8" x14ac:dyDescent="0.25">
      <c r="A15" s="2">
        <v>9</v>
      </c>
      <c r="B15" s="2" t="s">
        <v>204</v>
      </c>
      <c r="C15" s="2">
        <v>230</v>
      </c>
      <c r="D15" s="2" t="s">
        <v>33</v>
      </c>
      <c r="E15" s="2" t="s">
        <v>205</v>
      </c>
      <c r="F15" s="2" t="s">
        <v>176</v>
      </c>
      <c r="G15" s="2" t="s">
        <v>199</v>
      </c>
      <c r="H15" s="2" t="s">
        <v>206</v>
      </c>
    </row>
    <row r="16" spans="1:8" x14ac:dyDescent="0.25">
      <c r="A16" s="2">
        <v>10</v>
      </c>
      <c r="B16" s="2" t="s">
        <v>207</v>
      </c>
      <c r="C16" s="2">
        <v>220</v>
      </c>
      <c r="D16" s="2" t="s">
        <v>33</v>
      </c>
      <c r="E16" s="2" t="s">
        <v>205</v>
      </c>
      <c r="F16" s="2" t="s">
        <v>208</v>
      </c>
      <c r="G16" s="2" t="s">
        <v>199</v>
      </c>
      <c r="H16" s="2" t="s">
        <v>209</v>
      </c>
    </row>
    <row r="17" spans="1:8" x14ac:dyDescent="0.25">
      <c r="A17" s="2">
        <v>11</v>
      </c>
      <c r="B17" s="2" t="s">
        <v>210</v>
      </c>
      <c r="C17" s="2">
        <v>230</v>
      </c>
      <c r="D17" s="2" t="s">
        <v>33</v>
      </c>
      <c r="E17" s="2" t="s">
        <v>205</v>
      </c>
      <c r="F17" s="2" t="s">
        <v>176</v>
      </c>
      <c r="G17" s="2" t="s">
        <v>199</v>
      </c>
      <c r="H17" s="2" t="s">
        <v>211</v>
      </c>
    </row>
    <row r="18" spans="1:8" x14ac:dyDescent="0.25">
      <c r="A18" s="2">
        <v>12</v>
      </c>
      <c r="B18" s="2" t="s">
        <v>212</v>
      </c>
      <c r="C18" s="2">
        <v>220</v>
      </c>
      <c r="D18" s="2" t="s">
        <v>33</v>
      </c>
      <c r="E18" s="2" t="s">
        <v>205</v>
      </c>
      <c r="F18" s="2" t="s">
        <v>213</v>
      </c>
      <c r="G18" s="2" t="s">
        <v>199</v>
      </c>
      <c r="H18" s="2" t="s">
        <v>214</v>
      </c>
    </row>
    <row r="19" spans="1:8" x14ac:dyDescent="0.25">
      <c r="A19" s="2">
        <v>13</v>
      </c>
      <c r="B19" s="2" t="s">
        <v>215</v>
      </c>
      <c r="C19" s="2">
        <v>220</v>
      </c>
      <c r="D19" s="2" t="s">
        <v>33</v>
      </c>
      <c r="E19" s="2" t="s">
        <v>205</v>
      </c>
      <c r="F19" s="2" t="s">
        <v>216</v>
      </c>
      <c r="G19" s="2" t="s">
        <v>199</v>
      </c>
      <c r="H19" s="2" t="s">
        <v>217</v>
      </c>
    </row>
    <row r="20" spans="1:8" x14ac:dyDescent="0.25">
      <c r="A20" s="2">
        <v>14</v>
      </c>
      <c r="B20" s="2" t="s">
        <v>218</v>
      </c>
      <c r="C20" s="2">
        <v>220</v>
      </c>
      <c r="D20" s="2" t="s">
        <v>33</v>
      </c>
      <c r="E20" s="2" t="s">
        <v>205</v>
      </c>
      <c r="F20" s="2" t="s">
        <v>216</v>
      </c>
      <c r="G20" s="2" t="s">
        <v>199</v>
      </c>
      <c r="H20" s="2" t="s">
        <v>217</v>
      </c>
    </row>
    <row r="21" spans="1:8" x14ac:dyDescent="0.25">
      <c r="A21" s="2">
        <v>15</v>
      </c>
      <c r="B21" s="2" t="s">
        <v>219</v>
      </c>
      <c r="C21" s="2">
        <v>230</v>
      </c>
      <c r="D21" s="2" t="s">
        <v>33</v>
      </c>
      <c r="E21" s="2" t="s">
        <v>216</v>
      </c>
      <c r="F21" s="2" t="s">
        <v>159</v>
      </c>
      <c r="G21" s="2" t="s">
        <v>199</v>
      </c>
      <c r="H21" s="2" t="s">
        <v>220</v>
      </c>
    </row>
    <row r="22" spans="1:8" x14ac:dyDescent="0.25">
      <c r="A22" s="2">
        <v>16</v>
      </c>
      <c r="B22" s="2" t="s">
        <v>221</v>
      </c>
      <c r="C22" s="2">
        <v>230</v>
      </c>
      <c r="D22" s="2" t="s">
        <v>33</v>
      </c>
      <c r="E22" s="2" t="s">
        <v>216</v>
      </c>
      <c r="F22" s="2" t="s">
        <v>159</v>
      </c>
      <c r="G22" s="2" t="s">
        <v>199</v>
      </c>
      <c r="H22" s="2" t="s">
        <v>220</v>
      </c>
    </row>
    <row r="23" spans="1:8" x14ac:dyDescent="0.25">
      <c r="A23" s="2">
        <v>20</v>
      </c>
      <c r="B23" s="2" t="s">
        <v>222</v>
      </c>
      <c r="C23" s="2">
        <v>500</v>
      </c>
      <c r="D23" s="2" t="s">
        <v>34</v>
      </c>
      <c r="E23" s="2" t="s">
        <v>223</v>
      </c>
      <c r="F23" s="2" t="s">
        <v>173</v>
      </c>
      <c r="G23" s="2" t="s">
        <v>199</v>
      </c>
      <c r="H23" s="2" t="s">
        <v>224</v>
      </c>
    </row>
    <row r="24" spans="1:8" x14ac:dyDescent="0.25">
      <c r="A24" s="2">
        <v>21</v>
      </c>
      <c r="B24" s="2" t="s">
        <v>225</v>
      </c>
      <c r="C24" s="2">
        <v>230</v>
      </c>
      <c r="D24" s="2" t="s">
        <v>34</v>
      </c>
      <c r="E24" s="2" t="s">
        <v>223</v>
      </c>
      <c r="F24" s="2" t="s">
        <v>144</v>
      </c>
      <c r="G24" s="2" t="s">
        <v>199</v>
      </c>
      <c r="H24" s="2" t="s">
        <v>226</v>
      </c>
    </row>
    <row r="25" spans="1:8" x14ac:dyDescent="0.25">
      <c r="A25" s="2">
        <v>22</v>
      </c>
      <c r="B25" s="2" t="s">
        <v>227</v>
      </c>
      <c r="C25" s="2">
        <v>230</v>
      </c>
      <c r="D25" s="2" t="s">
        <v>34</v>
      </c>
      <c r="E25" s="2" t="s">
        <v>223</v>
      </c>
      <c r="F25" s="2" t="s">
        <v>144</v>
      </c>
      <c r="G25" s="2" t="s">
        <v>199</v>
      </c>
      <c r="H25" s="2" t="s">
        <v>226</v>
      </c>
    </row>
    <row r="26" spans="1:8" x14ac:dyDescent="0.25">
      <c r="A26" s="2">
        <v>23</v>
      </c>
      <c r="B26" s="2" t="s">
        <v>228</v>
      </c>
      <c r="C26" s="2">
        <v>230</v>
      </c>
      <c r="D26" s="2" t="s">
        <v>34</v>
      </c>
      <c r="E26" s="2" t="s">
        <v>223</v>
      </c>
      <c r="F26" s="2" t="s">
        <v>229</v>
      </c>
      <c r="G26" s="2" t="s">
        <v>199</v>
      </c>
      <c r="H26" s="2" t="s">
        <v>230</v>
      </c>
    </row>
    <row r="27" spans="1:8" x14ac:dyDescent="0.25">
      <c r="A27" s="2">
        <v>24</v>
      </c>
      <c r="B27" s="2" t="s">
        <v>231</v>
      </c>
      <c r="C27" s="2">
        <v>230</v>
      </c>
      <c r="D27" s="2" t="s">
        <v>34</v>
      </c>
      <c r="E27" s="2" t="s">
        <v>223</v>
      </c>
      <c r="F27" s="2" t="s">
        <v>229</v>
      </c>
      <c r="G27" s="2" t="s">
        <v>199</v>
      </c>
      <c r="H27" s="2" t="s">
        <v>230</v>
      </c>
    </row>
    <row r="28" spans="1:8" x14ac:dyDescent="0.25">
      <c r="A28" s="2">
        <v>25</v>
      </c>
      <c r="B28" s="2" t="s">
        <v>232</v>
      </c>
      <c r="C28" s="2">
        <v>230</v>
      </c>
      <c r="D28" s="2" t="s">
        <v>34</v>
      </c>
      <c r="E28" s="2" t="s">
        <v>233</v>
      </c>
      <c r="F28" s="2" t="s">
        <v>234</v>
      </c>
      <c r="G28" s="2" t="s">
        <v>199</v>
      </c>
      <c r="H28" s="2" t="s">
        <v>235</v>
      </c>
    </row>
    <row r="29" spans="1:8" x14ac:dyDescent="0.25">
      <c r="A29" s="2">
        <v>26</v>
      </c>
      <c r="B29" s="2" t="s">
        <v>236</v>
      </c>
      <c r="C29" s="2">
        <v>230</v>
      </c>
      <c r="D29" s="2" t="s">
        <v>34</v>
      </c>
      <c r="E29" s="2" t="s">
        <v>233</v>
      </c>
      <c r="F29" s="2" t="s">
        <v>144</v>
      </c>
      <c r="G29" s="2" t="s">
        <v>199</v>
      </c>
      <c r="H29" s="2" t="s">
        <v>237</v>
      </c>
    </row>
    <row r="30" spans="1:8" x14ac:dyDescent="0.25">
      <c r="A30" s="2">
        <v>27</v>
      </c>
      <c r="B30" s="2" t="s">
        <v>238</v>
      </c>
      <c r="C30" s="2">
        <v>230</v>
      </c>
      <c r="D30" s="2" t="s">
        <v>42</v>
      </c>
      <c r="E30" s="2" t="s">
        <v>239</v>
      </c>
      <c r="F30" s="2" t="s">
        <v>240</v>
      </c>
      <c r="G30" s="2" t="s">
        <v>199</v>
      </c>
      <c r="H30" s="2" t="s">
        <v>241</v>
      </c>
    </row>
    <row r="31" spans="1:8" x14ac:dyDescent="0.25">
      <c r="A31" s="2">
        <v>28</v>
      </c>
      <c r="B31" s="2" t="s">
        <v>242</v>
      </c>
      <c r="C31" s="2">
        <v>230</v>
      </c>
      <c r="D31" s="2" t="s">
        <v>42</v>
      </c>
      <c r="E31" s="2" t="s">
        <v>239</v>
      </c>
      <c r="F31" s="2" t="s">
        <v>243</v>
      </c>
      <c r="G31" s="2" t="s">
        <v>199</v>
      </c>
      <c r="H31" s="2" t="s">
        <v>244</v>
      </c>
    </row>
    <row r="32" spans="1:8" x14ac:dyDescent="0.25">
      <c r="A32" s="2">
        <v>29</v>
      </c>
      <c r="B32" s="2" t="s">
        <v>245</v>
      </c>
      <c r="C32" s="2">
        <v>220</v>
      </c>
      <c r="D32" s="2" t="s">
        <v>33</v>
      </c>
      <c r="E32" s="2" t="s">
        <v>246</v>
      </c>
      <c r="F32" s="2" t="s">
        <v>213</v>
      </c>
      <c r="G32" s="2" t="s">
        <v>199</v>
      </c>
      <c r="H32" s="2" t="s">
        <v>247</v>
      </c>
    </row>
    <row r="33" spans="1:8" x14ac:dyDescent="0.25">
      <c r="A33" s="2">
        <v>30</v>
      </c>
      <c r="B33" s="2" t="s">
        <v>248</v>
      </c>
      <c r="C33" s="2">
        <v>220</v>
      </c>
      <c r="D33" s="2" t="s">
        <v>33</v>
      </c>
      <c r="E33" s="2" t="s">
        <v>246</v>
      </c>
      <c r="F33" s="2" t="s">
        <v>249</v>
      </c>
      <c r="G33" s="2" t="s">
        <v>199</v>
      </c>
      <c r="H33" s="2" t="s">
        <v>250</v>
      </c>
    </row>
    <row r="34" spans="1:8" x14ac:dyDescent="0.25">
      <c r="A34" s="2">
        <v>31</v>
      </c>
      <c r="B34" s="2" t="s">
        <v>251</v>
      </c>
      <c r="C34" s="2">
        <v>220</v>
      </c>
      <c r="D34" s="2" t="s">
        <v>33</v>
      </c>
      <c r="E34" s="2" t="s">
        <v>246</v>
      </c>
      <c r="F34" s="2" t="s">
        <v>252</v>
      </c>
      <c r="G34" s="2" t="s">
        <v>199</v>
      </c>
      <c r="H34" s="2" t="s">
        <v>253</v>
      </c>
    </row>
    <row r="35" spans="1:8" x14ac:dyDescent="0.25">
      <c r="A35" s="2">
        <v>32</v>
      </c>
      <c r="B35" s="2" t="s">
        <v>254</v>
      </c>
      <c r="C35" s="2">
        <v>220</v>
      </c>
      <c r="D35" s="2" t="s">
        <v>33</v>
      </c>
      <c r="E35" s="2" t="s">
        <v>246</v>
      </c>
      <c r="F35" s="2" t="s">
        <v>136</v>
      </c>
      <c r="G35" s="2" t="s">
        <v>199</v>
      </c>
      <c r="H35" s="2" t="s">
        <v>255</v>
      </c>
    </row>
    <row r="36" spans="1:8" x14ac:dyDescent="0.25">
      <c r="A36" s="2">
        <v>33</v>
      </c>
      <c r="B36" s="2" t="s">
        <v>256</v>
      </c>
      <c r="C36" s="2">
        <v>220</v>
      </c>
      <c r="D36" s="2" t="s">
        <v>33</v>
      </c>
      <c r="E36" s="2" t="s">
        <v>246</v>
      </c>
      <c r="F36" s="2" t="s">
        <v>257</v>
      </c>
      <c r="G36" s="2" t="s">
        <v>199</v>
      </c>
      <c r="H36" s="2" t="s">
        <v>258</v>
      </c>
    </row>
    <row r="37" spans="1:8" x14ac:dyDescent="0.25">
      <c r="A37" s="2">
        <v>34</v>
      </c>
      <c r="B37" s="2" t="s">
        <v>259</v>
      </c>
      <c r="C37" s="2">
        <v>220</v>
      </c>
      <c r="D37" s="2" t="s">
        <v>33</v>
      </c>
      <c r="E37" s="2" t="s">
        <v>246</v>
      </c>
      <c r="F37" s="2" t="s">
        <v>260</v>
      </c>
      <c r="G37" s="2" t="s">
        <v>199</v>
      </c>
      <c r="H37" s="2" t="s">
        <v>261</v>
      </c>
    </row>
    <row r="38" spans="1:8" x14ac:dyDescent="0.25">
      <c r="A38" s="2">
        <v>35</v>
      </c>
      <c r="B38" s="2" t="s">
        <v>262</v>
      </c>
      <c r="C38" s="2">
        <v>230</v>
      </c>
      <c r="D38" s="2" t="s">
        <v>74</v>
      </c>
      <c r="E38" s="2" t="s">
        <v>263</v>
      </c>
      <c r="F38" s="2" t="s">
        <v>264</v>
      </c>
      <c r="G38" s="2" t="s">
        <v>199</v>
      </c>
      <c r="H38" s="2" t="s">
        <v>265</v>
      </c>
    </row>
    <row r="39" spans="1:8" ht="30" x14ac:dyDescent="0.25">
      <c r="A39" s="2">
        <v>36</v>
      </c>
      <c r="B39" s="2" t="s">
        <v>266</v>
      </c>
      <c r="C39" s="2">
        <v>230</v>
      </c>
      <c r="D39" s="2" t="s">
        <v>74</v>
      </c>
      <c r="E39" s="2" t="s">
        <v>263</v>
      </c>
      <c r="F39" s="2" t="s">
        <v>267</v>
      </c>
      <c r="G39" s="2" t="s">
        <v>199</v>
      </c>
      <c r="H39" s="2" t="s">
        <v>268</v>
      </c>
    </row>
    <row r="40" spans="1:8" x14ac:dyDescent="0.25">
      <c r="A40" s="2">
        <v>37</v>
      </c>
      <c r="B40" s="2" t="s">
        <v>269</v>
      </c>
      <c r="C40" s="2">
        <v>220</v>
      </c>
      <c r="D40" s="2" t="s">
        <v>33</v>
      </c>
      <c r="E40" s="2" t="s">
        <v>270</v>
      </c>
      <c r="F40" s="2" t="s">
        <v>249</v>
      </c>
      <c r="G40" s="2" t="s">
        <v>199</v>
      </c>
      <c r="H40" s="2" t="s">
        <v>271</v>
      </c>
    </row>
    <row r="41" spans="1:8" x14ac:dyDescent="0.25">
      <c r="A41" s="2">
        <v>38</v>
      </c>
      <c r="B41" s="2" t="s">
        <v>272</v>
      </c>
      <c r="C41" s="2">
        <v>220</v>
      </c>
      <c r="D41" s="2" t="s">
        <v>33</v>
      </c>
      <c r="E41" s="2" t="s">
        <v>270</v>
      </c>
      <c r="F41" s="2" t="s">
        <v>260</v>
      </c>
      <c r="G41" s="2" t="s">
        <v>199</v>
      </c>
      <c r="H41" s="2" t="s">
        <v>273</v>
      </c>
    </row>
    <row r="42" spans="1:8" x14ac:dyDescent="0.25">
      <c r="A42" s="2">
        <v>39</v>
      </c>
      <c r="B42" s="2" t="s">
        <v>274</v>
      </c>
      <c r="C42" s="2">
        <v>220</v>
      </c>
      <c r="D42" s="2" t="s">
        <v>33</v>
      </c>
      <c r="E42" s="2" t="s">
        <v>270</v>
      </c>
      <c r="F42" s="2" t="s">
        <v>208</v>
      </c>
      <c r="G42" s="2" t="s">
        <v>199</v>
      </c>
      <c r="H42" s="2" t="s">
        <v>275</v>
      </c>
    </row>
    <row r="43" spans="1:8" x14ac:dyDescent="0.25">
      <c r="A43" s="2">
        <v>43</v>
      </c>
      <c r="B43" s="2" t="s">
        <v>276</v>
      </c>
      <c r="C43" s="2">
        <v>230</v>
      </c>
      <c r="D43" s="2" t="s">
        <v>54</v>
      </c>
      <c r="E43" s="2" t="s">
        <v>277</v>
      </c>
      <c r="F43" s="2" t="s">
        <v>278</v>
      </c>
      <c r="G43" s="2" t="s">
        <v>199</v>
      </c>
      <c r="H43" s="2" t="s">
        <v>279</v>
      </c>
    </row>
    <row r="44" spans="1:8" x14ac:dyDescent="0.25">
      <c r="A44" s="2">
        <v>44</v>
      </c>
      <c r="B44" s="2" t="s">
        <v>280</v>
      </c>
      <c r="C44" s="2">
        <v>230</v>
      </c>
      <c r="D44" s="2" t="s">
        <v>54</v>
      </c>
      <c r="E44" s="2" t="s">
        <v>277</v>
      </c>
      <c r="F44" s="2" t="s">
        <v>281</v>
      </c>
      <c r="G44" s="2" t="s">
        <v>199</v>
      </c>
      <c r="H44" s="2" t="s">
        <v>282</v>
      </c>
    </row>
    <row r="45" spans="1:8" x14ac:dyDescent="0.25">
      <c r="A45" s="2">
        <v>46</v>
      </c>
      <c r="B45" s="2" t="s">
        <v>283</v>
      </c>
      <c r="C45" s="2">
        <v>220</v>
      </c>
      <c r="D45" s="2" t="s">
        <v>45</v>
      </c>
      <c r="E45" s="2" t="s">
        <v>284</v>
      </c>
      <c r="F45" s="2" t="s">
        <v>285</v>
      </c>
      <c r="G45" s="2" t="s">
        <v>199</v>
      </c>
      <c r="H45" s="2" t="s">
        <v>286</v>
      </c>
    </row>
    <row r="46" spans="1:8" x14ac:dyDescent="0.25">
      <c r="A46" s="2">
        <v>48</v>
      </c>
      <c r="B46" s="2" t="s">
        <v>287</v>
      </c>
      <c r="C46" s="2">
        <v>230</v>
      </c>
      <c r="D46" s="2" t="s">
        <v>40</v>
      </c>
      <c r="E46" s="2" t="s">
        <v>288</v>
      </c>
      <c r="F46" s="2" t="s">
        <v>289</v>
      </c>
      <c r="G46" s="2" t="s">
        <v>199</v>
      </c>
      <c r="H46" s="2" t="s">
        <v>290</v>
      </c>
    </row>
    <row r="47" spans="1:8" x14ac:dyDescent="0.25">
      <c r="A47" s="2">
        <v>49</v>
      </c>
      <c r="B47" s="2" t="s">
        <v>291</v>
      </c>
      <c r="C47" s="2">
        <v>230</v>
      </c>
      <c r="D47" s="2" t="s">
        <v>40</v>
      </c>
      <c r="E47" s="2" t="s">
        <v>288</v>
      </c>
      <c r="F47" s="2" t="s">
        <v>292</v>
      </c>
      <c r="G47" s="2" t="s">
        <v>199</v>
      </c>
      <c r="H47" s="2" t="s">
        <v>293</v>
      </c>
    </row>
    <row r="48" spans="1:8" x14ac:dyDescent="0.25">
      <c r="A48" s="2">
        <v>50</v>
      </c>
      <c r="B48" s="2" t="s">
        <v>294</v>
      </c>
      <c r="C48" s="2">
        <v>230</v>
      </c>
      <c r="D48" s="2" t="s">
        <v>40</v>
      </c>
      <c r="E48" s="2" t="s">
        <v>288</v>
      </c>
      <c r="F48" s="2" t="s">
        <v>295</v>
      </c>
      <c r="G48" s="2" t="s">
        <v>199</v>
      </c>
      <c r="H48" s="2" t="s">
        <v>296</v>
      </c>
    </row>
    <row r="49" spans="1:8" x14ac:dyDescent="0.25">
      <c r="A49" s="2">
        <v>51</v>
      </c>
      <c r="B49" s="2" t="s">
        <v>297</v>
      </c>
      <c r="C49" s="2">
        <v>220</v>
      </c>
      <c r="D49" s="2" t="s">
        <v>45</v>
      </c>
      <c r="E49" s="2" t="s">
        <v>284</v>
      </c>
      <c r="F49" s="2" t="s">
        <v>298</v>
      </c>
      <c r="G49" s="2" t="s">
        <v>199</v>
      </c>
      <c r="H49" s="2" t="s">
        <v>299</v>
      </c>
    </row>
    <row r="50" spans="1:8" x14ac:dyDescent="0.25">
      <c r="A50" s="2">
        <v>52</v>
      </c>
      <c r="B50" s="2" t="s">
        <v>300</v>
      </c>
      <c r="C50" s="2">
        <v>220</v>
      </c>
      <c r="D50" s="2" t="s">
        <v>45</v>
      </c>
      <c r="E50" s="2" t="s">
        <v>298</v>
      </c>
      <c r="F50" s="2" t="s">
        <v>301</v>
      </c>
      <c r="G50" s="2" t="s">
        <v>199</v>
      </c>
      <c r="H50" s="2" t="s">
        <v>302</v>
      </c>
    </row>
    <row r="51" spans="1:8" x14ac:dyDescent="0.25">
      <c r="A51" s="2">
        <v>53</v>
      </c>
      <c r="B51" s="2" t="s">
        <v>303</v>
      </c>
      <c r="C51" s="2">
        <v>220</v>
      </c>
      <c r="D51" s="2" t="s">
        <v>45</v>
      </c>
      <c r="E51" s="2" t="s">
        <v>298</v>
      </c>
      <c r="F51" s="2" t="s">
        <v>301</v>
      </c>
      <c r="G51" s="2" t="s">
        <v>199</v>
      </c>
      <c r="H51" s="2" t="s">
        <v>302</v>
      </c>
    </row>
    <row r="52" spans="1:8" x14ac:dyDescent="0.25">
      <c r="A52" s="2">
        <v>54</v>
      </c>
      <c r="B52" s="2" t="s">
        <v>304</v>
      </c>
      <c r="C52" s="2">
        <v>220</v>
      </c>
      <c r="D52" s="2" t="s">
        <v>45</v>
      </c>
      <c r="E52" s="2" t="s">
        <v>284</v>
      </c>
      <c r="F52" s="2" t="s">
        <v>298</v>
      </c>
      <c r="G52" s="2" t="s">
        <v>199</v>
      </c>
      <c r="H52" s="2" t="s">
        <v>299</v>
      </c>
    </row>
    <row r="53" spans="1:8" ht="30" x14ac:dyDescent="0.25">
      <c r="A53" s="2">
        <v>57</v>
      </c>
      <c r="B53" s="2" t="s">
        <v>305</v>
      </c>
      <c r="C53" s="2">
        <v>230</v>
      </c>
      <c r="D53" s="2" t="s">
        <v>61</v>
      </c>
      <c r="E53" s="2" t="s">
        <v>105</v>
      </c>
      <c r="F53" s="2" t="s">
        <v>165</v>
      </c>
      <c r="G53" s="2" t="s">
        <v>199</v>
      </c>
      <c r="H53" s="2" t="s">
        <v>306</v>
      </c>
    </row>
    <row r="54" spans="1:8" ht="30" x14ac:dyDescent="0.25">
      <c r="A54" s="2">
        <v>58</v>
      </c>
      <c r="B54" s="2" t="s">
        <v>307</v>
      </c>
      <c r="C54" s="2">
        <v>230</v>
      </c>
      <c r="D54" s="2" t="s">
        <v>61</v>
      </c>
      <c r="E54" s="2" t="s">
        <v>105</v>
      </c>
      <c r="F54" s="2" t="s">
        <v>165</v>
      </c>
      <c r="G54" s="2" t="s">
        <v>199</v>
      </c>
      <c r="H54" s="2" t="s">
        <v>306</v>
      </c>
    </row>
    <row r="55" spans="1:8" x14ac:dyDescent="0.25">
      <c r="A55" s="2">
        <v>69</v>
      </c>
      <c r="B55" s="2" t="s">
        <v>308</v>
      </c>
      <c r="C55" s="2">
        <v>500</v>
      </c>
      <c r="D55" s="2" t="s">
        <v>47</v>
      </c>
      <c r="E55" s="2" t="s">
        <v>118</v>
      </c>
      <c r="F55" s="2" t="s">
        <v>125</v>
      </c>
      <c r="G55" s="2" t="s">
        <v>199</v>
      </c>
      <c r="H55" s="2" t="s">
        <v>309</v>
      </c>
    </row>
    <row r="56" spans="1:8" x14ac:dyDescent="0.25">
      <c r="A56" s="2">
        <v>70</v>
      </c>
      <c r="B56" s="2" t="s">
        <v>310</v>
      </c>
      <c r="C56" s="2">
        <v>230</v>
      </c>
      <c r="D56" s="2" t="s">
        <v>47</v>
      </c>
      <c r="E56" s="2" t="s">
        <v>118</v>
      </c>
      <c r="F56" s="2" t="s">
        <v>311</v>
      </c>
      <c r="G56" s="2" t="s">
        <v>199</v>
      </c>
      <c r="H56" s="2" t="s">
        <v>312</v>
      </c>
    </row>
    <row r="57" spans="1:8" x14ac:dyDescent="0.25">
      <c r="A57" s="2">
        <v>71</v>
      </c>
      <c r="B57" s="2" t="s">
        <v>313</v>
      </c>
      <c r="C57" s="2">
        <v>230</v>
      </c>
      <c r="D57" s="2" t="s">
        <v>47</v>
      </c>
      <c r="E57" s="2" t="s">
        <v>118</v>
      </c>
      <c r="F57" s="2" t="s">
        <v>314</v>
      </c>
      <c r="G57" s="2" t="s">
        <v>199</v>
      </c>
      <c r="H57" s="2" t="s">
        <v>315</v>
      </c>
    </row>
    <row r="58" spans="1:8" x14ac:dyDescent="0.25">
      <c r="A58" s="2">
        <v>72</v>
      </c>
      <c r="B58" s="2" t="s">
        <v>316</v>
      </c>
      <c r="C58" s="2">
        <v>230</v>
      </c>
      <c r="D58" s="2" t="s">
        <v>34</v>
      </c>
      <c r="E58" s="2" t="s">
        <v>317</v>
      </c>
      <c r="F58" s="2" t="s">
        <v>318</v>
      </c>
      <c r="G58" s="2" t="s">
        <v>199</v>
      </c>
      <c r="H58" s="2" t="s">
        <v>319</v>
      </c>
    </row>
    <row r="59" spans="1:8" x14ac:dyDescent="0.25">
      <c r="A59" s="2">
        <v>73</v>
      </c>
      <c r="B59" s="2" t="s">
        <v>320</v>
      </c>
      <c r="C59" s="2">
        <v>230</v>
      </c>
      <c r="D59" s="2" t="s">
        <v>34</v>
      </c>
      <c r="E59" s="2" t="s">
        <v>317</v>
      </c>
      <c r="F59" s="2" t="s">
        <v>318</v>
      </c>
      <c r="G59" s="2" t="s">
        <v>199</v>
      </c>
      <c r="H59" s="2" t="s">
        <v>319</v>
      </c>
    </row>
    <row r="60" spans="1:8" x14ac:dyDescent="0.25">
      <c r="A60" s="2">
        <v>74</v>
      </c>
      <c r="B60" s="2" t="s">
        <v>321</v>
      </c>
      <c r="C60" s="2">
        <v>230</v>
      </c>
      <c r="D60" s="2" t="s">
        <v>34</v>
      </c>
      <c r="E60" s="2" t="s">
        <v>317</v>
      </c>
      <c r="F60" s="2" t="s">
        <v>229</v>
      </c>
      <c r="G60" s="2" t="s">
        <v>199</v>
      </c>
      <c r="H60" s="2" t="s">
        <v>322</v>
      </c>
    </row>
    <row r="61" spans="1:8" x14ac:dyDescent="0.25">
      <c r="A61" s="2">
        <v>75</v>
      </c>
      <c r="B61" s="2" t="s">
        <v>323</v>
      </c>
      <c r="C61" s="2">
        <v>230</v>
      </c>
      <c r="D61" s="2" t="s">
        <v>34</v>
      </c>
      <c r="E61" s="2" t="s">
        <v>317</v>
      </c>
      <c r="F61" s="2" t="s">
        <v>229</v>
      </c>
      <c r="G61" s="2" t="s">
        <v>199</v>
      </c>
      <c r="H61" s="2" t="s">
        <v>322</v>
      </c>
    </row>
    <row r="62" spans="1:8" x14ac:dyDescent="0.25">
      <c r="A62" s="2">
        <v>78</v>
      </c>
      <c r="B62" s="2" t="s">
        <v>324</v>
      </c>
      <c r="C62" s="2">
        <v>230</v>
      </c>
      <c r="D62" s="2" t="s">
        <v>34</v>
      </c>
      <c r="E62" s="2" t="s">
        <v>325</v>
      </c>
      <c r="F62" s="2" t="s">
        <v>318</v>
      </c>
      <c r="G62" s="2" t="s">
        <v>199</v>
      </c>
      <c r="H62" s="2" t="s">
        <v>326</v>
      </c>
    </row>
    <row r="63" spans="1:8" x14ac:dyDescent="0.25">
      <c r="A63" s="2">
        <v>79</v>
      </c>
      <c r="B63" s="2" t="s">
        <v>327</v>
      </c>
      <c r="C63" s="2">
        <v>230</v>
      </c>
      <c r="D63" s="2" t="s">
        <v>34</v>
      </c>
      <c r="E63" s="2" t="s">
        <v>325</v>
      </c>
      <c r="F63" s="2" t="s">
        <v>318</v>
      </c>
      <c r="G63" s="2" t="s">
        <v>199</v>
      </c>
      <c r="H63" s="2" t="s">
        <v>326</v>
      </c>
    </row>
    <row r="64" spans="1:8" x14ac:dyDescent="0.25">
      <c r="A64" s="2">
        <v>80</v>
      </c>
      <c r="B64" s="2" t="s">
        <v>328</v>
      </c>
      <c r="C64" s="2">
        <v>230</v>
      </c>
      <c r="D64" s="2" t="s">
        <v>34</v>
      </c>
      <c r="E64" s="2" t="s">
        <v>325</v>
      </c>
      <c r="F64" s="2" t="s">
        <v>173</v>
      </c>
      <c r="G64" s="2" t="s">
        <v>199</v>
      </c>
      <c r="H64" s="2" t="s">
        <v>329</v>
      </c>
    </row>
    <row r="65" spans="1:8" x14ac:dyDescent="0.25">
      <c r="A65" s="2">
        <v>81</v>
      </c>
      <c r="B65" s="2" t="s">
        <v>330</v>
      </c>
      <c r="C65" s="2">
        <v>230</v>
      </c>
      <c r="D65" s="2" t="s">
        <v>34</v>
      </c>
      <c r="E65" s="2" t="s">
        <v>325</v>
      </c>
      <c r="F65" s="2" t="s">
        <v>331</v>
      </c>
      <c r="G65" s="2" t="s">
        <v>199</v>
      </c>
      <c r="H65" s="2" t="s">
        <v>332</v>
      </c>
    </row>
    <row r="66" spans="1:8" x14ac:dyDescent="0.25">
      <c r="A66" s="2">
        <v>82</v>
      </c>
      <c r="B66" s="2" t="s">
        <v>333</v>
      </c>
      <c r="C66" s="2">
        <v>230</v>
      </c>
      <c r="D66" s="2" t="s">
        <v>40</v>
      </c>
      <c r="E66" s="2" t="s">
        <v>334</v>
      </c>
      <c r="F66" s="2" t="s">
        <v>335</v>
      </c>
      <c r="G66" s="2" t="s">
        <v>199</v>
      </c>
      <c r="H66" s="2" t="s">
        <v>336</v>
      </c>
    </row>
    <row r="67" spans="1:8" x14ac:dyDescent="0.25">
      <c r="A67" s="2">
        <v>83</v>
      </c>
      <c r="B67" s="2" t="s">
        <v>337</v>
      </c>
      <c r="C67" s="2">
        <v>230</v>
      </c>
      <c r="D67" s="2" t="s">
        <v>40</v>
      </c>
      <c r="E67" s="2" t="s">
        <v>335</v>
      </c>
      <c r="F67" s="2" t="s">
        <v>292</v>
      </c>
      <c r="G67" s="2" t="s">
        <v>199</v>
      </c>
      <c r="H67" s="2" t="s">
        <v>338</v>
      </c>
    </row>
    <row r="68" spans="1:8" x14ac:dyDescent="0.25">
      <c r="A68" s="2">
        <v>86</v>
      </c>
      <c r="B68" s="2" t="s">
        <v>339</v>
      </c>
      <c r="C68" s="2">
        <v>220</v>
      </c>
      <c r="D68" s="2" t="s">
        <v>49</v>
      </c>
      <c r="E68" s="2" t="s">
        <v>340</v>
      </c>
      <c r="F68" s="2" t="s">
        <v>341</v>
      </c>
      <c r="G68" s="2" t="s">
        <v>199</v>
      </c>
      <c r="H68" s="2" t="s">
        <v>342</v>
      </c>
    </row>
    <row r="69" spans="1:8" x14ac:dyDescent="0.25">
      <c r="A69" s="2">
        <v>87</v>
      </c>
      <c r="B69" s="2" t="s">
        <v>343</v>
      </c>
      <c r="C69" s="2">
        <v>220</v>
      </c>
      <c r="D69" s="2" t="s">
        <v>49</v>
      </c>
      <c r="E69" s="2" t="s">
        <v>340</v>
      </c>
      <c r="F69" s="2" t="s">
        <v>341</v>
      </c>
      <c r="G69" s="2" t="s">
        <v>199</v>
      </c>
      <c r="H69" s="2" t="s">
        <v>342</v>
      </c>
    </row>
    <row r="70" spans="1:8" x14ac:dyDescent="0.25">
      <c r="A70" s="2">
        <v>88</v>
      </c>
      <c r="B70" s="2" t="s">
        <v>344</v>
      </c>
      <c r="C70" s="2">
        <v>220</v>
      </c>
      <c r="D70" s="2" t="s">
        <v>49</v>
      </c>
      <c r="E70" s="2" t="s">
        <v>340</v>
      </c>
      <c r="F70" s="2" t="s">
        <v>345</v>
      </c>
      <c r="G70" s="2" t="s">
        <v>199</v>
      </c>
      <c r="H70" s="2" t="s">
        <v>346</v>
      </c>
    </row>
    <row r="71" spans="1:8" x14ac:dyDescent="0.25">
      <c r="A71" s="2">
        <v>89</v>
      </c>
      <c r="B71" s="2" t="s">
        <v>347</v>
      </c>
      <c r="C71" s="2">
        <v>220</v>
      </c>
      <c r="D71" s="2" t="s">
        <v>49</v>
      </c>
      <c r="E71" s="2" t="s">
        <v>340</v>
      </c>
      <c r="F71" s="2" t="s">
        <v>348</v>
      </c>
      <c r="G71" s="2" t="s">
        <v>199</v>
      </c>
      <c r="H71" s="2" t="s">
        <v>349</v>
      </c>
    </row>
    <row r="72" spans="1:8" x14ac:dyDescent="0.25">
      <c r="A72" s="2">
        <v>90</v>
      </c>
      <c r="B72" s="2" t="s">
        <v>350</v>
      </c>
      <c r="C72" s="2">
        <v>220</v>
      </c>
      <c r="D72" s="2" t="s">
        <v>49</v>
      </c>
      <c r="E72" s="2" t="s">
        <v>340</v>
      </c>
      <c r="F72" s="2" t="s">
        <v>348</v>
      </c>
      <c r="G72" s="2" t="s">
        <v>199</v>
      </c>
      <c r="H72" s="2" t="s">
        <v>349</v>
      </c>
    </row>
    <row r="73" spans="1:8" x14ac:dyDescent="0.25">
      <c r="A73" s="2">
        <v>91</v>
      </c>
      <c r="B73" s="2" t="s">
        <v>351</v>
      </c>
      <c r="C73" s="2">
        <v>500</v>
      </c>
      <c r="D73" s="2" t="s">
        <v>49</v>
      </c>
      <c r="E73" s="2" t="s">
        <v>352</v>
      </c>
      <c r="F73" s="2" t="s">
        <v>353</v>
      </c>
      <c r="G73" s="2" t="s">
        <v>199</v>
      </c>
      <c r="H73" s="2" t="s">
        <v>354</v>
      </c>
    </row>
    <row r="74" spans="1:8" x14ac:dyDescent="0.25">
      <c r="A74" s="2">
        <v>93</v>
      </c>
      <c r="B74" s="2" t="s">
        <v>355</v>
      </c>
      <c r="C74" s="2">
        <v>500</v>
      </c>
      <c r="D74" s="2" t="s">
        <v>49</v>
      </c>
      <c r="E74" s="2" t="s">
        <v>352</v>
      </c>
      <c r="F74" s="2" t="s">
        <v>348</v>
      </c>
      <c r="G74" s="2" t="s">
        <v>199</v>
      </c>
      <c r="H74" s="2" t="s">
        <v>356</v>
      </c>
    </row>
    <row r="75" spans="1:8" x14ac:dyDescent="0.25">
      <c r="A75" s="2">
        <v>94</v>
      </c>
      <c r="B75" s="2" t="s">
        <v>357</v>
      </c>
      <c r="C75" s="2">
        <v>500</v>
      </c>
      <c r="D75" s="2" t="s">
        <v>49</v>
      </c>
      <c r="E75" s="2" t="s">
        <v>352</v>
      </c>
      <c r="F75" s="2" t="s">
        <v>348</v>
      </c>
      <c r="G75" s="2" t="s">
        <v>199</v>
      </c>
      <c r="H75" s="2" t="s">
        <v>356</v>
      </c>
    </row>
    <row r="76" spans="1:8" x14ac:dyDescent="0.25">
      <c r="A76" s="2">
        <v>95</v>
      </c>
      <c r="B76" s="2" t="s">
        <v>358</v>
      </c>
      <c r="C76" s="2">
        <v>220</v>
      </c>
      <c r="D76" s="2" t="s">
        <v>49</v>
      </c>
      <c r="E76" s="2" t="s">
        <v>352</v>
      </c>
      <c r="F76" s="2" t="s">
        <v>359</v>
      </c>
      <c r="G76" s="2" t="s">
        <v>199</v>
      </c>
      <c r="H76" s="2" t="s">
        <v>360</v>
      </c>
    </row>
    <row r="77" spans="1:8" x14ac:dyDescent="0.25">
      <c r="A77" s="2">
        <v>96</v>
      </c>
      <c r="B77" s="2" t="s">
        <v>361</v>
      </c>
      <c r="C77" s="2">
        <v>220</v>
      </c>
      <c r="D77" s="2" t="s">
        <v>49</v>
      </c>
      <c r="E77" s="2" t="s">
        <v>352</v>
      </c>
      <c r="F77" s="2" t="s">
        <v>362</v>
      </c>
      <c r="G77" s="2" t="s">
        <v>199</v>
      </c>
      <c r="H77" s="2" t="s">
        <v>363</v>
      </c>
    </row>
    <row r="78" spans="1:8" x14ac:dyDescent="0.25">
      <c r="A78" s="2">
        <v>97</v>
      </c>
      <c r="B78" s="2" t="s">
        <v>364</v>
      </c>
      <c r="C78" s="2">
        <v>220</v>
      </c>
      <c r="D78" s="2" t="s">
        <v>49</v>
      </c>
      <c r="E78" s="2" t="s">
        <v>352</v>
      </c>
      <c r="F78" s="2" t="s">
        <v>359</v>
      </c>
      <c r="G78" s="2" t="s">
        <v>199</v>
      </c>
      <c r="H78" s="2" t="s">
        <v>360</v>
      </c>
    </row>
    <row r="79" spans="1:8" x14ac:dyDescent="0.25">
      <c r="A79" s="2">
        <v>98</v>
      </c>
      <c r="B79" s="2" t="s">
        <v>365</v>
      </c>
      <c r="C79" s="2">
        <v>220</v>
      </c>
      <c r="D79" s="2" t="s">
        <v>49</v>
      </c>
      <c r="E79" s="2" t="s">
        <v>352</v>
      </c>
      <c r="F79" s="2" t="s">
        <v>362</v>
      </c>
      <c r="G79" s="2" t="s">
        <v>199</v>
      </c>
      <c r="H79" s="2" t="s">
        <v>363</v>
      </c>
    </row>
    <row r="80" spans="1:8" x14ac:dyDescent="0.25">
      <c r="A80" s="2">
        <v>99</v>
      </c>
      <c r="B80" s="2" t="s">
        <v>366</v>
      </c>
      <c r="C80" s="2">
        <v>220</v>
      </c>
      <c r="D80" s="2" t="s">
        <v>33</v>
      </c>
      <c r="E80" s="2" t="s">
        <v>260</v>
      </c>
      <c r="F80" s="2" t="s">
        <v>252</v>
      </c>
      <c r="G80" s="2" t="s">
        <v>199</v>
      </c>
      <c r="H80" s="2" t="s">
        <v>367</v>
      </c>
    </row>
    <row r="81" spans="1:8" x14ac:dyDescent="0.25">
      <c r="A81" s="2">
        <v>100</v>
      </c>
      <c r="B81" s="2" t="s">
        <v>368</v>
      </c>
      <c r="C81" s="2">
        <v>220</v>
      </c>
      <c r="D81" s="2" t="s">
        <v>33</v>
      </c>
      <c r="E81" s="2" t="s">
        <v>257</v>
      </c>
      <c r="F81" s="2" t="s">
        <v>260</v>
      </c>
      <c r="G81" s="2" t="s">
        <v>199</v>
      </c>
      <c r="H81" s="2" t="s">
        <v>369</v>
      </c>
    </row>
    <row r="82" spans="1:8" x14ac:dyDescent="0.25">
      <c r="A82" s="2">
        <v>101</v>
      </c>
      <c r="B82" s="2" t="s">
        <v>370</v>
      </c>
      <c r="C82" s="2">
        <v>220</v>
      </c>
      <c r="D82" s="2" t="s">
        <v>33</v>
      </c>
      <c r="E82" s="2" t="s">
        <v>371</v>
      </c>
      <c r="F82" s="2" t="s">
        <v>372</v>
      </c>
      <c r="G82" s="2" t="s">
        <v>199</v>
      </c>
      <c r="H82" s="2" t="s">
        <v>373</v>
      </c>
    </row>
    <row r="83" spans="1:8" x14ac:dyDescent="0.25">
      <c r="A83" s="2">
        <v>102</v>
      </c>
      <c r="B83" s="2" t="s">
        <v>374</v>
      </c>
      <c r="C83" s="2">
        <v>220</v>
      </c>
      <c r="D83" s="2" t="s">
        <v>33</v>
      </c>
      <c r="E83" s="2" t="s">
        <v>371</v>
      </c>
      <c r="F83" s="2" t="s">
        <v>136</v>
      </c>
      <c r="G83" s="2" t="s">
        <v>199</v>
      </c>
      <c r="H83" s="2" t="s">
        <v>375</v>
      </c>
    </row>
    <row r="84" spans="1:8" x14ac:dyDescent="0.25">
      <c r="A84" s="2">
        <v>103</v>
      </c>
      <c r="B84" s="2" t="s">
        <v>376</v>
      </c>
      <c r="C84" s="2">
        <v>220</v>
      </c>
      <c r="D84" s="2" t="s">
        <v>33</v>
      </c>
      <c r="E84" s="2" t="s">
        <v>371</v>
      </c>
      <c r="F84" s="2" t="s">
        <v>377</v>
      </c>
      <c r="G84" s="2" t="s">
        <v>199</v>
      </c>
      <c r="H84" s="2" t="s">
        <v>378</v>
      </c>
    </row>
    <row r="85" spans="1:8" x14ac:dyDescent="0.25">
      <c r="A85" s="2">
        <v>104</v>
      </c>
      <c r="B85" s="2" t="s">
        <v>379</v>
      </c>
      <c r="C85" s="2">
        <v>230</v>
      </c>
      <c r="D85" s="2" t="s">
        <v>36</v>
      </c>
      <c r="E85" s="2" t="s">
        <v>132</v>
      </c>
      <c r="F85" s="2" t="s">
        <v>380</v>
      </c>
      <c r="G85" s="2" t="s">
        <v>199</v>
      </c>
      <c r="H85" s="2" t="s">
        <v>381</v>
      </c>
    </row>
    <row r="86" spans="1:8" x14ac:dyDescent="0.25">
      <c r="A86" s="2">
        <v>105</v>
      </c>
      <c r="B86" s="2" t="s">
        <v>382</v>
      </c>
      <c r="C86" s="2">
        <v>230</v>
      </c>
      <c r="D86" s="2" t="s">
        <v>36</v>
      </c>
      <c r="E86" s="2" t="s">
        <v>132</v>
      </c>
      <c r="F86" s="2" t="s">
        <v>380</v>
      </c>
      <c r="G86" s="2" t="s">
        <v>199</v>
      </c>
      <c r="H86" s="2" t="s">
        <v>381</v>
      </c>
    </row>
    <row r="87" spans="1:8" x14ac:dyDescent="0.25">
      <c r="A87" s="2">
        <v>106</v>
      </c>
      <c r="B87" s="2" t="s">
        <v>131</v>
      </c>
      <c r="C87" s="2">
        <v>230</v>
      </c>
      <c r="D87" s="2" t="s">
        <v>36</v>
      </c>
      <c r="E87" s="2" t="s">
        <v>132</v>
      </c>
      <c r="F87" s="2" t="s">
        <v>106</v>
      </c>
      <c r="G87" s="2" t="s">
        <v>383</v>
      </c>
      <c r="H87" s="2" t="s">
        <v>133</v>
      </c>
    </row>
    <row r="88" spans="1:8" x14ac:dyDescent="0.25">
      <c r="A88" s="2">
        <v>110</v>
      </c>
      <c r="B88" s="2" t="s">
        <v>134</v>
      </c>
      <c r="C88" s="2">
        <v>230</v>
      </c>
      <c r="D88" s="2" t="s">
        <v>36</v>
      </c>
      <c r="E88" s="2" t="s">
        <v>132</v>
      </c>
      <c r="F88" s="2" t="s">
        <v>106</v>
      </c>
      <c r="G88" s="2" t="s">
        <v>383</v>
      </c>
      <c r="H88" s="2" t="s">
        <v>133</v>
      </c>
    </row>
    <row r="89" spans="1:8" x14ac:dyDescent="0.25">
      <c r="A89" s="2">
        <v>111</v>
      </c>
      <c r="B89" s="2" t="s">
        <v>384</v>
      </c>
      <c r="C89" s="2">
        <v>230</v>
      </c>
      <c r="D89" s="2" t="s">
        <v>36</v>
      </c>
      <c r="E89" s="2" t="s">
        <v>132</v>
      </c>
      <c r="F89" s="2" t="s">
        <v>385</v>
      </c>
      <c r="G89" s="2" t="s">
        <v>199</v>
      </c>
      <c r="H89" s="2" t="s">
        <v>386</v>
      </c>
    </row>
    <row r="90" spans="1:8" x14ac:dyDescent="0.25">
      <c r="A90" s="2">
        <v>112</v>
      </c>
      <c r="B90" s="2" t="s">
        <v>387</v>
      </c>
      <c r="C90" s="2">
        <v>230</v>
      </c>
      <c r="D90" s="2" t="s">
        <v>36</v>
      </c>
      <c r="E90" s="2" t="s">
        <v>132</v>
      </c>
      <c r="F90" s="2" t="s">
        <v>385</v>
      </c>
      <c r="G90" s="2" t="s">
        <v>199</v>
      </c>
      <c r="H90" s="2" t="s">
        <v>386</v>
      </c>
    </row>
    <row r="91" spans="1:8" x14ac:dyDescent="0.25">
      <c r="A91" s="2">
        <v>117</v>
      </c>
      <c r="B91" s="2" t="s">
        <v>388</v>
      </c>
      <c r="C91" s="2">
        <v>220</v>
      </c>
      <c r="D91" s="2" t="s">
        <v>49</v>
      </c>
      <c r="E91" s="2" t="s">
        <v>359</v>
      </c>
      <c r="F91" s="2" t="s">
        <v>389</v>
      </c>
      <c r="G91" s="2" t="s">
        <v>199</v>
      </c>
      <c r="H91" s="2" t="s">
        <v>390</v>
      </c>
    </row>
    <row r="92" spans="1:8" x14ac:dyDescent="0.25">
      <c r="A92" s="2">
        <v>118</v>
      </c>
      <c r="B92" s="2" t="s">
        <v>391</v>
      </c>
      <c r="C92" s="2">
        <v>220</v>
      </c>
      <c r="D92" s="2" t="s">
        <v>49</v>
      </c>
      <c r="E92" s="2" t="s">
        <v>359</v>
      </c>
      <c r="F92" s="2" t="s">
        <v>389</v>
      </c>
      <c r="G92" s="2" t="s">
        <v>199</v>
      </c>
      <c r="H92" s="2" t="s">
        <v>390</v>
      </c>
    </row>
    <row r="93" spans="1:8" x14ac:dyDescent="0.25">
      <c r="A93" s="2">
        <v>119</v>
      </c>
      <c r="B93" s="2" t="s">
        <v>392</v>
      </c>
      <c r="C93" s="2">
        <v>220</v>
      </c>
      <c r="D93" s="2" t="s">
        <v>33</v>
      </c>
      <c r="E93" s="2" t="s">
        <v>257</v>
      </c>
      <c r="F93" s="2" t="s">
        <v>372</v>
      </c>
      <c r="G93" s="2" t="s">
        <v>199</v>
      </c>
      <c r="H93" s="2" t="s">
        <v>393</v>
      </c>
    </row>
    <row r="94" spans="1:8" x14ac:dyDescent="0.25">
      <c r="A94" s="2">
        <v>120</v>
      </c>
      <c r="B94" s="2" t="s">
        <v>394</v>
      </c>
      <c r="C94" s="2">
        <v>220</v>
      </c>
      <c r="D94" s="2" t="s">
        <v>33</v>
      </c>
      <c r="E94" s="2" t="s">
        <v>257</v>
      </c>
      <c r="F94" s="2" t="s">
        <v>252</v>
      </c>
      <c r="G94" s="2" t="s">
        <v>199</v>
      </c>
      <c r="H94" s="2" t="s">
        <v>395</v>
      </c>
    </row>
    <row r="95" spans="1:8" x14ac:dyDescent="0.25">
      <c r="A95" s="2">
        <v>121</v>
      </c>
      <c r="B95" s="2" t="s">
        <v>396</v>
      </c>
      <c r="C95" s="2">
        <v>220</v>
      </c>
      <c r="D95" s="2" t="s">
        <v>49</v>
      </c>
      <c r="E95" s="2" t="s">
        <v>341</v>
      </c>
      <c r="F95" s="2" t="s">
        <v>397</v>
      </c>
      <c r="G95" s="2" t="s">
        <v>199</v>
      </c>
      <c r="H95" s="2" t="s">
        <v>398</v>
      </c>
    </row>
    <row r="96" spans="1:8" x14ac:dyDescent="0.25">
      <c r="A96" s="2">
        <v>123</v>
      </c>
      <c r="B96" s="2" t="s">
        <v>399</v>
      </c>
      <c r="C96" s="2">
        <v>220</v>
      </c>
      <c r="D96" s="2" t="s">
        <v>49</v>
      </c>
      <c r="E96" s="2" t="s">
        <v>341</v>
      </c>
      <c r="F96" s="2" t="s">
        <v>400</v>
      </c>
      <c r="G96" s="2" t="s">
        <v>199</v>
      </c>
      <c r="H96" s="2" t="s">
        <v>401</v>
      </c>
    </row>
    <row r="97" spans="1:8" x14ac:dyDescent="0.25">
      <c r="A97" s="2">
        <v>124</v>
      </c>
      <c r="B97" s="2" t="s">
        <v>402</v>
      </c>
      <c r="C97" s="2">
        <v>220</v>
      </c>
      <c r="D97" s="2" t="s">
        <v>33</v>
      </c>
      <c r="E97" s="2" t="s">
        <v>136</v>
      </c>
      <c r="F97" s="2" t="s">
        <v>403</v>
      </c>
      <c r="G97" s="2" t="s">
        <v>199</v>
      </c>
      <c r="H97" s="2" t="s">
        <v>404</v>
      </c>
    </row>
    <row r="98" spans="1:8" x14ac:dyDescent="0.25">
      <c r="A98" s="2">
        <v>125</v>
      </c>
      <c r="B98" s="2" t="s">
        <v>405</v>
      </c>
      <c r="C98" s="2">
        <v>230</v>
      </c>
      <c r="D98" s="2" t="s">
        <v>33</v>
      </c>
      <c r="E98" s="2" t="s">
        <v>136</v>
      </c>
      <c r="F98" s="2" t="s">
        <v>159</v>
      </c>
      <c r="G98" s="2" t="s">
        <v>199</v>
      </c>
      <c r="H98" s="2" t="s">
        <v>406</v>
      </c>
    </row>
    <row r="99" spans="1:8" ht="30" x14ac:dyDescent="0.25">
      <c r="A99" s="2">
        <v>126</v>
      </c>
      <c r="B99" s="2" t="s">
        <v>135</v>
      </c>
      <c r="C99" s="2">
        <v>230</v>
      </c>
      <c r="D99" s="2" t="s">
        <v>33</v>
      </c>
      <c r="E99" s="2" t="s">
        <v>136</v>
      </c>
      <c r="F99" s="2" t="s">
        <v>137</v>
      </c>
      <c r="G99" s="2" t="s">
        <v>407</v>
      </c>
      <c r="H99" s="2" t="s">
        <v>138</v>
      </c>
    </row>
    <row r="100" spans="1:8" x14ac:dyDescent="0.25">
      <c r="A100" s="2">
        <v>127</v>
      </c>
      <c r="B100" s="2" t="s">
        <v>408</v>
      </c>
      <c r="C100" s="2">
        <v>230</v>
      </c>
      <c r="D100" s="2" t="s">
        <v>33</v>
      </c>
      <c r="E100" s="2" t="s">
        <v>136</v>
      </c>
      <c r="F100" s="2" t="s">
        <v>159</v>
      </c>
      <c r="G100" s="2" t="s">
        <v>199</v>
      </c>
      <c r="H100" s="2" t="s">
        <v>406</v>
      </c>
    </row>
    <row r="101" spans="1:8" x14ac:dyDescent="0.25">
      <c r="A101" s="2">
        <v>128</v>
      </c>
      <c r="B101" s="2" t="s">
        <v>409</v>
      </c>
      <c r="C101" s="2">
        <v>220</v>
      </c>
      <c r="D101" s="2" t="s">
        <v>33</v>
      </c>
      <c r="E101" s="2" t="s">
        <v>136</v>
      </c>
      <c r="F101" s="2" t="s">
        <v>377</v>
      </c>
      <c r="G101" s="2" t="s">
        <v>199</v>
      </c>
      <c r="H101" s="2" t="s">
        <v>410</v>
      </c>
    </row>
    <row r="102" spans="1:8" x14ac:dyDescent="0.25">
      <c r="A102" s="2">
        <v>129</v>
      </c>
      <c r="B102" s="2" t="s">
        <v>411</v>
      </c>
      <c r="C102" s="2">
        <v>220</v>
      </c>
      <c r="D102" s="2" t="s">
        <v>33</v>
      </c>
      <c r="E102" s="2" t="s">
        <v>136</v>
      </c>
      <c r="F102" s="2" t="s">
        <v>213</v>
      </c>
      <c r="G102" s="2" t="s">
        <v>199</v>
      </c>
      <c r="H102" s="2" t="s">
        <v>412</v>
      </c>
    </row>
    <row r="103" spans="1:8" x14ac:dyDescent="0.25">
      <c r="A103" s="2">
        <v>130</v>
      </c>
      <c r="B103" s="2" t="s">
        <v>413</v>
      </c>
      <c r="C103" s="2">
        <v>230</v>
      </c>
      <c r="D103" s="2" t="s">
        <v>33</v>
      </c>
      <c r="E103" s="2" t="s">
        <v>136</v>
      </c>
      <c r="F103" s="2" t="s">
        <v>414</v>
      </c>
      <c r="G103" s="2" t="s">
        <v>199</v>
      </c>
      <c r="H103" s="2" t="s">
        <v>415</v>
      </c>
    </row>
    <row r="104" spans="1:8" x14ac:dyDescent="0.25">
      <c r="A104" s="2">
        <v>131</v>
      </c>
      <c r="B104" s="2" t="s">
        <v>416</v>
      </c>
      <c r="C104" s="2">
        <v>230</v>
      </c>
      <c r="D104" s="2" t="s">
        <v>33</v>
      </c>
      <c r="E104" s="2" t="s">
        <v>136</v>
      </c>
      <c r="F104" s="2" t="s">
        <v>414</v>
      </c>
      <c r="G104" s="2" t="s">
        <v>199</v>
      </c>
      <c r="H104" s="2" t="s">
        <v>415</v>
      </c>
    </row>
    <row r="105" spans="1:8" ht="30" x14ac:dyDescent="0.25">
      <c r="A105" s="2">
        <v>132</v>
      </c>
      <c r="B105" s="2" t="s">
        <v>139</v>
      </c>
      <c r="C105" s="2">
        <v>230</v>
      </c>
      <c r="D105" s="2" t="s">
        <v>33</v>
      </c>
      <c r="E105" s="2" t="s">
        <v>136</v>
      </c>
      <c r="F105" s="2" t="s">
        <v>137</v>
      </c>
      <c r="G105" s="2" t="s">
        <v>407</v>
      </c>
      <c r="H105" s="2" t="s">
        <v>138</v>
      </c>
    </row>
    <row r="106" spans="1:8" x14ac:dyDescent="0.25">
      <c r="A106" s="2">
        <v>134</v>
      </c>
      <c r="B106" s="2" t="s">
        <v>417</v>
      </c>
      <c r="C106" s="2">
        <v>230</v>
      </c>
      <c r="D106" s="2" t="s">
        <v>34</v>
      </c>
      <c r="E106" s="2" t="s">
        <v>318</v>
      </c>
      <c r="F106" s="2" t="s">
        <v>173</v>
      </c>
      <c r="G106" s="2" t="s">
        <v>199</v>
      </c>
      <c r="H106" s="2" t="s">
        <v>418</v>
      </c>
    </row>
    <row r="107" spans="1:8" x14ac:dyDescent="0.25">
      <c r="A107" s="2">
        <v>136</v>
      </c>
      <c r="B107" s="2" t="s">
        <v>419</v>
      </c>
      <c r="C107" s="2">
        <v>230</v>
      </c>
      <c r="D107" s="2" t="s">
        <v>34</v>
      </c>
      <c r="E107" s="2" t="s">
        <v>318</v>
      </c>
      <c r="F107" s="2" t="s">
        <v>229</v>
      </c>
      <c r="G107" s="2" t="s">
        <v>199</v>
      </c>
      <c r="H107" s="2" t="s">
        <v>420</v>
      </c>
    </row>
    <row r="108" spans="1:8" x14ac:dyDescent="0.25">
      <c r="A108" s="2">
        <v>137</v>
      </c>
      <c r="B108" s="2" t="s">
        <v>421</v>
      </c>
      <c r="C108" s="2">
        <v>230</v>
      </c>
      <c r="D108" s="2" t="s">
        <v>34</v>
      </c>
      <c r="E108" s="2" t="s">
        <v>318</v>
      </c>
      <c r="F108" s="2" t="s">
        <v>229</v>
      </c>
      <c r="G108" s="2" t="s">
        <v>199</v>
      </c>
      <c r="H108" s="2" t="s">
        <v>420</v>
      </c>
    </row>
    <row r="109" spans="1:8" x14ac:dyDescent="0.25">
      <c r="A109" s="2">
        <v>138</v>
      </c>
      <c r="B109" s="2" t="s">
        <v>422</v>
      </c>
      <c r="C109" s="2">
        <v>230</v>
      </c>
      <c r="D109" s="2" t="s">
        <v>33</v>
      </c>
      <c r="E109" s="2" t="s">
        <v>414</v>
      </c>
      <c r="F109" s="2" t="s">
        <v>423</v>
      </c>
      <c r="G109" s="2" t="s">
        <v>199</v>
      </c>
      <c r="H109" s="2" t="s">
        <v>424</v>
      </c>
    </row>
    <row r="110" spans="1:8" x14ac:dyDescent="0.25">
      <c r="A110" s="2">
        <v>144</v>
      </c>
      <c r="B110" s="2" t="s">
        <v>425</v>
      </c>
      <c r="C110" s="2">
        <v>230</v>
      </c>
      <c r="D110" s="2" t="s">
        <v>64</v>
      </c>
      <c r="E110" s="2" t="s">
        <v>426</v>
      </c>
      <c r="F110" s="2" t="s">
        <v>427</v>
      </c>
      <c r="G110" s="2" t="s">
        <v>199</v>
      </c>
      <c r="H110" s="2" t="s">
        <v>428</v>
      </c>
    </row>
    <row r="111" spans="1:8" x14ac:dyDescent="0.25">
      <c r="A111" s="2">
        <v>145</v>
      </c>
      <c r="B111" s="2" t="s">
        <v>429</v>
      </c>
      <c r="C111" s="2">
        <v>230</v>
      </c>
      <c r="D111" s="2" t="s">
        <v>64</v>
      </c>
      <c r="E111" s="2" t="s">
        <v>426</v>
      </c>
      <c r="F111" s="2" t="s">
        <v>430</v>
      </c>
      <c r="G111" s="2" t="s">
        <v>199</v>
      </c>
      <c r="H111" s="2" t="s">
        <v>431</v>
      </c>
    </row>
    <row r="112" spans="1:8" x14ac:dyDescent="0.25">
      <c r="A112" s="2">
        <v>146</v>
      </c>
      <c r="B112" s="2" t="s">
        <v>432</v>
      </c>
      <c r="C112" s="2">
        <v>230</v>
      </c>
      <c r="D112" s="2" t="s">
        <v>64</v>
      </c>
      <c r="E112" s="2" t="s">
        <v>426</v>
      </c>
      <c r="F112" s="2" t="s">
        <v>430</v>
      </c>
      <c r="G112" s="2" t="s">
        <v>199</v>
      </c>
      <c r="H112" s="2" t="s">
        <v>431</v>
      </c>
    </row>
    <row r="113" spans="1:8" x14ac:dyDescent="0.25">
      <c r="A113" s="2">
        <v>147</v>
      </c>
      <c r="B113" s="2" t="s">
        <v>433</v>
      </c>
      <c r="C113" s="2">
        <v>230</v>
      </c>
      <c r="D113" s="2" t="s">
        <v>61</v>
      </c>
      <c r="E113" s="2" t="s">
        <v>180</v>
      </c>
      <c r="F113" s="2" t="s">
        <v>434</v>
      </c>
      <c r="G113" s="2" t="s">
        <v>199</v>
      </c>
      <c r="H113" s="2" t="s">
        <v>435</v>
      </c>
    </row>
    <row r="114" spans="1:8" ht="30" x14ac:dyDescent="0.25">
      <c r="A114" s="2">
        <v>149</v>
      </c>
      <c r="B114" s="2" t="s">
        <v>436</v>
      </c>
      <c r="C114" s="2">
        <v>230</v>
      </c>
      <c r="D114" s="2" t="s">
        <v>61</v>
      </c>
      <c r="E114" s="2" t="s">
        <v>180</v>
      </c>
      <c r="F114" s="2" t="s">
        <v>165</v>
      </c>
      <c r="G114" s="2" t="s">
        <v>199</v>
      </c>
      <c r="H114" s="2" t="s">
        <v>437</v>
      </c>
    </row>
    <row r="115" spans="1:8" x14ac:dyDescent="0.25">
      <c r="A115" s="2">
        <v>150</v>
      </c>
      <c r="B115" s="2" t="s">
        <v>438</v>
      </c>
      <c r="C115" s="2">
        <v>230</v>
      </c>
      <c r="D115" s="2" t="s">
        <v>36</v>
      </c>
      <c r="E115" s="2" t="s">
        <v>380</v>
      </c>
      <c r="F115" s="2" t="s">
        <v>439</v>
      </c>
      <c r="G115" s="2" t="s">
        <v>199</v>
      </c>
      <c r="H115" s="2" t="s">
        <v>440</v>
      </c>
    </row>
    <row r="116" spans="1:8" x14ac:dyDescent="0.25">
      <c r="A116" s="2">
        <v>151</v>
      </c>
      <c r="B116" s="2" t="s">
        <v>441</v>
      </c>
      <c r="C116" s="2">
        <v>230</v>
      </c>
      <c r="D116" s="2" t="s">
        <v>36</v>
      </c>
      <c r="E116" s="2" t="s">
        <v>380</v>
      </c>
      <c r="F116" s="2" t="s">
        <v>439</v>
      </c>
      <c r="G116" s="2" t="s">
        <v>199</v>
      </c>
      <c r="H116" s="2" t="s">
        <v>440</v>
      </c>
    </row>
    <row r="117" spans="1:8" x14ac:dyDescent="0.25">
      <c r="A117" s="2">
        <v>152</v>
      </c>
      <c r="B117" s="2" t="s">
        <v>442</v>
      </c>
      <c r="C117" s="2">
        <v>230</v>
      </c>
      <c r="D117" s="2" t="s">
        <v>34</v>
      </c>
      <c r="E117" s="2" t="s">
        <v>443</v>
      </c>
      <c r="F117" s="2" t="s">
        <v>234</v>
      </c>
      <c r="G117" s="2" t="s">
        <v>199</v>
      </c>
      <c r="H117" s="2" t="s">
        <v>444</v>
      </c>
    </row>
    <row r="118" spans="1:8" x14ac:dyDescent="0.25">
      <c r="A118" s="2">
        <v>153</v>
      </c>
      <c r="B118" s="2" t="s">
        <v>445</v>
      </c>
      <c r="C118" s="2">
        <v>230</v>
      </c>
      <c r="D118" s="2" t="s">
        <v>34</v>
      </c>
      <c r="E118" s="2" t="s">
        <v>443</v>
      </c>
      <c r="F118" s="2" t="s">
        <v>234</v>
      </c>
      <c r="G118" s="2" t="s">
        <v>199</v>
      </c>
      <c r="H118" s="2" t="s">
        <v>444</v>
      </c>
    </row>
    <row r="119" spans="1:8" x14ac:dyDescent="0.25">
      <c r="A119" s="2">
        <v>154</v>
      </c>
      <c r="B119" s="2" t="s">
        <v>446</v>
      </c>
      <c r="C119" s="2">
        <v>230</v>
      </c>
      <c r="D119" s="2" t="s">
        <v>34</v>
      </c>
      <c r="E119" s="2" t="s">
        <v>443</v>
      </c>
      <c r="F119" s="2" t="s">
        <v>447</v>
      </c>
      <c r="G119" s="2" t="s">
        <v>199</v>
      </c>
      <c r="H119" s="2" t="s">
        <v>448</v>
      </c>
    </row>
    <row r="120" spans="1:8" x14ac:dyDescent="0.25">
      <c r="A120" s="2">
        <v>155</v>
      </c>
      <c r="B120" s="2" t="s">
        <v>449</v>
      </c>
      <c r="C120" s="2">
        <v>230</v>
      </c>
      <c r="D120" s="2" t="s">
        <v>34</v>
      </c>
      <c r="E120" s="2" t="s">
        <v>443</v>
      </c>
      <c r="F120" s="2" t="s">
        <v>447</v>
      </c>
      <c r="G120" s="2" t="s">
        <v>199</v>
      </c>
      <c r="H120" s="2" t="s">
        <v>448</v>
      </c>
    </row>
    <row r="121" spans="1:8" x14ac:dyDescent="0.25">
      <c r="A121" s="2">
        <v>156</v>
      </c>
      <c r="B121" s="2" t="s">
        <v>450</v>
      </c>
      <c r="C121" s="2">
        <v>230</v>
      </c>
      <c r="D121" s="2" t="s">
        <v>36</v>
      </c>
      <c r="E121" s="2" t="s">
        <v>141</v>
      </c>
      <c r="F121" s="2" t="s">
        <v>385</v>
      </c>
      <c r="G121" s="2" t="s">
        <v>199</v>
      </c>
      <c r="H121" s="2" t="s">
        <v>451</v>
      </c>
    </row>
    <row r="122" spans="1:8" x14ac:dyDescent="0.25">
      <c r="A122" s="2">
        <v>157</v>
      </c>
      <c r="B122" s="2" t="s">
        <v>452</v>
      </c>
      <c r="C122" s="2">
        <v>230</v>
      </c>
      <c r="D122" s="2" t="s">
        <v>34</v>
      </c>
      <c r="E122" s="2" t="s">
        <v>234</v>
      </c>
      <c r="F122" s="2" t="s">
        <v>144</v>
      </c>
      <c r="G122" s="2" t="s">
        <v>199</v>
      </c>
      <c r="H122" s="2" t="s">
        <v>453</v>
      </c>
    </row>
    <row r="123" spans="1:8" x14ac:dyDescent="0.25">
      <c r="A123" s="2">
        <v>162</v>
      </c>
      <c r="B123" s="2" t="s">
        <v>454</v>
      </c>
      <c r="C123" s="2">
        <v>230</v>
      </c>
      <c r="D123" s="2" t="s">
        <v>56</v>
      </c>
      <c r="E123" s="2" t="s">
        <v>455</v>
      </c>
      <c r="F123" s="2" t="s">
        <v>456</v>
      </c>
      <c r="G123" s="2" t="s">
        <v>199</v>
      </c>
      <c r="H123" s="2" t="s">
        <v>457</v>
      </c>
    </row>
    <row r="124" spans="1:8" x14ac:dyDescent="0.25">
      <c r="A124" s="2">
        <v>163</v>
      </c>
      <c r="B124" s="2" t="s">
        <v>458</v>
      </c>
      <c r="C124" s="2">
        <v>220</v>
      </c>
      <c r="D124" s="2" t="s">
        <v>33</v>
      </c>
      <c r="E124" s="2" t="s">
        <v>249</v>
      </c>
      <c r="F124" s="2" t="s">
        <v>372</v>
      </c>
      <c r="G124" s="2" t="s">
        <v>199</v>
      </c>
      <c r="H124" s="2" t="s">
        <v>459</v>
      </c>
    </row>
    <row r="125" spans="1:8" x14ac:dyDescent="0.25">
      <c r="A125" s="2">
        <v>164</v>
      </c>
      <c r="B125" s="2" t="s">
        <v>140</v>
      </c>
      <c r="C125" s="2">
        <v>230</v>
      </c>
      <c r="D125" s="2" t="s">
        <v>36</v>
      </c>
      <c r="E125" s="2" t="s">
        <v>141</v>
      </c>
      <c r="F125" s="2" t="s">
        <v>106</v>
      </c>
      <c r="G125" s="2" t="s">
        <v>383</v>
      </c>
      <c r="H125" s="2" t="s">
        <v>142</v>
      </c>
    </row>
    <row r="126" spans="1:8" x14ac:dyDescent="0.25">
      <c r="A126" s="2">
        <v>165</v>
      </c>
      <c r="B126" s="2" t="s">
        <v>460</v>
      </c>
      <c r="C126" s="2">
        <v>230</v>
      </c>
      <c r="D126" s="2" t="s">
        <v>40</v>
      </c>
      <c r="E126" s="2" t="s">
        <v>292</v>
      </c>
      <c r="F126" s="2" t="s">
        <v>295</v>
      </c>
      <c r="G126" s="2" t="s">
        <v>199</v>
      </c>
      <c r="H126" s="2" t="s">
        <v>461</v>
      </c>
    </row>
    <row r="127" spans="1:8" x14ac:dyDescent="0.25">
      <c r="A127" s="2">
        <v>168</v>
      </c>
      <c r="B127" s="2" t="s">
        <v>462</v>
      </c>
      <c r="C127" s="2">
        <v>230</v>
      </c>
      <c r="D127" s="2" t="s">
        <v>33</v>
      </c>
      <c r="E127" s="2" t="s">
        <v>423</v>
      </c>
      <c r="F127" s="2" t="s">
        <v>129</v>
      </c>
      <c r="G127" s="2" t="s">
        <v>199</v>
      </c>
      <c r="H127" s="2" t="s">
        <v>463</v>
      </c>
    </row>
    <row r="128" spans="1:8" x14ac:dyDescent="0.25">
      <c r="A128" s="2">
        <v>169</v>
      </c>
      <c r="B128" s="2" t="s">
        <v>464</v>
      </c>
      <c r="C128" s="2">
        <v>500</v>
      </c>
      <c r="D128" s="2" t="s">
        <v>33</v>
      </c>
      <c r="E128" s="2" t="s">
        <v>121</v>
      </c>
      <c r="F128" s="2" t="s">
        <v>176</v>
      </c>
      <c r="G128" s="2" t="s">
        <v>199</v>
      </c>
      <c r="H128" s="2" t="s">
        <v>465</v>
      </c>
    </row>
    <row r="129" spans="1:8" x14ac:dyDescent="0.25">
      <c r="A129" s="2">
        <v>170</v>
      </c>
      <c r="B129" s="2" t="s">
        <v>466</v>
      </c>
      <c r="C129" s="2">
        <v>230</v>
      </c>
      <c r="D129" s="2" t="s">
        <v>67</v>
      </c>
      <c r="E129" s="2" t="s">
        <v>467</v>
      </c>
      <c r="F129" s="2" t="s">
        <v>468</v>
      </c>
      <c r="G129" s="2" t="s">
        <v>199</v>
      </c>
      <c r="H129" s="2" t="s">
        <v>469</v>
      </c>
    </row>
    <row r="130" spans="1:8" ht="30" x14ac:dyDescent="0.25">
      <c r="A130" s="2">
        <v>173</v>
      </c>
      <c r="B130" s="2" t="s">
        <v>470</v>
      </c>
      <c r="C130" s="2">
        <v>220</v>
      </c>
      <c r="D130" s="2" t="s">
        <v>44</v>
      </c>
      <c r="E130" s="2" t="s">
        <v>471</v>
      </c>
      <c r="F130" s="2" t="s">
        <v>472</v>
      </c>
      <c r="G130" s="2" t="s">
        <v>199</v>
      </c>
      <c r="H130" s="2" t="s">
        <v>473</v>
      </c>
    </row>
    <row r="131" spans="1:8" ht="30" x14ac:dyDescent="0.25">
      <c r="A131" s="2">
        <v>174</v>
      </c>
      <c r="B131" s="2" t="s">
        <v>474</v>
      </c>
      <c r="C131" s="2">
        <v>220</v>
      </c>
      <c r="D131" s="2" t="s">
        <v>44</v>
      </c>
      <c r="E131" s="2" t="s">
        <v>475</v>
      </c>
      <c r="F131" s="2" t="s">
        <v>472</v>
      </c>
      <c r="G131" s="2" t="s">
        <v>199</v>
      </c>
      <c r="H131" s="2" t="s">
        <v>476</v>
      </c>
    </row>
    <row r="132" spans="1:8" ht="30" x14ac:dyDescent="0.25">
      <c r="A132" s="2">
        <v>175</v>
      </c>
      <c r="B132" s="2" t="s">
        <v>477</v>
      </c>
      <c r="C132" s="2">
        <v>220</v>
      </c>
      <c r="D132" s="2" t="s">
        <v>44</v>
      </c>
      <c r="E132" s="2" t="s">
        <v>475</v>
      </c>
      <c r="F132" s="2" t="s">
        <v>472</v>
      </c>
      <c r="G132" s="2" t="s">
        <v>199</v>
      </c>
      <c r="H132" s="2" t="s">
        <v>476</v>
      </c>
    </row>
    <row r="133" spans="1:8" x14ac:dyDescent="0.25">
      <c r="A133" s="2">
        <v>178</v>
      </c>
      <c r="B133" s="2" t="s">
        <v>478</v>
      </c>
      <c r="C133" s="2">
        <v>230</v>
      </c>
      <c r="D133" s="2" t="s">
        <v>74</v>
      </c>
      <c r="E133" s="2" t="s">
        <v>267</v>
      </c>
      <c r="F133" s="2" t="s">
        <v>479</v>
      </c>
      <c r="G133" s="2" t="s">
        <v>199</v>
      </c>
      <c r="H133" s="2" t="s">
        <v>480</v>
      </c>
    </row>
    <row r="134" spans="1:8" x14ac:dyDescent="0.25">
      <c r="A134" s="2">
        <v>180</v>
      </c>
      <c r="B134" s="2" t="s">
        <v>481</v>
      </c>
      <c r="C134" s="2">
        <v>230</v>
      </c>
      <c r="D134" s="2" t="s">
        <v>33</v>
      </c>
      <c r="E134" s="2" t="s">
        <v>176</v>
      </c>
      <c r="F134" s="2" t="s">
        <v>372</v>
      </c>
      <c r="G134" s="2" t="s">
        <v>199</v>
      </c>
      <c r="H134" s="2" t="s">
        <v>482</v>
      </c>
    </row>
    <row r="135" spans="1:8" x14ac:dyDescent="0.25">
      <c r="A135" s="2">
        <v>181</v>
      </c>
      <c r="B135" s="2" t="s">
        <v>483</v>
      </c>
      <c r="C135" s="2">
        <v>220</v>
      </c>
      <c r="D135" s="2" t="s">
        <v>33</v>
      </c>
      <c r="E135" s="2" t="s">
        <v>377</v>
      </c>
      <c r="F135" s="2" t="s">
        <v>403</v>
      </c>
      <c r="G135" s="2" t="s">
        <v>199</v>
      </c>
      <c r="H135" s="2" t="s">
        <v>484</v>
      </c>
    </row>
    <row r="136" spans="1:8" x14ac:dyDescent="0.25">
      <c r="A136" s="2">
        <v>182</v>
      </c>
      <c r="B136" s="2" t="s">
        <v>485</v>
      </c>
      <c r="C136" s="2">
        <v>230</v>
      </c>
      <c r="D136" s="2" t="s">
        <v>51</v>
      </c>
      <c r="E136" s="2" t="s">
        <v>486</v>
      </c>
      <c r="F136" s="2" t="s">
        <v>487</v>
      </c>
      <c r="G136" s="2" t="s">
        <v>199</v>
      </c>
      <c r="H136" s="2" t="s">
        <v>488</v>
      </c>
    </row>
    <row r="137" spans="1:8" x14ac:dyDescent="0.25">
      <c r="A137" s="2">
        <v>183</v>
      </c>
      <c r="B137" s="2" t="s">
        <v>489</v>
      </c>
      <c r="C137" s="2">
        <v>230</v>
      </c>
      <c r="D137" s="2" t="s">
        <v>51</v>
      </c>
      <c r="E137" s="2" t="s">
        <v>486</v>
      </c>
      <c r="F137" s="2" t="s">
        <v>487</v>
      </c>
      <c r="G137" s="2" t="s">
        <v>199</v>
      </c>
      <c r="H137" s="2" t="s">
        <v>488</v>
      </c>
    </row>
    <row r="138" spans="1:8" x14ac:dyDescent="0.25">
      <c r="A138" s="2">
        <v>184</v>
      </c>
      <c r="B138" s="2" t="s">
        <v>490</v>
      </c>
      <c r="C138" s="2">
        <v>230</v>
      </c>
      <c r="D138" s="2" t="s">
        <v>40</v>
      </c>
      <c r="E138" s="2" t="s">
        <v>292</v>
      </c>
      <c r="F138" s="2" t="s">
        <v>491</v>
      </c>
      <c r="G138" s="2" t="s">
        <v>199</v>
      </c>
      <c r="H138" s="2" t="s">
        <v>492</v>
      </c>
    </row>
    <row r="139" spans="1:8" x14ac:dyDescent="0.25">
      <c r="A139" s="2">
        <v>185</v>
      </c>
      <c r="B139" s="2" t="s">
        <v>493</v>
      </c>
      <c r="C139" s="2">
        <v>230</v>
      </c>
      <c r="D139" s="2" t="s">
        <v>40</v>
      </c>
      <c r="E139" s="2" t="s">
        <v>292</v>
      </c>
      <c r="F139" s="2" t="s">
        <v>491</v>
      </c>
      <c r="G139" s="2" t="s">
        <v>199</v>
      </c>
      <c r="H139" s="2" t="s">
        <v>492</v>
      </c>
    </row>
    <row r="140" spans="1:8" x14ac:dyDescent="0.25">
      <c r="A140" s="2">
        <v>186</v>
      </c>
      <c r="B140" s="2" t="s">
        <v>494</v>
      </c>
      <c r="C140" s="2">
        <v>230</v>
      </c>
      <c r="D140" s="2" t="s">
        <v>40</v>
      </c>
      <c r="E140" s="2" t="s">
        <v>491</v>
      </c>
      <c r="F140" s="2" t="s">
        <v>289</v>
      </c>
      <c r="G140" s="2" t="s">
        <v>199</v>
      </c>
      <c r="H140" s="2" t="s">
        <v>495</v>
      </c>
    </row>
    <row r="141" spans="1:8" x14ac:dyDescent="0.25">
      <c r="A141" s="2">
        <v>187</v>
      </c>
      <c r="B141" s="2" t="s">
        <v>496</v>
      </c>
      <c r="C141" s="2">
        <v>230</v>
      </c>
      <c r="D141" s="2" t="s">
        <v>40</v>
      </c>
      <c r="E141" s="2" t="s">
        <v>491</v>
      </c>
      <c r="F141" s="2" t="s">
        <v>289</v>
      </c>
      <c r="G141" s="2" t="s">
        <v>199</v>
      </c>
      <c r="H141" s="2" t="s">
        <v>495</v>
      </c>
    </row>
    <row r="142" spans="1:8" x14ac:dyDescent="0.25">
      <c r="A142" s="2">
        <v>188</v>
      </c>
      <c r="B142" s="2" t="s">
        <v>497</v>
      </c>
      <c r="C142" s="2">
        <v>230</v>
      </c>
      <c r="D142" s="2" t="s">
        <v>61</v>
      </c>
      <c r="E142" s="2" t="s">
        <v>185</v>
      </c>
      <c r="F142" s="2" t="s">
        <v>202</v>
      </c>
      <c r="G142" s="2" t="s">
        <v>199</v>
      </c>
      <c r="H142" s="2" t="s">
        <v>498</v>
      </c>
    </row>
    <row r="143" spans="1:8" x14ac:dyDescent="0.25">
      <c r="A143" s="2">
        <v>189</v>
      </c>
      <c r="B143" s="2" t="s">
        <v>499</v>
      </c>
      <c r="C143" s="2">
        <v>230</v>
      </c>
      <c r="D143" s="2" t="s">
        <v>61</v>
      </c>
      <c r="E143" s="2" t="s">
        <v>185</v>
      </c>
      <c r="F143" s="2" t="s">
        <v>434</v>
      </c>
      <c r="G143" s="2" t="s">
        <v>199</v>
      </c>
      <c r="H143" s="2" t="s">
        <v>500</v>
      </c>
    </row>
    <row r="144" spans="1:8" x14ac:dyDescent="0.25">
      <c r="A144" s="2">
        <v>190</v>
      </c>
      <c r="B144" s="2" t="s">
        <v>501</v>
      </c>
      <c r="C144" s="2">
        <v>230</v>
      </c>
      <c r="D144" s="2" t="s">
        <v>34</v>
      </c>
      <c r="E144" s="2" t="s">
        <v>173</v>
      </c>
      <c r="F144" s="2" t="s">
        <v>447</v>
      </c>
      <c r="G144" s="2" t="s">
        <v>199</v>
      </c>
      <c r="H144" s="2" t="s">
        <v>502</v>
      </c>
    </row>
    <row r="145" spans="1:8" x14ac:dyDescent="0.25">
      <c r="A145" s="2">
        <v>191</v>
      </c>
      <c r="B145" s="2" t="s">
        <v>503</v>
      </c>
      <c r="C145" s="2">
        <v>230</v>
      </c>
      <c r="D145" s="2" t="s">
        <v>34</v>
      </c>
      <c r="E145" s="2" t="s">
        <v>173</v>
      </c>
      <c r="F145" s="2" t="s">
        <v>447</v>
      </c>
      <c r="G145" s="2" t="s">
        <v>199</v>
      </c>
      <c r="H145" s="2" t="s">
        <v>502</v>
      </c>
    </row>
    <row r="146" spans="1:8" x14ac:dyDescent="0.25">
      <c r="A146" s="2">
        <v>192</v>
      </c>
      <c r="B146" s="2" t="s">
        <v>504</v>
      </c>
      <c r="C146" s="2">
        <v>230</v>
      </c>
      <c r="D146" s="2" t="s">
        <v>33</v>
      </c>
      <c r="E146" s="2" t="s">
        <v>403</v>
      </c>
      <c r="F146" s="2" t="s">
        <v>129</v>
      </c>
      <c r="G146" s="2" t="s">
        <v>199</v>
      </c>
      <c r="H146" s="2" t="s">
        <v>505</v>
      </c>
    </row>
    <row r="147" spans="1:8" x14ac:dyDescent="0.25">
      <c r="A147" s="2">
        <v>193</v>
      </c>
      <c r="B147" s="2" t="s">
        <v>506</v>
      </c>
      <c r="C147" s="2">
        <v>500</v>
      </c>
      <c r="D147" s="2" t="s">
        <v>33</v>
      </c>
      <c r="E147" s="2" t="s">
        <v>121</v>
      </c>
      <c r="F147" s="2" t="s">
        <v>113</v>
      </c>
      <c r="G147" s="2" t="s">
        <v>199</v>
      </c>
      <c r="H147" s="2" t="s">
        <v>507</v>
      </c>
    </row>
    <row r="148" spans="1:8" x14ac:dyDescent="0.25">
      <c r="A148" s="2">
        <v>196</v>
      </c>
      <c r="B148" s="2" t="s">
        <v>508</v>
      </c>
      <c r="C148" s="2">
        <v>230</v>
      </c>
      <c r="D148" s="2" t="s">
        <v>33</v>
      </c>
      <c r="E148" s="2" t="s">
        <v>155</v>
      </c>
      <c r="F148" s="2" t="s">
        <v>129</v>
      </c>
      <c r="G148" s="2" t="s">
        <v>199</v>
      </c>
      <c r="H148" s="2" t="s">
        <v>509</v>
      </c>
    </row>
    <row r="149" spans="1:8" x14ac:dyDescent="0.25">
      <c r="A149" s="2">
        <v>198</v>
      </c>
      <c r="B149" s="2" t="s">
        <v>150</v>
      </c>
      <c r="C149" s="2">
        <v>230</v>
      </c>
      <c r="D149" s="2" t="s">
        <v>36</v>
      </c>
      <c r="E149" s="2" t="s">
        <v>151</v>
      </c>
      <c r="F149" s="2" t="s">
        <v>145</v>
      </c>
      <c r="G149" s="2" t="s">
        <v>383</v>
      </c>
      <c r="H149" s="2" t="s">
        <v>152</v>
      </c>
    </row>
    <row r="150" spans="1:8" x14ac:dyDescent="0.25">
      <c r="A150" s="2">
        <v>199</v>
      </c>
      <c r="B150" s="2" t="s">
        <v>153</v>
      </c>
      <c r="C150" s="2">
        <v>230</v>
      </c>
      <c r="D150" s="2" t="s">
        <v>36</v>
      </c>
      <c r="E150" s="2" t="s">
        <v>151</v>
      </c>
      <c r="F150" s="2" t="s">
        <v>145</v>
      </c>
      <c r="G150" s="2" t="s">
        <v>383</v>
      </c>
      <c r="H150" s="2" t="s">
        <v>152</v>
      </c>
    </row>
    <row r="151" spans="1:8" x14ac:dyDescent="0.25">
      <c r="A151" s="2">
        <v>202</v>
      </c>
      <c r="B151" s="2" t="s">
        <v>510</v>
      </c>
      <c r="C151" s="2">
        <v>220</v>
      </c>
      <c r="D151" s="2" t="s">
        <v>44</v>
      </c>
      <c r="E151" s="2" t="s">
        <v>472</v>
      </c>
      <c r="F151" s="2" t="s">
        <v>511</v>
      </c>
      <c r="G151" s="2" t="s">
        <v>199</v>
      </c>
      <c r="H151" s="2" t="s">
        <v>512</v>
      </c>
    </row>
    <row r="152" spans="1:8" x14ac:dyDescent="0.25">
      <c r="A152" s="2">
        <v>203</v>
      </c>
      <c r="B152" s="2" t="s">
        <v>513</v>
      </c>
      <c r="C152" s="2">
        <v>220</v>
      </c>
      <c r="D152" s="2" t="s">
        <v>44</v>
      </c>
      <c r="E152" s="2" t="s">
        <v>472</v>
      </c>
      <c r="F152" s="2" t="s">
        <v>511</v>
      </c>
      <c r="G152" s="2" t="s">
        <v>199</v>
      </c>
      <c r="H152" s="2" t="s">
        <v>512</v>
      </c>
    </row>
    <row r="153" spans="1:8" x14ac:dyDescent="0.25">
      <c r="A153" s="2">
        <v>206</v>
      </c>
      <c r="B153" s="2" t="s">
        <v>514</v>
      </c>
      <c r="C153" s="2">
        <v>220</v>
      </c>
      <c r="D153" s="2" t="s">
        <v>44</v>
      </c>
      <c r="E153" s="2" t="s">
        <v>472</v>
      </c>
      <c r="F153" s="2" t="s">
        <v>511</v>
      </c>
      <c r="G153" s="2" t="s">
        <v>199</v>
      </c>
      <c r="H153" s="2" t="s">
        <v>512</v>
      </c>
    </row>
    <row r="154" spans="1:8" x14ac:dyDescent="0.25">
      <c r="A154" s="2">
        <v>208</v>
      </c>
      <c r="B154" s="2" t="s">
        <v>515</v>
      </c>
      <c r="C154" s="2">
        <v>220</v>
      </c>
      <c r="D154" s="2" t="s">
        <v>44</v>
      </c>
      <c r="E154" s="2" t="s">
        <v>471</v>
      </c>
      <c r="F154" s="2" t="s">
        <v>511</v>
      </c>
      <c r="G154" s="2" t="s">
        <v>199</v>
      </c>
      <c r="H154" s="2" t="s">
        <v>516</v>
      </c>
    </row>
    <row r="155" spans="1:8" x14ac:dyDescent="0.25">
      <c r="A155" s="2">
        <v>209</v>
      </c>
      <c r="B155" s="2" t="s">
        <v>517</v>
      </c>
      <c r="C155" s="2">
        <v>220</v>
      </c>
      <c r="D155" s="2" t="s">
        <v>44</v>
      </c>
      <c r="E155" s="2" t="s">
        <v>511</v>
      </c>
      <c r="F155" s="2" t="s">
        <v>518</v>
      </c>
      <c r="G155" s="2" t="s">
        <v>199</v>
      </c>
      <c r="H155" s="2" t="s">
        <v>519</v>
      </c>
    </row>
    <row r="156" spans="1:8" x14ac:dyDescent="0.25">
      <c r="A156" s="2">
        <v>210</v>
      </c>
      <c r="B156" s="2" t="s">
        <v>520</v>
      </c>
      <c r="C156" s="2">
        <v>220</v>
      </c>
      <c r="D156" s="2" t="s">
        <v>44</v>
      </c>
      <c r="E156" s="2" t="s">
        <v>511</v>
      </c>
      <c r="F156" s="2" t="s">
        <v>518</v>
      </c>
      <c r="G156" s="2" t="s">
        <v>199</v>
      </c>
      <c r="H156" s="2" t="s">
        <v>519</v>
      </c>
    </row>
    <row r="157" spans="1:8" x14ac:dyDescent="0.25">
      <c r="A157" s="2">
        <v>212</v>
      </c>
      <c r="B157" s="2" t="s">
        <v>521</v>
      </c>
      <c r="C157" s="2">
        <v>220</v>
      </c>
      <c r="D157" s="2" t="s">
        <v>44</v>
      </c>
      <c r="E157" s="2" t="s">
        <v>511</v>
      </c>
      <c r="F157" s="2" t="s">
        <v>518</v>
      </c>
      <c r="G157" s="2" t="s">
        <v>199</v>
      </c>
      <c r="H157" s="2" t="s">
        <v>519</v>
      </c>
    </row>
    <row r="158" spans="1:8" x14ac:dyDescent="0.25">
      <c r="A158" s="2">
        <v>213</v>
      </c>
      <c r="B158" s="2" t="s">
        <v>522</v>
      </c>
      <c r="C158" s="2">
        <v>230</v>
      </c>
      <c r="D158" s="2" t="s">
        <v>42</v>
      </c>
      <c r="E158" s="2" t="s">
        <v>240</v>
      </c>
      <c r="F158" s="2" t="s">
        <v>523</v>
      </c>
      <c r="G158" s="2" t="s">
        <v>199</v>
      </c>
      <c r="H158" s="2" t="s">
        <v>524</v>
      </c>
    </row>
    <row r="159" spans="1:8" x14ac:dyDescent="0.25">
      <c r="A159" s="2">
        <v>215</v>
      </c>
      <c r="B159" s="2" t="s">
        <v>525</v>
      </c>
      <c r="C159" s="2">
        <v>230</v>
      </c>
      <c r="D159" s="2" t="s">
        <v>64</v>
      </c>
      <c r="E159" s="2" t="s">
        <v>526</v>
      </c>
      <c r="F159" s="2" t="s">
        <v>430</v>
      </c>
      <c r="G159" s="2" t="s">
        <v>199</v>
      </c>
      <c r="H159" s="2" t="s">
        <v>527</v>
      </c>
    </row>
    <row r="160" spans="1:8" x14ac:dyDescent="0.25">
      <c r="A160" s="2">
        <v>216</v>
      </c>
      <c r="B160" s="2" t="s">
        <v>528</v>
      </c>
      <c r="C160" s="2">
        <v>500</v>
      </c>
      <c r="D160" s="2" t="s">
        <v>33</v>
      </c>
      <c r="E160" s="2" t="s">
        <v>113</v>
      </c>
      <c r="F160" s="2" t="s">
        <v>159</v>
      </c>
      <c r="G160" s="2" t="s">
        <v>199</v>
      </c>
      <c r="H160" s="2" t="s">
        <v>529</v>
      </c>
    </row>
    <row r="161" spans="1:8" x14ac:dyDescent="0.25">
      <c r="A161" s="2">
        <v>220</v>
      </c>
      <c r="B161" s="2" t="s">
        <v>530</v>
      </c>
      <c r="C161" s="2">
        <v>230</v>
      </c>
      <c r="D161" s="2" t="s">
        <v>33</v>
      </c>
      <c r="E161" s="2" t="s">
        <v>155</v>
      </c>
      <c r="F161" s="2" t="s">
        <v>159</v>
      </c>
      <c r="G161" s="2" t="s">
        <v>199</v>
      </c>
      <c r="H161" s="2" t="s">
        <v>531</v>
      </c>
    </row>
    <row r="162" spans="1:8" x14ac:dyDescent="0.25">
      <c r="A162" s="2">
        <v>221</v>
      </c>
      <c r="B162" s="2" t="s">
        <v>532</v>
      </c>
      <c r="C162" s="2">
        <v>500</v>
      </c>
      <c r="D162" s="2" t="s">
        <v>33</v>
      </c>
      <c r="E162" s="2" t="s">
        <v>129</v>
      </c>
      <c r="F162" s="2" t="s">
        <v>159</v>
      </c>
      <c r="G162" s="2" t="s">
        <v>199</v>
      </c>
      <c r="H162" s="2" t="s">
        <v>533</v>
      </c>
    </row>
    <row r="163" spans="1:8" x14ac:dyDescent="0.25">
      <c r="A163" s="2">
        <v>222</v>
      </c>
      <c r="B163" s="2" t="s">
        <v>534</v>
      </c>
      <c r="C163" s="2">
        <v>230</v>
      </c>
      <c r="D163" s="2" t="s">
        <v>36</v>
      </c>
      <c r="E163" s="2" t="s">
        <v>151</v>
      </c>
      <c r="F163" s="2" t="s">
        <v>439</v>
      </c>
      <c r="G163" s="2" t="s">
        <v>199</v>
      </c>
      <c r="H163" s="2" t="s">
        <v>535</v>
      </c>
    </row>
    <row r="164" spans="1:8" x14ac:dyDescent="0.25">
      <c r="A164" s="2">
        <v>223</v>
      </c>
      <c r="B164" s="2" t="s">
        <v>536</v>
      </c>
      <c r="C164" s="2">
        <v>230</v>
      </c>
      <c r="D164" s="2" t="s">
        <v>36</v>
      </c>
      <c r="E164" s="2" t="s">
        <v>151</v>
      </c>
      <c r="F164" s="2" t="s">
        <v>439</v>
      </c>
      <c r="G164" s="2" t="s">
        <v>199</v>
      </c>
      <c r="H164" s="2" t="s">
        <v>535</v>
      </c>
    </row>
    <row r="165" spans="1:8" x14ac:dyDescent="0.25">
      <c r="A165" s="2">
        <v>225</v>
      </c>
      <c r="B165" s="2" t="s">
        <v>537</v>
      </c>
      <c r="C165" s="2">
        <v>230</v>
      </c>
      <c r="D165" s="2" t="s">
        <v>61</v>
      </c>
      <c r="E165" s="2" t="s">
        <v>165</v>
      </c>
      <c r="F165" s="2" t="s">
        <v>202</v>
      </c>
      <c r="G165" s="2" t="s">
        <v>199</v>
      </c>
      <c r="H165" s="2" t="s">
        <v>538</v>
      </c>
    </row>
    <row r="166" spans="1:8" x14ac:dyDescent="0.25">
      <c r="A166" s="2">
        <v>226</v>
      </c>
      <c r="B166" s="2" t="s">
        <v>539</v>
      </c>
      <c r="C166" s="2">
        <v>230</v>
      </c>
      <c r="D166" s="2" t="s">
        <v>34</v>
      </c>
      <c r="E166" s="2" t="s">
        <v>540</v>
      </c>
      <c r="F166" s="2" t="s">
        <v>331</v>
      </c>
      <c r="G166" s="2" t="s">
        <v>199</v>
      </c>
      <c r="H166" s="2" t="s">
        <v>541</v>
      </c>
    </row>
    <row r="167" spans="1:8" ht="30" x14ac:dyDescent="0.25">
      <c r="A167" s="2">
        <v>227</v>
      </c>
      <c r="B167" s="2" t="s">
        <v>542</v>
      </c>
      <c r="C167" s="2">
        <v>230</v>
      </c>
      <c r="D167" s="2" t="s">
        <v>34</v>
      </c>
      <c r="E167" s="2" t="s">
        <v>173</v>
      </c>
      <c r="F167" s="2" t="s">
        <v>540</v>
      </c>
      <c r="G167" s="2" t="s">
        <v>199</v>
      </c>
      <c r="H167" s="2" t="s">
        <v>543</v>
      </c>
    </row>
    <row r="168" spans="1:8" x14ac:dyDescent="0.25">
      <c r="A168" s="2">
        <v>228</v>
      </c>
      <c r="B168" s="2" t="s">
        <v>544</v>
      </c>
      <c r="C168" s="2">
        <v>230</v>
      </c>
      <c r="D168" s="2" t="s">
        <v>74</v>
      </c>
      <c r="E168" s="2" t="s">
        <v>267</v>
      </c>
      <c r="F168" s="2" t="s">
        <v>264</v>
      </c>
      <c r="G168" s="2" t="s">
        <v>199</v>
      </c>
      <c r="H168" s="2" t="s">
        <v>545</v>
      </c>
    </row>
    <row r="169" spans="1:8" x14ac:dyDescent="0.25">
      <c r="A169" s="2">
        <v>229</v>
      </c>
      <c r="B169" s="2" t="s">
        <v>546</v>
      </c>
      <c r="C169" s="2">
        <v>220</v>
      </c>
      <c r="D169" s="2" t="s">
        <v>49</v>
      </c>
      <c r="E169" s="2" t="s">
        <v>389</v>
      </c>
      <c r="F169" s="2" t="s">
        <v>397</v>
      </c>
      <c r="G169" s="2" t="s">
        <v>199</v>
      </c>
      <c r="H169" s="2" t="s">
        <v>547</v>
      </c>
    </row>
    <row r="170" spans="1:8" x14ac:dyDescent="0.25">
      <c r="A170" s="2">
        <v>230</v>
      </c>
      <c r="B170" s="2" t="s">
        <v>548</v>
      </c>
      <c r="C170" s="2">
        <v>220</v>
      </c>
      <c r="D170" s="2" t="s">
        <v>49</v>
      </c>
      <c r="E170" s="2" t="s">
        <v>389</v>
      </c>
      <c r="F170" s="2" t="s">
        <v>397</v>
      </c>
      <c r="G170" s="2" t="s">
        <v>199</v>
      </c>
      <c r="H170" s="2" t="s">
        <v>547</v>
      </c>
    </row>
    <row r="171" spans="1:8" x14ac:dyDescent="0.25">
      <c r="A171" s="2">
        <v>231</v>
      </c>
      <c r="B171" s="2" t="s">
        <v>549</v>
      </c>
      <c r="C171" s="2">
        <v>220</v>
      </c>
      <c r="D171" s="2" t="s">
        <v>49</v>
      </c>
      <c r="E171" s="2" t="s">
        <v>397</v>
      </c>
      <c r="F171" s="2" t="s">
        <v>400</v>
      </c>
      <c r="G171" s="2" t="s">
        <v>199</v>
      </c>
      <c r="H171" s="2" t="s">
        <v>550</v>
      </c>
    </row>
    <row r="172" spans="1:8" x14ac:dyDescent="0.25">
      <c r="A172" s="2">
        <v>233</v>
      </c>
      <c r="B172" s="2" t="s">
        <v>551</v>
      </c>
      <c r="C172" s="2">
        <v>230</v>
      </c>
      <c r="D172" s="2" t="s">
        <v>51</v>
      </c>
      <c r="E172" s="2" t="s">
        <v>552</v>
      </c>
      <c r="F172" s="2" t="s">
        <v>487</v>
      </c>
      <c r="G172" s="2" t="s">
        <v>199</v>
      </c>
      <c r="H172" s="2" t="s">
        <v>553</v>
      </c>
    </row>
    <row r="173" spans="1:8" x14ac:dyDescent="0.25">
      <c r="A173" s="2">
        <v>234</v>
      </c>
      <c r="B173" s="2" t="s">
        <v>554</v>
      </c>
      <c r="C173" s="2">
        <v>230</v>
      </c>
      <c r="D173" s="2" t="s">
        <v>51</v>
      </c>
      <c r="E173" s="2" t="s">
        <v>552</v>
      </c>
      <c r="F173" s="2" t="s">
        <v>487</v>
      </c>
      <c r="G173" s="2" t="s">
        <v>199</v>
      </c>
      <c r="H173" s="2" t="s">
        <v>553</v>
      </c>
    </row>
    <row r="174" spans="1:8" x14ac:dyDescent="0.25">
      <c r="A174" s="2">
        <v>237</v>
      </c>
      <c r="B174" s="2" t="s">
        <v>555</v>
      </c>
      <c r="C174" s="2">
        <v>230</v>
      </c>
      <c r="D174" s="2" t="s">
        <v>40</v>
      </c>
      <c r="E174" s="2" t="s">
        <v>334</v>
      </c>
      <c r="F174" s="2" t="s">
        <v>289</v>
      </c>
      <c r="G174" s="2" t="s">
        <v>199</v>
      </c>
      <c r="H174" s="2" t="s">
        <v>556</v>
      </c>
    </row>
    <row r="175" spans="1:8" x14ac:dyDescent="0.25">
      <c r="A175" s="2">
        <v>239</v>
      </c>
      <c r="B175" s="2" t="s">
        <v>557</v>
      </c>
      <c r="C175" s="2">
        <v>220</v>
      </c>
      <c r="D175" s="2" t="s">
        <v>44</v>
      </c>
      <c r="E175" s="2" t="s">
        <v>471</v>
      </c>
      <c r="F175" s="2" t="s">
        <v>518</v>
      </c>
      <c r="G175" s="2" t="s">
        <v>199</v>
      </c>
      <c r="H175" s="2" t="s">
        <v>558</v>
      </c>
    </row>
    <row r="176" spans="1:8" x14ac:dyDescent="0.25">
      <c r="A176" s="2">
        <v>240</v>
      </c>
      <c r="B176" s="2" t="s">
        <v>559</v>
      </c>
      <c r="C176" s="2">
        <v>220</v>
      </c>
      <c r="D176" s="2" t="s">
        <v>49</v>
      </c>
      <c r="E176" s="2" t="s">
        <v>389</v>
      </c>
      <c r="F176" s="2" t="s">
        <v>400</v>
      </c>
      <c r="G176" s="2" t="s">
        <v>199</v>
      </c>
      <c r="H176" s="2" t="s">
        <v>560</v>
      </c>
    </row>
    <row r="177" spans="1:8" x14ac:dyDescent="0.25">
      <c r="A177" s="2">
        <v>241</v>
      </c>
      <c r="B177" s="2" t="s">
        <v>561</v>
      </c>
      <c r="C177" s="2">
        <v>220</v>
      </c>
      <c r="D177" s="2" t="s">
        <v>44</v>
      </c>
      <c r="E177" s="2" t="s">
        <v>471</v>
      </c>
      <c r="F177" s="2" t="s">
        <v>475</v>
      </c>
      <c r="G177" s="2" t="s">
        <v>199</v>
      </c>
      <c r="H177" s="2" t="s">
        <v>562</v>
      </c>
    </row>
    <row r="178" spans="1:8" x14ac:dyDescent="0.25">
      <c r="A178" s="2">
        <v>242</v>
      </c>
      <c r="B178" s="2" t="s">
        <v>563</v>
      </c>
      <c r="C178" s="2">
        <v>220</v>
      </c>
      <c r="D178" s="2" t="s">
        <v>45</v>
      </c>
      <c r="E178" s="2" t="s">
        <v>301</v>
      </c>
      <c r="F178" s="2" t="s">
        <v>564</v>
      </c>
      <c r="G178" s="2" t="s">
        <v>199</v>
      </c>
      <c r="H178" s="2" t="s">
        <v>565</v>
      </c>
    </row>
    <row r="179" spans="1:8" x14ac:dyDescent="0.25">
      <c r="A179" s="2">
        <v>243</v>
      </c>
      <c r="B179" s="2" t="s">
        <v>566</v>
      </c>
      <c r="C179" s="2">
        <v>220</v>
      </c>
      <c r="D179" s="2" t="s">
        <v>45</v>
      </c>
      <c r="E179" s="2" t="s">
        <v>301</v>
      </c>
      <c r="F179" s="2" t="s">
        <v>564</v>
      </c>
      <c r="G179" s="2" t="s">
        <v>199</v>
      </c>
      <c r="H179" s="2" t="s">
        <v>565</v>
      </c>
    </row>
    <row r="180" spans="1:8" x14ac:dyDescent="0.25">
      <c r="A180" s="2">
        <v>244</v>
      </c>
      <c r="B180" s="2" t="s">
        <v>567</v>
      </c>
      <c r="C180" s="2">
        <v>220</v>
      </c>
      <c r="D180" s="2" t="s">
        <v>45</v>
      </c>
      <c r="E180" s="2" t="s">
        <v>285</v>
      </c>
      <c r="F180" s="2" t="s">
        <v>564</v>
      </c>
      <c r="G180" s="2" t="s">
        <v>199</v>
      </c>
      <c r="H180" s="2" t="s">
        <v>568</v>
      </c>
    </row>
    <row r="181" spans="1:8" x14ac:dyDescent="0.25">
      <c r="A181" s="2">
        <v>247</v>
      </c>
      <c r="B181" s="2" t="s">
        <v>569</v>
      </c>
      <c r="C181" s="2">
        <v>230</v>
      </c>
      <c r="D181" s="2" t="s">
        <v>47</v>
      </c>
      <c r="E181" s="2" t="s">
        <v>570</v>
      </c>
      <c r="F181" s="2" t="s">
        <v>168</v>
      </c>
      <c r="G181" s="2" t="s">
        <v>199</v>
      </c>
      <c r="H181" s="2" t="s">
        <v>571</v>
      </c>
    </row>
    <row r="182" spans="1:8" x14ac:dyDescent="0.25">
      <c r="A182" s="2">
        <v>248</v>
      </c>
      <c r="B182" s="2" t="s">
        <v>572</v>
      </c>
      <c r="C182" s="2">
        <v>230</v>
      </c>
      <c r="D182" s="2" t="s">
        <v>47</v>
      </c>
      <c r="E182" s="2" t="s">
        <v>314</v>
      </c>
      <c r="F182" s="2" t="s">
        <v>570</v>
      </c>
      <c r="G182" s="2" t="s">
        <v>199</v>
      </c>
      <c r="H182" s="2" t="s">
        <v>573</v>
      </c>
    </row>
    <row r="183" spans="1:8" x14ac:dyDescent="0.25">
      <c r="A183" s="2">
        <v>249</v>
      </c>
      <c r="B183" s="2" t="s">
        <v>167</v>
      </c>
      <c r="C183" s="2">
        <v>230</v>
      </c>
      <c r="D183" s="2" t="s">
        <v>47</v>
      </c>
      <c r="E183" s="2" t="s">
        <v>112</v>
      </c>
      <c r="F183" s="2" t="s">
        <v>168</v>
      </c>
      <c r="G183" s="2" t="s">
        <v>383</v>
      </c>
      <c r="H183" s="2" t="s">
        <v>169</v>
      </c>
    </row>
    <row r="184" spans="1:8" x14ac:dyDescent="0.25">
      <c r="A184" s="2">
        <v>250</v>
      </c>
      <c r="B184" s="2" t="s">
        <v>171</v>
      </c>
      <c r="C184" s="2">
        <v>230</v>
      </c>
      <c r="D184" s="2" t="s">
        <v>47</v>
      </c>
      <c r="E184" s="2" t="s">
        <v>112</v>
      </c>
      <c r="F184" s="2" t="s">
        <v>168</v>
      </c>
      <c r="G184" s="2" t="s">
        <v>383</v>
      </c>
      <c r="H184" s="2" t="s">
        <v>169</v>
      </c>
    </row>
    <row r="185" spans="1:8" x14ac:dyDescent="0.25">
      <c r="A185" s="2">
        <v>251</v>
      </c>
      <c r="B185" s="2" t="s">
        <v>574</v>
      </c>
      <c r="C185" s="2">
        <v>230</v>
      </c>
      <c r="D185" s="2" t="s">
        <v>61</v>
      </c>
      <c r="E185" s="2" t="s">
        <v>189</v>
      </c>
      <c r="F185" s="2" t="s">
        <v>202</v>
      </c>
      <c r="G185" s="2" t="s">
        <v>199</v>
      </c>
      <c r="H185" s="2" t="s">
        <v>575</v>
      </c>
    </row>
    <row r="186" spans="1:8" x14ac:dyDescent="0.25">
      <c r="A186" s="2">
        <v>254</v>
      </c>
      <c r="B186" s="2" t="s">
        <v>576</v>
      </c>
      <c r="C186" s="2">
        <v>230</v>
      </c>
      <c r="D186" s="2" t="s">
        <v>54</v>
      </c>
      <c r="E186" s="2" t="s">
        <v>278</v>
      </c>
      <c r="F186" s="2" t="s">
        <v>281</v>
      </c>
      <c r="G186" s="2" t="s">
        <v>199</v>
      </c>
      <c r="H186" s="2" t="s">
        <v>577</v>
      </c>
    </row>
    <row r="187" spans="1:8" x14ac:dyDescent="0.25">
      <c r="A187" s="2">
        <v>257</v>
      </c>
      <c r="B187" s="2" t="s">
        <v>578</v>
      </c>
      <c r="C187" s="2">
        <v>220</v>
      </c>
      <c r="D187" s="2" t="s">
        <v>44</v>
      </c>
      <c r="E187" s="2" t="s">
        <v>579</v>
      </c>
      <c r="F187" s="2" t="s">
        <v>475</v>
      </c>
      <c r="G187" s="2" t="s">
        <v>199</v>
      </c>
      <c r="H187" s="2" t="s">
        <v>580</v>
      </c>
    </row>
    <row r="188" spans="1:8" x14ac:dyDescent="0.25">
      <c r="A188" s="2">
        <v>258</v>
      </c>
      <c r="B188" s="2" t="s">
        <v>581</v>
      </c>
      <c r="C188" s="2">
        <v>220</v>
      </c>
      <c r="D188" s="2" t="s">
        <v>44</v>
      </c>
      <c r="E188" s="2" t="s">
        <v>579</v>
      </c>
      <c r="F188" s="2" t="s">
        <v>518</v>
      </c>
      <c r="G188" s="2" t="s">
        <v>199</v>
      </c>
      <c r="H188" s="2" t="s">
        <v>582</v>
      </c>
    </row>
    <row r="189" spans="1:8" x14ac:dyDescent="0.25">
      <c r="A189" s="2">
        <v>259</v>
      </c>
      <c r="B189" s="2" t="s">
        <v>583</v>
      </c>
      <c r="C189" s="2">
        <v>220</v>
      </c>
      <c r="D189" s="2" t="s">
        <v>49</v>
      </c>
      <c r="E189" s="2" t="s">
        <v>345</v>
      </c>
      <c r="F189" s="2" t="s">
        <v>362</v>
      </c>
      <c r="G189" s="2" t="s">
        <v>199</v>
      </c>
      <c r="H189" s="2" t="s">
        <v>584</v>
      </c>
    </row>
    <row r="190" spans="1:8" x14ac:dyDescent="0.25">
      <c r="A190" s="2">
        <v>265</v>
      </c>
      <c r="B190" s="2" t="s">
        <v>178</v>
      </c>
      <c r="C190" s="2">
        <v>230</v>
      </c>
      <c r="D190" s="2" t="s">
        <v>61</v>
      </c>
      <c r="E190" s="2" t="s">
        <v>179</v>
      </c>
      <c r="F190" s="2" t="s">
        <v>180</v>
      </c>
      <c r="G190" s="2" t="s">
        <v>383</v>
      </c>
      <c r="H190" s="2" t="s">
        <v>182</v>
      </c>
    </row>
    <row r="191" spans="1:8" x14ac:dyDescent="0.25">
      <c r="A191" s="2">
        <v>267</v>
      </c>
      <c r="B191" s="2" t="s">
        <v>184</v>
      </c>
      <c r="C191" s="2">
        <v>230</v>
      </c>
      <c r="D191" s="2" t="s">
        <v>61</v>
      </c>
      <c r="E191" s="2" t="s">
        <v>179</v>
      </c>
      <c r="F191" s="2" t="s">
        <v>185</v>
      </c>
      <c r="G191" s="2" t="s">
        <v>383</v>
      </c>
      <c r="H191" s="2" t="s">
        <v>186</v>
      </c>
    </row>
    <row r="192" spans="1:8" ht="30" x14ac:dyDescent="0.25">
      <c r="A192" s="2">
        <v>270</v>
      </c>
      <c r="B192" s="2" t="s">
        <v>187</v>
      </c>
      <c r="C192" s="2">
        <v>500</v>
      </c>
      <c r="D192" s="2" t="s">
        <v>61</v>
      </c>
      <c r="E192" s="2" t="s">
        <v>179</v>
      </c>
      <c r="F192" s="2" t="s">
        <v>165</v>
      </c>
      <c r="G192" s="2" t="s">
        <v>383</v>
      </c>
      <c r="H192" s="2" t="s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80" customWidth="1"/>
    <col min="2" max="2" width="71" customWidth="1"/>
    <col min="3" max="3" width="37" customWidth="1"/>
  </cols>
  <sheetData>
    <row r="1" spans="1:3" ht="18.75" x14ac:dyDescent="0.25">
      <c r="A1" s="1" t="s">
        <v>585</v>
      </c>
      <c r="B1" s="2"/>
      <c r="C1" s="2"/>
    </row>
    <row r="2" spans="1:3" x14ac:dyDescent="0.25">
      <c r="A2" s="2" t="s">
        <v>586</v>
      </c>
      <c r="B2" s="2"/>
      <c r="C2" s="2"/>
    </row>
    <row r="3" spans="1:3" ht="30" x14ac:dyDescent="0.25">
      <c r="A3" s="2" t="s">
        <v>2</v>
      </c>
      <c r="B3" s="2"/>
      <c r="C3" s="2"/>
    </row>
    <row r="4" spans="1:3" x14ac:dyDescent="0.25">
      <c r="A4" s="2"/>
      <c r="B4" s="2"/>
      <c r="C4" s="2"/>
    </row>
    <row r="5" spans="1:3" x14ac:dyDescent="0.25">
      <c r="A5" s="3" t="s">
        <v>587</v>
      </c>
      <c r="B5" s="2"/>
      <c r="C5" s="2"/>
    </row>
    <row r="6" spans="1:3" x14ac:dyDescent="0.25">
      <c r="A6" s="4" t="s">
        <v>4</v>
      </c>
      <c r="B6" s="4" t="s">
        <v>5</v>
      </c>
      <c r="C6" s="2"/>
    </row>
    <row r="7" spans="1:3" x14ac:dyDescent="0.25">
      <c r="A7" s="2" t="s">
        <v>588</v>
      </c>
      <c r="B7" s="2">
        <v>132</v>
      </c>
      <c r="C7" s="2"/>
    </row>
    <row r="8" spans="1:3" x14ac:dyDescent="0.25">
      <c r="A8" s="2" t="s">
        <v>6</v>
      </c>
      <c r="B8" s="2">
        <v>18</v>
      </c>
      <c r="C8" s="2"/>
    </row>
    <row r="9" spans="1:3" x14ac:dyDescent="0.25">
      <c r="A9" s="2" t="s">
        <v>589</v>
      </c>
      <c r="B9" s="2" t="s">
        <v>590</v>
      </c>
      <c r="C9" s="2"/>
    </row>
    <row r="10" spans="1:3" x14ac:dyDescent="0.25">
      <c r="A10" s="2"/>
      <c r="B10" s="2"/>
      <c r="C10" s="2"/>
    </row>
    <row r="11" spans="1:3" x14ac:dyDescent="0.25">
      <c r="A11" s="3" t="s">
        <v>193</v>
      </c>
      <c r="B11" s="2"/>
      <c r="C11" s="2"/>
    </row>
    <row r="12" spans="1:3" x14ac:dyDescent="0.25">
      <c r="A12" s="4" t="s">
        <v>591</v>
      </c>
      <c r="B12" s="4" t="s">
        <v>592</v>
      </c>
      <c r="C12" s="4" t="s">
        <v>593</v>
      </c>
    </row>
    <row r="13" spans="1:3" x14ac:dyDescent="0.25">
      <c r="A13" s="2" t="s">
        <v>33</v>
      </c>
      <c r="B13" s="2">
        <v>25</v>
      </c>
      <c r="C13" s="2"/>
    </row>
    <row r="14" spans="1:3" ht="30" x14ac:dyDescent="0.25">
      <c r="A14" s="2" t="s">
        <v>42</v>
      </c>
      <c r="B14" s="2">
        <v>4</v>
      </c>
      <c r="C14" s="2" t="s">
        <v>594</v>
      </c>
    </row>
    <row r="15" spans="1:3" x14ac:dyDescent="0.25">
      <c r="A15" s="2" t="s">
        <v>44</v>
      </c>
      <c r="B15" s="2">
        <v>10</v>
      </c>
      <c r="C15" s="2"/>
    </row>
    <row r="16" spans="1:3" x14ac:dyDescent="0.25">
      <c r="A16" s="2" t="s">
        <v>34</v>
      </c>
      <c r="B16" s="2">
        <v>13</v>
      </c>
      <c r="C16" s="2"/>
    </row>
    <row r="17" spans="1:3" x14ac:dyDescent="0.25">
      <c r="A17" s="2" t="s">
        <v>45</v>
      </c>
      <c r="B17" s="2">
        <v>5</v>
      </c>
      <c r="C17" s="2"/>
    </row>
    <row r="18" spans="1:3" x14ac:dyDescent="0.25">
      <c r="A18" s="2" t="s">
        <v>51</v>
      </c>
      <c r="B18" s="2">
        <v>4</v>
      </c>
      <c r="C18" s="2"/>
    </row>
    <row r="19" spans="1:3" x14ac:dyDescent="0.25">
      <c r="A19" s="2" t="s">
        <v>36</v>
      </c>
      <c r="B19" s="2">
        <v>11</v>
      </c>
      <c r="C19" s="2"/>
    </row>
    <row r="20" spans="1:3" x14ac:dyDescent="0.25">
      <c r="A20" s="2" t="s">
        <v>63</v>
      </c>
      <c r="B20" s="2">
        <v>1</v>
      </c>
      <c r="C20" s="2" t="s">
        <v>595</v>
      </c>
    </row>
    <row r="21" spans="1:3" x14ac:dyDescent="0.25">
      <c r="A21" s="2" t="s">
        <v>64</v>
      </c>
      <c r="B21" s="2">
        <v>4</v>
      </c>
      <c r="C21" s="2"/>
    </row>
    <row r="22" spans="1:3" x14ac:dyDescent="0.25">
      <c r="A22" s="2" t="s">
        <v>38</v>
      </c>
      <c r="B22" s="2">
        <v>1</v>
      </c>
      <c r="C22" s="2" t="s">
        <v>116</v>
      </c>
    </row>
    <row r="23" spans="1:3" x14ac:dyDescent="0.25">
      <c r="A23" s="2" t="s">
        <v>47</v>
      </c>
      <c r="B23" s="2">
        <v>9</v>
      </c>
      <c r="C23" s="2"/>
    </row>
    <row r="24" spans="1:3" x14ac:dyDescent="0.25">
      <c r="A24" s="2" t="s">
        <v>49</v>
      </c>
      <c r="B24" s="2">
        <v>11</v>
      </c>
      <c r="C24" s="2"/>
    </row>
    <row r="25" spans="1:3" x14ac:dyDescent="0.25">
      <c r="A25" s="2" t="s">
        <v>54</v>
      </c>
      <c r="B25" s="2">
        <v>5</v>
      </c>
      <c r="C25" s="2"/>
    </row>
    <row r="26" spans="1:3" x14ac:dyDescent="0.25">
      <c r="A26" s="2" t="s">
        <v>56</v>
      </c>
      <c r="B26" s="2">
        <v>4</v>
      </c>
      <c r="C26" s="2"/>
    </row>
    <row r="27" spans="1:3" x14ac:dyDescent="0.25">
      <c r="A27" s="2" t="s">
        <v>74</v>
      </c>
      <c r="B27" s="2">
        <v>4</v>
      </c>
      <c r="C27" s="2"/>
    </row>
    <row r="28" spans="1:3" x14ac:dyDescent="0.25">
      <c r="A28" s="2" t="s">
        <v>67</v>
      </c>
      <c r="B28" s="2">
        <v>2</v>
      </c>
      <c r="C28" s="2" t="s">
        <v>596</v>
      </c>
    </row>
    <row r="29" spans="1:3" x14ac:dyDescent="0.25">
      <c r="A29" s="2" t="s">
        <v>40</v>
      </c>
      <c r="B29" s="2">
        <v>10</v>
      </c>
      <c r="C29" s="2"/>
    </row>
    <row r="30" spans="1:3" x14ac:dyDescent="0.25">
      <c r="A30" s="2" t="s">
        <v>61</v>
      </c>
      <c r="B30" s="2">
        <v>9</v>
      </c>
      <c r="C3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80" customWidth="1"/>
    <col min="2" max="2" width="52" customWidth="1"/>
    <col min="3" max="3" width="12" customWidth="1"/>
    <col min="4" max="4" width="21" customWidth="1"/>
    <col min="5" max="5" width="18" customWidth="1"/>
    <col min="6" max="6" width="21" customWidth="1"/>
    <col min="7" max="7" width="23" customWidth="1"/>
    <col min="8" max="8" width="26" customWidth="1"/>
    <col min="9" max="9" width="32" customWidth="1"/>
    <col min="10" max="10" width="40" customWidth="1"/>
    <col min="11" max="11" width="46" customWidth="1"/>
    <col min="12" max="12" width="28" customWidth="1"/>
  </cols>
  <sheetData>
    <row r="1" spans="1:12" ht="18.75" x14ac:dyDescent="0.25">
      <c r="A1" s="1" t="s">
        <v>597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598</v>
      </c>
      <c r="B7" s="2">
        <v>256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599</v>
      </c>
      <c r="B8" s="2">
        <v>172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 t="s">
        <v>600</v>
      </c>
      <c r="B9" s="2">
        <v>60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 t="s">
        <v>601</v>
      </c>
      <c r="B10" s="2">
        <v>232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602</v>
      </c>
      <c r="B11" s="2">
        <v>24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 t="s">
        <v>603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 t="s">
        <v>604</v>
      </c>
      <c r="B13" s="2">
        <v>108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3" t="s">
        <v>193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30" x14ac:dyDescent="0.25">
      <c r="A16" s="4" t="s">
        <v>194</v>
      </c>
      <c r="B16" s="4" t="s">
        <v>95</v>
      </c>
      <c r="C16" s="4" t="s">
        <v>605</v>
      </c>
      <c r="D16" s="4" t="s">
        <v>606</v>
      </c>
      <c r="E16" s="4" t="s">
        <v>607</v>
      </c>
      <c r="F16" s="4" t="s">
        <v>608</v>
      </c>
      <c r="G16" s="4" t="s">
        <v>609</v>
      </c>
      <c r="H16" s="4" t="s">
        <v>610</v>
      </c>
      <c r="I16" s="4" t="s">
        <v>611</v>
      </c>
      <c r="J16" s="4" t="s">
        <v>612</v>
      </c>
      <c r="K16" s="4" t="s">
        <v>101</v>
      </c>
      <c r="L16" s="4" t="s">
        <v>613</v>
      </c>
    </row>
    <row r="17" spans="1:12" x14ac:dyDescent="0.25">
      <c r="A17" s="2">
        <v>7</v>
      </c>
      <c r="B17" s="2" t="s">
        <v>197</v>
      </c>
      <c r="C17" s="2">
        <v>230</v>
      </c>
      <c r="D17" s="2">
        <v>1060</v>
      </c>
      <c r="E17" s="2">
        <v>1060</v>
      </c>
      <c r="F17" s="2">
        <v>1060</v>
      </c>
      <c r="G17" s="2">
        <v>1</v>
      </c>
      <c r="H17" s="2">
        <v>1</v>
      </c>
      <c r="I17" s="2" t="s">
        <v>614</v>
      </c>
      <c r="J17" s="2" t="s">
        <v>615</v>
      </c>
      <c r="K17" s="2" t="s">
        <v>200</v>
      </c>
      <c r="L17" s="2" t="s">
        <v>616</v>
      </c>
    </row>
    <row r="18" spans="1:12" x14ac:dyDescent="0.25">
      <c r="A18" s="2">
        <v>8</v>
      </c>
      <c r="B18" s="2" t="s">
        <v>201</v>
      </c>
      <c r="C18" s="2">
        <v>230</v>
      </c>
      <c r="D18" s="2">
        <v>1000</v>
      </c>
      <c r="E18" s="2">
        <v>1000</v>
      </c>
      <c r="F18" s="2">
        <v>1000</v>
      </c>
      <c r="G18" s="2">
        <v>1</v>
      </c>
      <c r="H18" s="2">
        <v>1</v>
      </c>
      <c r="I18" s="2" t="s">
        <v>614</v>
      </c>
      <c r="J18" s="2" t="s">
        <v>617</v>
      </c>
      <c r="K18" s="2" t="s">
        <v>203</v>
      </c>
      <c r="L18" s="2" t="s">
        <v>616</v>
      </c>
    </row>
    <row r="19" spans="1:12" x14ac:dyDescent="0.25">
      <c r="A19" s="2">
        <v>9</v>
      </c>
      <c r="B19" s="2" t="s">
        <v>204</v>
      </c>
      <c r="C19" s="2">
        <v>230</v>
      </c>
      <c r="D19" s="2">
        <v>1000</v>
      </c>
      <c r="E19" s="2">
        <v>1000</v>
      </c>
      <c r="F19" s="2">
        <v>1300</v>
      </c>
      <c r="G19" s="2">
        <v>1</v>
      </c>
      <c r="H19" s="2">
        <v>1.3</v>
      </c>
      <c r="I19" s="2" t="s">
        <v>614</v>
      </c>
      <c r="J19" s="2" t="s">
        <v>618</v>
      </c>
      <c r="K19" s="2" t="s">
        <v>206</v>
      </c>
      <c r="L19" s="2" t="s">
        <v>616</v>
      </c>
    </row>
    <row r="20" spans="1:12" x14ac:dyDescent="0.25">
      <c r="A20" s="2">
        <v>10</v>
      </c>
      <c r="B20" s="2" t="s">
        <v>207</v>
      </c>
      <c r="C20" s="2">
        <v>220</v>
      </c>
      <c r="D20" s="2">
        <v>1000</v>
      </c>
      <c r="E20" s="2">
        <v>1004</v>
      </c>
      <c r="F20" s="2">
        <v>1168.5999999999999</v>
      </c>
      <c r="G20" s="2">
        <v>1.004</v>
      </c>
      <c r="H20" s="2">
        <v>1.1686000000000001</v>
      </c>
      <c r="I20" s="2" t="s">
        <v>614</v>
      </c>
      <c r="J20" s="2" t="s">
        <v>619</v>
      </c>
      <c r="K20" s="2" t="s">
        <v>209</v>
      </c>
      <c r="L20" s="2" t="s">
        <v>616</v>
      </c>
    </row>
    <row r="21" spans="1:12" x14ac:dyDescent="0.25">
      <c r="A21" s="2">
        <v>11</v>
      </c>
      <c r="B21" s="2" t="s">
        <v>210</v>
      </c>
      <c r="C21" s="2">
        <v>230</v>
      </c>
      <c r="D21" s="2">
        <v>805</v>
      </c>
      <c r="E21" s="2">
        <v>805</v>
      </c>
      <c r="F21" s="2">
        <v>1047</v>
      </c>
      <c r="G21" s="2">
        <v>1</v>
      </c>
      <c r="H21" s="2">
        <v>1.3006211180124221</v>
      </c>
      <c r="I21" s="2" t="s">
        <v>620</v>
      </c>
      <c r="J21" s="2" t="s">
        <v>618</v>
      </c>
      <c r="K21" s="2" t="s">
        <v>211</v>
      </c>
      <c r="L21" s="2" t="s">
        <v>616</v>
      </c>
    </row>
    <row r="22" spans="1:12" x14ac:dyDescent="0.25">
      <c r="A22" s="2">
        <v>12</v>
      </c>
      <c r="B22" s="2" t="s">
        <v>212</v>
      </c>
      <c r="C22" s="2">
        <v>220</v>
      </c>
      <c r="D22" s="2">
        <v>777</v>
      </c>
      <c r="E22" s="2">
        <v>777</v>
      </c>
      <c r="F22" s="2">
        <v>1010</v>
      </c>
      <c r="G22" s="2">
        <v>1</v>
      </c>
      <c r="H22" s="2">
        <v>1.2998712998713</v>
      </c>
      <c r="I22" s="2" t="s">
        <v>614</v>
      </c>
      <c r="J22" s="2" t="s">
        <v>621</v>
      </c>
      <c r="K22" s="2" t="s">
        <v>214</v>
      </c>
      <c r="L22" s="2" t="s">
        <v>616</v>
      </c>
    </row>
    <row r="23" spans="1:12" ht="30" x14ac:dyDescent="0.25">
      <c r="A23" s="2">
        <v>13</v>
      </c>
      <c r="B23" s="2" t="s">
        <v>215</v>
      </c>
      <c r="C23" s="2">
        <v>220</v>
      </c>
      <c r="D23" s="2">
        <v>1050</v>
      </c>
      <c r="E23" s="2">
        <v>1250</v>
      </c>
      <c r="F23" s="2">
        <v>1365</v>
      </c>
      <c r="G23" s="2">
        <v>1.19047619047619</v>
      </c>
      <c r="H23" s="2">
        <v>1.3</v>
      </c>
      <c r="I23" s="2" t="s">
        <v>622</v>
      </c>
      <c r="J23" s="2" t="s">
        <v>623</v>
      </c>
      <c r="K23" s="2" t="s">
        <v>217</v>
      </c>
      <c r="L23" s="2" t="s">
        <v>616</v>
      </c>
    </row>
    <row r="24" spans="1:12" ht="30" x14ac:dyDescent="0.25">
      <c r="A24" s="2">
        <v>14</v>
      </c>
      <c r="B24" s="2" t="s">
        <v>218</v>
      </c>
      <c r="C24" s="2">
        <v>220</v>
      </c>
      <c r="D24" s="2">
        <v>1050</v>
      </c>
      <c r="E24" s="2">
        <v>1250</v>
      </c>
      <c r="F24" s="2">
        <v>1365</v>
      </c>
      <c r="G24" s="2">
        <v>1.19047619047619</v>
      </c>
      <c r="H24" s="2">
        <v>1.3</v>
      </c>
      <c r="I24" s="2" t="s">
        <v>622</v>
      </c>
      <c r="J24" s="2" t="s">
        <v>623</v>
      </c>
      <c r="K24" s="2" t="s">
        <v>217</v>
      </c>
      <c r="L24" s="2" t="s">
        <v>616</v>
      </c>
    </row>
    <row r="25" spans="1:12" x14ac:dyDescent="0.25">
      <c r="A25" s="2">
        <v>15</v>
      </c>
      <c r="B25" s="2" t="s">
        <v>219</v>
      </c>
      <c r="C25" s="2">
        <v>230</v>
      </c>
      <c r="D25" s="2">
        <v>971</v>
      </c>
      <c r="E25" s="2">
        <v>971</v>
      </c>
      <c r="F25" s="2">
        <v>1262.3</v>
      </c>
      <c r="G25" s="2">
        <v>1</v>
      </c>
      <c r="H25" s="2">
        <v>1.3</v>
      </c>
      <c r="I25" s="2" t="s">
        <v>614</v>
      </c>
      <c r="J25" s="2" t="s">
        <v>624</v>
      </c>
      <c r="K25" s="2" t="s">
        <v>220</v>
      </c>
      <c r="L25" s="2" t="s">
        <v>616</v>
      </c>
    </row>
    <row r="26" spans="1:12" x14ac:dyDescent="0.25">
      <c r="A26" s="2">
        <v>16</v>
      </c>
      <c r="B26" s="2" t="s">
        <v>221</v>
      </c>
      <c r="C26" s="2">
        <v>230</v>
      </c>
      <c r="D26" s="2">
        <v>971</v>
      </c>
      <c r="E26" s="2">
        <v>971</v>
      </c>
      <c r="F26" s="2">
        <v>1262</v>
      </c>
      <c r="G26" s="2">
        <v>1</v>
      </c>
      <c r="H26" s="2">
        <v>1.299691040164779</v>
      </c>
      <c r="I26" s="2" t="s">
        <v>614</v>
      </c>
      <c r="J26" s="2" t="s">
        <v>624</v>
      </c>
      <c r="K26" s="2" t="s">
        <v>220</v>
      </c>
      <c r="L26" s="2" t="s">
        <v>616</v>
      </c>
    </row>
    <row r="27" spans="1:12" x14ac:dyDescent="0.25">
      <c r="A27" s="2">
        <v>17</v>
      </c>
      <c r="B27" s="2" t="s">
        <v>625</v>
      </c>
      <c r="C27" s="2">
        <v>230</v>
      </c>
      <c r="D27" s="2">
        <v>1000</v>
      </c>
      <c r="E27" s="2">
        <v>1006</v>
      </c>
      <c r="F27" s="2">
        <v>1307.8</v>
      </c>
      <c r="G27" s="2">
        <v>1.006</v>
      </c>
      <c r="H27" s="2">
        <v>1.3078000000000001</v>
      </c>
      <c r="I27" s="2" t="s">
        <v>614</v>
      </c>
      <c r="J27" s="2" t="s">
        <v>626</v>
      </c>
      <c r="K27" s="2" t="s">
        <v>627</v>
      </c>
      <c r="L27" s="2" t="s">
        <v>628</v>
      </c>
    </row>
    <row r="28" spans="1:12" x14ac:dyDescent="0.25">
      <c r="A28" s="2">
        <v>18</v>
      </c>
      <c r="B28" s="2" t="s">
        <v>629</v>
      </c>
      <c r="C28" s="2">
        <v>230</v>
      </c>
      <c r="D28" s="2">
        <v>1000</v>
      </c>
      <c r="E28" s="2">
        <v>1006</v>
      </c>
      <c r="F28" s="2">
        <v>1307.8</v>
      </c>
      <c r="G28" s="2">
        <v>1.006</v>
      </c>
      <c r="H28" s="2">
        <v>1.3078000000000001</v>
      </c>
      <c r="I28" s="2" t="s">
        <v>614</v>
      </c>
      <c r="J28" s="2" t="s">
        <v>626</v>
      </c>
      <c r="K28" s="2" t="s">
        <v>627</v>
      </c>
      <c r="L28" s="2" t="s">
        <v>628</v>
      </c>
    </row>
    <row r="29" spans="1:12" x14ac:dyDescent="0.25">
      <c r="A29" s="2">
        <v>19</v>
      </c>
      <c r="B29" s="2" t="s">
        <v>35</v>
      </c>
      <c r="C29" s="2">
        <v>500</v>
      </c>
      <c r="D29" s="2">
        <v>1905</v>
      </c>
      <c r="E29" s="2">
        <v>1905</v>
      </c>
      <c r="F29" s="2">
        <v>1905</v>
      </c>
      <c r="G29" s="2">
        <v>1</v>
      </c>
      <c r="H29" s="2">
        <v>1</v>
      </c>
      <c r="I29" s="2" t="s">
        <v>614</v>
      </c>
      <c r="J29" s="2" t="s">
        <v>630</v>
      </c>
      <c r="K29" s="2" t="s">
        <v>631</v>
      </c>
      <c r="L29" s="2" t="s">
        <v>628</v>
      </c>
    </row>
    <row r="30" spans="1:12" x14ac:dyDescent="0.25">
      <c r="A30" s="2">
        <v>20</v>
      </c>
      <c r="B30" s="2" t="s">
        <v>222</v>
      </c>
      <c r="C30" s="2">
        <v>500</v>
      </c>
      <c r="D30" s="2">
        <v>2500</v>
      </c>
      <c r="E30" s="2">
        <v>2500</v>
      </c>
      <c r="F30" s="2">
        <v>3000</v>
      </c>
      <c r="G30" s="2">
        <v>1</v>
      </c>
      <c r="H30" s="2">
        <v>1.2</v>
      </c>
      <c r="I30" s="2" t="s">
        <v>614</v>
      </c>
      <c r="J30" s="2" t="s">
        <v>632</v>
      </c>
      <c r="K30" s="2" t="s">
        <v>224</v>
      </c>
      <c r="L30" s="2" t="s">
        <v>616</v>
      </c>
    </row>
    <row r="31" spans="1:12" x14ac:dyDescent="0.25">
      <c r="A31" s="2">
        <v>21</v>
      </c>
      <c r="B31" s="2" t="s">
        <v>225</v>
      </c>
      <c r="C31" s="2">
        <v>230</v>
      </c>
      <c r="D31" s="2">
        <v>1489</v>
      </c>
      <c r="E31" s="2">
        <v>1489</v>
      </c>
      <c r="F31" s="2">
        <v>1936</v>
      </c>
      <c r="G31" s="2">
        <v>1</v>
      </c>
      <c r="H31" s="2">
        <v>1.300201477501679</v>
      </c>
      <c r="I31" s="2" t="s">
        <v>614</v>
      </c>
      <c r="J31" s="2" t="s">
        <v>633</v>
      </c>
      <c r="K31" s="2" t="s">
        <v>226</v>
      </c>
      <c r="L31" s="2" t="s">
        <v>616</v>
      </c>
    </row>
    <row r="32" spans="1:12" x14ac:dyDescent="0.25">
      <c r="A32" s="2">
        <v>22</v>
      </c>
      <c r="B32" s="2" t="s">
        <v>227</v>
      </c>
      <c r="C32" s="2">
        <v>230</v>
      </c>
      <c r="D32" s="2">
        <v>1489</v>
      </c>
      <c r="E32" s="2">
        <v>1489</v>
      </c>
      <c r="F32" s="2">
        <v>1936</v>
      </c>
      <c r="G32" s="2">
        <v>1</v>
      </c>
      <c r="H32" s="2">
        <v>1.300201477501679</v>
      </c>
      <c r="I32" s="2" t="s">
        <v>614</v>
      </c>
      <c r="J32" s="2" t="s">
        <v>633</v>
      </c>
      <c r="K32" s="2" t="s">
        <v>226</v>
      </c>
      <c r="L32" s="2" t="s">
        <v>616</v>
      </c>
    </row>
    <row r="33" spans="1:12" x14ac:dyDescent="0.25">
      <c r="A33" s="2">
        <v>23</v>
      </c>
      <c r="B33" s="2" t="s">
        <v>228</v>
      </c>
      <c r="C33" s="2">
        <v>230</v>
      </c>
      <c r="D33" s="2">
        <v>1489</v>
      </c>
      <c r="E33" s="2">
        <v>1489</v>
      </c>
      <c r="F33" s="2">
        <v>1936</v>
      </c>
      <c r="G33" s="2">
        <v>1</v>
      </c>
      <c r="H33" s="2">
        <v>1.300201477501679</v>
      </c>
      <c r="I33" s="2" t="s">
        <v>614</v>
      </c>
      <c r="J33" s="2" t="s">
        <v>634</v>
      </c>
      <c r="K33" s="2" t="s">
        <v>230</v>
      </c>
      <c r="L33" s="2" t="s">
        <v>616</v>
      </c>
    </row>
    <row r="34" spans="1:12" x14ac:dyDescent="0.25">
      <c r="A34" s="2">
        <v>24</v>
      </c>
      <c r="B34" s="2" t="s">
        <v>231</v>
      </c>
      <c r="C34" s="2">
        <v>230</v>
      </c>
      <c r="D34" s="2">
        <v>1489</v>
      </c>
      <c r="E34" s="2">
        <v>1489</v>
      </c>
      <c r="F34" s="2">
        <v>1936</v>
      </c>
      <c r="G34" s="2">
        <v>1</v>
      </c>
      <c r="H34" s="2">
        <v>1.300201477501679</v>
      </c>
      <c r="I34" s="2" t="s">
        <v>614</v>
      </c>
      <c r="J34" s="2" t="s">
        <v>634</v>
      </c>
      <c r="K34" s="2" t="s">
        <v>230</v>
      </c>
      <c r="L34" s="2" t="s">
        <v>616</v>
      </c>
    </row>
    <row r="35" spans="1:12" x14ac:dyDescent="0.25">
      <c r="A35" s="2">
        <v>25</v>
      </c>
      <c r="B35" s="2" t="s">
        <v>232</v>
      </c>
      <c r="C35" s="2">
        <v>230</v>
      </c>
      <c r="D35" s="2">
        <v>1051</v>
      </c>
      <c r="E35" s="2">
        <v>1051</v>
      </c>
      <c r="F35" s="2">
        <v>1366</v>
      </c>
      <c r="G35" s="2">
        <v>1</v>
      </c>
      <c r="H35" s="2">
        <v>1.299714557564225</v>
      </c>
      <c r="I35" s="2" t="s">
        <v>614</v>
      </c>
      <c r="J35" s="2" t="s">
        <v>635</v>
      </c>
      <c r="K35" s="2" t="s">
        <v>235</v>
      </c>
      <c r="L35" s="2" t="s">
        <v>616</v>
      </c>
    </row>
    <row r="36" spans="1:12" x14ac:dyDescent="0.25">
      <c r="A36" s="2">
        <v>26</v>
      </c>
      <c r="B36" s="2" t="s">
        <v>236</v>
      </c>
      <c r="C36" s="2">
        <v>230</v>
      </c>
      <c r="D36" s="2">
        <v>1100</v>
      </c>
      <c r="E36" s="2">
        <v>1100</v>
      </c>
      <c r="F36" s="2">
        <v>1430</v>
      </c>
      <c r="G36" s="2">
        <v>1</v>
      </c>
      <c r="H36" s="2">
        <v>1.3</v>
      </c>
      <c r="I36" s="2" t="s">
        <v>614</v>
      </c>
      <c r="J36" s="2" t="s">
        <v>636</v>
      </c>
      <c r="K36" s="2" t="s">
        <v>237</v>
      </c>
      <c r="L36" s="2" t="s">
        <v>616</v>
      </c>
    </row>
    <row r="37" spans="1:12" x14ac:dyDescent="0.25">
      <c r="A37" s="2">
        <v>27</v>
      </c>
      <c r="B37" s="2" t="s">
        <v>238</v>
      </c>
      <c r="C37" s="2">
        <v>230</v>
      </c>
      <c r="D37" s="2">
        <v>800</v>
      </c>
      <c r="E37" s="2">
        <v>846</v>
      </c>
      <c r="F37" s="2">
        <v>1100</v>
      </c>
      <c r="G37" s="2">
        <v>1.0575000000000001</v>
      </c>
      <c r="H37" s="2">
        <v>1.375</v>
      </c>
      <c r="I37" s="2" t="s">
        <v>614</v>
      </c>
      <c r="J37" s="2" t="s">
        <v>637</v>
      </c>
      <c r="K37" s="2" t="s">
        <v>241</v>
      </c>
      <c r="L37" s="2" t="s">
        <v>616</v>
      </c>
    </row>
    <row r="38" spans="1:12" x14ac:dyDescent="0.25">
      <c r="A38" s="2">
        <v>28</v>
      </c>
      <c r="B38" s="2" t="s">
        <v>242</v>
      </c>
      <c r="C38" s="2">
        <v>230</v>
      </c>
      <c r="D38" s="2">
        <v>800</v>
      </c>
      <c r="E38" s="2">
        <v>844</v>
      </c>
      <c r="F38" s="2">
        <v>1097</v>
      </c>
      <c r="G38" s="2">
        <v>1.0549999999999999</v>
      </c>
      <c r="H38" s="2">
        <v>1.3712500000000001</v>
      </c>
      <c r="I38" s="2" t="s">
        <v>614</v>
      </c>
      <c r="J38" s="2" t="s">
        <v>638</v>
      </c>
      <c r="K38" s="2" t="s">
        <v>244</v>
      </c>
      <c r="L38" s="2" t="s">
        <v>616</v>
      </c>
    </row>
    <row r="39" spans="1:12" x14ac:dyDescent="0.25">
      <c r="A39" s="2">
        <v>29</v>
      </c>
      <c r="B39" s="2" t="s">
        <v>245</v>
      </c>
      <c r="C39" s="2">
        <v>220</v>
      </c>
      <c r="D39" s="2">
        <v>777</v>
      </c>
      <c r="E39" s="2">
        <v>777</v>
      </c>
      <c r="F39" s="2">
        <v>1010</v>
      </c>
      <c r="G39" s="2">
        <v>1</v>
      </c>
      <c r="H39" s="2">
        <v>1.2998712998713</v>
      </c>
      <c r="I39" s="2" t="s">
        <v>614</v>
      </c>
      <c r="J39" s="2" t="s">
        <v>639</v>
      </c>
      <c r="K39" s="2" t="s">
        <v>247</v>
      </c>
      <c r="L39" s="2" t="s">
        <v>616</v>
      </c>
    </row>
    <row r="40" spans="1:12" x14ac:dyDescent="0.25">
      <c r="A40" s="2">
        <v>30</v>
      </c>
      <c r="B40" s="2" t="s">
        <v>248</v>
      </c>
      <c r="C40" s="2">
        <v>220</v>
      </c>
      <c r="D40" s="2">
        <v>805</v>
      </c>
      <c r="E40" s="2">
        <v>832</v>
      </c>
      <c r="F40" s="2">
        <v>1047</v>
      </c>
      <c r="G40" s="2">
        <v>1.033540372670807</v>
      </c>
      <c r="H40" s="2">
        <v>1.3006211180124221</v>
      </c>
      <c r="I40" s="2" t="s">
        <v>614</v>
      </c>
      <c r="J40" s="2" t="s">
        <v>640</v>
      </c>
      <c r="K40" s="2" t="s">
        <v>250</v>
      </c>
      <c r="L40" s="2" t="s">
        <v>616</v>
      </c>
    </row>
    <row r="41" spans="1:12" x14ac:dyDescent="0.25">
      <c r="A41" s="2">
        <v>31</v>
      </c>
      <c r="B41" s="2" t="s">
        <v>251</v>
      </c>
      <c r="C41" s="2">
        <v>220</v>
      </c>
      <c r="D41" s="2">
        <v>915</v>
      </c>
      <c r="E41" s="2">
        <v>296</v>
      </c>
      <c r="F41" s="2">
        <v>920</v>
      </c>
      <c r="G41" s="2">
        <v>0.32349726775956278</v>
      </c>
      <c r="H41" s="2">
        <v>1.0054644808743169</v>
      </c>
      <c r="I41" s="2" t="s">
        <v>614</v>
      </c>
      <c r="J41" s="2" t="s">
        <v>641</v>
      </c>
      <c r="K41" s="2" t="s">
        <v>253</v>
      </c>
      <c r="L41" s="2" t="s">
        <v>616</v>
      </c>
    </row>
    <row r="42" spans="1:12" x14ac:dyDescent="0.25">
      <c r="A42" s="2">
        <v>32</v>
      </c>
      <c r="B42" s="2" t="s">
        <v>254</v>
      </c>
      <c r="C42" s="2">
        <v>220</v>
      </c>
      <c r="D42" s="2">
        <v>777</v>
      </c>
      <c r="E42" s="2">
        <v>777</v>
      </c>
      <c r="F42" s="2">
        <v>1010</v>
      </c>
      <c r="G42" s="2">
        <v>1</v>
      </c>
      <c r="H42" s="2">
        <v>1.2998712998713</v>
      </c>
      <c r="I42" s="2" t="s">
        <v>614</v>
      </c>
      <c r="J42" s="2" t="s">
        <v>642</v>
      </c>
      <c r="K42" s="2" t="s">
        <v>255</v>
      </c>
      <c r="L42" s="2" t="s">
        <v>616</v>
      </c>
    </row>
    <row r="43" spans="1:12" x14ac:dyDescent="0.25">
      <c r="A43" s="2">
        <v>33</v>
      </c>
      <c r="B43" s="2" t="s">
        <v>256</v>
      </c>
      <c r="C43" s="2">
        <v>220</v>
      </c>
      <c r="D43" s="2">
        <v>777</v>
      </c>
      <c r="E43" s="2">
        <v>777</v>
      </c>
      <c r="F43" s="2">
        <v>1010</v>
      </c>
      <c r="G43" s="2">
        <v>1</v>
      </c>
      <c r="H43" s="2">
        <v>1.2998712998713</v>
      </c>
      <c r="I43" s="2" t="s">
        <v>614</v>
      </c>
      <c r="J43" s="2" t="s">
        <v>643</v>
      </c>
      <c r="K43" s="2" t="s">
        <v>258</v>
      </c>
      <c r="L43" s="2" t="s">
        <v>616</v>
      </c>
    </row>
    <row r="44" spans="1:12" x14ac:dyDescent="0.25">
      <c r="A44" s="2">
        <v>34</v>
      </c>
      <c r="B44" s="2" t="s">
        <v>259</v>
      </c>
      <c r="C44" s="2">
        <v>220</v>
      </c>
      <c r="D44" s="2">
        <v>915</v>
      </c>
      <c r="E44" s="2">
        <v>915</v>
      </c>
      <c r="F44" s="2">
        <v>1190</v>
      </c>
      <c r="G44" s="2">
        <v>1</v>
      </c>
      <c r="H44" s="2">
        <v>1.300546448087432</v>
      </c>
      <c r="I44" s="2" t="s">
        <v>614</v>
      </c>
      <c r="J44" s="2" t="s">
        <v>644</v>
      </c>
      <c r="K44" s="2" t="s">
        <v>261</v>
      </c>
      <c r="L44" s="2" t="s">
        <v>616</v>
      </c>
    </row>
    <row r="45" spans="1:12" x14ac:dyDescent="0.25">
      <c r="A45" s="2">
        <v>35</v>
      </c>
      <c r="B45" s="2" t="s">
        <v>262</v>
      </c>
      <c r="C45" s="2">
        <v>230</v>
      </c>
      <c r="D45" s="2">
        <v>814</v>
      </c>
      <c r="E45" s="2">
        <v>814</v>
      </c>
      <c r="F45" s="2">
        <v>1058</v>
      </c>
      <c r="G45" s="2">
        <v>1</v>
      </c>
      <c r="H45" s="2">
        <v>1.2997542997542999</v>
      </c>
      <c r="I45" s="2" t="s">
        <v>614</v>
      </c>
      <c r="J45" s="2" t="s">
        <v>645</v>
      </c>
      <c r="K45" s="2" t="s">
        <v>265</v>
      </c>
      <c r="L45" s="2" t="s">
        <v>616</v>
      </c>
    </row>
    <row r="46" spans="1:12" x14ac:dyDescent="0.25">
      <c r="A46" s="2">
        <v>36</v>
      </c>
      <c r="B46" s="2" t="s">
        <v>266</v>
      </c>
      <c r="C46" s="2">
        <v>230</v>
      </c>
      <c r="D46" s="2">
        <v>800</v>
      </c>
      <c r="E46" s="2">
        <v>860</v>
      </c>
      <c r="F46" s="2">
        <v>860</v>
      </c>
      <c r="G46" s="2">
        <v>1.075</v>
      </c>
      <c r="H46" s="2">
        <v>1.075</v>
      </c>
      <c r="I46" s="2" t="s">
        <v>614</v>
      </c>
      <c r="J46" s="2" t="s">
        <v>646</v>
      </c>
      <c r="K46" s="2" t="s">
        <v>268</v>
      </c>
      <c r="L46" s="2" t="s">
        <v>616</v>
      </c>
    </row>
    <row r="47" spans="1:12" x14ac:dyDescent="0.25">
      <c r="A47" s="2">
        <v>37</v>
      </c>
      <c r="B47" s="2" t="s">
        <v>269</v>
      </c>
      <c r="C47" s="2">
        <v>220</v>
      </c>
      <c r="D47" s="2">
        <v>915</v>
      </c>
      <c r="E47" s="2">
        <v>915</v>
      </c>
      <c r="F47" s="2">
        <v>1190</v>
      </c>
      <c r="G47" s="2">
        <v>1</v>
      </c>
      <c r="H47" s="2">
        <v>1.300546448087432</v>
      </c>
      <c r="I47" s="2" t="s">
        <v>614</v>
      </c>
      <c r="J47" s="2" t="s">
        <v>647</v>
      </c>
      <c r="K47" s="2" t="s">
        <v>271</v>
      </c>
      <c r="L47" s="2" t="s">
        <v>616</v>
      </c>
    </row>
    <row r="48" spans="1:12" x14ac:dyDescent="0.25">
      <c r="A48" s="2">
        <v>38</v>
      </c>
      <c r="B48" s="2" t="s">
        <v>272</v>
      </c>
      <c r="C48" s="2">
        <v>220</v>
      </c>
      <c r="D48" s="2">
        <v>915</v>
      </c>
      <c r="E48" s="2">
        <v>915</v>
      </c>
      <c r="F48" s="2">
        <v>1190</v>
      </c>
      <c r="G48" s="2">
        <v>1</v>
      </c>
      <c r="H48" s="2">
        <v>1.300546448087432</v>
      </c>
      <c r="I48" s="2" t="s">
        <v>614</v>
      </c>
      <c r="J48" s="2" t="s">
        <v>648</v>
      </c>
      <c r="K48" s="2" t="s">
        <v>273</v>
      </c>
      <c r="L48" s="2" t="s">
        <v>616</v>
      </c>
    </row>
    <row r="49" spans="1:12" x14ac:dyDescent="0.25">
      <c r="A49" s="2">
        <v>39</v>
      </c>
      <c r="B49" s="2" t="s">
        <v>274</v>
      </c>
      <c r="C49" s="2">
        <v>220</v>
      </c>
      <c r="D49" s="2">
        <v>1000</v>
      </c>
      <c r="E49" s="2">
        <v>1004</v>
      </c>
      <c r="F49" s="2">
        <v>1168.5999999999999</v>
      </c>
      <c r="G49" s="2">
        <v>1.004</v>
      </c>
      <c r="H49" s="2">
        <v>1.1686000000000001</v>
      </c>
      <c r="I49" s="2" t="s">
        <v>614</v>
      </c>
      <c r="J49" s="2" t="s">
        <v>649</v>
      </c>
      <c r="K49" s="2" t="s">
        <v>275</v>
      </c>
      <c r="L49" s="2" t="s">
        <v>616</v>
      </c>
    </row>
    <row r="50" spans="1:12" x14ac:dyDescent="0.25">
      <c r="A50" s="2">
        <v>40</v>
      </c>
      <c r="B50" s="2" t="s">
        <v>650</v>
      </c>
      <c r="C50" s="2">
        <v>230</v>
      </c>
      <c r="D50" s="2">
        <v>1040</v>
      </c>
      <c r="E50" s="2">
        <v>1795</v>
      </c>
      <c r="F50" s="2">
        <v>1381</v>
      </c>
      <c r="G50" s="2">
        <v>1.725961538461539</v>
      </c>
      <c r="H50" s="2">
        <v>1.3278846153846151</v>
      </c>
      <c r="I50" s="2" t="s">
        <v>614</v>
      </c>
      <c r="J50" s="2" t="s">
        <v>651</v>
      </c>
      <c r="K50" s="2" t="s">
        <v>652</v>
      </c>
      <c r="L50" s="2" t="s">
        <v>628</v>
      </c>
    </row>
    <row r="51" spans="1:12" x14ac:dyDescent="0.25">
      <c r="A51" s="2">
        <v>41</v>
      </c>
      <c r="B51" s="2" t="s">
        <v>653</v>
      </c>
      <c r="C51" s="2">
        <v>230</v>
      </c>
      <c r="D51" s="2">
        <v>800</v>
      </c>
      <c r="E51" s="2">
        <v>1340</v>
      </c>
      <c r="F51" s="2">
        <v>1742</v>
      </c>
      <c r="G51" s="2">
        <v>1.675</v>
      </c>
      <c r="H51" s="2">
        <v>2.1775000000000002</v>
      </c>
      <c r="I51" s="2" t="s">
        <v>614</v>
      </c>
      <c r="J51" s="2" t="s">
        <v>654</v>
      </c>
      <c r="K51" s="2" t="s">
        <v>655</v>
      </c>
      <c r="L51" s="2" t="s">
        <v>628</v>
      </c>
    </row>
    <row r="52" spans="1:12" x14ac:dyDescent="0.25">
      <c r="A52" s="2">
        <v>42</v>
      </c>
      <c r="B52" s="2" t="s">
        <v>656</v>
      </c>
      <c r="C52" s="2">
        <v>230</v>
      </c>
      <c r="D52" s="2">
        <v>800</v>
      </c>
      <c r="E52" s="2">
        <v>1340</v>
      </c>
      <c r="F52" s="2">
        <v>1742</v>
      </c>
      <c r="G52" s="2">
        <v>1.675</v>
      </c>
      <c r="H52" s="2">
        <v>2.1775000000000002</v>
      </c>
      <c r="I52" s="2" t="s">
        <v>614</v>
      </c>
      <c r="J52" s="2" t="s">
        <v>654</v>
      </c>
      <c r="K52" s="2" t="s">
        <v>655</v>
      </c>
      <c r="L52" s="2" t="s">
        <v>628</v>
      </c>
    </row>
    <row r="53" spans="1:12" x14ac:dyDescent="0.25">
      <c r="A53" s="2">
        <v>43</v>
      </c>
      <c r="B53" s="2" t="s">
        <v>276</v>
      </c>
      <c r="C53" s="2">
        <v>230</v>
      </c>
      <c r="D53" s="2">
        <v>895</v>
      </c>
      <c r="E53" s="2">
        <v>895</v>
      </c>
      <c r="F53" s="2">
        <v>1164</v>
      </c>
      <c r="G53" s="2">
        <v>1</v>
      </c>
      <c r="H53" s="2">
        <v>1.3005586592178771</v>
      </c>
      <c r="I53" s="2" t="s">
        <v>614</v>
      </c>
      <c r="J53" s="2" t="s">
        <v>657</v>
      </c>
      <c r="K53" s="2" t="s">
        <v>279</v>
      </c>
      <c r="L53" s="2" t="s">
        <v>616</v>
      </c>
    </row>
    <row r="54" spans="1:12" x14ac:dyDescent="0.25">
      <c r="A54" s="2">
        <v>44</v>
      </c>
      <c r="B54" s="2" t="s">
        <v>280</v>
      </c>
      <c r="C54" s="2">
        <v>230</v>
      </c>
      <c r="D54" s="2">
        <v>895</v>
      </c>
      <c r="E54" s="2">
        <v>895</v>
      </c>
      <c r="F54" s="2">
        <v>1164</v>
      </c>
      <c r="G54" s="2">
        <v>1</v>
      </c>
      <c r="H54" s="2">
        <v>1.3005586592178771</v>
      </c>
      <c r="I54" s="2" t="s">
        <v>614</v>
      </c>
      <c r="J54" s="2" t="s">
        <v>658</v>
      </c>
      <c r="K54" s="2" t="s">
        <v>282</v>
      </c>
      <c r="L54" s="2" t="s">
        <v>616</v>
      </c>
    </row>
    <row r="55" spans="1:12" x14ac:dyDescent="0.25">
      <c r="A55" s="2">
        <v>45</v>
      </c>
      <c r="B55" s="2" t="s">
        <v>659</v>
      </c>
      <c r="C55" s="2">
        <v>220</v>
      </c>
      <c r="D55" s="2">
        <v>630</v>
      </c>
      <c r="E55" s="2">
        <v>813</v>
      </c>
      <c r="F55" s="2">
        <v>630</v>
      </c>
      <c r="G55" s="2">
        <v>1.290476190476191</v>
      </c>
      <c r="H55" s="2">
        <v>1</v>
      </c>
      <c r="I55" s="2" t="s">
        <v>614</v>
      </c>
      <c r="J55" s="2" t="s">
        <v>660</v>
      </c>
      <c r="K55" s="2" t="s">
        <v>661</v>
      </c>
      <c r="L55" s="2" t="s">
        <v>628</v>
      </c>
    </row>
    <row r="56" spans="1:12" x14ac:dyDescent="0.25">
      <c r="A56" s="2">
        <v>46</v>
      </c>
      <c r="B56" s="2" t="s">
        <v>283</v>
      </c>
      <c r="C56" s="2">
        <v>220</v>
      </c>
      <c r="D56" s="2">
        <v>800</v>
      </c>
      <c r="E56" s="2">
        <v>800</v>
      </c>
      <c r="F56" s="2">
        <v>960</v>
      </c>
      <c r="G56" s="2">
        <v>1</v>
      </c>
      <c r="H56" s="2">
        <v>1.2</v>
      </c>
      <c r="I56" s="2" t="s">
        <v>614</v>
      </c>
      <c r="J56" s="2" t="s">
        <v>662</v>
      </c>
      <c r="K56" s="2" t="s">
        <v>286</v>
      </c>
      <c r="L56" s="2" t="s">
        <v>616</v>
      </c>
    </row>
    <row r="57" spans="1:12" x14ac:dyDescent="0.25">
      <c r="A57" s="2">
        <v>47</v>
      </c>
      <c r="B57" s="2" t="s">
        <v>663</v>
      </c>
      <c r="C57" s="2">
        <v>220</v>
      </c>
      <c r="D57" s="2">
        <v>929</v>
      </c>
      <c r="E57" s="2">
        <v>929</v>
      </c>
      <c r="F57" s="2">
        <v>1028</v>
      </c>
      <c r="G57" s="2">
        <v>1</v>
      </c>
      <c r="H57" s="2">
        <v>1.106566200215285</v>
      </c>
      <c r="I57" s="2" t="s">
        <v>614</v>
      </c>
      <c r="J57" s="2" t="s">
        <v>660</v>
      </c>
      <c r="K57" s="2" t="s">
        <v>661</v>
      </c>
      <c r="L57" s="2" t="s">
        <v>628</v>
      </c>
    </row>
    <row r="58" spans="1:12" x14ac:dyDescent="0.25">
      <c r="A58" s="2">
        <v>48</v>
      </c>
      <c r="B58" s="2" t="s">
        <v>287</v>
      </c>
      <c r="C58" s="2">
        <v>230</v>
      </c>
      <c r="D58" s="2">
        <v>900</v>
      </c>
      <c r="E58" s="2">
        <v>900</v>
      </c>
      <c r="F58" s="2">
        <v>900</v>
      </c>
      <c r="G58" s="2">
        <v>1</v>
      </c>
      <c r="H58" s="2">
        <v>1</v>
      </c>
      <c r="I58" s="2" t="s">
        <v>614</v>
      </c>
      <c r="J58" s="2" t="s">
        <v>664</v>
      </c>
      <c r="K58" s="2" t="s">
        <v>290</v>
      </c>
      <c r="L58" s="2" t="s">
        <v>616</v>
      </c>
    </row>
    <row r="59" spans="1:12" x14ac:dyDescent="0.25">
      <c r="A59" s="2">
        <v>49</v>
      </c>
      <c r="B59" s="2" t="s">
        <v>291</v>
      </c>
      <c r="C59" s="2">
        <v>230</v>
      </c>
      <c r="D59" s="2">
        <v>837</v>
      </c>
      <c r="E59" s="2">
        <v>837</v>
      </c>
      <c r="F59" s="2">
        <v>1088</v>
      </c>
      <c r="G59" s="2">
        <v>1</v>
      </c>
      <c r="H59" s="2">
        <v>1.299880525686977</v>
      </c>
      <c r="I59" s="2" t="s">
        <v>614</v>
      </c>
      <c r="J59" s="2" t="s">
        <v>665</v>
      </c>
      <c r="K59" s="2" t="s">
        <v>293</v>
      </c>
      <c r="L59" s="2" t="s">
        <v>616</v>
      </c>
    </row>
    <row r="60" spans="1:12" x14ac:dyDescent="0.25">
      <c r="A60" s="2">
        <v>50</v>
      </c>
      <c r="B60" s="2" t="s">
        <v>294</v>
      </c>
      <c r="C60" s="2">
        <v>230</v>
      </c>
      <c r="D60" s="2">
        <v>900</v>
      </c>
      <c r="E60" s="2">
        <v>900</v>
      </c>
      <c r="F60" s="2">
        <v>900</v>
      </c>
      <c r="G60" s="2">
        <v>1</v>
      </c>
      <c r="H60" s="2">
        <v>1</v>
      </c>
      <c r="I60" s="2" t="s">
        <v>614</v>
      </c>
      <c r="J60" s="2" t="s">
        <v>666</v>
      </c>
      <c r="K60" s="2" t="s">
        <v>296</v>
      </c>
      <c r="L60" s="2" t="s">
        <v>616</v>
      </c>
    </row>
    <row r="61" spans="1:12" ht="30" x14ac:dyDescent="0.25">
      <c r="A61" s="2">
        <v>51</v>
      </c>
      <c r="B61" s="2" t="s">
        <v>297</v>
      </c>
      <c r="C61" s="2">
        <v>220</v>
      </c>
      <c r="D61" s="2">
        <v>1000</v>
      </c>
      <c r="E61" s="2">
        <v>1000</v>
      </c>
      <c r="F61" s="2">
        <v>1028</v>
      </c>
      <c r="G61" s="2">
        <v>1</v>
      </c>
      <c r="H61" s="2">
        <v>1.028</v>
      </c>
      <c r="I61" s="2" t="s">
        <v>622</v>
      </c>
      <c r="J61" s="2" t="s">
        <v>667</v>
      </c>
      <c r="K61" s="2" t="s">
        <v>299</v>
      </c>
      <c r="L61" s="2" t="s">
        <v>616</v>
      </c>
    </row>
    <row r="62" spans="1:12" x14ac:dyDescent="0.25">
      <c r="A62" s="2">
        <v>52</v>
      </c>
      <c r="B62" s="2" t="s">
        <v>300</v>
      </c>
      <c r="C62" s="2">
        <v>220</v>
      </c>
      <c r="D62" s="2">
        <v>787</v>
      </c>
      <c r="E62" s="2">
        <v>813</v>
      </c>
      <c r="F62" s="2">
        <v>790</v>
      </c>
      <c r="G62" s="2">
        <v>1.033036848792884</v>
      </c>
      <c r="H62" s="2">
        <v>1.003811944091487</v>
      </c>
      <c r="I62" s="2" t="s">
        <v>614</v>
      </c>
      <c r="J62" s="2" t="s">
        <v>668</v>
      </c>
      <c r="K62" s="2" t="s">
        <v>302</v>
      </c>
      <c r="L62" s="2" t="s">
        <v>616</v>
      </c>
    </row>
    <row r="63" spans="1:12" x14ac:dyDescent="0.25">
      <c r="A63" s="2">
        <v>53</v>
      </c>
      <c r="B63" s="2" t="s">
        <v>303</v>
      </c>
      <c r="C63" s="2">
        <v>220</v>
      </c>
      <c r="D63" s="2">
        <v>787</v>
      </c>
      <c r="E63" s="2">
        <v>813</v>
      </c>
      <c r="F63" s="2">
        <v>790</v>
      </c>
      <c r="G63" s="2">
        <v>1.033036848792884</v>
      </c>
      <c r="H63" s="2">
        <v>1.003811944091487</v>
      </c>
      <c r="I63" s="2" t="s">
        <v>614</v>
      </c>
      <c r="J63" s="2" t="s">
        <v>668</v>
      </c>
      <c r="K63" s="2" t="s">
        <v>302</v>
      </c>
      <c r="L63" s="2" t="s">
        <v>616</v>
      </c>
    </row>
    <row r="64" spans="1:12" ht="30" x14ac:dyDescent="0.25">
      <c r="A64" s="2">
        <v>54</v>
      </c>
      <c r="B64" s="2" t="s">
        <v>304</v>
      </c>
      <c r="C64" s="2">
        <v>220</v>
      </c>
      <c r="D64" s="2">
        <v>929</v>
      </c>
      <c r="E64" s="2">
        <v>929</v>
      </c>
      <c r="F64" s="2">
        <v>1028</v>
      </c>
      <c r="G64" s="2">
        <v>1</v>
      </c>
      <c r="H64" s="2">
        <v>1.106566200215285</v>
      </c>
      <c r="I64" s="2" t="s">
        <v>622</v>
      </c>
      <c r="J64" s="2" t="s">
        <v>667</v>
      </c>
      <c r="K64" s="2" t="s">
        <v>299</v>
      </c>
      <c r="L64" s="2" t="s">
        <v>616</v>
      </c>
    </row>
    <row r="65" spans="1:12" x14ac:dyDescent="0.25">
      <c r="A65" s="2">
        <v>55</v>
      </c>
      <c r="B65" s="2" t="s">
        <v>104</v>
      </c>
      <c r="C65" s="2">
        <v>230</v>
      </c>
      <c r="D65" s="2">
        <v>984</v>
      </c>
      <c r="E65" s="2">
        <v>984</v>
      </c>
      <c r="F65" s="2">
        <v>1279</v>
      </c>
      <c r="G65" s="2">
        <v>1</v>
      </c>
      <c r="H65" s="2">
        <v>1.2997967479674799</v>
      </c>
      <c r="I65" s="2" t="s">
        <v>614</v>
      </c>
      <c r="J65" s="2" t="s">
        <v>669</v>
      </c>
      <c r="K65" s="2" t="s">
        <v>108</v>
      </c>
      <c r="L65" s="2" t="s">
        <v>628</v>
      </c>
    </row>
    <row r="66" spans="1:12" x14ac:dyDescent="0.25">
      <c r="A66" s="2">
        <v>56</v>
      </c>
      <c r="B66" s="2" t="s">
        <v>110</v>
      </c>
      <c r="C66" s="2">
        <v>230</v>
      </c>
      <c r="D66" s="2">
        <v>984</v>
      </c>
      <c r="E66" s="2">
        <v>984</v>
      </c>
      <c r="F66" s="2">
        <v>1279</v>
      </c>
      <c r="G66" s="2">
        <v>1</v>
      </c>
      <c r="H66" s="2">
        <v>1.2997967479674799</v>
      </c>
      <c r="I66" s="2" t="s">
        <v>614</v>
      </c>
      <c r="J66" s="2" t="s">
        <v>669</v>
      </c>
      <c r="K66" s="2" t="s">
        <v>108</v>
      </c>
      <c r="L66" s="2" t="s">
        <v>628</v>
      </c>
    </row>
    <row r="67" spans="1:12" x14ac:dyDescent="0.25">
      <c r="A67" s="2">
        <v>57</v>
      </c>
      <c r="B67" s="2" t="s">
        <v>305</v>
      </c>
      <c r="C67" s="2">
        <v>230</v>
      </c>
      <c r="D67" s="2">
        <v>984</v>
      </c>
      <c r="E67" s="2">
        <v>984</v>
      </c>
      <c r="F67" s="2">
        <v>1279</v>
      </c>
      <c r="G67" s="2">
        <v>1</v>
      </c>
      <c r="H67" s="2">
        <v>1.2997967479674799</v>
      </c>
      <c r="I67" s="2" t="s">
        <v>614</v>
      </c>
      <c r="J67" s="2" t="s">
        <v>670</v>
      </c>
      <c r="K67" s="2" t="s">
        <v>306</v>
      </c>
      <c r="L67" s="2" t="s">
        <v>616</v>
      </c>
    </row>
    <row r="68" spans="1:12" x14ac:dyDescent="0.25">
      <c r="A68" s="2">
        <v>58</v>
      </c>
      <c r="B68" s="2" t="s">
        <v>307</v>
      </c>
      <c r="C68" s="2">
        <v>230</v>
      </c>
      <c r="D68" s="2">
        <v>984</v>
      </c>
      <c r="E68" s="2">
        <v>984</v>
      </c>
      <c r="F68" s="2">
        <v>1279</v>
      </c>
      <c r="G68" s="2">
        <v>1</v>
      </c>
      <c r="H68" s="2">
        <v>1.2997967479674799</v>
      </c>
      <c r="I68" s="2" t="s">
        <v>614</v>
      </c>
      <c r="J68" s="2" t="s">
        <v>670</v>
      </c>
      <c r="K68" s="2" t="s">
        <v>306</v>
      </c>
      <c r="L68" s="2" t="s">
        <v>616</v>
      </c>
    </row>
    <row r="69" spans="1:12" x14ac:dyDescent="0.25">
      <c r="A69" s="2">
        <v>59</v>
      </c>
      <c r="B69" s="2" t="s">
        <v>111</v>
      </c>
      <c r="C69" s="2">
        <v>500</v>
      </c>
      <c r="D69" s="2">
        <v>1905</v>
      </c>
      <c r="E69" s="2">
        <v>2000</v>
      </c>
      <c r="F69" s="2">
        <v>2000</v>
      </c>
      <c r="G69" s="2">
        <v>1.049868766404199</v>
      </c>
      <c r="H69" s="2">
        <v>1.049868766404199</v>
      </c>
      <c r="I69" s="2" t="s">
        <v>614</v>
      </c>
      <c r="J69" s="2" t="s">
        <v>671</v>
      </c>
      <c r="K69" s="2" t="s">
        <v>115</v>
      </c>
      <c r="L69" s="2" t="s">
        <v>628</v>
      </c>
    </row>
    <row r="70" spans="1:12" x14ac:dyDescent="0.25">
      <c r="A70" s="2">
        <v>60</v>
      </c>
      <c r="B70" s="2" t="s">
        <v>117</v>
      </c>
      <c r="C70" s="2">
        <v>500</v>
      </c>
      <c r="D70" s="2">
        <v>2400</v>
      </c>
      <c r="E70" s="2">
        <v>2400</v>
      </c>
      <c r="F70" s="2">
        <v>2500</v>
      </c>
      <c r="G70" s="2">
        <v>1</v>
      </c>
      <c r="H70" s="2">
        <v>1.041666666666667</v>
      </c>
      <c r="I70" s="2" t="s">
        <v>614</v>
      </c>
      <c r="J70" s="2" t="s">
        <v>672</v>
      </c>
      <c r="K70" s="2" t="s">
        <v>119</v>
      </c>
      <c r="L70" s="2" t="s">
        <v>628</v>
      </c>
    </row>
    <row r="71" spans="1:12" ht="30" x14ac:dyDescent="0.25">
      <c r="A71" s="2">
        <v>61</v>
      </c>
      <c r="B71" s="2" t="s">
        <v>120</v>
      </c>
      <c r="C71" s="2">
        <v>500</v>
      </c>
      <c r="D71" s="2">
        <v>2400</v>
      </c>
      <c r="E71" s="2">
        <v>2400</v>
      </c>
      <c r="F71" s="2">
        <v>2500</v>
      </c>
      <c r="G71" s="2">
        <v>1</v>
      </c>
      <c r="H71" s="2">
        <v>1.041666666666667</v>
      </c>
      <c r="I71" s="2" t="s">
        <v>622</v>
      </c>
      <c r="J71" s="2" t="s">
        <v>673</v>
      </c>
      <c r="K71" s="2" t="s">
        <v>122</v>
      </c>
      <c r="L71" s="2" t="s">
        <v>628</v>
      </c>
    </row>
    <row r="72" spans="1:12" ht="30" x14ac:dyDescent="0.25">
      <c r="A72" s="2">
        <v>62</v>
      </c>
      <c r="B72" s="2" t="s">
        <v>123</v>
      </c>
      <c r="C72" s="2">
        <v>500</v>
      </c>
      <c r="D72" s="2">
        <v>2400</v>
      </c>
      <c r="E72" s="2">
        <v>2400</v>
      </c>
      <c r="F72" s="2">
        <v>2500</v>
      </c>
      <c r="G72" s="2">
        <v>1</v>
      </c>
      <c r="H72" s="2">
        <v>1.041666666666667</v>
      </c>
      <c r="I72" s="2" t="s">
        <v>622</v>
      </c>
      <c r="J72" s="2" t="s">
        <v>673</v>
      </c>
      <c r="K72" s="2" t="s">
        <v>122</v>
      </c>
      <c r="L72" s="2" t="s">
        <v>628</v>
      </c>
    </row>
    <row r="73" spans="1:12" x14ac:dyDescent="0.25">
      <c r="A73" s="2">
        <v>63</v>
      </c>
      <c r="B73" s="2" t="s">
        <v>124</v>
      </c>
      <c r="C73" s="2">
        <v>500</v>
      </c>
      <c r="D73" s="2">
        <v>2400</v>
      </c>
      <c r="E73" s="2">
        <v>2449</v>
      </c>
      <c r="F73" s="2">
        <v>2668</v>
      </c>
      <c r="G73" s="2">
        <v>1.020416666666667</v>
      </c>
      <c r="H73" s="2">
        <v>1.111666666666667</v>
      </c>
      <c r="I73" s="2" t="s">
        <v>614</v>
      </c>
      <c r="J73" s="2" t="s">
        <v>674</v>
      </c>
      <c r="K73" s="2" t="s">
        <v>126</v>
      </c>
      <c r="L73" s="2" t="s">
        <v>628</v>
      </c>
    </row>
    <row r="74" spans="1:12" x14ac:dyDescent="0.25">
      <c r="A74" s="2">
        <v>64</v>
      </c>
      <c r="B74" s="2" t="s">
        <v>127</v>
      </c>
      <c r="C74" s="2">
        <v>500</v>
      </c>
      <c r="D74" s="2">
        <v>2500</v>
      </c>
      <c r="E74" s="2">
        <v>2856</v>
      </c>
      <c r="F74" s="2">
        <v>3713</v>
      </c>
      <c r="G74" s="2">
        <v>1.1424000000000001</v>
      </c>
      <c r="H74" s="2">
        <v>1.4852000000000001</v>
      </c>
      <c r="I74" s="2" t="s">
        <v>614</v>
      </c>
      <c r="J74" s="2" t="s">
        <v>672</v>
      </c>
      <c r="K74" s="2" t="s">
        <v>119</v>
      </c>
      <c r="L74" s="2" t="s">
        <v>628</v>
      </c>
    </row>
    <row r="75" spans="1:12" x14ac:dyDescent="0.25">
      <c r="A75" s="2">
        <v>65</v>
      </c>
      <c r="B75" s="2" t="s">
        <v>128</v>
      </c>
      <c r="C75" s="2">
        <v>500</v>
      </c>
      <c r="D75" s="2">
        <v>2500</v>
      </c>
      <c r="E75" s="2">
        <v>2857</v>
      </c>
      <c r="F75" s="2">
        <v>3714</v>
      </c>
      <c r="G75" s="2">
        <v>1.1428</v>
      </c>
      <c r="H75" s="2">
        <v>1.4856</v>
      </c>
      <c r="I75" s="2" t="s">
        <v>614</v>
      </c>
      <c r="J75" s="2" t="s">
        <v>675</v>
      </c>
      <c r="K75" s="2" t="s">
        <v>130</v>
      </c>
      <c r="L75" s="2" t="s">
        <v>628</v>
      </c>
    </row>
    <row r="76" spans="1:12" x14ac:dyDescent="0.25">
      <c r="A76" s="2">
        <v>66</v>
      </c>
      <c r="B76" s="2" t="s">
        <v>73</v>
      </c>
      <c r="C76" s="2">
        <v>500</v>
      </c>
      <c r="D76" s="2">
        <v>2400</v>
      </c>
      <c r="E76" s="2">
        <v>2400</v>
      </c>
      <c r="F76" s="2">
        <v>2500</v>
      </c>
      <c r="G76" s="2">
        <v>1</v>
      </c>
      <c r="H76" s="2">
        <v>1.041666666666667</v>
      </c>
      <c r="I76" s="2" t="s">
        <v>614</v>
      </c>
      <c r="J76" s="2" t="s">
        <v>676</v>
      </c>
      <c r="K76" s="2" t="s">
        <v>677</v>
      </c>
      <c r="L76" s="2" t="s">
        <v>628</v>
      </c>
    </row>
    <row r="77" spans="1:12" x14ac:dyDescent="0.25">
      <c r="A77" s="2">
        <v>67</v>
      </c>
      <c r="B77" s="2" t="s">
        <v>678</v>
      </c>
      <c r="C77" s="2">
        <v>500</v>
      </c>
      <c r="D77" s="2">
        <v>2500</v>
      </c>
      <c r="E77" s="2">
        <v>2850</v>
      </c>
      <c r="F77" s="2">
        <v>3705</v>
      </c>
      <c r="G77" s="2">
        <v>1.1399999999999999</v>
      </c>
      <c r="H77" s="2">
        <v>1.482</v>
      </c>
      <c r="I77" s="2" t="s">
        <v>614</v>
      </c>
      <c r="J77" s="2" t="s">
        <v>679</v>
      </c>
      <c r="K77" s="2" t="s">
        <v>680</v>
      </c>
      <c r="L77" s="2" t="s">
        <v>628</v>
      </c>
    </row>
    <row r="78" spans="1:12" x14ac:dyDescent="0.25">
      <c r="A78" s="2">
        <v>68</v>
      </c>
      <c r="B78" s="2" t="s">
        <v>681</v>
      </c>
      <c r="C78" s="2">
        <v>500</v>
      </c>
      <c r="D78" s="2">
        <v>2375</v>
      </c>
      <c r="E78" s="2">
        <v>2375</v>
      </c>
      <c r="F78" s="2">
        <v>3087.5</v>
      </c>
      <c r="G78" s="2">
        <v>1</v>
      </c>
      <c r="H78" s="2">
        <v>1.3</v>
      </c>
      <c r="I78" s="2" t="s">
        <v>614</v>
      </c>
      <c r="J78" s="2" t="s">
        <v>679</v>
      </c>
      <c r="K78" s="2" t="s">
        <v>680</v>
      </c>
      <c r="L78" s="2" t="s">
        <v>628</v>
      </c>
    </row>
    <row r="79" spans="1:12" x14ac:dyDescent="0.25">
      <c r="A79" s="2">
        <v>69</v>
      </c>
      <c r="B79" s="2" t="s">
        <v>308</v>
      </c>
      <c r="C79" s="2">
        <v>500</v>
      </c>
      <c r="D79" s="2">
        <v>2400</v>
      </c>
      <c r="E79" s="2">
        <v>2449</v>
      </c>
      <c r="F79" s="2">
        <v>2668</v>
      </c>
      <c r="G79" s="2">
        <v>1.020416666666667</v>
      </c>
      <c r="H79" s="2">
        <v>1.111666666666667</v>
      </c>
      <c r="I79" s="2" t="s">
        <v>614</v>
      </c>
      <c r="J79" s="2" t="s">
        <v>682</v>
      </c>
      <c r="K79" s="2" t="s">
        <v>309</v>
      </c>
      <c r="L79" s="2" t="s">
        <v>616</v>
      </c>
    </row>
    <row r="80" spans="1:12" x14ac:dyDescent="0.25">
      <c r="A80" s="2">
        <v>70</v>
      </c>
      <c r="B80" s="2" t="s">
        <v>310</v>
      </c>
      <c r="C80" s="2">
        <v>230</v>
      </c>
      <c r="D80" s="2">
        <v>1000</v>
      </c>
      <c r="E80" s="2">
        <v>1164</v>
      </c>
      <c r="F80" s="2">
        <v>1455</v>
      </c>
      <c r="G80" s="2">
        <v>1.1639999999999999</v>
      </c>
      <c r="H80" s="2">
        <v>1.4550000000000001</v>
      </c>
      <c r="I80" s="2" t="s">
        <v>614</v>
      </c>
      <c r="J80" s="2" t="s">
        <v>683</v>
      </c>
      <c r="K80" s="2" t="s">
        <v>312</v>
      </c>
      <c r="L80" s="2" t="s">
        <v>616</v>
      </c>
    </row>
    <row r="81" spans="1:12" x14ac:dyDescent="0.25">
      <c r="A81" s="2">
        <v>71</v>
      </c>
      <c r="B81" s="2" t="s">
        <v>313</v>
      </c>
      <c r="C81" s="2">
        <v>230</v>
      </c>
      <c r="D81" s="2">
        <v>1000</v>
      </c>
      <c r="E81" s="2">
        <v>1000</v>
      </c>
      <c r="F81" s="2">
        <v>1139.2</v>
      </c>
      <c r="G81" s="2">
        <v>1</v>
      </c>
      <c r="H81" s="2">
        <v>1.1392</v>
      </c>
      <c r="I81" s="2" t="s">
        <v>620</v>
      </c>
      <c r="J81" s="2" t="s">
        <v>684</v>
      </c>
      <c r="K81" s="2" t="s">
        <v>315</v>
      </c>
      <c r="L81" s="2" t="s">
        <v>616</v>
      </c>
    </row>
    <row r="82" spans="1:12" x14ac:dyDescent="0.25">
      <c r="A82" s="2">
        <v>72</v>
      </c>
      <c r="B82" s="2" t="s">
        <v>316</v>
      </c>
      <c r="C82" s="2">
        <v>230</v>
      </c>
      <c r="D82" s="2">
        <v>1021</v>
      </c>
      <c r="E82" s="2">
        <v>1021</v>
      </c>
      <c r="F82" s="2">
        <v>1200</v>
      </c>
      <c r="G82" s="2">
        <v>1</v>
      </c>
      <c r="H82" s="2">
        <v>1.175318315377081</v>
      </c>
      <c r="I82" s="2" t="s">
        <v>614</v>
      </c>
      <c r="J82" s="2" t="s">
        <v>685</v>
      </c>
      <c r="K82" s="2" t="s">
        <v>319</v>
      </c>
      <c r="L82" s="2" t="s">
        <v>616</v>
      </c>
    </row>
    <row r="83" spans="1:12" x14ac:dyDescent="0.25">
      <c r="A83" s="2">
        <v>73</v>
      </c>
      <c r="B83" s="2" t="s">
        <v>320</v>
      </c>
      <c r="C83" s="2">
        <v>230</v>
      </c>
      <c r="D83" s="2">
        <v>1021</v>
      </c>
      <c r="E83" s="2">
        <v>1021</v>
      </c>
      <c r="F83" s="2">
        <v>1200</v>
      </c>
      <c r="G83" s="2">
        <v>1</v>
      </c>
      <c r="H83" s="2">
        <v>1.175318315377081</v>
      </c>
      <c r="I83" s="2" t="s">
        <v>614</v>
      </c>
      <c r="J83" s="2" t="s">
        <v>685</v>
      </c>
      <c r="K83" s="2" t="s">
        <v>319</v>
      </c>
      <c r="L83" s="2" t="s">
        <v>616</v>
      </c>
    </row>
    <row r="84" spans="1:12" x14ac:dyDescent="0.25">
      <c r="A84" s="2">
        <v>74</v>
      </c>
      <c r="B84" s="2" t="s">
        <v>321</v>
      </c>
      <c r="C84" s="2">
        <v>230</v>
      </c>
      <c r="D84" s="2">
        <v>960</v>
      </c>
      <c r="E84" s="2">
        <v>1021</v>
      </c>
      <c r="F84" s="2">
        <v>1040</v>
      </c>
      <c r="G84" s="2">
        <v>1.0635416666666671</v>
      </c>
      <c r="H84" s="2">
        <v>1.083333333333333</v>
      </c>
      <c r="I84" s="2" t="s">
        <v>614</v>
      </c>
      <c r="J84" s="2" t="s">
        <v>686</v>
      </c>
      <c r="K84" s="2" t="s">
        <v>322</v>
      </c>
      <c r="L84" s="2" t="s">
        <v>616</v>
      </c>
    </row>
    <row r="85" spans="1:12" x14ac:dyDescent="0.25">
      <c r="A85" s="2">
        <v>75</v>
      </c>
      <c r="B85" s="2" t="s">
        <v>323</v>
      </c>
      <c r="C85" s="2">
        <v>230</v>
      </c>
      <c r="D85" s="2">
        <v>960</v>
      </c>
      <c r="E85" s="2">
        <v>1021</v>
      </c>
      <c r="F85" s="2">
        <v>1040</v>
      </c>
      <c r="G85" s="2">
        <v>1.0635416666666671</v>
      </c>
      <c r="H85" s="2">
        <v>1.083333333333333</v>
      </c>
      <c r="I85" s="2" t="s">
        <v>614</v>
      </c>
      <c r="J85" s="2" t="s">
        <v>686</v>
      </c>
      <c r="K85" s="2" t="s">
        <v>322</v>
      </c>
      <c r="L85" s="2" t="s">
        <v>616</v>
      </c>
    </row>
    <row r="86" spans="1:12" x14ac:dyDescent="0.25">
      <c r="A86" s="2">
        <v>76</v>
      </c>
      <c r="B86" s="2" t="s">
        <v>687</v>
      </c>
      <c r="C86" s="2">
        <v>230</v>
      </c>
      <c r="D86" s="2">
        <v>960</v>
      </c>
      <c r="E86" s="2">
        <v>1021</v>
      </c>
      <c r="F86" s="2">
        <v>1327</v>
      </c>
      <c r="G86" s="2">
        <v>1.0635416666666671</v>
      </c>
      <c r="H86" s="2">
        <v>1.3822916666666669</v>
      </c>
      <c r="I86" s="2" t="s">
        <v>614</v>
      </c>
      <c r="J86" s="2" t="s">
        <v>688</v>
      </c>
      <c r="K86" s="2" t="s">
        <v>689</v>
      </c>
      <c r="L86" s="2" t="s">
        <v>628</v>
      </c>
    </row>
    <row r="87" spans="1:12" x14ac:dyDescent="0.25">
      <c r="A87" s="2">
        <v>77</v>
      </c>
      <c r="B87" s="2" t="s">
        <v>690</v>
      </c>
      <c r="C87" s="2">
        <v>230</v>
      </c>
      <c r="D87" s="2">
        <v>960</v>
      </c>
      <c r="E87" s="2">
        <v>1021</v>
      </c>
      <c r="F87" s="2">
        <v>1327</v>
      </c>
      <c r="G87" s="2">
        <v>1.0635416666666671</v>
      </c>
      <c r="H87" s="2">
        <v>1.3822916666666669</v>
      </c>
      <c r="I87" s="2" t="s">
        <v>614</v>
      </c>
      <c r="J87" s="2" t="s">
        <v>688</v>
      </c>
      <c r="K87" s="2" t="s">
        <v>689</v>
      </c>
      <c r="L87" s="2" t="s">
        <v>628</v>
      </c>
    </row>
    <row r="88" spans="1:12" x14ac:dyDescent="0.25">
      <c r="A88" s="2">
        <v>78</v>
      </c>
      <c r="B88" s="2" t="s">
        <v>324</v>
      </c>
      <c r="C88" s="2">
        <v>230</v>
      </c>
      <c r="D88" s="2">
        <v>960</v>
      </c>
      <c r="E88" s="2">
        <v>1410</v>
      </c>
      <c r="F88" s="2">
        <v>960</v>
      </c>
      <c r="G88" s="2">
        <v>1.46875</v>
      </c>
      <c r="H88" s="2">
        <v>1</v>
      </c>
      <c r="I88" s="2" t="s">
        <v>614</v>
      </c>
      <c r="J88" s="2" t="s">
        <v>691</v>
      </c>
      <c r="K88" s="2" t="s">
        <v>326</v>
      </c>
      <c r="L88" s="2" t="s">
        <v>616</v>
      </c>
    </row>
    <row r="89" spans="1:12" x14ac:dyDescent="0.25">
      <c r="A89" s="2">
        <v>79</v>
      </c>
      <c r="B89" s="2" t="s">
        <v>327</v>
      </c>
      <c r="C89" s="2">
        <v>230</v>
      </c>
      <c r="D89" s="2">
        <v>960</v>
      </c>
      <c r="E89" s="2">
        <v>1410</v>
      </c>
      <c r="F89" s="2">
        <v>960</v>
      </c>
      <c r="G89" s="2">
        <v>1.46875</v>
      </c>
      <c r="H89" s="2">
        <v>1</v>
      </c>
      <c r="I89" s="2" t="s">
        <v>614</v>
      </c>
      <c r="J89" s="2" t="s">
        <v>691</v>
      </c>
      <c r="K89" s="2" t="s">
        <v>326</v>
      </c>
      <c r="L89" s="2" t="s">
        <v>616</v>
      </c>
    </row>
    <row r="90" spans="1:12" x14ac:dyDescent="0.25">
      <c r="A90" s="2">
        <v>80</v>
      </c>
      <c r="B90" s="2" t="s">
        <v>328</v>
      </c>
      <c r="C90" s="2">
        <v>230</v>
      </c>
      <c r="D90" s="2">
        <v>960</v>
      </c>
      <c r="E90" s="2">
        <v>1410</v>
      </c>
      <c r="F90" s="2">
        <v>960</v>
      </c>
      <c r="G90" s="2">
        <v>1.46875</v>
      </c>
      <c r="H90" s="2">
        <v>1</v>
      </c>
      <c r="I90" s="2" t="s">
        <v>614</v>
      </c>
      <c r="J90" s="2" t="s">
        <v>692</v>
      </c>
      <c r="K90" s="2" t="s">
        <v>329</v>
      </c>
      <c r="L90" s="2" t="s">
        <v>616</v>
      </c>
    </row>
    <row r="91" spans="1:12" x14ac:dyDescent="0.25">
      <c r="A91" s="2">
        <v>81</v>
      </c>
      <c r="B91" s="2" t="s">
        <v>330</v>
      </c>
      <c r="C91" s="2">
        <v>230</v>
      </c>
      <c r="D91" s="2">
        <v>960</v>
      </c>
      <c r="E91" s="2">
        <v>1410</v>
      </c>
      <c r="F91" s="2">
        <v>960</v>
      </c>
      <c r="G91" s="2">
        <v>1.46875</v>
      </c>
      <c r="H91" s="2">
        <v>1</v>
      </c>
      <c r="I91" s="2" t="s">
        <v>614</v>
      </c>
      <c r="J91" s="2" t="s">
        <v>693</v>
      </c>
      <c r="K91" s="2" t="s">
        <v>332</v>
      </c>
      <c r="L91" s="2" t="s">
        <v>616</v>
      </c>
    </row>
    <row r="92" spans="1:12" ht="30" x14ac:dyDescent="0.25">
      <c r="A92" s="2">
        <v>82</v>
      </c>
      <c r="B92" s="2" t="s">
        <v>333</v>
      </c>
      <c r="C92" s="2">
        <v>230</v>
      </c>
      <c r="D92" s="2">
        <v>809</v>
      </c>
      <c r="E92" s="2">
        <v>809</v>
      </c>
      <c r="F92" s="2">
        <v>1052</v>
      </c>
      <c r="G92" s="2">
        <v>1</v>
      </c>
      <c r="H92" s="2">
        <v>1.300370828182942</v>
      </c>
      <c r="I92" s="2" t="s">
        <v>622</v>
      </c>
      <c r="J92" s="2" t="s">
        <v>694</v>
      </c>
      <c r="K92" s="2" t="s">
        <v>336</v>
      </c>
      <c r="L92" s="2" t="s">
        <v>616</v>
      </c>
    </row>
    <row r="93" spans="1:12" x14ac:dyDescent="0.25">
      <c r="A93" s="2">
        <v>83</v>
      </c>
      <c r="B93" s="2" t="s">
        <v>337</v>
      </c>
      <c r="C93" s="2">
        <v>230</v>
      </c>
      <c r="D93" s="2">
        <v>809</v>
      </c>
      <c r="E93" s="2">
        <v>809</v>
      </c>
      <c r="F93" s="2">
        <v>1051.7</v>
      </c>
      <c r="G93" s="2">
        <v>1</v>
      </c>
      <c r="H93" s="2">
        <v>1.3</v>
      </c>
      <c r="I93" s="2" t="s">
        <v>614</v>
      </c>
      <c r="J93" s="2" t="s">
        <v>695</v>
      </c>
      <c r="K93" s="2" t="s">
        <v>338</v>
      </c>
      <c r="L93" s="2" t="s">
        <v>616</v>
      </c>
    </row>
    <row r="94" spans="1:12" x14ac:dyDescent="0.25">
      <c r="A94" s="2">
        <v>84</v>
      </c>
      <c r="B94" s="2" t="s">
        <v>696</v>
      </c>
      <c r="C94" s="2">
        <v>230</v>
      </c>
      <c r="D94" s="2">
        <v>810</v>
      </c>
      <c r="E94" s="2">
        <v>810</v>
      </c>
      <c r="F94" s="2">
        <v>1053</v>
      </c>
      <c r="G94" s="2">
        <v>1</v>
      </c>
      <c r="H94" s="2">
        <v>1.3</v>
      </c>
      <c r="I94" s="2" t="s">
        <v>614</v>
      </c>
      <c r="J94" s="2" t="s">
        <v>697</v>
      </c>
      <c r="K94" s="2" t="s">
        <v>698</v>
      </c>
      <c r="L94" s="2" t="s">
        <v>628</v>
      </c>
    </row>
    <row r="95" spans="1:12" x14ac:dyDescent="0.25">
      <c r="A95" s="2">
        <v>85</v>
      </c>
      <c r="B95" s="2" t="s">
        <v>699</v>
      </c>
      <c r="C95" s="2">
        <v>230</v>
      </c>
      <c r="D95" s="2">
        <v>809</v>
      </c>
      <c r="E95" s="2">
        <v>809</v>
      </c>
      <c r="F95" s="2">
        <v>1051.7</v>
      </c>
      <c r="G95" s="2">
        <v>1</v>
      </c>
      <c r="H95" s="2">
        <v>1.3</v>
      </c>
      <c r="I95" s="2" t="s">
        <v>614</v>
      </c>
      <c r="J95" s="2" t="s">
        <v>697</v>
      </c>
      <c r="K95" s="2" t="s">
        <v>698</v>
      </c>
      <c r="L95" s="2" t="s">
        <v>628</v>
      </c>
    </row>
    <row r="96" spans="1:12" x14ac:dyDescent="0.25">
      <c r="A96" s="2">
        <v>86</v>
      </c>
      <c r="B96" s="2" t="s">
        <v>339</v>
      </c>
      <c r="C96" s="2">
        <v>220</v>
      </c>
      <c r="D96" s="2">
        <v>630</v>
      </c>
      <c r="E96" s="2">
        <v>813</v>
      </c>
      <c r="F96" s="2">
        <v>722</v>
      </c>
      <c r="G96" s="2">
        <v>1.290476190476191</v>
      </c>
      <c r="H96" s="2">
        <v>1.146031746031746</v>
      </c>
      <c r="I96" s="2" t="s">
        <v>614</v>
      </c>
      <c r="J96" s="2" t="s">
        <v>700</v>
      </c>
      <c r="K96" s="2" t="s">
        <v>342</v>
      </c>
      <c r="L96" s="2" t="s">
        <v>616</v>
      </c>
    </row>
    <row r="97" spans="1:12" x14ac:dyDescent="0.25">
      <c r="A97" s="2">
        <v>87</v>
      </c>
      <c r="B97" s="2" t="s">
        <v>343</v>
      </c>
      <c r="C97" s="2">
        <v>220</v>
      </c>
      <c r="D97" s="2">
        <v>630</v>
      </c>
      <c r="E97" s="2">
        <v>813</v>
      </c>
      <c r="F97" s="2">
        <v>722</v>
      </c>
      <c r="G97" s="2">
        <v>1.290476190476191</v>
      </c>
      <c r="H97" s="2">
        <v>1.146031746031746</v>
      </c>
      <c r="I97" s="2" t="s">
        <v>614</v>
      </c>
      <c r="J97" s="2" t="s">
        <v>700</v>
      </c>
      <c r="K97" s="2" t="s">
        <v>342</v>
      </c>
      <c r="L97" s="2" t="s">
        <v>616</v>
      </c>
    </row>
    <row r="98" spans="1:12" x14ac:dyDescent="0.25">
      <c r="A98" s="2">
        <v>88</v>
      </c>
      <c r="B98" s="2" t="s">
        <v>344</v>
      </c>
      <c r="C98" s="2">
        <v>220</v>
      </c>
      <c r="D98" s="2">
        <v>598</v>
      </c>
      <c r="E98" s="2">
        <v>813</v>
      </c>
      <c r="F98" s="2">
        <v>717</v>
      </c>
      <c r="G98" s="2">
        <v>1.3595317725752509</v>
      </c>
      <c r="H98" s="2">
        <v>1.1989966555183951</v>
      </c>
      <c r="I98" s="2" t="s">
        <v>620</v>
      </c>
      <c r="J98" s="2" t="s">
        <v>701</v>
      </c>
      <c r="K98" s="2" t="s">
        <v>346</v>
      </c>
      <c r="L98" s="2" t="s">
        <v>616</v>
      </c>
    </row>
    <row r="99" spans="1:12" x14ac:dyDescent="0.25">
      <c r="A99" s="2">
        <v>89</v>
      </c>
      <c r="B99" s="2" t="s">
        <v>347</v>
      </c>
      <c r="C99" s="2">
        <v>220</v>
      </c>
      <c r="D99" s="2">
        <v>2000</v>
      </c>
      <c r="E99" s="2">
        <v>2000</v>
      </c>
      <c r="F99" s="2">
        <v>2281</v>
      </c>
      <c r="G99" s="2">
        <v>1</v>
      </c>
      <c r="H99" s="2">
        <v>1.1405000000000001</v>
      </c>
      <c r="I99" s="2" t="s">
        <v>614</v>
      </c>
      <c r="J99" s="2" t="s">
        <v>702</v>
      </c>
      <c r="K99" s="2" t="s">
        <v>349</v>
      </c>
      <c r="L99" s="2" t="s">
        <v>616</v>
      </c>
    </row>
    <row r="100" spans="1:12" x14ac:dyDescent="0.25">
      <c r="A100" s="2">
        <v>90</v>
      </c>
      <c r="B100" s="2" t="s">
        <v>350</v>
      </c>
      <c r="C100" s="2">
        <v>220</v>
      </c>
      <c r="D100" s="2">
        <v>2000</v>
      </c>
      <c r="E100" s="2">
        <v>2000</v>
      </c>
      <c r="F100" s="2">
        <v>2281</v>
      </c>
      <c r="G100" s="2">
        <v>1</v>
      </c>
      <c r="H100" s="2">
        <v>1.1405000000000001</v>
      </c>
      <c r="I100" s="2" t="s">
        <v>614</v>
      </c>
      <c r="J100" s="2" t="s">
        <v>702</v>
      </c>
      <c r="K100" s="2" t="s">
        <v>349</v>
      </c>
      <c r="L100" s="2" t="s">
        <v>616</v>
      </c>
    </row>
    <row r="101" spans="1:12" x14ac:dyDescent="0.25">
      <c r="A101" s="2">
        <v>91</v>
      </c>
      <c r="B101" s="2" t="s">
        <v>351</v>
      </c>
      <c r="C101" s="2">
        <v>500</v>
      </c>
      <c r="D101" s="2">
        <v>1905</v>
      </c>
      <c r="E101" s="2">
        <v>2476</v>
      </c>
      <c r="F101" s="2">
        <v>1905</v>
      </c>
      <c r="G101" s="2">
        <v>1.2997375328083991</v>
      </c>
      <c r="H101" s="2">
        <v>1</v>
      </c>
      <c r="I101" s="2" t="s">
        <v>614</v>
      </c>
      <c r="J101" s="2" t="s">
        <v>703</v>
      </c>
      <c r="K101" s="2" t="s">
        <v>354</v>
      </c>
      <c r="L101" s="2" t="s">
        <v>616</v>
      </c>
    </row>
    <row r="102" spans="1:12" ht="30" x14ac:dyDescent="0.25">
      <c r="A102" s="2">
        <v>92</v>
      </c>
      <c r="B102" s="2" t="s">
        <v>59</v>
      </c>
      <c r="C102" s="2">
        <v>500</v>
      </c>
      <c r="D102" s="2">
        <v>1905</v>
      </c>
      <c r="E102" s="2">
        <v>2476</v>
      </c>
      <c r="F102" s="2">
        <v>1905</v>
      </c>
      <c r="G102" s="2">
        <v>1.2997375328083991</v>
      </c>
      <c r="H102" s="2">
        <v>1</v>
      </c>
      <c r="I102" s="2" t="s">
        <v>622</v>
      </c>
      <c r="J102" s="2" t="s">
        <v>704</v>
      </c>
      <c r="K102" s="2" t="s">
        <v>705</v>
      </c>
      <c r="L102" s="2" t="s">
        <v>628</v>
      </c>
    </row>
    <row r="103" spans="1:12" x14ac:dyDescent="0.25">
      <c r="A103" s="2">
        <v>93</v>
      </c>
      <c r="B103" s="2" t="s">
        <v>355</v>
      </c>
      <c r="C103" s="2">
        <v>500</v>
      </c>
      <c r="D103" s="2">
        <v>2400</v>
      </c>
      <c r="E103" s="2">
        <v>2400</v>
      </c>
      <c r="F103" s="2">
        <v>2500</v>
      </c>
      <c r="G103" s="2">
        <v>1</v>
      </c>
      <c r="H103" s="2">
        <v>1.041666666666667</v>
      </c>
      <c r="I103" s="2" t="s">
        <v>614</v>
      </c>
      <c r="J103" s="2" t="s">
        <v>706</v>
      </c>
      <c r="K103" s="2" t="s">
        <v>356</v>
      </c>
      <c r="L103" s="2" t="s">
        <v>616</v>
      </c>
    </row>
    <row r="104" spans="1:12" x14ac:dyDescent="0.25">
      <c r="A104" s="2">
        <v>94</v>
      </c>
      <c r="B104" s="2" t="s">
        <v>357</v>
      </c>
      <c r="C104" s="2">
        <v>500</v>
      </c>
      <c r="D104" s="2">
        <v>2400</v>
      </c>
      <c r="E104" s="2">
        <v>2400</v>
      </c>
      <c r="F104" s="2">
        <v>2500</v>
      </c>
      <c r="G104" s="2">
        <v>1</v>
      </c>
      <c r="H104" s="2">
        <v>1.041666666666667</v>
      </c>
      <c r="I104" s="2" t="s">
        <v>614</v>
      </c>
      <c r="J104" s="2" t="s">
        <v>706</v>
      </c>
      <c r="K104" s="2" t="s">
        <v>356</v>
      </c>
      <c r="L104" s="2" t="s">
        <v>616</v>
      </c>
    </row>
    <row r="105" spans="1:12" x14ac:dyDescent="0.25">
      <c r="A105" s="2">
        <v>95</v>
      </c>
      <c r="B105" s="2" t="s">
        <v>358</v>
      </c>
      <c r="C105" s="2">
        <v>220</v>
      </c>
      <c r="D105" s="2">
        <v>598</v>
      </c>
      <c r="E105" s="2">
        <v>815</v>
      </c>
      <c r="F105" s="2">
        <v>718</v>
      </c>
      <c r="G105" s="2">
        <v>1.3628762541806021</v>
      </c>
      <c r="H105" s="2">
        <v>1.2006688963210701</v>
      </c>
      <c r="I105" s="2" t="s">
        <v>614</v>
      </c>
      <c r="J105" s="2" t="s">
        <v>707</v>
      </c>
      <c r="K105" s="2" t="s">
        <v>360</v>
      </c>
      <c r="L105" s="2" t="s">
        <v>616</v>
      </c>
    </row>
    <row r="106" spans="1:12" x14ac:dyDescent="0.25">
      <c r="A106" s="2">
        <v>96</v>
      </c>
      <c r="B106" s="2" t="s">
        <v>361</v>
      </c>
      <c r="C106" s="2">
        <v>220</v>
      </c>
      <c r="D106" s="2">
        <v>598</v>
      </c>
      <c r="E106" s="2">
        <v>818</v>
      </c>
      <c r="F106" s="2">
        <v>598</v>
      </c>
      <c r="G106" s="2">
        <v>1.367892976588629</v>
      </c>
      <c r="H106" s="2">
        <v>1</v>
      </c>
      <c r="I106" s="2" t="s">
        <v>614</v>
      </c>
      <c r="J106" s="2" t="s">
        <v>708</v>
      </c>
      <c r="K106" s="2" t="s">
        <v>363</v>
      </c>
      <c r="L106" s="2" t="s">
        <v>616</v>
      </c>
    </row>
    <row r="107" spans="1:12" x14ac:dyDescent="0.25">
      <c r="A107" s="2">
        <v>97</v>
      </c>
      <c r="B107" s="2" t="s">
        <v>364</v>
      </c>
      <c r="C107" s="2">
        <v>220</v>
      </c>
      <c r="D107" s="2">
        <v>1000</v>
      </c>
      <c r="E107" s="2">
        <v>1195</v>
      </c>
      <c r="F107" s="2">
        <v>1200</v>
      </c>
      <c r="G107" s="2">
        <v>1.1950000000000001</v>
      </c>
      <c r="H107" s="2">
        <v>1.2</v>
      </c>
      <c r="I107" s="2" t="s">
        <v>614</v>
      </c>
      <c r="J107" s="2" t="s">
        <v>707</v>
      </c>
      <c r="K107" s="2" t="s">
        <v>360</v>
      </c>
      <c r="L107" s="2" t="s">
        <v>616</v>
      </c>
    </row>
    <row r="108" spans="1:12" x14ac:dyDescent="0.25">
      <c r="A108" s="2">
        <v>98</v>
      </c>
      <c r="B108" s="2" t="s">
        <v>365</v>
      </c>
      <c r="C108" s="2">
        <v>220</v>
      </c>
      <c r="D108" s="2">
        <v>588</v>
      </c>
      <c r="E108" s="2">
        <v>588</v>
      </c>
      <c r="F108" s="2">
        <v>764</v>
      </c>
      <c r="G108" s="2">
        <v>1</v>
      </c>
      <c r="H108" s="2">
        <v>1.299319727891157</v>
      </c>
      <c r="I108" s="2" t="s">
        <v>614</v>
      </c>
      <c r="J108" s="2" t="s">
        <v>708</v>
      </c>
      <c r="K108" s="2" t="s">
        <v>363</v>
      </c>
      <c r="L108" s="2" t="s">
        <v>616</v>
      </c>
    </row>
    <row r="109" spans="1:12" x14ac:dyDescent="0.25">
      <c r="A109" s="2">
        <v>99</v>
      </c>
      <c r="B109" s="2" t="s">
        <v>366</v>
      </c>
      <c r="C109" s="2">
        <v>220</v>
      </c>
      <c r="D109" s="2">
        <v>915</v>
      </c>
      <c r="E109" s="2">
        <v>296</v>
      </c>
      <c r="F109" s="2">
        <v>920</v>
      </c>
      <c r="G109" s="2">
        <v>0.32349726775956278</v>
      </c>
      <c r="H109" s="2">
        <v>1.0054644808743169</v>
      </c>
      <c r="I109" s="2" t="s">
        <v>614</v>
      </c>
      <c r="J109" s="2" t="s">
        <v>709</v>
      </c>
      <c r="K109" s="2" t="s">
        <v>367</v>
      </c>
      <c r="L109" s="2" t="s">
        <v>616</v>
      </c>
    </row>
    <row r="110" spans="1:12" ht="30" x14ac:dyDescent="0.25">
      <c r="A110" s="2">
        <v>100</v>
      </c>
      <c r="B110" s="2" t="s">
        <v>368</v>
      </c>
      <c r="C110" s="2">
        <v>220</v>
      </c>
      <c r="D110" s="2">
        <v>777</v>
      </c>
      <c r="E110" s="2">
        <v>777</v>
      </c>
      <c r="F110" s="2">
        <v>1010</v>
      </c>
      <c r="G110" s="2">
        <v>1</v>
      </c>
      <c r="H110" s="2">
        <v>1.2998712998713</v>
      </c>
      <c r="I110" s="2" t="s">
        <v>622</v>
      </c>
      <c r="J110" s="2" t="s">
        <v>710</v>
      </c>
      <c r="K110" s="2" t="s">
        <v>369</v>
      </c>
      <c r="L110" s="2" t="s">
        <v>616</v>
      </c>
    </row>
    <row r="111" spans="1:12" x14ac:dyDescent="0.25">
      <c r="A111" s="2">
        <v>101</v>
      </c>
      <c r="B111" s="2" t="s">
        <v>370</v>
      </c>
      <c r="C111" s="2">
        <v>220</v>
      </c>
      <c r="D111" s="2">
        <v>805</v>
      </c>
      <c r="E111" s="2">
        <v>832</v>
      </c>
      <c r="F111" s="2">
        <v>1047</v>
      </c>
      <c r="G111" s="2">
        <v>1.033540372670807</v>
      </c>
      <c r="H111" s="2">
        <v>1.3006211180124221</v>
      </c>
      <c r="I111" s="2" t="s">
        <v>614</v>
      </c>
      <c r="J111" s="2" t="s">
        <v>711</v>
      </c>
      <c r="K111" s="2" t="s">
        <v>373</v>
      </c>
      <c r="L111" s="2" t="s">
        <v>616</v>
      </c>
    </row>
    <row r="112" spans="1:12" x14ac:dyDescent="0.25">
      <c r="A112" s="2">
        <v>102</v>
      </c>
      <c r="B112" s="2" t="s">
        <v>374</v>
      </c>
      <c r="C112" s="2">
        <v>220</v>
      </c>
      <c r="D112" s="2">
        <v>777</v>
      </c>
      <c r="E112" s="2">
        <v>777</v>
      </c>
      <c r="F112" s="2">
        <v>1010</v>
      </c>
      <c r="G112" s="2">
        <v>1</v>
      </c>
      <c r="H112" s="2">
        <v>1.2998712998713</v>
      </c>
      <c r="I112" s="2" t="s">
        <v>614</v>
      </c>
      <c r="J112" s="2" t="s">
        <v>712</v>
      </c>
      <c r="K112" s="2" t="s">
        <v>375</v>
      </c>
      <c r="L112" s="2" t="s">
        <v>616</v>
      </c>
    </row>
    <row r="113" spans="1:12" x14ac:dyDescent="0.25">
      <c r="A113" s="2">
        <v>103</v>
      </c>
      <c r="B113" s="2" t="s">
        <v>376</v>
      </c>
      <c r="C113" s="2">
        <v>220</v>
      </c>
      <c r="D113" s="2">
        <v>777</v>
      </c>
      <c r="E113" s="2">
        <v>777</v>
      </c>
      <c r="F113" s="2">
        <v>1010</v>
      </c>
      <c r="G113" s="2">
        <v>1</v>
      </c>
      <c r="H113" s="2">
        <v>1.2998712998713</v>
      </c>
      <c r="I113" s="2" t="s">
        <v>614</v>
      </c>
      <c r="J113" s="2" t="s">
        <v>713</v>
      </c>
      <c r="K113" s="2" t="s">
        <v>378</v>
      </c>
      <c r="L113" s="2" t="s">
        <v>616</v>
      </c>
    </row>
    <row r="114" spans="1:12" x14ac:dyDescent="0.25">
      <c r="A114" s="2">
        <v>104</v>
      </c>
      <c r="B114" s="2" t="s">
        <v>379</v>
      </c>
      <c r="C114" s="2">
        <v>230</v>
      </c>
      <c r="D114" s="2">
        <v>800</v>
      </c>
      <c r="E114" s="2">
        <v>989</v>
      </c>
      <c r="F114" s="2">
        <v>1286</v>
      </c>
      <c r="G114" s="2">
        <v>1.2362500000000001</v>
      </c>
      <c r="H114" s="2">
        <v>1.6074999999999999</v>
      </c>
      <c r="I114" s="2" t="s">
        <v>614</v>
      </c>
      <c r="J114" s="2" t="s">
        <v>714</v>
      </c>
      <c r="K114" s="2" t="s">
        <v>381</v>
      </c>
      <c r="L114" s="2" t="s">
        <v>616</v>
      </c>
    </row>
    <row r="115" spans="1:12" x14ac:dyDescent="0.25">
      <c r="A115" s="2">
        <v>105</v>
      </c>
      <c r="B115" s="2" t="s">
        <v>382</v>
      </c>
      <c r="C115" s="2">
        <v>230</v>
      </c>
      <c r="D115" s="2">
        <v>896</v>
      </c>
      <c r="E115" s="2">
        <v>896</v>
      </c>
      <c r="F115" s="2">
        <v>1164.8</v>
      </c>
      <c r="G115" s="2">
        <v>1</v>
      </c>
      <c r="H115" s="2">
        <v>1.3</v>
      </c>
      <c r="I115" s="2" t="s">
        <v>614</v>
      </c>
      <c r="J115" s="2" t="s">
        <v>714</v>
      </c>
      <c r="K115" s="2" t="s">
        <v>381</v>
      </c>
      <c r="L115" s="2" t="s">
        <v>616</v>
      </c>
    </row>
    <row r="116" spans="1:12" x14ac:dyDescent="0.25">
      <c r="A116" s="2">
        <v>106</v>
      </c>
      <c r="B116" s="2" t="s">
        <v>131</v>
      </c>
      <c r="C116" s="2">
        <v>230</v>
      </c>
      <c r="D116" s="2">
        <v>985</v>
      </c>
      <c r="E116" s="2">
        <v>985</v>
      </c>
      <c r="F116" s="2">
        <v>1280.5</v>
      </c>
      <c r="G116" s="2">
        <v>1</v>
      </c>
      <c r="H116" s="2">
        <v>1.3</v>
      </c>
      <c r="I116" s="2" t="s">
        <v>614</v>
      </c>
      <c r="J116" s="2" t="s">
        <v>715</v>
      </c>
      <c r="K116" s="2" t="s">
        <v>133</v>
      </c>
      <c r="L116" s="2" t="s">
        <v>616</v>
      </c>
    </row>
    <row r="117" spans="1:12" x14ac:dyDescent="0.25">
      <c r="A117" s="2">
        <v>107</v>
      </c>
      <c r="B117" s="2" t="s">
        <v>716</v>
      </c>
      <c r="C117" s="2">
        <v>230</v>
      </c>
      <c r="D117" s="2">
        <v>1000</v>
      </c>
      <c r="E117" s="2">
        <v>1001</v>
      </c>
      <c r="F117" s="2">
        <v>1301</v>
      </c>
      <c r="G117" s="2">
        <v>1.0009999999999999</v>
      </c>
      <c r="H117" s="2">
        <v>1.3009999999999999</v>
      </c>
      <c r="I117" s="2" t="s">
        <v>614</v>
      </c>
      <c r="J117" s="2" t="s">
        <v>717</v>
      </c>
      <c r="K117" s="2" t="s">
        <v>718</v>
      </c>
      <c r="L117" s="2" t="s">
        <v>628</v>
      </c>
    </row>
    <row r="118" spans="1:12" ht="30" x14ac:dyDescent="0.25">
      <c r="A118" s="2">
        <v>108</v>
      </c>
      <c r="B118" s="2" t="s">
        <v>719</v>
      </c>
      <c r="C118" s="2">
        <v>230</v>
      </c>
      <c r="D118" s="2">
        <v>970</v>
      </c>
      <c r="E118" s="2">
        <v>970</v>
      </c>
      <c r="F118" s="2">
        <v>1261</v>
      </c>
      <c r="G118" s="2">
        <v>1</v>
      </c>
      <c r="H118" s="2">
        <v>1.3</v>
      </c>
      <c r="I118" s="2" t="s">
        <v>622</v>
      </c>
      <c r="J118" s="2" t="s">
        <v>720</v>
      </c>
      <c r="K118" s="2" t="s">
        <v>721</v>
      </c>
      <c r="L118" s="2" t="s">
        <v>628</v>
      </c>
    </row>
    <row r="119" spans="1:12" ht="30" x14ac:dyDescent="0.25">
      <c r="A119" s="2">
        <v>109</v>
      </c>
      <c r="B119" s="2" t="s">
        <v>722</v>
      </c>
      <c r="C119" s="2">
        <v>230</v>
      </c>
      <c r="D119" s="2">
        <v>970</v>
      </c>
      <c r="E119" s="2">
        <v>970</v>
      </c>
      <c r="F119" s="2">
        <v>1261</v>
      </c>
      <c r="G119" s="2">
        <v>1</v>
      </c>
      <c r="H119" s="2">
        <v>1.3</v>
      </c>
      <c r="I119" s="2" t="s">
        <v>622</v>
      </c>
      <c r="J119" s="2" t="s">
        <v>720</v>
      </c>
      <c r="K119" s="2" t="s">
        <v>721</v>
      </c>
      <c r="L119" s="2" t="s">
        <v>628</v>
      </c>
    </row>
    <row r="120" spans="1:12" x14ac:dyDescent="0.25">
      <c r="A120" s="2">
        <v>110</v>
      </c>
      <c r="B120" s="2" t="s">
        <v>134</v>
      </c>
      <c r="C120" s="2">
        <v>230</v>
      </c>
      <c r="D120" s="2">
        <v>985</v>
      </c>
      <c r="E120" s="2">
        <v>985</v>
      </c>
      <c r="F120" s="2">
        <v>1280.5</v>
      </c>
      <c r="G120" s="2">
        <v>1</v>
      </c>
      <c r="H120" s="2">
        <v>1.3</v>
      </c>
      <c r="I120" s="2" t="s">
        <v>614</v>
      </c>
      <c r="J120" s="2" t="s">
        <v>715</v>
      </c>
      <c r="K120" s="2" t="s">
        <v>133</v>
      </c>
      <c r="L120" s="2" t="s">
        <v>616</v>
      </c>
    </row>
    <row r="121" spans="1:12" x14ac:dyDescent="0.25">
      <c r="A121" s="2">
        <v>111</v>
      </c>
      <c r="B121" s="2" t="s">
        <v>384</v>
      </c>
      <c r="C121" s="2">
        <v>230</v>
      </c>
      <c r="D121" s="2">
        <v>1045.68</v>
      </c>
      <c r="E121" s="2">
        <v>1045.68</v>
      </c>
      <c r="F121" s="2">
        <v>1359.38</v>
      </c>
      <c r="G121" s="2">
        <v>1</v>
      </c>
      <c r="H121" s="2">
        <v>1.29999617473797</v>
      </c>
      <c r="I121" s="2" t="s">
        <v>614</v>
      </c>
      <c r="J121" s="2" t="s">
        <v>723</v>
      </c>
      <c r="K121" s="2" t="s">
        <v>386</v>
      </c>
      <c r="L121" s="2" t="s">
        <v>616</v>
      </c>
    </row>
    <row r="122" spans="1:12" x14ac:dyDescent="0.25">
      <c r="A122" s="2">
        <v>112</v>
      </c>
      <c r="B122" s="2" t="s">
        <v>387</v>
      </c>
      <c r="C122" s="2">
        <v>230</v>
      </c>
      <c r="D122" s="2">
        <v>1000</v>
      </c>
      <c r="E122" s="2">
        <v>1000</v>
      </c>
      <c r="F122" s="2">
        <v>1000</v>
      </c>
      <c r="G122" s="2">
        <v>1</v>
      </c>
      <c r="H122" s="2">
        <v>1</v>
      </c>
      <c r="I122" s="2" t="s">
        <v>614</v>
      </c>
      <c r="J122" s="2" t="s">
        <v>723</v>
      </c>
      <c r="K122" s="2" t="s">
        <v>386</v>
      </c>
      <c r="L122" s="2" t="s">
        <v>616</v>
      </c>
    </row>
    <row r="123" spans="1:12" x14ac:dyDescent="0.25">
      <c r="A123" s="2">
        <v>113</v>
      </c>
      <c r="B123" s="2" t="s">
        <v>724</v>
      </c>
      <c r="C123" s="2">
        <v>230</v>
      </c>
      <c r="D123" s="2">
        <v>1000</v>
      </c>
      <c r="E123" s="2">
        <v>1001</v>
      </c>
      <c r="F123" s="2">
        <v>1301</v>
      </c>
      <c r="G123" s="2">
        <v>1.0009999999999999</v>
      </c>
      <c r="H123" s="2">
        <v>1.3009999999999999</v>
      </c>
      <c r="I123" s="2" t="s">
        <v>614</v>
      </c>
      <c r="J123" s="2" t="s">
        <v>717</v>
      </c>
      <c r="K123" s="2" t="s">
        <v>718</v>
      </c>
      <c r="L123" s="2" t="s">
        <v>628</v>
      </c>
    </row>
    <row r="124" spans="1:12" x14ac:dyDescent="0.25">
      <c r="A124" s="2">
        <v>114</v>
      </c>
      <c r="B124" s="2" t="s">
        <v>725</v>
      </c>
      <c r="C124" s="2">
        <v>220</v>
      </c>
      <c r="D124" s="2">
        <v>971</v>
      </c>
      <c r="E124" s="2">
        <v>988</v>
      </c>
      <c r="F124" s="2">
        <v>988</v>
      </c>
      <c r="G124" s="2">
        <v>1.017507723995881</v>
      </c>
      <c r="H124" s="2">
        <v>1.017507723995881</v>
      </c>
      <c r="I124" s="2" t="s">
        <v>614</v>
      </c>
      <c r="J124" s="2" t="s">
        <v>726</v>
      </c>
      <c r="K124" s="2" t="s">
        <v>727</v>
      </c>
      <c r="L124" s="2" t="s">
        <v>628</v>
      </c>
    </row>
    <row r="125" spans="1:12" x14ac:dyDescent="0.25">
      <c r="A125" s="2">
        <v>115</v>
      </c>
      <c r="B125" s="2" t="s">
        <v>728</v>
      </c>
      <c r="C125" s="2">
        <v>220</v>
      </c>
      <c r="D125" s="2">
        <v>848</v>
      </c>
      <c r="E125" s="2">
        <v>957</v>
      </c>
      <c r="F125" s="2">
        <v>1017</v>
      </c>
      <c r="G125" s="2">
        <v>1.1285377358490569</v>
      </c>
      <c r="H125" s="2">
        <v>1.1992924528301889</v>
      </c>
      <c r="I125" s="2" t="s">
        <v>614</v>
      </c>
      <c r="J125" s="2" t="s">
        <v>726</v>
      </c>
      <c r="K125" s="2" t="s">
        <v>727</v>
      </c>
      <c r="L125" s="2" t="s">
        <v>628</v>
      </c>
    </row>
    <row r="126" spans="1:12" x14ac:dyDescent="0.25">
      <c r="A126" s="2">
        <v>116</v>
      </c>
      <c r="B126" s="2" t="s">
        <v>729</v>
      </c>
      <c r="C126" s="2">
        <v>220</v>
      </c>
      <c r="D126" s="2">
        <v>656</v>
      </c>
      <c r="E126" s="2">
        <v>813</v>
      </c>
      <c r="F126" s="2">
        <v>787</v>
      </c>
      <c r="G126" s="2">
        <v>1.2393292682926831</v>
      </c>
      <c r="H126" s="2">
        <v>1.19969512195122</v>
      </c>
      <c r="I126" s="2" t="s">
        <v>614</v>
      </c>
      <c r="J126" s="2" t="s">
        <v>726</v>
      </c>
      <c r="K126" s="2" t="s">
        <v>727</v>
      </c>
      <c r="L126" s="2" t="s">
        <v>628</v>
      </c>
    </row>
    <row r="127" spans="1:12" x14ac:dyDescent="0.25">
      <c r="A127" s="2">
        <v>117</v>
      </c>
      <c r="B127" s="2" t="s">
        <v>388</v>
      </c>
      <c r="C127" s="2">
        <v>220</v>
      </c>
      <c r="D127" s="2">
        <v>656</v>
      </c>
      <c r="E127" s="2">
        <v>813</v>
      </c>
      <c r="F127" s="2">
        <v>787</v>
      </c>
      <c r="G127" s="2">
        <v>1.2393292682926831</v>
      </c>
      <c r="H127" s="2">
        <v>1.19969512195122</v>
      </c>
      <c r="I127" s="2" t="s">
        <v>614</v>
      </c>
      <c r="J127" s="2" t="s">
        <v>730</v>
      </c>
      <c r="K127" s="2" t="s">
        <v>390</v>
      </c>
      <c r="L127" s="2" t="s">
        <v>616</v>
      </c>
    </row>
    <row r="128" spans="1:12" x14ac:dyDescent="0.25">
      <c r="A128" s="2">
        <v>118</v>
      </c>
      <c r="B128" s="2" t="s">
        <v>391</v>
      </c>
      <c r="C128" s="2">
        <v>220</v>
      </c>
      <c r="D128" s="2">
        <v>656</v>
      </c>
      <c r="E128" s="2">
        <v>656</v>
      </c>
      <c r="F128" s="2">
        <v>787</v>
      </c>
      <c r="G128" s="2">
        <v>1</v>
      </c>
      <c r="H128" s="2">
        <v>1.19969512195122</v>
      </c>
      <c r="I128" s="2" t="s">
        <v>614</v>
      </c>
      <c r="J128" s="2" t="s">
        <v>730</v>
      </c>
      <c r="K128" s="2" t="s">
        <v>390</v>
      </c>
      <c r="L128" s="2" t="s">
        <v>616</v>
      </c>
    </row>
    <row r="129" spans="1:12" x14ac:dyDescent="0.25">
      <c r="A129" s="2">
        <v>119</v>
      </c>
      <c r="B129" s="2" t="s">
        <v>392</v>
      </c>
      <c r="C129" s="2">
        <v>220</v>
      </c>
      <c r="D129" s="2">
        <v>777</v>
      </c>
      <c r="E129" s="2">
        <v>777</v>
      </c>
      <c r="F129" s="2">
        <v>1010</v>
      </c>
      <c r="G129" s="2">
        <v>1</v>
      </c>
      <c r="H129" s="2">
        <v>1.2998712998713</v>
      </c>
      <c r="I129" s="2" t="s">
        <v>614</v>
      </c>
      <c r="J129" s="2" t="s">
        <v>731</v>
      </c>
      <c r="K129" s="2" t="s">
        <v>393</v>
      </c>
      <c r="L129" s="2" t="s">
        <v>616</v>
      </c>
    </row>
    <row r="130" spans="1:12" x14ac:dyDescent="0.25">
      <c r="A130" s="2">
        <v>120</v>
      </c>
      <c r="B130" s="2" t="s">
        <v>394</v>
      </c>
      <c r="C130" s="2">
        <v>220</v>
      </c>
      <c r="D130" s="2">
        <v>915</v>
      </c>
      <c r="E130" s="2">
        <v>920</v>
      </c>
      <c r="F130" s="2">
        <v>1190</v>
      </c>
      <c r="G130" s="2">
        <v>1.0054644808743169</v>
      </c>
      <c r="H130" s="2">
        <v>1.300546448087432</v>
      </c>
      <c r="I130" s="2" t="s">
        <v>614</v>
      </c>
      <c r="J130" s="2" t="s">
        <v>732</v>
      </c>
      <c r="K130" s="2" t="s">
        <v>395</v>
      </c>
      <c r="L130" s="2" t="s">
        <v>616</v>
      </c>
    </row>
    <row r="131" spans="1:12" x14ac:dyDescent="0.25">
      <c r="A131" s="2">
        <v>121</v>
      </c>
      <c r="B131" s="2" t="s">
        <v>396</v>
      </c>
      <c r="C131" s="2">
        <v>220</v>
      </c>
      <c r="D131" s="2">
        <v>656</v>
      </c>
      <c r="E131" s="2">
        <v>813</v>
      </c>
      <c r="F131" s="2">
        <v>787</v>
      </c>
      <c r="G131" s="2">
        <v>1.2393292682926831</v>
      </c>
      <c r="H131" s="2">
        <v>1.19969512195122</v>
      </c>
      <c r="I131" s="2" t="s">
        <v>614</v>
      </c>
      <c r="J131" s="2" t="s">
        <v>733</v>
      </c>
      <c r="K131" s="2" t="s">
        <v>398</v>
      </c>
      <c r="L131" s="2" t="s">
        <v>616</v>
      </c>
    </row>
    <row r="132" spans="1:12" x14ac:dyDescent="0.25">
      <c r="A132" s="2">
        <v>123</v>
      </c>
      <c r="B132" s="2" t="s">
        <v>399</v>
      </c>
      <c r="C132" s="2">
        <v>220</v>
      </c>
      <c r="D132" s="2">
        <v>656</v>
      </c>
      <c r="E132" s="2">
        <v>813</v>
      </c>
      <c r="F132" s="2">
        <v>787</v>
      </c>
      <c r="G132" s="2">
        <v>1.2393292682926831</v>
      </c>
      <c r="H132" s="2">
        <v>1.19969512195122</v>
      </c>
      <c r="I132" s="2" t="s">
        <v>614</v>
      </c>
      <c r="J132" s="2" t="s">
        <v>734</v>
      </c>
      <c r="K132" s="2" t="s">
        <v>401</v>
      </c>
      <c r="L132" s="2" t="s">
        <v>616</v>
      </c>
    </row>
    <row r="133" spans="1:12" x14ac:dyDescent="0.25">
      <c r="A133" s="2">
        <v>124</v>
      </c>
      <c r="B133" s="2" t="s">
        <v>402</v>
      </c>
      <c r="C133" s="2">
        <v>220</v>
      </c>
      <c r="D133" s="2">
        <v>777</v>
      </c>
      <c r="E133" s="2">
        <v>777</v>
      </c>
      <c r="F133" s="2">
        <v>1010</v>
      </c>
      <c r="G133" s="2">
        <v>1</v>
      </c>
      <c r="H133" s="2">
        <v>1.2998712998713</v>
      </c>
      <c r="I133" s="2" t="s">
        <v>614</v>
      </c>
      <c r="J133" s="2" t="s">
        <v>735</v>
      </c>
      <c r="K133" s="2" t="s">
        <v>404</v>
      </c>
      <c r="L133" s="2" t="s">
        <v>616</v>
      </c>
    </row>
    <row r="134" spans="1:12" x14ac:dyDescent="0.25">
      <c r="A134" s="2">
        <v>125</v>
      </c>
      <c r="B134" s="2" t="s">
        <v>405</v>
      </c>
      <c r="C134" s="2">
        <v>230</v>
      </c>
      <c r="D134" s="2">
        <v>1154</v>
      </c>
      <c r="E134" s="2">
        <v>1154</v>
      </c>
      <c r="F134" s="2">
        <v>1442</v>
      </c>
      <c r="G134" s="2">
        <v>1</v>
      </c>
      <c r="H134" s="2">
        <v>1.2495667244367421</v>
      </c>
      <c r="I134" s="2" t="s">
        <v>614</v>
      </c>
      <c r="J134" s="2" t="s">
        <v>736</v>
      </c>
      <c r="K134" s="2" t="s">
        <v>406</v>
      </c>
      <c r="L134" s="2" t="s">
        <v>616</v>
      </c>
    </row>
    <row r="135" spans="1:12" ht="30" x14ac:dyDescent="0.25">
      <c r="A135" s="2">
        <v>126</v>
      </c>
      <c r="B135" s="2" t="s">
        <v>135</v>
      </c>
      <c r="C135" s="2">
        <v>230</v>
      </c>
      <c r="D135" s="2">
        <v>998</v>
      </c>
      <c r="E135" s="2">
        <v>998</v>
      </c>
      <c r="F135" s="2">
        <v>1297</v>
      </c>
      <c r="G135" s="2">
        <v>1</v>
      </c>
      <c r="H135" s="2">
        <v>1.2995991983967941</v>
      </c>
      <c r="I135" s="2" t="s">
        <v>620</v>
      </c>
      <c r="J135" s="2" t="s">
        <v>737</v>
      </c>
      <c r="K135" s="2" t="s">
        <v>138</v>
      </c>
      <c r="L135" s="2" t="s">
        <v>738</v>
      </c>
    </row>
    <row r="136" spans="1:12" x14ac:dyDescent="0.25">
      <c r="A136" s="2">
        <v>127</v>
      </c>
      <c r="B136" s="2" t="s">
        <v>408</v>
      </c>
      <c r="C136" s="2">
        <v>230</v>
      </c>
      <c r="D136" s="2">
        <v>1154</v>
      </c>
      <c r="E136" s="2">
        <v>1154</v>
      </c>
      <c r="F136" s="2">
        <v>1500.2</v>
      </c>
      <c r="G136" s="2">
        <v>1</v>
      </c>
      <c r="H136" s="2">
        <v>1.3</v>
      </c>
      <c r="I136" s="2" t="s">
        <v>614</v>
      </c>
      <c r="J136" s="2" t="s">
        <v>736</v>
      </c>
      <c r="K136" s="2" t="s">
        <v>406</v>
      </c>
      <c r="L136" s="2" t="s">
        <v>616</v>
      </c>
    </row>
    <row r="137" spans="1:12" x14ac:dyDescent="0.25">
      <c r="A137" s="2">
        <v>128</v>
      </c>
      <c r="B137" s="2" t="s">
        <v>409</v>
      </c>
      <c r="C137" s="2">
        <v>220</v>
      </c>
      <c r="D137" s="2">
        <v>777</v>
      </c>
      <c r="E137" s="2">
        <v>777</v>
      </c>
      <c r="F137" s="2">
        <v>1010</v>
      </c>
      <c r="G137" s="2">
        <v>1</v>
      </c>
      <c r="H137" s="2">
        <v>1.2998712998713</v>
      </c>
      <c r="I137" s="2" t="s">
        <v>614</v>
      </c>
      <c r="J137" s="2" t="s">
        <v>739</v>
      </c>
      <c r="K137" s="2" t="s">
        <v>410</v>
      </c>
      <c r="L137" s="2" t="s">
        <v>616</v>
      </c>
    </row>
    <row r="138" spans="1:12" x14ac:dyDescent="0.25">
      <c r="A138" s="2">
        <v>129</v>
      </c>
      <c r="B138" s="2" t="s">
        <v>411</v>
      </c>
      <c r="C138" s="2">
        <v>220</v>
      </c>
      <c r="D138" s="2">
        <v>777</v>
      </c>
      <c r="E138" s="2">
        <v>777</v>
      </c>
      <c r="F138" s="2">
        <v>1010</v>
      </c>
      <c r="G138" s="2">
        <v>1</v>
      </c>
      <c r="H138" s="2">
        <v>1.2998712998713</v>
      </c>
      <c r="I138" s="2" t="s">
        <v>614</v>
      </c>
      <c r="J138" s="2" t="s">
        <v>740</v>
      </c>
      <c r="K138" s="2" t="s">
        <v>412</v>
      </c>
      <c r="L138" s="2" t="s">
        <v>616</v>
      </c>
    </row>
    <row r="139" spans="1:12" x14ac:dyDescent="0.25">
      <c r="A139" s="2">
        <v>130</v>
      </c>
      <c r="B139" s="2" t="s">
        <v>413</v>
      </c>
      <c r="C139" s="2">
        <v>230</v>
      </c>
      <c r="D139" s="2">
        <v>1023</v>
      </c>
      <c r="E139" s="2">
        <v>1023</v>
      </c>
      <c r="F139" s="2">
        <v>1329.9</v>
      </c>
      <c r="G139" s="2">
        <v>1</v>
      </c>
      <c r="H139" s="2">
        <v>1.3</v>
      </c>
      <c r="I139" s="2" t="s">
        <v>614</v>
      </c>
      <c r="J139" s="2" t="s">
        <v>741</v>
      </c>
      <c r="K139" s="2" t="s">
        <v>415</v>
      </c>
      <c r="L139" s="2" t="s">
        <v>616</v>
      </c>
    </row>
    <row r="140" spans="1:12" x14ac:dyDescent="0.25">
      <c r="A140" s="2">
        <v>131</v>
      </c>
      <c r="B140" s="2" t="s">
        <v>416</v>
      </c>
      <c r="C140" s="2">
        <v>230</v>
      </c>
      <c r="D140" s="2">
        <v>939</v>
      </c>
      <c r="E140" s="2">
        <v>939</v>
      </c>
      <c r="F140" s="2">
        <v>1220.7</v>
      </c>
      <c r="G140" s="2">
        <v>1</v>
      </c>
      <c r="H140" s="2">
        <v>1.3</v>
      </c>
      <c r="I140" s="2" t="s">
        <v>614</v>
      </c>
      <c r="J140" s="2" t="s">
        <v>741</v>
      </c>
      <c r="K140" s="2" t="s">
        <v>415</v>
      </c>
      <c r="L140" s="2" t="s">
        <v>616</v>
      </c>
    </row>
    <row r="141" spans="1:12" ht="30" x14ac:dyDescent="0.25">
      <c r="A141" s="2">
        <v>132</v>
      </c>
      <c r="B141" s="2" t="s">
        <v>139</v>
      </c>
      <c r="C141" s="2">
        <v>230</v>
      </c>
      <c r="D141" s="2">
        <v>998</v>
      </c>
      <c r="E141" s="2">
        <v>998</v>
      </c>
      <c r="F141" s="2">
        <v>1297</v>
      </c>
      <c r="G141" s="2">
        <v>1</v>
      </c>
      <c r="H141" s="2">
        <v>1.2995991983967941</v>
      </c>
      <c r="I141" s="2" t="s">
        <v>620</v>
      </c>
      <c r="J141" s="2" t="s">
        <v>737</v>
      </c>
      <c r="K141" s="2" t="s">
        <v>138</v>
      </c>
      <c r="L141" s="2" t="s">
        <v>738</v>
      </c>
    </row>
    <row r="142" spans="1:12" x14ac:dyDescent="0.25">
      <c r="A142" s="2">
        <v>133</v>
      </c>
      <c r="B142" s="2" t="s">
        <v>742</v>
      </c>
      <c r="C142" s="2">
        <v>230</v>
      </c>
      <c r="D142" s="2">
        <v>1440</v>
      </c>
      <c r="E142" s="2">
        <v>1620</v>
      </c>
      <c r="F142" s="2">
        <v>1440</v>
      </c>
      <c r="G142" s="2">
        <v>1.125</v>
      </c>
      <c r="H142" s="2">
        <v>1</v>
      </c>
      <c r="I142" s="2" t="s">
        <v>614</v>
      </c>
      <c r="J142" s="2" t="s">
        <v>743</v>
      </c>
      <c r="K142" s="2" t="s">
        <v>744</v>
      </c>
      <c r="L142" s="2" t="s">
        <v>628</v>
      </c>
    </row>
    <row r="143" spans="1:12" x14ac:dyDescent="0.25">
      <c r="A143" s="2">
        <v>134</v>
      </c>
      <c r="B143" s="2" t="s">
        <v>417</v>
      </c>
      <c r="C143" s="2">
        <v>230</v>
      </c>
      <c r="D143" s="2">
        <v>1448</v>
      </c>
      <c r="E143" s="2">
        <v>1906</v>
      </c>
      <c r="F143" s="2">
        <v>1882</v>
      </c>
      <c r="G143" s="2">
        <v>1.316298342541437</v>
      </c>
      <c r="H143" s="2">
        <v>1.2997237569060771</v>
      </c>
      <c r="I143" s="2" t="s">
        <v>614</v>
      </c>
      <c r="J143" s="2" t="s">
        <v>745</v>
      </c>
      <c r="K143" s="2" t="s">
        <v>418</v>
      </c>
      <c r="L143" s="2" t="s">
        <v>616</v>
      </c>
    </row>
    <row r="144" spans="1:12" x14ac:dyDescent="0.25">
      <c r="A144" s="2">
        <v>135</v>
      </c>
      <c r="B144" s="2" t="s">
        <v>746</v>
      </c>
      <c r="C144" s="2">
        <v>230</v>
      </c>
      <c r="D144" s="2">
        <v>1440</v>
      </c>
      <c r="E144" s="2">
        <v>1620</v>
      </c>
      <c r="F144" s="2">
        <v>1440</v>
      </c>
      <c r="G144" s="2">
        <v>1.125</v>
      </c>
      <c r="H144" s="2">
        <v>1</v>
      </c>
      <c r="I144" s="2" t="s">
        <v>614</v>
      </c>
      <c r="J144" s="2" t="s">
        <v>747</v>
      </c>
      <c r="K144" s="2" t="s">
        <v>748</v>
      </c>
      <c r="L144" s="2" t="s">
        <v>628</v>
      </c>
    </row>
    <row r="145" spans="1:12" x14ac:dyDescent="0.25">
      <c r="A145" s="2">
        <v>136</v>
      </c>
      <c r="B145" s="2" t="s">
        <v>419</v>
      </c>
      <c r="C145" s="2">
        <v>230</v>
      </c>
      <c r="D145" s="2">
        <v>1250</v>
      </c>
      <c r="E145" s="2">
        <v>1372</v>
      </c>
      <c r="F145" s="2">
        <v>1250</v>
      </c>
      <c r="G145" s="2">
        <v>1.0975999999999999</v>
      </c>
      <c r="H145" s="2">
        <v>1</v>
      </c>
      <c r="I145" s="2" t="s">
        <v>614</v>
      </c>
      <c r="J145" s="2" t="s">
        <v>749</v>
      </c>
      <c r="K145" s="2" t="s">
        <v>420</v>
      </c>
      <c r="L145" s="2" t="s">
        <v>616</v>
      </c>
    </row>
    <row r="146" spans="1:12" x14ac:dyDescent="0.25">
      <c r="A146" s="2">
        <v>137</v>
      </c>
      <c r="B146" s="2" t="s">
        <v>421</v>
      </c>
      <c r="C146" s="2">
        <v>230</v>
      </c>
      <c r="D146" s="2">
        <v>1250</v>
      </c>
      <c r="E146" s="2">
        <v>1372</v>
      </c>
      <c r="F146" s="2">
        <v>1250</v>
      </c>
      <c r="G146" s="2">
        <v>1.0975999999999999</v>
      </c>
      <c r="H146" s="2">
        <v>1</v>
      </c>
      <c r="I146" s="2" t="s">
        <v>614</v>
      </c>
      <c r="J146" s="2" t="s">
        <v>749</v>
      </c>
      <c r="K146" s="2" t="s">
        <v>420</v>
      </c>
      <c r="L146" s="2" t="s">
        <v>616</v>
      </c>
    </row>
    <row r="147" spans="1:12" x14ac:dyDescent="0.25">
      <c r="A147" s="2">
        <v>138</v>
      </c>
      <c r="B147" s="2" t="s">
        <v>422</v>
      </c>
      <c r="C147" s="2">
        <v>230</v>
      </c>
      <c r="D147" s="2">
        <v>768</v>
      </c>
      <c r="E147" s="2">
        <v>811</v>
      </c>
      <c r="F147" s="2">
        <v>811</v>
      </c>
      <c r="G147" s="2">
        <v>1.055989583333333</v>
      </c>
      <c r="H147" s="2">
        <v>1.055989583333333</v>
      </c>
      <c r="I147" s="2" t="s">
        <v>614</v>
      </c>
      <c r="J147" s="2" t="s">
        <v>750</v>
      </c>
      <c r="K147" s="2" t="s">
        <v>424</v>
      </c>
      <c r="L147" s="2" t="s">
        <v>616</v>
      </c>
    </row>
    <row r="148" spans="1:12" x14ac:dyDescent="0.25">
      <c r="A148" s="2">
        <v>139</v>
      </c>
      <c r="B148" s="2" t="s">
        <v>70</v>
      </c>
      <c r="C148" s="2">
        <v>230</v>
      </c>
      <c r="D148" s="2">
        <v>690</v>
      </c>
      <c r="E148" s="2">
        <v>690</v>
      </c>
      <c r="F148" s="2">
        <v>903</v>
      </c>
      <c r="G148" s="2">
        <v>1</v>
      </c>
      <c r="H148" s="2">
        <v>1.308695652173913</v>
      </c>
      <c r="I148" s="2" t="s">
        <v>614</v>
      </c>
      <c r="J148" s="2" t="s">
        <v>751</v>
      </c>
      <c r="K148" s="2" t="s">
        <v>752</v>
      </c>
      <c r="L148" s="2" t="s">
        <v>628</v>
      </c>
    </row>
    <row r="149" spans="1:12" x14ac:dyDescent="0.25">
      <c r="A149" s="2">
        <v>140</v>
      </c>
      <c r="B149" s="2" t="s">
        <v>753</v>
      </c>
      <c r="C149" s="2">
        <v>230</v>
      </c>
      <c r="D149" s="2">
        <v>1118</v>
      </c>
      <c r="E149" s="2">
        <v>1118</v>
      </c>
      <c r="F149" s="2">
        <v>1229.8</v>
      </c>
      <c r="G149" s="2">
        <v>1</v>
      </c>
      <c r="H149" s="2">
        <v>1.1000000000000001</v>
      </c>
      <c r="I149" s="2" t="s">
        <v>620</v>
      </c>
      <c r="J149" s="2" t="s">
        <v>754</v>
      </c>
      <c r="K149" s="2" t="s">
        <v>755</v>
      </c>
      <c r="L149" s="2" t="s">
        <v>756</v>
      </c>
    </row>
    <row r="150" spans="1:12" x14ac:dyDescent="0.25">
      <c r="A150" s="2">
        <v>141</v>
      </c>
      <c r="B150" s="2" t="s">
        <v>757</v>
      </c>
      <c r="C150" s="2">
        <v>230</v>
      </c>
      <c r="D150" s="2">
        <v>1118</v>
      </c>
      <c r="E150" s="2">
        <v>1118</v>
      </c>
      <c r="F150" s="2">
        <v>1229.8</v>
      </c>
      <c r="G150" s="2">
        <v>1</v>
      </c>
      <c r="H150" s="2">
        <v>1.1000000000000001</v>
      </c>
      <c r="I150" s="2" t="s">
        <v>620</v>
      </c>
      <c r="J150" s="2" t="s">
        <v>754</v>
      </c>
      <c r="K150" s="2" t="s">
        <v>755</v>
      </c>
      <c r="L150" s="2" t="s">
        <v>756</v>
      </c>
    </row>
    <row r="151" spans="1:12" x14ac:dyDescent="0.25">
      <c r="A151" s="2">
        <v>142</v>
      </c>
      <c r="B151" s="2" t="s">
        <v>758</v>
      </c>
      <c r="C151" s="2">
        <v>230</v>
      </c>
      <c r="D151" s="2">
        <v>1118</v>
      </c>
      <c r="E151" s="2">
        <v>1118</v>
      </c>
      <c r="F151" s="2">
        <v>1229.8</v>
      </c>
      <c r="G151" s="2">
        <v>1</v>
      </c>
      <c r="H151" s="2">
        <v>1.1000000000000001</v>
      </c>
      <c r="I151" s="2" t="s">
        <v>620</v>
      </c>
      <c r="J151" s="2" t="s">
        <v>754</v>
      </c>
      <c r="K151" s="2" t="s">
        <v>755</v>
      </c>
      <c r="L151" s="2" t="s">
        <v>756</v>
      </c>
    </row>
    <row r="152" spans="1:12" x14ac:dyDescent="0.25">
      <c r="A152" s="2">
        <v>143</v>
      </c>
      <c r="B152" s="2" t="s">
        <v>759</v>
      </c>
      <c r="C152" s="2">
        <v>230</v>
      </c>
      <c r="D152" s="2">
        <v>1118</v>
      </c>
      <c r="E152" s="2">
        <v>1118</v>
      </c>
      <c r="F152" s="2">
        <v>1229.8</v>
      </c>
      <c r="G152" s="2">
        <v>1</v>
      </c>
      <c r="H152" s="2">
        <v>1.1000000000000001</v>
      </c>
      <c r="I152" s="2" t="s">
        <v>614</v>
      </c>
      <c r="J152" s="2" t="s">
        <v>754</v>
      </c>
      <c r="K152" s="2" t="s">
        <v>760</v>
      </c>
      <c r="L152" s="2" t="s">
        <v>756</v>
      </c>
    </row>
    <row r="153" spans="1:12" x14ac:dyDescent="0.25">
      <c r="A153" s="2">
        <v>144</v>
      </c>
      <c r="B153" s="2" t="s">
        <v>425</v>
      </c>
      <c r="C153" s="2">
        <v>230</v>
      </c>
      <c r="D153" s="2">
        <v>1040</v>
      </c>
      <c r="E153" s="2">
        <v>1795</v>
      </c>
      <c r="F153" s="2">
        <v>1381</v>
      </c>
      <c r="G153" s="2">
        <v>1.725961538461539</v>
      </c>
      <c r="H153" s="2">
        <v>1.3278846153846151</v>
      </c>
      <c r="I153" s="2" t="s">
        <v>614</v>
      </c>
      <c r="J153" s="2" t="s">
        <v>761</v>
      </c>
      <c r="K153" s="2" t="s">
        <v>428</v>
      </c>
      <c r="L153" s="2" t="s">
        <v>616</v>
      </c>
    </row>
    <row r="154" spans="1:12" x14ac:dyDescent="0.25">
      <c r="A154" s="2">
        <v>145</v>
      </c>
      <c r="B154" s="2" t="s">
        <v>429</v>
      </c>
      <c r="C154" s="2">
        <v>230</v>
      </c>
      <c r="D154" s="2">
        <v>800</v>
      </c>
      <c r="E154" s="2">
        <v>940</v>
      </c>
      <c r="F154" s="2">
        <v>1222</v>
      </c>
      <c r="G154" s="2">
        <v>1.175</v>
      </c>
      <c r="H154" s="2">
        <v>1.5275000000000001</v>
      </c>
      <c r="I154" s="2" t="s">
        <v>614</v>
      </c>
      <c r="J154" s="2" t="s">
        <v>762</v>
      </c>
      <c r="K154" s="2" t="s">
        <v>431</v>
      </c>
      <c r="L154" s="2" t="s">
        <v>616</v>
      </c>
    </row>
    <row r="155" spans="1:12" x14ac:dyDescent="0.25">
      <c r="A155" s="2">
        <v>146</v>
      </c>
      <c r="B155" s="2" t="s">
        <v>432</v>
      </c>
      <c r="C155" s="2">
        <v>230</v>
      </c>
      <c r="D155" s="2">
        <v>800</v>
      </c>
      <c r="E155" s="2">
        <v>940</v>
      </c>
      <c r="F155" s="2">
        <v>1222</v>
      </c>
      <c r="G155" s="2">
        <v>1.175</v>
      </c>
      <c r="H155" s="2">
        <v>1.5275000000000001</v>
      </c>
      <c r="I155" s="2" t="s">
        <v>614</v>
      </c>
      <c r="J155" s="2" t="s">
        <v>762</v>
      </c>
      <c r="K155" s="2" t="s">
        <v>431</v>
      </c>
      <c r="L155" s="2" t="s">
        <v>616</v>
      </c>
    </row>
    <row r="156" spans="1:12" x14ac:dyDescent="0.25">
      <c r="A156" s="2">
        <v>147</v>
      </c>
      <c r="B156" s="2" t="s">
        <v>433</v>
      </c>
      <c r="C156" s="2">
        <v>230</v>
      </c>
      <c r="D156" s="2">
        <v>1106</v>
      </c>
      <c r="E156" s="2">
        <v>1106</v>
      </c>
      <c r="F156" s="2">
        <v>1106</v>
      </c>
      <c r="G156" s="2">
        <v>1</v>
      </c>
      <c r="H156" s="2">
        <v>1</v>
      </c>
      <c r="I156" s="2" t="s">
        <v>614</v>
      </c>
      <c r="J156" s="2" t="s">
        <v>763</v>
      </c>
      <c r="K156" s="2" t="s">
        <v>435</v>
      </c>
      <c r="L156" s="2" t="s">
        <v>616</v>
      </c>
    </row>
    <row r="157" spans="1:12" x14ac:dyDescent="0.25">
      <c r="A157" s="2">
        <v>148</v>
      </c>
      <c r="B157" s="2" t="s">
        <v>764</v>
      </c>
      <c r="C157" s="2">
        <v>230</v>
      </c>
      <c r="D157" s="2">
        <v>1003</v>
      </c>
      <c r="E157" s="2">
        <v>1003</v>
      </c>
      <c r="F157" s="2">
        <v>1304</v>
      </c>
      <c r="G157" s="2">
        <v>1</v>
      </c>
      <c r="H157" s="2">
        <v>1.3000997008973081</v>
      </c>
      <c r="I157" s="2" t="s">
        <v>614</v>
      </c>
      <c r="J157" s="2" t="s">
        <v>765</v>
      </c>
      <c r="K157" s="2" t="s">
        <v>766</v>
      </c>
      <c r="L157" s="2" t="s">
        <v>628</v>
      </c>
    </row>
    <row r="158" spans="1:12" x14ac:dyDescent="0.25">
      <c r="A158" s="2">
        <v>149</v>
      </c>
      <c r="B158" s="2" t="s">
        <v>436</v>
      </c>
      <c r="C158" s="2">
        <v>230</v>
      </c>
      <c r="D158" s="2">
        <v>984</v>
      </c>
      <c r="E158" s="2">
        <v>984</v>
      </c>
      <c r="F158" s="2">
        <v>1279</v>
      </c>
      <c r="G158" s="2">
        <v>1</v>
      </c>
      <c r="H158" s="2">
        <v>1.2997967479674799</v>
      </c>
      <c r="I158" s="2" t="s">
        <v>614</v>
      </c>
      <c r="J158" s="2" t="s">
        <v>767</v>
      </c>
      <c r="K158" s="2" t="s">
        <v>437</v>
      </c>
      <c r="L158" s="2" t="s">
        <v>616</v>
      </c>
    </row>
    <row r="159" spans="1:12" x14ac:dyDescent="0.25">
      <c r="A159" s="2">
        <v>150</v>
      </c>
      <c r="B159" s="2" t="s">
        <v>438</v>
      </c>
      <c r="C159" s="2">
        <v>230</v>
      </c>
      <c r="D159" s="2">
        <v>800</v>
      </c>
      <c r="E159" s="2">
        <v>895</v>
      </c>
      <c r="F159" s="2">
        <v>1164</v>
      </c>
      <c r="G159" s="2">
        <v>1.1187499999999999</v>
      </c>
      <c r="H159" s="2">
        <v>1.4550000000000001</v>
      </c>
      <c r="I159" s="2" t="s">
        <v>614</v>
      </c>
      <c r="J159" s="2" t="s">
        <v>768</v>
      </c>
      <c r="K159" s="2" t="s">
        <v>440</v>
      </c>
      <c r="L159" s="2" t="s">
        <v>616</v>
      </c>
    </row>
    <row r="160" spans="1:12" x14ac:dyDescent="0.25">
      <c r="A160" s="2">
        <v>151</v>
      </c>
      <c r="B160" s="2" t="s">
        <v>441</v>
      </c>
      <c r="C160" s="2">
        <v>230</v>
      </c>
      <c r="D160" s="2">
        <v>896</v>
      </c>
      <c r="E160" s="2">
        <v>896</v>
      </c>
      <c r="F160" s="2">
        <v>1164.8</v>
      </c>
      <c r="G160" s="2">
        <v>1</v>
      </c>
      <c r="H160" s="2">
        <v>1.3</v>
      </c>
      <c r="I160" s="2" t="s">
        <v>614</v>
      </c>
      <c r="J160" s="2" t="s">
        <v>768</v>
      </c>
      <c r="K160" s="2" t="s">
        <v>440</v>
      </c>
      <c r="L160" s="2" t="s">
        <v>616</v>
      </c>
    </row>
    <row r="161" spans="1:12" x14ac:dyDescent="0.25">
      <c r="A161" s="2">
        <v>152</v>
      </c>
      <c r="B161" s="2" t="s">
        <v>442</v>
      </c>
      <c r="C161" s="2">
        <v>230</v>
      </c>
      <c r="D161" s="2">
        <v>1120</v>
      </c>
      <c r="E161" s="2">
        <v>1120</v>
      </c>
      <c r="F161" s="2">
        <v>1200</v>
      </c>
      <c r="G161" s="2">
        <v>1</v>
      </c>
      <c r="H161" s="2">
        <v>1.071428571428571</v>
      </c>
      <c r="I161" s="2" t="s">
        <v>614</v>
      </c>
      <c r="J161" s="2" t="s">
        <v>769</v>
      </c>
      <c r="K161" s="2" t="s">
        <v>444</v>
      </c>
      <c r="L161" s="2" t="s">
        <v>616</v>
      </c>
    </row>
    <row r="162" spans="1:12" x14ac:dyDescent="0.25">
      <c r="A162" s="2">
        <v>153</v>
      </c>
      <c r="B162" s="2" t="s">
        <v>445</v>
      </c>
      <c r="C162" s="2">
        <v>230</v>
      </c>
      <c r="D162" s="2">
        <v>1120</v>
      </c>
      <c r="E162" s="2">
        <v>1120</v>
      </c>
      <c r="F162" s="2">
        <v>1200</v>
      </c>
      <c r="G162" s="2">
        <v>1</v>
      </c>
      <c r="H162" s="2">
        <v>1.071428571428571</v>
      </c>
      <c r="I162" s="2" t="s">
        <v>614</v>
      </c>
      <c r="J162" s="2" t="s">
        <v>769</v>
      </c>
      <c r="K162" s="2" t="s">
        <v>444</v>
      </c>
      <c r="L162" s="2" t="s">
        <v>616</v>
      </c>
    </row>
    <row r="163" spans="1:12" x14ac:dyDescent="0.25">
      <c r="A163" s="2">
        <v>154</v>
      </c>
      <c r="B163" s="2" t="s">
        <v>446</v>
      </c>
      <c r="C163" s="2">
        <v>230</v>
      </c>
      <c r="D163" s="2">
        <v>960</v>
      </c>
      <c r="E163" s="2">
        <v>1410</v>
      </c>
      <c r="F163" s="2">
        <v>960</v>
      </c>
      <c r="G163" s="2">
        <v>1.46875</v>
      </c>
      <c r="H163" s="2">
        <v>1</v>
      </c>
      <c r="I163" s="2" t="s">
        <v>614</v>
      </c>
      <c r="J163" s="2" t="s">
        <v>770</v>
      </c>
      <c r="K163" s="2" t="s">
        <v>448</v>
      </c>
      <c r="L163" s="2" t="s">
        <v>616</v>
      </c>
    </row>
    <row r="164" spans="1:12" x14ac:dyDescent="0.25">
      <c r="A164" s="2">
        <v>155</v>
      </c>
      <c r="B164" s="2" t="s">
        <v>449</v>
      </c>
      <c r="C164" s="2">
        <v>230</v>
      </c>
      <c r="D164" s="2">
        <v>960</v>
      </c>
      <c r="E164" s="2">
        <v>1410</v>
      </c>
      <c r="F164" s="2">
        <v>960</v>
      </c>
      <c r="G164" s="2">
        <v>1.46875</v>
      </c>
      <c r="H164" s="2">
        <v>1</v>
      </c>
      <c r="I164" s="2" t="s">
        <v>614</v>
      </c>
      <c r="J164" s="2" t="s">
        <v>770</v>
      </c>
      <c r="K164" s="2" t="s">
        <v>448</v>
      </c>
      <c r="L164" s="2" t="s">
        <v>616</v>
      </c>
    </row>
    <row r="165" spans="1:12" ht="30" x14ac:dyDescent="0.25">
      <c r="A165" s="2">
        <v>156</v>
      </c>
      <c r="B165" s="2" t="s">
        <v>450</v>
      </c>
      <c r="C165" s="2">
        <v>230</v>
      </c>
      <c r="D165" s="2">
        <v>1000</v>
      </c>
      <c r="E165" s="2">
        <v>1015</v>
      </c>
      <c r="F165" s="2">
        <v>1320</v>
      </c>
      <c r="G165" s="2">
        <v>1.0149999999999999</v>
      </c>
      <c r="H165" s="2">
        <v>1.32</v>
      </c>
      <c r="I165" s="2" t="s">
        <v>622</v>
      </c>
      <c r="J165" s="2" t="s">
        <v>771</v>
      </c>
      <c r="K165" s="2" t="s">
        <v>451</v>
      </c>
      <c r="L165" s="2" t="s">
        <v>616</v>
      </c>
    </row>
    <row r="166" spans="1:12" x14ac:dyDescent="0.25">
      <c r="A166" s="2">
        <v>157</v>
      </c>
      <c r="B166" s="2" t="s">
        <v>452</v>
      </c>
      <c r="C166" s="2">
        <v>230</v>
      </c>
      <c r="D166" s="2">
        <v>1000</v>
      </c>
      <c r="E166" s="2">
        <v>1051</v>
      </c>
      <c r="F166" s="2">
        <v>1366</v>
      </c>
      <c r="G166" s="2">
        <v>1.0509999999999999</v>
      </c>
      <c r="H166" s="2">
        <v>1.3660000000000001</v>
      </c>
      <c r="I166" s="2" t="s">
        <v>614</v>
      </c>
      <c r="J166" s="2" t="s">
        <v>772</v>
      </c>
      <c r="K166" s="2" t="s">
        <v>453</v>
      </c>
      <c r="L166" s="2" t="s">
        <v>616</v>
      </c>
    </row>
    <row r="167" spans="1:12" ht="30" x14ac:dyDescent="0.25">
      <c r="A167" s="2">
        <v>158</v>
      </c>
      <c r="B167" s="2" t="s">
        <v>773</v>
      </c>
      <c r="C167" s="2">
        <v>230</v>
      </c>
      <c r="D167" s="2">
        <v>966</v>
      </c>
      <c r="E167" s="2">
        <v>966</v>
      </c>
      <c r="F167" s="2">
        <v>1255.8</v>
      </c>
      <c r="G167" s="2">
        <v>1</v>
      </c>
      <c r="H167" s="2">
        <v>1.3</v>
      </c>
      <c r="I167" s="2" t="s">
        <v>622</v>
      </c>
      <c r="J167" s="2" t="s">
        <v>774</v>
      </c>
      <c r="K167" s="2" t="s">
        <v>775</v>
      </c>
      <c r="L167" s="2" t="s">
        <v>628</v>
      </c>
    </row>
    <row r="168" spans="1:12" ht="30" x14ac:dyDescent="0.25">
      <c r="A168" s="2">
        <v>159</v>
      </c>
      <c r="B168" s="2" t="s">
        <v>776</v>
      </c>
      <c r="C168" s="2">
        <v>230</v>
      </c>
      <c r="D168" s="2">
        <v>966</v>
      </c>
      <c r="E168" s="2">
        <v>966</v>
      </c>
      <c r="F168" s="2">
        <v>1255.8</v>
      </c>
      <c r="G168" s="2">
        <v>1</v>
      </c>
      <c r="H168" s="2">
        <v>1.3</v>
      </c>
      <c r="I168" s="2" t="s">
        <v>622</v>
      </c>
      <c r="J168" s="2" t="s">
        <v>774</v>
      </c>
      <c r="K168" s="2" t="s">
        <v>775</v>
      </c>
      <c r="L168" s="2" t="s">
        <v>628</v>
      </c>
    </row>
    <row r="169" spans="1:12" x14ac:dyDescent="0.25">
      <c r="A169" s="2">
        <v>160</v>
      </c>
      <c r="B169" s="2" t="s">
        <v>777</v>
      </c>
      <c r="C169" s="2">
        <v>230</v>
      </c>
      <c r="D169" s="2">
        <v>952</v>
      </c>
      <c r="E169" s="2">
        <v>952</v>
      </c>
      <c r="F169" s="2">
        <v>1237.5999999999999</v>
      </c>
      <c r="G169" s="2">
        <v>1</v>
      </c>
      <c r="H169" s="2">
        <v>1.3</v>
      </c>
      <c r="I169" s="2" t="s">
        <v>614</v>
      </c>
      <c r="J169" s="2" t="s">
        <v>778</v>
      </c>
      <c r="K169" s="2" t="s">
        <v>779</v>
      </c>
      <c r="L169" s="2" t="s">
        <v>628</v>
      </c>
    </row>
    <row r="170" spans="1:12" x14ac:dyDescent="0.25">
      <c r="A170" s="2">
        <v>161</v>
      </c>
      <c r="B170" s="2" t="s">
        <v>780</v>
      </c>
      <c r="C170" s="2">
        <v>230</v>
      </c>
      <c r="D170" s="2">
        <v>952</v>
      </c>
      <c r="E170" s="2">
        <v>952</v>
      </c>
      <c r="F170" s="2">
        <v>1237.5999999999999</v>
      </c>
      <c r="G170" s="2">
        <v>1</v>
      </c>
      <c r="H170" s="2">
        <v>1.3</v>
      </c>
      <c r="I170" s="2" t="s">
        <v>614</v>
      </c>
      <c r="J170" s="2" t="s">
        <v>778</v>
      </c>
      <c r="K170" s="2" t="s">
        <v>779</v>
      </c>
      <c r="L170" s="2" t="s">
        <v>628</v>
      </c>
    </row>
    <row r="171" spans="1:12" x14ac:dyDescent="0.25">
      <c r="A171" s="2">
        <v>162</v>
      </c>
      <c r="B171" s="2" t="s">
        <v>454</v>
      </c>
      <c r="C171" s="2">
        <v>230</v>
      </c>
      <c r="D171" s="2">
        <v>1440</v>
      </c>
      <c r="E171" s="2">
        <v>1620</v>
      </c>
      <c r="F171" s="2">
        <v>1440</v>
      </c>
      <c r="G171" s="2">
        <v>1.125</v>
      </c>
      <c r="H171" s="2">
        <v>1</v>
      </c>
      <c r="I171" s="2" t="s">
        <v>614</v>
      </c>
      <c r="J171" s="2" t="s">
        <v>781</v>
      </c>
      <c r="K171" s="2" t="s">
        <v>457</v>
      </c>
      <c r="L171" s="2" t="s">
        <v>616</v>
      </c>
    </row>
    <row r="172" spans="1:12" x14ac:dyDescent="0.25">
      <c r="A172" s="2">
        <v>163</v>
      </c>
      <c r="B172" s="2" t="s">
        <v>458</v>
      </c>
      <c r="C172" s="2">
        <v>220</v>
      </c>
      <c r="D172" s="2">
        <v>805</v>
      </c>
      <c r="E172" s="2">
        <v>832</v>
      </c>
      <c r="F172" s="2">
        <v>1047</v>
      </c>
      <c r="G172" s="2">
        <v>1.033540372670807</v>
      </c>
      <c r="H172" s="2">
        <v>1.3006211180124221</v>
      </c>
      <c r="I172" s="2" t="s">
        <v>614</v>
      </c>
      <c r="J172" s="2" t="s">
        <v>782</v>
      </c>
      <c r="K172" s="2" t="s">
        <v>459</v>
      </c>
      <c r="L172" s="2" t="s">
        <v>616</v>
      </c>
    </row>
    <row r="173" spans="1:12" ht="30" x14ac:dyDescent="0.25">
      <c r="A173" s="2">
        <v>164</v>
      </c>
      <c r="B173" s="2" t="s">
        <v>140</v>
      </c>
      <c r="C173" s="2">
        <v>230</v>
      </c>
      <c r="D173" s="2">
        <v>1000</v>
      </c>
      <c r="E173" s="2">
        <v>1015</v>
      </c>
      <c r="F173" s="2">
        <v>1320</v>
      </c>
      <c r="G173" s="2">
        <v>1.0149999999999999</v>
      </c>
      <c r="H173" s="2">
        <v>1.32</v>
      </c>
      <c r="I173" s="2" t="s">
        <v>622</v>
      </c>
      <c r="J173" s="2" t="s">
        <v>783</v>
      </c>
      <c r="K173" s="2" t="s">
        <v>142</v>
      </c>
      <c r="L173" s="2" t="s">
        <v>616</v>
      </c>
    </row>
    <row r="174" spans="1:12" ht="30" x14ac:dyDescent="0.25">
      <c r="A174" s="2">
        <v>165</v>
      </c>
      <c r="B174" s="2" t="s">
        <v>460</v>
      </c>
      <c r="C174" s="2">
        <v>230</v>
      </c>
      <c r="D174" s="2">
        <v>836</v>
      </c>
      <c r="E174" s="2">
        <v>836</v>
      </c>
      <c r="F174" s="2">
        <v>1087</v>
      </c>
      <c r="G174" s="2">
        <v>1</v>
      </c>
      <c r="H174" s="2">
        <v>1.3002392344497611</v>
      </c>
      <c r="I174" s="2" t="s">
        <v>622</v>
      </c>
      <c r="J174" s="2" t="s">
        <v>784</v>
      </c>
      <c r="K174" s="2" t="s">
        <v>461</v>
      </c>
      <c r="L174" s="2" t="s">
        <v>616</v>
      </c>
    </row>
    <row r="175" spans="1:12" x14ac:dyDescent="0.25">
      <c r="A175" s="2">
        <v>166</v>
      </c>
      <c r="B175" s="2" t="s">
        <v>785</v>
      </c>
      <c r="C175" s="2">
        <v>230</v>
      </c>
      <c r="D175" s="2">
        <v>820</v>
      </c>
      <c r="E175" s="2">
        <v>820</v>
      </c>
      <c r="F175" s="2">
        <v>1066</v>
      </c>
      <c r="G175" s="2">
        <v>1</v>
      </c>
      <c r="H175" s="2">
        <v>1.3</v>
      </c>
      <c r="I175" s="2" t="s">
        <v>614</v>
      </c>
      <c r="J175" s="2" t="s">
        <v>786</v>
      </c>
      <c r="K175" s="2" t="s">
        <v>787</v>
      </c>
      <c r="L175" s="2" t="s">
        <v>628</v>
      </c>
    </row>
    <row r="176" spans="1:12" x14ac:dyDescent="0.25">
      <c r="A176" s="2">
        <v>167</v>
      </c>
      <c r="B176" s="2" t="s">
        <v>43</v>
      </c>
      <c r="C176" s="2">
        <v>230</v>
      </c>
      <c r="D176" s="2">
        <v>800</v>
      </c>
      <c r="E176" s="2">
        <v>869</v>
      </c>
      <c r="F176" s="2">
        <v>1130</v>
      </c>
      <c r="G176" s="2">
        <v>1.0862499999999999</v>
      </c>
      <c r="H176" s="2">
        <v>1.4125000000000001</v>
      </c>
      <c r="I176" s="2" t="s">
        <v>614</v>
      </c>
      <c r="J176" s="2" t="s">
        <v>788</v>
      </c>
      <c r="K176" s="2" t="s">
        <v>789</v>
      </c>
      <c r="L176" s="2" t="s">
        <v>628</v>
      </c>
    </row>
    <row r="177" spans="1:12" x14ac:dyDescent="0.25">
      <c r="A177" s="2">
        <v>168</v>
      </c>
      <c r="B177" s="2" t="s">
        <v>462</v>
      </c>
      <c r="C177" s="2">
        <v>230</v>
      </c>
      <c r="D177" s="2">
        <v>768</v>
      </c>
      <c r="E177" s="2">
        <v>811</v>
      </c>
      <c r="F177" s="2">
        <v>811</v>
      </c>
      <c r="G177" s="2">
        <v>1.055989583333333</v>
      </c>
      <c r="H177" s="2">
        <v>1.055989583333333</v>
      </c>
      <c r="I177" s="2" t="s">
        <v>614</v>
      </c>
      <c r="J177" s="2" t="s">
        <v>790</v>
      </c>
      <c r="K177" s="2" t="s">
        <v>463</v>
      </c>
      <c r="L177" s="2" t="s">
        <v>616</v>
      </c>
    </row>
    <row r="178" spans="1:12" x14ac:dyDescent="0.25">
      <c r="A178" s="2">
        <v>169</v>
      </c>
      <c r="B178" s="2" t="s">
        <v>464</v>
      </c>
      <c r="C178" s="2">
        <v>500</v>
      </c>
      <c r="D178" s="2">
        <v>2400</v>
      </c>
      <c r="E178" s="2">
        <v>2400</v>
      </c>
      <c r="F178" s="2">
        <v>2500</v>
      </c>
      <c r="G178" s="2">
        <v>1</v>
      </c>
      <c r="H178" s="2">
        <v>1.041666666666667</v>
      </c>
      <c r="I178" s="2" t="s">
        <v>620</v>
      </c>
      <c r="J178" s="2" t="s">
        <v>791</v>
      </c>
      <c r="K178" s="2" t="s">
        <v>465</v>
      </c>
      <c r="L178" s="2" t="s">
        <v>616</v>
      </c>
    </row>
    <row r="179" spans="1:12" x14ac:dyDescent="0.25">
      <c r="A179" s="2">
        <v>170</v>
      </c>
      <c r="B179" s="2" t="s">
        <v>466</v>
      </c>
      <c r="C179" s="2">
        <v>230</v>
      </c>
      <c r="D179" s="2">
        <v>1040</v>
      </c>
      <c r="E179" s="2">
        <v>1383</v>
      </c>
      <c r="F179" s="2">
        <v>1798</v>
      </c>
      <c r="G179" s="2">
        <v>1.329807692307692</v>
      </c>
      <c r="H179" s="2">
        <v>1.7288461538461539</v>
      </c>
      <c r="I179" s="2" t="s">
        <v>614</v>
      </c>
      <c r="J179" s="2" t="s">
        <v>792</v>
      </c>
      <c r="K179" s="2" t="s">
        <v>469</v>
      </c>
      <c r="L179" s="2" t="s">
        <v>616</v>
      </c>
    </row>
    <row r="180" spans="1:12" x14ac:dyDescent="0.25">
      <c r="A180" s="2">
        <v>171</v>
      </c>
      <c r="B180" s="2" t="s">
        <v>143</v>
      </c>
      <c r="C180" s="2">
        <v>230</v>
      </c>
      <c r="D180" s="2">
        <v>970</v>
      </c>
      <c r="E180" s="2">
        <v>970</v>
      </c>
      <c r="F180" s="2">
        <v>1261</v>
      </c>
      <c r="G180" s="2">
        <v>1</v>
      </c>
      <c r="H180" s="2">
        <v>1.3</v>
      </c>
      <c r="I180" s="2" t="s">
        <v>620</v>
      </c>
      <c r="J180" s="2" t="s">
        <v>793</v>
      </c>
      <c r="K180" s="2" t="s">
        <v>147</v>
      </c>
      <c r="L180" s="2" t="s">
        <v>628</v>
      </c>
    </row>
    <row r="181" spans="1:12" x14ac:dyDescent="0.25">
      <c r="A181" s="2">
        <v>172</v>
      </c>
      <c r="B181" s="2" t="s">
        <v>149</v>
      </c>
      <c r="C181" s="2">
        <v>230</v>
      </c>
      <c r="D181" s="2">
        <v>970</v>
      </c>
      <c r="E181" s="2">
        <v>970</v>
      </c>
      <c r="F181" s="2">
        <v>1261</v>
      </c>
      <c r="G181" s="2">
        <v>1</v>
      </c>
      <c r="H181" s="2">
        <v>1.3</v>
      </c>
      <c r="I181" s="2" t="s">
        <v>620</v>
      </c>
      <c r="J181" s="2" t="s">
        <v>793</v>
      </c>
      <c r="K181" s="2" t="s">
        <v>147</v>
      </c>
      <c r="L181" s="2" t="s">
        <v>628</v>
      </c>
    </row>
    <row r="182" spans="1:12" ht="30" x14ac:dyDescent="0.25">
      <c r="A182" s="2">
        <v>173</v>
      </c>
      <c r="B182" s="2" t="s">
        <v>470</v>
      </c>
      <c r="C182" s="2">
        <v>220</v>
      </c>
      <c r="D182" s="2">
        <v>839</v>
      </c>
      <c r="E182" s="2">
        <v>839</v>
      </c>
      <c r="F182" s="2">
        <v>840</v>
      </c>
      <c r="G182" s="2">
        <v>1</v>
      </c>
      <c r="H182" s="2">
        <v>1.0011918951132299</v>
      </c>
      <c r="I182" s="2" t="s">
        <v>622</v>
      </c>
      <c r="J182" s="2" t="s">
        <v>794</v>
      </c>
      <c r="K182" s="2" t="s">
        <v>473</v>
      </c>
      <c r="L182" s="2" t="s">
        <v>616</v>
      </c>
    </row>
    <row r="183" spans="1:12" ht="30" x14ac:dyDescent="0.25">
      <c r="A183" s="2">
        <v>174</v>
      </c>
      <c r="B183" s="2" t="s">
        <v>474</v>
      </c>
      <c r="C183" s="2">
        <v>220</v>
      </c>
      <c r="D183" s="2">
        <v>840</v>
      </c>
      <c r="E183" s="2">
        <v>890</v>
      </c>
      <c r="F183" s="2">
        <v>890</v>
      </c>
      <c r="G183" s="2">
        <v>1.05952380952381</v>
      </c>
      <c r="H183" s="2">
        <v>1.05952380952381</v>
      </c>
      <c r="I183" s="2" t="s">
        <v>622</v>
      </c>
      <c r="J183" s="2" t="s">
        <v>795</v>
      </c>
      <c r="K183" s="2" t="s">
        <v>476</v>
      </c>
      <c r="L183" s="2" t="s">
        <v>616</v>
      </c>
    </row>
    <row r="184" spans="1:12" ht="30" x14ac:dyDescent="0.25">
      <c r="A184" s="2">
        <v>175</v>
      </c>
      <c r="B184" s="2" t="s">
        <v>477</v>
      </c>
      <c r="C184" s="2">
        <v>220</v>
      </c>
      <c r="D184" s="2">
        <v>840</v>
      </c>
      <c r="E184" s="2">
        <v>890</v>
      </c>
      <c r="F184" s="2">
        <v>890</v>
      </c>
      <c r="G184" s="2">
        <v>1.05952380952381</v>
      </c>
      <c r="H184" s="2">
        <v>1.05952380952381</v>
      </c>
      <c r="I184" s="2" t="s">
        <v>622</v>
      </c>
      <c r="J184" s="2" t="s">
        <v>795</v>
      </c>
      <c r="K184" s="2" t="s">
        <v>476</v>
      </c>
      <c r="L184" s="2" t="s">
        <v>616</v>
      </c>
    </row>
    <row r="185" spans="1:12" ht="30" x14ac:dyDescent="0.25">
      <c r="A185" s="2">
        <v>176</v>
      </c>
      <c r="B185" s="2" t="s">
        <v>75</v>
      </c>
      <c r="C185" s="2">
        <v>500</v>
      </c>
      <c r="D185" s="2">
        <v>1905</v>
      </c>
      <c r="E185" s="2">
        <v>2476</v>
      </c>
      <c r="F185" s="2">
        <v>1905</v>
      </c>
      <c r="G185" s="2">
        <v>1.2997375328083991</v>
      </c>
      <c r="H185" s="2">
        <v>1</v>
      </c>
      <c r="I185" s="2" t="s">
        <v>622</v>
      </c>
      <c r="J185" s="2" t="s">
        <v>796</v>
      </c>
      <c r="K185" s="2" t="s">
        <v>797</v>
      </c>
      <c r="L185" s="2" t="s">
        <v>628</v>
      </c>
    </row>
    <row r="186" spans="1:12" x14ac:dyDescent="0.25">
      <c r="A186" s="2">
        <v>177</v>
      </c>
      <c r="B186" s="2" t="s">
        <v>798</v>
      </c>
      <c r="C186" s="2">
        <v>500</v>
      </c>
      <c r="D186" s="2">
        <v>1905</v>
      </c>
      <c r="E186" s="2">
        <v>1905</v>
      </c>
      <c r="F186" s="2">
        <v>2476</v>
      </c>
      <c r="G186" s="2">
        <v>1</v>
      </c>
      <c r="H186" s="2">
        <v>1.2997375328083991</v>
      </c>
      <c r="I186" s="2" t="s">
        <v>614</v>
      </c>
      <c r="J186" s="2" t="s">
        <v>799</v>
      </c>
      <c r="K186" s="2" t="s">
        <v>800</v>
      </c>
      <c r="L186" s="2" t="s">
        <v>628</v>
      </c>
    </row>
    <row r="187" spans="1:12" ht="30" x14ac:dyDescent="0.25">
      <c r="A187" s="2">
        <v>178</v>
      </c>
      <c r="B187" s="2" t="s">
        <v>478</v>
      </c>
      <c r="C187" s="2">
        <v>230</v>
      </c>
      <c r="D187" s="2">
        <v>875</v>
      </c>
      <c r="E187" s="2">
        <v>875</v>
      </c>
      <c r="F187" s="2">
        <v>1137.5</v>
      </c>
      <c r="G187" s="2">
        <v>1</v>
      </c>
      <c r="H187" s="2">
        <v>1.3</v>
      </c>
      <c r="I187" s="2" t="s">
        <v>622</v>
      </c>
      <c r="J187" s="2" t="s">
        <v>801</v>
      </c>
      <c r="K187" s="2" t="s">
        <v>480</v>
      </c>
      <c r="L187" s="2" t="s">
        <v>616</v>
      </c>
    </row>
    <row r="188" spans="1:12" x14ac:dyDescent="0.25">
      <c r="A188" s="2">
        <v>179</v>
      </c>
      <c r="B188" s="2" t="s">
        <v>802</v>
      </c>
      <c r="C188" s="2">
        <v>230</v>
      </c>
      <c r="D188" s="2">
        <v>887</v>
      </c>
      <c r="E188" s="2">
        <v>887</v>
      </c>
      <c r="F188" s="2">
        <v>1153.0999999999999</v>
      </c>
      <c r="G188" s="2">
        <v>1</v>
      </c>
      <c r="H188" s="2">
        <v>1.3</v>
      </c>
      <c r="I188" s="2" t="s">
        <v>614</v>
      </c>
      <c r="J188" s="2" t="s">
        <v>803</v>
      </c>
      <c r="K188" s="2" t="s">
        <v>804</v>
      </c>
      <c r="L188" s="2" t="s">
        <v>628</v>
      </c>
    </row>
    <row r="189" spans="1:12" x14ac:dyDescent="0.25">
      <c r="A189" s="2">
        <v>180</v>
      </c>
      <c r="B189" s="2" t="s">
        <v>481</v>
      </c>
      <c r="C189" s="2">
        <v>230</v>
      </c>
      <c r="D189" s="2">
        <v>805</v>
      </c>
      <c r="E189" s="2">
        <v>805</v>
      </c>
      <c r="F189" s="2">
        <v>1047</v>
      </c>
      <c r="G189" s="2">
        <v>1</v>
      </c>
      <c r="H189" s="2">
        <v>1.3006211180124221</v>
      </c>
      <c r="I189" s="2" t="s">
        <v>620</v>
      </c>
      <c r="J189" s="2" t="s">
        <v>805</v>
      </c>
      <c r="K189" s="2" t="s">
        <v>482</v>
      </c>
      <c r="L189" s="2" t="s">
        <v>616</v>
      </c>
    </row>
    <row r="190" spans="1:12" x14ac:dyDescent="0.25">
      <c r="A190" s="2">
        <v>181</v>
      </c>
      <c r="B190" s="2" t="s">
        <v>483</v>
      </c>
      <c r="C190" s="2">
        <v>220</v>
      </c>
      <c r="D190" s="2">
        <v>777</v>
      </c>
      <c r="E190" s="2">
        <v>777</v>
      </c>
      <c r="F190" s="2">
        <v>1010</v>
      </c>
      <c r="G190" s="2">
        <v>1</v>
      </c>
      <c r="H190" s="2">
        <v>1.2998712998713</v>
      </c>
      <c r="I190" s="2" t="s">
        <v>614</v>
      </c>
      <c r="J190" s="2" t="s">
        <v>806</v>
      </c>
      <c r="K190" s="2" t="s">
        <v>484</v>
      </c>
      <c r="L190" s="2" t="s">
        <v>616</v>
      </c>
    </row>
    <row r="191" spans="1:12" x14ac:dyDescent="0.25">
      <c r="A191" s="2">
        <v>182</v>
      </c>
      <c r="B191" s="2" t="s">
        <v>485</v>
      </c>
      <c r="C191" s="2">
        <v>230</v>
      </c>
      <c r="D191" s="2">
        <v>1237</v>
      </c>
      <c r="E191" s="2">
        <v>1237</v>
      </c>
      <c r="F191" s="2">
        <v>1608</v>
      </c>
      <c r="G191" s="2">
        <v>1</v>
      </c>
      <c r="H191" s="2">
        <v>1.2999191592562651</v>
      </c>
      <c r="I191" s="2" t="s">
        <v>614</v>
      </c>
      <c r="J191" s="2" t="s">
        <v>807</v>
      </c>
      <c r="K191" s="2" t="s">
        <v>488</v>
      </c>
      <c r="L191" s="2" t="s">
        <v>616</v>
      </c>
    </row>
    <row r="192" spans="1:12" x14ac:dyDescent="0.25">
      <c r="A192" s="2">
        <v>183</v>
      </c>
      <c r="B192" s="2" t="s">
        <v>489</v>
      </c>
      <c r="C192" s="2">
        <v>230</v>
      </c>
      <c r="D192" s="2">
        <v>1237</v>
      </c>
      <c r="E192" s="2">
        <v>1237</v>
      </c>
      <c r="F192" s="2">
        <v>1608</v>
      </c>
      <c r="G192" s="2">
        <v>1</v>
      </c>
      <c r="H192" s="2">
        <v>1.2999191592562651</v>
      </c>
      <c r="I192" s="2" t="s">
        <v>614</v>
      </c>
      <c r="J192" s="2" t="s">
        <v>807</v>
      </c>
      <c r="K192" s="2" t="s">
        <v>488</v>
      </c>
      <c r="L192" s="2" t="s">
        <v>616</v>
      </c>
    </row>
    <row r="193" spans="1:12" ht="30" x14ac:dyDescent="0.25">
      <c r="A193" s="2">
        <v>184</v>
      </c>
      <c r="B193" s="2" t="s">
        <v>490</v>
      </c>
      <c r="C193" s="2">
        <v>230</v>
      </c>
      <c r="D193" s="2">
        <v>1017</v>
      </c>
      <c r="E193" s="2">
        <v>1017</v>
      </c>
      <c r="F193" s="2">
        <v>1100</v>
      </c>
      <c r="G193" s="2">
        <v>1</v>
      </c>
      <c r="H193" s="2">
        <v>1.0816125860373651</v>
      </c>
      <c r="I193" s="2" t="s">
        <v>622</v>
      </c>
      <c r="J193" s="2" t="s">
        <v>808</v>
      </c>
      <c r="K193" s="2" t="s">
        <v>492</v>
      </c>
      <c r="L193" s="2" t="s">
        <v>616</v>
      </c>
    </row>
    <row r="194" spans="1:12" ht="30" x14ac:dyDescent="0.25">
      <c r="A194" s="2">
        <v>185</v>
      </c>
      <c r="B194" s="2" t="s">
        <v>493</v>
      </c>
      <c r="C194" s="2">
        <v>230</v>
      </c>
      <c r="D194" s="2">
        <v>1017</v>
      </c>
      <c r="E194" s="2">
        <v>1017</v>
      </c>
      <c r="F194" s="2">
        <v>1100</v>
      </c>
      <c r="G194" s="2">
        <v>1</v>
      </c>
      <c r="H194" s="2">
        <v>1.0816125860373651</v>
      </c>
      <c r="I194" s="2" t="s">
        <v>622</v>
      </c>
      <c r="J194" s="2" t="s">
        <v>808</v>
      </c>
      <c r="K194" s="2" t="s">
        <v>492</v>
      </c>
      <c r="L194" s="2" t="s">
        <v>616</v>
      </c>
    </row>
    <row r="195" spans="1:12" x14ac:dyDescent="0.25">
      <c r="A195" s="2">
        <v>186</v>
      </c>
      <c r="B195" s="2" t="s">
        <v>494</v>
      </c>
      <c r="C195" s="2">
        <v>230</v>
      </c>
      <c r="D195" s="2">
        <v>1017</v>
      </c>
      <c r="E195" s="2">
        <v>1017</v>
      </c>
      <c r="F195" s="2">
        <v>1100</v>
      </c>
      <c r="G195" s="2">
        <v>1</v>
      </c>
      <c r="H195" s="2">
        <v>1.0816125860373651</v>
      </c>
      <c r="I195" s="2" t="s">
        <v>614</v>
      </c>
      <c r="J195" s="2" t="s">
        <v>809</v>
      </c>
      <c r="K195" s="2" t="s">
        <v>495</v>
      </c>
      <c r="L195" s="2" t="s">
        <v>616</v>
      </c>
    </row>
    <row r="196" spans="1:12" x14ac:dyDescent="0.25">
      <c r="A196" s="2">
        <v>187</v>
      </c>
      <c r="B196" s="2" t="s">
        <v>496</v>
      </c>
      <c r="C196" s="2">
        <v>230</v>
      </c>
      <c r="D196" s="2">
        <v>1017</v>
      </c>
      <c r="E196" s="2">
        <v>1017</v>
      </c>
      <c r="F196" s="2">
        <v>1100</v>
      </c>
      <c r="G196" s="2">
        <v>1</v>
      </c>
      <c r="H196" s="2">
        <v>1.0816125860373651</v>
      </c>
      <c r="I196" s="2" t="s">
        <v>614</v>
      </c>
      <c r="J196" s="2" t="s">
        <v>809</v>
      </c>
      <c r="K196" s="2" t="s">
        <v>495</v>
      </c>
      <c r="L196" s="2" t="s">
        <v>616</v>
      </c>
    </row>
    <row r="197" spans="1:12" x14ac:dyDescent="0.25">
      <c r="A197" s="2">
        <v>188</v>
      </c>
      <c r="B197" s="2" t="s">
        <v>497</v>
      </c>
      <c r="C197" s="2">
        <v>230</v>
      </c>
      <c r="D197" s="2">
        <v>1000</v>
      </c>
      <c r="E197" s="2">
        <v>1000</v>
      </c>
      <c r="F197" s="2">
        <v>1000</v>
      </c>
      <c r="G197" s="2">
        <v>1</v>
      </c>
      <c r="H197" s="2">
        <v>1</v>
      </c>
      <c r="I197" s="2" t="s">
        <v>614</v>
      </c>
      <c r="J197" s="2" t="s">
        <v>810</v>
      </c>
      <c r="K197" s="2" t="s">
        <v>498</v>
      </c>
      <c r="L197" s="2" t="s">
        <v>616</v>
      </c>
    </row>
    <row r="198" spans="1:12" x14ac:dyDescent="0.25">
      <c r="A198" s="2">
        <v>189</v>
      </c>
      <c r="B198" s="2" t="s">
        <v>499</v>
      </c>
      <c r="C198" s="2">
        <v>230</v>
      </c>
      <c r="D198" s="2">
        <v>1106</v>
      </c>
      <c r="E198" s="2">
        <v>1106</v>
      </c>
      <c r="F198" s="2">
        <v>1106</v>
      </c>
      <c r="G198" s="2">
        <v>1</v>
      </c>
      <c r="H198" s="2">
        <v>1</v>
      </c>
      <c r="I198" s="2" t="s">
        <v>614</v>
      </c>
      <c r="J198" s="2" t="s">
        <v>811</v>
      </c>
      <c r="K198" s="2" t="s">
        <v>500</v>
      </c>
      <c r="L198" s="2" t="s">
        <v>616</v>
      </c>
    </row>
    <row r="199" spans="1:12" ht="30" x14ac:dyDescent="0.25">
      <c r="A199" s="2">
        <v>190</v>
      </c>
      <c r="B199" s="2" t="s">
        <v>501</v>
      </c>
      <c r="C199" s="2">
        <v>230</v>
      </c>
      <c r="D199" s="2">
        <v>960</v>
      </c>
      <c r="E199" s="2">
        <v>1410</v>
      </c>
      <c r="F199" s="2">
        <v>1120</v>
      </c>
      <c r="G199" s="2">
        <v>1.46875</v>
      </c>
      <c r="H199" s="2">
        <v>1.166666666666667</v>
      </c>
      <c r="I199" s="2" t="s">
        <v>622</v>
      </c>
      <c r="J199" s="2" t="s">
        <v>812</v>
      </c>
      <c r="K199" s="2" t="s">
        <v>502</v>
      </c>
      <c r="L199" s="2" t="s">
        <v>616</v>
      </c>
    </row>
    <row r="200" spans="1:12" ht="30" x14ac:dyDescent="0.25">
      <c r="A200" s="2">
        <v>191</v>
      </c>
      <c r="B200" s="2" t="s">
        <v>503</v>
      </c>
      <c r="C200" s="2">
        <v>230</v>
      </c>
      <c r="D200" s="2">
        <v>960</v>
      </c>
      <c r="E200" s="2">
        <v>1410</v>
      </c>
      <c r="F200" s="2">
        <v>1120</v>
      </c>
      <c r="G200" s="2">
        <v>1.46875</v>
      </c>
      <c r="H200" s="2">
        <v>1.166666666666667</v>
      </c>
      <c r="I200" s="2" t="s">
        <v>622</v>
      </c>
      <c r="J200" s="2" t="s">
        <v>812</v>
      </c>
      <c r="K200" s="2" t="s">
        <v>502</v>
      </c>
      <c r="L200" s="2" t="s">
        <v>616</v>
      </c>
    </row>
    <row r="201" spans="1:12" x14ac:dyDescent="0.25">
      <c r="A201" s="2">
        <v>192</v>
      </c>
      <c r="B201" s="2" t="s">
        <v>504</v>
      </c>
      <c r="C201" s="2">
        <v>230</v>
      </c>
      <c r="D201" s="2">
        <v>982</v>
      </c>
      <c r="E201" s="2">
        <v>982</v>
      </c>
      <c r="F201" s="2">
        <v>1276.5999999999999</v>
      </c>
      <c r="G201" s="2">
        <v>1</v>
      </c>
      <c r="H201" s="2">
        <v>1.3</v>
      </c>
      <c r="I201" s="2" t="s">
        <v>614</v>
      </c>
      <c r="J201" s="2" t="s">
        <v>813</v>
      </c>
      <c r="K201" s="2" t="s">
        <v>505</v>
      </c>
      <c r="L201" s="2" t="s">
        <v>616</v>
      </c>
    </row>
    <row r="202" spans="1:12" ht="30" x14ac:dyDescent="0.25">
      <c r="A202" s="2">
        <v>193</v>
      </c>
      <c r="B202" s="2" t="s">
        <v>506</v>
      </c>
      <c r="C202" s="2">
        <v>500</v>
      </c>
      <c r="D202" s="2">
        <v>2400</v>
      </c>
      <c r="E202" s="2">
        <v>2400</v>
      </c>
      <c r="F202" s="2">
        <v>2500</v>
      </c>
      <c r="G202" s="2">
        <v>1</v>
      </c>
      <c r="H202" s="2">
        <v>1.041666666666667</v>
      </c>
      <c r="I202" s="2" t="s">
        <v>622</v>
      </c>
      <c r="J202" s="2" t="s">
        <v>814</v>
      </c>
      <c r="K202" s="2" t="s">
        <v>507</v>
      </c>
      <c r="L202" s="2" t="s">
        <v>616</v>
      </c>
    </row>
    <row r="203" spans="1:12" x14ac:dyDescent="0.25">
      <c r="A203" s="2">
        <v>194</v>
      </c>
      <c r="B203" s="2" t="s">
        <v>815</v>
      </c>
      <c r="C203" s="2">
        <v>500</v>
      </c>
      <c r="D203" s="2">
        <v>2400</v>
      </c>
      <c r="E203" s="2">
        <v>2400</v>
      </c>
      <c r="F203" s="2">
        <v>2500</v>
      </c>
      <c r="G203" s="2">
        <v>1</v>
      </c>
      <c r="H203" s="2">
        <v>1.041666666666667</v>
      </c>
      <c r="I203" s="2" t="s">
        <v>614</v>
      </c>
      <c r="J203" s="2" t="s">
        <v>816</v>
      </c>
      <c r="K203" s="2" t="s">
        <v>817</v>
      </c>
      <c r="L203" s="2" t="s">
        <v>628</v>
      </c>
    </row>
    <row r="204" spans="1:12" ht="30" x14ac:dyDescent="0.25">
      <c r="A204" s="2">
        <v>195</v>
      </c>
      <c r="B204" s="2" t="s">
        <v>818</v>
      </c>
      <c r="C204" s="2">
        <v>230</v>
      </c>
      <c r="D204" s="2">
        <v>979</v>
      </c>
      <c r="E204" s="2">
        <v>979</v>
      </c>
      <c r="F204" s="2">
        <v>1273</v>
      </c>
      <c r="G204" s="2">
        <v>1</v>
      </c>
      <c r="H204" s="2">
        <v>1.3003064351378959</v>
      </c>
      <c r="I204" s="2" t="s">
        <v>622</v>
      </c>
      <c r="J204" s="2" t="s">
        <v>819</v>
      </c>
      <c r="K204" s="2" t="s">
        <v>820</v>
      </c>
      <c r="L204" s="2" t="s">
        <v>628</v>
      </c>
    </row>
    <row r="205" spans="1:12" ht="30" x14ac:dyDescent="0.25">
      <c r="A205" s="2">
        <v>196</v>
      </c>
      <c r="B205" s="2" t="s">
        <v>508</v>
      </c>
      <c r="C205" s="2">
        <v>230</v>
      </c>
      <c r="D205" s="2">
        <v>811</v>
      </c>
      <c r="E205" s="2">
        <v>811</v>
      </c>
      <c r="F205" s="2">
        <v>1054.3</v>
      </c>
      <c r="G205" s="2">
        <v>1</v>
      </c>
      <c r="H205" s="2">
        <v>1.3</v>
      </c>
      <c r="I205" s="2" t="s">
        <v>622</v>
      </c>
      <c r="J205" s="2" t="s">
        <v>821</v>
      </c>
      <c r="K205" s="2" t="s">
        <v>509</v>
      </c>
      <c r="L205" s="2" t="s">
        <v>616</v>
      </c>
    </row>
    <row r="206" spans="1:12" x14ac:dyDescent="0.25">
      <c r="A206" s="2">
        <v>197</v>
      </c>
      <c r="B206" s="2" t="s">
        <v>822</v>
      </c>
      <c r="C206" s="2">
        <v>500</v>
      </c>
      <c r="D206" s="2">
        <v>1905</v>
      </c>
      <c r="E206" s="2">
        <v>1905</v>
      </c>
      <c r="F206" s="2">
        <v>2476</v>
      </c>
      <c r="G206" s="2">
        <v>1</v>
      </c>
      <c r="H206" s="2">
        <v>1.2997375328083991</v>
      </c>
      <c r="I206" s="2" t="s">
        <v>614</v>
      </c>
      <c r="J206" s="2" t="s">
        <v>823</v>
      </c>
      <c r="K206" s="2" t="s">
        <v>824</v>
      </c>
      <c r="L206" s="2" t="s">
        <v>628</v>
      </c>
    </row>
    <row r="207" spans="1:12" x14ac:dyDescent="0.25">
      <c r="A207" s="2">
        <v>198</v>
      </c>
      <c r="B207" s="2" t="s">
        <v>150</v>
      </c>
      <c r="C207" s="2">
        <v>230</v>
      </c>
      <c r="D207" s="2">
        <v>988</v>
      </c>
      <c r="E207" s="2">
        <v>988</v>
      </c>
      <c r="F207" s="2">
        <v>1284.4000000000001</v>
      </c>
      <c r="G207" s="2">
        <v>1</v>
      </c>
      <c r="H207" s="2">
        <v>1.3</v>
      </c>
      <c r="I207" s="2" t="s">
        <v>620</v>
      </c>
      <c r="J207" s="2" t="s">
        <v>825</v>
      </c>
      <c r="K207" s="2" t="s">
        <v>152</v>
      </c>
      <c r="L207" s="2" t="s">
        <v>616</v>
      </c>
    </row>
    <row r="208" spans="1:12" x14ac:dyDescent="0.25">
      <c r="A208" s="2">
        <v>199</v>
      </c>
      <c r="B208" s="2" t="s">
        <v>153</v>
      </c>
      <c r="C208" s="2">
        <v>230</v>
      </c>
      <c r="D208" s="2">
        <v>988</v>
      </c>
      <c r="E208" s="2">
        <v>988</v>
      </c>
      <c r="F208" s="2">
        <v>1284.4000000000001</v>
      </c>
      <c r="G208" s="2">
        <v>1</v>
      </c>
      <c r="H208" s="2">
        <v>1.3</v>
      </c>
      <c r="I208" s="2" t="s">
        <v>620</v>
      </c>
      <c r="J208" s="2" t="s">
        <v>825</v>
      </c>
      <c r="K208" s="2" t="s">
        <v>152</v>
      </c>
      <c r="L208" s="2" t="s">
        <v>616</v>
      </c>
    </row>
    <row r="209" spans="1:12" x14ac:dyDescent="0.25">
      <c r="A209" s="2">
        <v>200</v>
      </c>
      <c r="B209" s="2" t="s">
        <v>154</v>
      </c>
      <c r="C209" s="2">
        <v>230</v>
      </c>
      <c r="D209" s="2">
        <v>984</v>
      </c>
      <c r="E209" s="2">
        <v>984</v>
      </c>
      <c r="F209" s="2">
        <v>1279.2</v>
      </c>
      <c r="G209" s="2">
        <v>1</v>
      </c>
      <c r="H209" s="2">
        <v>1.3</v>
      </c>
      <c r="I209" s="2" t="s">
        <v>620</v>
      </c>
      <c r="J209" s="2" t="s">
        <v>826</v>
      </c>
      <c r="K209" s="2" t="s">
        <v>156</v>
      </c>
      <c r="L209" s="2" t="s">
        <v>628</v>
      </c>
    </row>
    <row r="210" spans="1:12" x14ac:dyDescent="0.25">
      <c r="A210" s="2">
        <v>201</v>
      </c>
      <c r="B210" s="2" t="s">
        <v>157</v>
      </c>
      <c r="C210" s="2">
        <v>230</v>
      </c>
      <c r="D210" s="2">
        <v>984</v>
      </c>
      <c r="E210" s="2">
        <v>984</v>
      </c>
      <c r="F210" s="2">
        <v>1279.2</v>
      </c>
      <c r="G210" s="2">
        <v>1</v>
      </c>
      <c r="H210" s="2">
        <v>1.3</v>
      </c>
      <c r="I210" s="2" t="s">
        <v>620</v>
      </c>
      <c r="J210" s="2" t="s">
        <v>826</v>
      </c>
      <c r="K210" s="2" t="s">
        <v>156</v>
      </c>
      <c r="L210" s="2" t="s">
        <v>628</v>
      </c>
    </row>
    <row r="211" spans="1:12" ht="30" x14ac:dyDescent="0.25">
      <c r="A211" s="2">
        <v>202</v>
      </c>
      <c r="B211" s="2" t="s">
        <v>510</v>
      </c>
      <c r="C211" s="2">
        <v>220</v>
      </c>
      <c r="D211" s="2">
        <v>971</v>
      </c>
      <c r="E211" s="2">
        <v>989</v>
      </c>
      <c r="F211" s="2">
        <v>989</v>
      </c>
      <c r="G211" s="2">
        <v>1.0185375901132849</v>
      </c>
      <c r="H211" s="2">
        <v>1.0185375901132849</v>
      </c>
      <c r="I211" s="2" t="s">
        <v>622</v>
      </c>
      <c r="J211" s="2" t="s">
        <v>827</v>
      </c>
      <c r="K211" s="2" t="s">
        <v>512</v>
      </c>
      <c r="L211" s="2" t="s">
        <v>616</v>
      </c>
    </row>
    <row r="212" spans="1:12" ht="30" x14ac:dyDescent="0.25">
      <c r="A212" s="2">
        <v>203</v>
      </c>
      <c r="B212" s="2" t="s">
        <v>513</v>
      </c>
      <c r="C212" s="2">
        <v>220</v>
      </c>
      <c r="D212" s="2">
        <v>840</v>
      </c>
      <c r="E212" s="2">
        <v>839</v>
      </c>
      <c r="F212" s="2">
        <v>840</v>
      </c>
      <c r="G212" s="2">
        <v>0.99880952380952381</v>
      </c>
      <c r="H212" s="2">
        <v>1</v>
      </c>
      <c r="I212" s="2" t="s">
        <v>622</v>
      </c>
      <c r="J212" s="2" t="s">
        <v>827</v>
      </c>
      <c r="K212" s="2" t="s">
        <v>512</v>
      </c>
      <c r="L212" s="2" t="s">
        <v>616</v>
      </c>
    </row>
    <row r="213" spans="1:12" ht="30" x14ac:dyDescent="0.25">
      <c r="A213" s="2">
        <v>206</v>
      </c>
      <c r="B213" s="2" t="s">
        <v>514</v>
      </c>
      <c r="C213" s="2">
        <v>220</v>
      </c>
      <c r="D213" s="2">
        <v>971</v>
      </c>
      <c r="E213" s="2">
        <v>989</v>
      </c>
      <c r="F213" s="2">
        <v>989</v>
      </c>
      <c r="G213" s="2">
        <v>1.0185375901132849</v>
      </c>
      <c r="H213" s="2">
        <v>1.0185375901132849</v>
      </c>
      <c r="I213" s="2" t="s">
        <v>622</v>
      </c>
      <c r="J213" s="2" t="s">
        <v>827</v>
      </c>
      <c r="K213" s="2" t="s">
        <v>512</v>
      </c>
      <c r="L213" s="2" t="s">
        <v>616</v>
      </c>
    </row>
    <row r="214" spans="1:12" x14ac:dyDescent="0.25">
      <c r="A214" s="2">
        <v>207</v>
      </c>
      <c r="B214" s="2" t="s">
        <v>828</v>
      </c>
      <c r="C214" s="2">
        <v>220</v>
      </c>
      <c r="D214" s="2">
        <v>630</v>
      </c>
      <c r="E214" s="2">
        <v>813</v>
      </c>
      <c r="F214" s="2">
        <v>630</v>
      </c>
      <c r="G214" s="2">
        <v>1.290476190476191</v>
      </c>
      <c r="H214" s="2">
        <v>1</v>
      </c>
      <c r="I214" s="2" t="s">
        <v>614</v>
      </c>
      <c r="J214" s="2" t="s">
        <v>829</v>
      </c>
      <c r="K214" s="2" t="s">
        <v>830</v>
      </c>
      <c r="L214" s="2" t="s">
        <v>628</v>
      </c>
    </row>
    <row r="215" spans="1:12" ht="30" x14ac:dyDescent="0.25">
      <c r="A215" s="2">
        <v>208</v>
      </c>
      <c r="B215" s="2" t="s">
        <v>515</v>
      </c>
      <c r="C215" s="2">
        <v>220</v>
      </c>
      <c r="D215" s="2">
        <v>1000</v>
      </c>
      <c r="E215" s="2">
        <v>1000</v>
      </c>
      <c r="F215" s="2">
        <v>1139</v>
      </c>
      <c r="G215" s="2">
        <v>1</v>
      </c>
      <c r="H215" s="2">
        <v>1.139</v>
      </c>
      <c r="I215" s="2" t="s">
        <v>622</v>
      </c>
      <c r="J215" s="2" t="s">
        <v>831</v>
      </c>
      <c r="K215" s="2" t="s">
        <v>516</v>
      </c>
      <c r="L215" s="2" t="s">
        <v>616</v>
      </c>
    </row>
    <row r="216" spans="1:12" x14ac:dyDescent="0.25">
      <c r="A216" s="2">
        <v>209</v>
      </c>
      <c r="B216" s="2" t="s">
        <v>517</v>
      </c>
      <c r="C216" s="2">
        <v>220</v>
      </c>
      <c r="D216" s="2">
        <v>630</v>
      </c>
      <c r="E216" s="2">
        <v>813</v>
      </c>
      <c r="F216" s="2">
        <v>630</v>
      </c>
      <c r="G216" s="2">
        <v>1.290476190476191</v>
      </c>
      <c r="H216" s="2">
        <v>1</v>
      </c>
      <c r="I216" s="2" t="s">
        <v>614</v>
      </c>
      <c r="J216" s="2" t="s">
        <v>832</v>
      </c>
      <c r="K216" s="2" t="s">
        <v>519</v>
      </c>
      <c r="L216" s="2" t="s">
        <v>616</v>
      </c>
    </row>
    <row r="217" spans="1:12" x14ac:dyDescent="0.25">
      <c r="A217" s="2">
        <v>210</v>
      </c>
      <c r="B217" s="2" t="s">
        <v>520</v>
      </c>
      <c r="C217" s="2">
        <v>220</v>
      </c>
      <c r="D217" s="2">
        <v>840</v>
      </c>
      <c r="E217" s="2">
        <v>839</v>
      </c>
      <c r="F217" s="2">
        <v>840</v>
      </c>
      <c r="G217" s="2">
        <v>0.99880952380952381</v>
      </c>
      <c r="H217" s="2">
        <v>1</v>
      </c>
      <c r="I217" s="2" t="s">
        <v>614</v>
      </c>
      <c r="J217" s="2" t="s">
        <v>832</v>
      </c>
      <c r="K217" s="2" t="s">
        <v>519</v>
      </c>
      <c r="L217" s="2" t="s">
        <v>616</v>
      </c>
    </row>
    <row r="218" spans="1:12" x14ac:dyDescent="0.25">
      <c r="A218" s="2">
        <v>212</v>
      </c>
      <c r="B218" s="2" t="s">
        <v>521</v>
      </c>
      <c r="C218" s="2">
        <v>220</v>
      </c>
      <c r="D218" s="2">
        <v>630</v>
      </c>
      <c r="E218" s="2">
        <v>813</v>
      </c>
      <c r="F218" s="2">
        <v>630</v>
      </c>
      <c r="G218" s="2">
        <v>1.290476190476191</v>
      </c>
      <c r="H218" s="2">
        <v>1</v>
      </c>
      <c r="I218" s="2" t="s">
        <v>614</v>
      </c>
      <c r="J218" s="2" t="s">
        <v>832</v>
      </c>
      <c r="K218" s="2" t="s">
        <v>519</v>
      </c>
      <c r="L218" s="2" t="s">
        <v>616</v>
      </c>
    </row>
    <row r="219" spans="1:12" x14ac:dyDescent="0.25">
      <c r="A219" s="2">
        <v>213</v>
      </c>
      <c r="B219" s="2" t="s">
        <v>522</v>
      </c>
      <c r="C219" s="2">
        <v>230</v>
      </c>
      <c r="D219" s="2">
        <v>868</v>
      </c>
      <c r="E219" s="2">
        <v>868</v>
      </c>
      <c r="F219" s="2">
        <v>1128.4000000000001</v>
      </c>
      <c r="G219" s="2">
        <v>1</v>
      </c>
      <c r="H219" s="2">
        <v>1.3</v>
      </c>
      <c r="I219" s="2" t="s">
        <v>614</v>
      </c>
      <c r="J219" s="2" t="s">
        <v>833</v>
      </c>
      <c r="K219" s="2" t="s">
        <v>524</v>
      </c>
      <c r="L219" s="2" t="s">
        <v>616</v>
      </c>
    </row>
    <row r="220" spans="1:12" ht="30" x14ac:dyDescent="0.25">
      <c r="A220" s="2">
        <v>214</v>
      </c>
      <c r="B220" s="2" t="s">
        <v>834</v>
      </c>
      <c r="C220" s="2">
        <v>230</v>
      </c>
      <c r="D220" s="2">
        <v>1003</v>
      </c>
      <c r="E220" s="2">
        <v>1003</v>
      </c>
      <c r="F220" s="2">
        <v>1303.9000000000001</v>
      </c>
      <c r="G220" s="2">
        <v>1</v>
      </c>
      <c r="H220" s="2">
        <v>1.3</v>
      </c>
      <c r="I220" s="2" t="s">
        <v>622</v>
      </c>
      <c r="J220" s="2" t="s">
        <v>835</v>
      </c>
      <c r="K220" s="2" t="s">
        <v>836</v>
      </c>
      <c r="L220" s="2" t="s">
        <v>628</v>
      </c>
    </row>
    <row r="221" spans="1:12" ht="30" x14ac:dyDescent="0.25">
      <c r="A221" s="2">
        <v>215</v>
      </c>
      <c r="B221" s="2" t="s">
        <v>525</v>
      </c>
      <c r="C221" s="2">
        <v>230</v>
      </c>
      <c r="D221" s="2">
        <v>800</v>
      </c>
      <c r="E221" s="2">
        <v>1003</v>
      </c>
      <c r="F221" s="2">
        <v>1304</v>
      </c>
      <c r="G221" s="2">
        <v>1.2537499999999999</v>
      </c>
      <c r="H221" s="2">
        <v>1.63</v>
      </c>
      <c r="I221" s="2" t="s">
        <v>622</v>
      </c>
      <c r="J221" s="2" t="s">
        <v>837</v>
      </c>
      <c r="K221" s="2" t="s">
        <v>527</v>
      </c>
      <c r="L221" s="2" t="s">
        <v>616</v>
      </c>
    </row>
    <row r="222" spans="1:12" ht="30" x14ac:dyDescent="0.25">
      <c r="A222" s="2">
        <v>216</v>
      </c>
      <c r="B222" s="2" t="s">
        <v>528</v>
      </c>
      <c r="C222" s="2">
        <v>500</v>
      </c>
      <c r="D222" s="2">
        <v>1905</v>
      </c>
      <c r="E222" s="2">
        <v>2000</v>
      </c>
      <c r="F222" s="2">
        <v>2000</v>
      </c>
      <c r="G222" s="2">
        <v>1.049868766404199</v>
      </c>
      <c r="H222" s="2">
        <v>1.049868766404199</v>
      </c>
      <c r="I222" s="2" t="s">
        <v>622</v>
      </c>
      <c r="J222" s="2" t="s">
        <v>838</v>
      </c>
      <c r="K222" s="2" t="s">
        <v>529</v>
      </c>
      <c r="L222" s="2" t="s">
        <v>616</v>
      </c>
    </row>
    <row r="223" spans="1:12" ht="30" x14ac:dyDescent="0.25">
      <c r="A223" s="2">
        <v>217</v>
      </c>
      <c r="B223" s="2" t="s">
        <v>158</v>
      </c>
      <c r="C223" s="2">
        <v>500</v>
      </c>
      <c r="D223" s="2">
        <v>2000</v>
      </c>
      <c r="E223" s="2">
        <v>3141</v>
      </c>
      <c r="F223" s="2">
        <v>4083</v>
      </c>
      <c r="G223" s="2">
        <v>1.5705</v>
      </c>
      <c r="H223" s="2">
        <v>2.0415000000000001</v>
      </c>
      <c r="I223" s="2" t="s">
        <v>622</v>
      </c>
      <c r="J223" s="2" t="s">
        <v>839</v>
      </c>
      <c r="K223" s="2" t="s">
        <v>160</v>
      </c>
      <c r="L223" s="2" t="s">
        <v>628</v>
      </c>
    </row>
    <row r="224" spans="1:12" x14ac:dyDescent="0.25">
      <c r="A224" s="2">
        <v>218</v>
      </c>
      <c r="B224" s="2" t="s">
        <v>161</v>
      </c>
      <c r="C224" s="2">
        <v>230</v>
      </c>
      <c r="D224" s="2">
        <v>968</v>
      </c>
      <c r="E224" s="2">
        <v>968</v>
      </c>
      <c r="F224" s="2">
        <v>1258.4000000000001</v>
      </c>
      <c r="G224" s="2">
        <v>1</v>
      </c>
      <c r="H224" s="2">
        <v>1.3</v>
      </c>
      <c r="I224" s="2" t="s">
        <v>620</v>
      </c>
      <c r="J224" s="2" t="s">
        <v>840</v>
      </c>
      <c r="K224" s="2" t="s">
        <v>162</v>
      </c>
      <c r="L224" s="2" t="s">
        <v>628</v>
      </c>
    </row>
    <row r="225" spans="1:12" x14ac:dyDescent="0.25">
      <c r="A225" s="2">
        <v>219</v>
      </c>
      <c r="B225" s="2" t="s">
        <v>163</v>
      </c>
      <c r="C225" s="2">
        <v>230</v>
      </c>
      <c r="D225" s="2">
        <v>968</v>
      </c>
      <c r="E225" s="2">
        <v>968</v>
      </c>
      <c r="F225" s="2">
        <v>1258.4000000000001</v>
      </c>
      <c r="G225" s="2">
        <v>1</v>
      </c>
      <c r="H225" s="2">
        <v>1.3</v>
      </c>
      <c r="I225" s="2" t="s">
        <v>620</v>
      </c>
      <c r="J225" s="2" t="s">
        <v>840</v>
      </c>
      <c r="K225" s="2" t="s">
        <v>162</v>
      </c>
      <c r="L225" s="2" t="s">
        <v>628</v>
      </c>
    </row>
    <row r="226" spans="1:12" ht="30" x14ac:dyDescent="0.25">
      <c r="A226" s="2">
        <v>220</v>
      </c>
      <c r="B226" s="2" t="s">
        <v>530</v>
      </c>
      <c r="C226" s="2">
        <v>230</v>
      </c>
      <c r="D226" s="2">
        <v>812</v>
      </c>
      <c r="E226" s="2">
        <v>812</v>
      </c>
      <c r="F226" s="2">
        <v>1015</v>
      </c>
      <c r="G226" s="2">
        <v>1</v>
      </c>
      <c r="H226" s="2">
        <v>1.25</v>
      </c>
      <c r="I226" s="2" t="s">
        <v>622</v>
      </c>
      <c r="J226" s="2" t="s">
        <v>841</v>
      </c>
      <c r="K226" s="2" t="s">
        <v>531</v>
      </c>
      <c r="L226" s="2" t="s">
        <v>616</v>
      </c>
    </row>
    <row r="227" spans="1:12" ht="30" x14ac:dyDescent="0.25">
      <c r="A227" s="2">
        <v>221</v>
      </c>
      <c r="B227" s="2" t="s">
        <v>532</v>
      </c>
      <c r="C227" s="2">
        <v>500</v>
      </c>
      <c r="D227" s="2">
        <v>2500</v>
      </c>
      <c r="E227" s="2">
        <v>2857</v>
      </c>
      <c r="F227" s="2">
        <v>3714</v>
      </c>
      <c r="G227" s="2">
        <v>1.1428</v>
      </c>
      <c r="H227" s="2">
        <v>1.4856</v>
      </c>
      <c r="I227" s="2" t="s">
        <v>622</v>
      </c>
      <c r="J227" s="2" t="s">
        <v>842</v>
      </c>
      <c r="K227" s="2" t="s">
        <v>533</v>
      </c>
      <c r="L227" s="2" t="s">
        <v>616</v>
      </c>
    </row>
    <row r="228" spans="1:12" ht="30" x14ac:dyDescent="0.25">
      <c r="A228" s="2">
        <v>222</v>
      </c>
      <c r="B228" s="2" t="s">
        <v>534</v>
      </c>
      <c r="C228" s="2">
        <v>230</v>
      </c>
      <c r="D228" s="2">
        <v>996</v>
      </c>
      <c r="E228" s="2">
        <v>996</v>
      </c>
      <c r="F228" s="2">
        <v>1294.8</v>
      </c>
      <c r="G228" s="2">
        <v>1</v>
      </c>
      <c r="H228" s="2">
        <v>1.3</v>
      </c>
      <c r="I228" s="2" t="s">
        <v>622</v>
      </c>
      <c r="J228" s="2" t="s">
        <v>843</v>
      </c>
      <c r="K228" s="2" t="s">
        <v>535</v>
      </c>
      <c r="L228" s="2" t="s">
        <v>616</v>
      </c>
    </row>
    <row r="229" spans="1:12" ht="30" x14ac:dyDescent="0.25">
      <c r="A229" s="2">
        <v>223</v>
      </c>
      <c r="B229" s="2" t="s">
        <v>536</v>
      </c>
      <c r="C229" s="2">
        <v>230</v>
      </c>
      <c r="D229" s="2">
        <v>996</v>
      </c>
      <c r="E229" s="2">
        <v>996</v>
      </c>
      <c r="F229" s="2">
        <v>1294.8</v>
      </c>
      <c r="G229" s="2">
        <v>1</v>
      </c>
      <c r="H229" s="2">
        <v>1.3</v>
      </c>
      <c r="I229" s="2" t="s">
        <v>622</v>
      </c>
      <c r="J229" s="2" t="s">
        <v>843</v>
      </c>
      <c r="K229" s="2" t="s">
        <v>535</v>
      </c>
      <c r="L229" s="2" t="s">
        <v>616</v>
      </c>
    </row>
    <row r="230" spans="1:12" ht="30" x14ac:dyDescent="0.25">
      <c r="A230" s="2">
        <v>224</v>
      </c>
      <c r="B230" s="2" t="s">
        <v>164</v>
      </c>
      <c r="C230" s="2">
        <v>500</v>
      </c>
      <c r="D230" s="2">
        <v>2000</v>
      </c>
      <c r="E230" s="2">
        <v>3141</v>
      </c>
      <c r="F230" s="2">
        <v>4083</v>
      </c>
      <c r="G230" s="2">
        <v>1.5705</v>
      </c>
      <c r="H230" s="2">
        <v>2.0415000000000001</v>
      </c>
      <c r="I230" s="2" t="s">
        <v>622</v>
      </c>
      <c r="J230" s="2" t="s">
        <v>844</v>
      </c>
      <c r="K230" s="2" t="s">
        <v>166</v>
      </c>
      <c r="L230" s="2" t="s">
        <v>628</v>
      </c>
    </row>
    <row r="231" spans="1:12" x14ac:dyDescent="0.25">
      <c r="A231" s="2">
        <v>225</v>
      </c>
      <c r="B231" s="2" t="s">
        <v>537</v>
      </c>
      <c r="C231" s="2">
        <v>230</v>
      </c>
      <c r="D231" s="2">
        <v>986</v>
      </c>
      <c r="E231" s="2">
        <v>986</v>
      </c>
      <c r="F231" s="2">
        <v>1281.8</v>
      </c>
      <c r="G231" s="2">
        <v>1</v>
      </c>
      <c r="H231" s="2">
        <v>1.3</v>
      </c>
      <c r="I231" s="2" t="s">
        <v>614</v>
      </c>
      <c r="J231" s="2" t="s">
        <v>845</v>
      </c>
      <c r="K231" s="2" t="s">
        <v>538</v>
      </c>
      <c r="L231" s="2" t="s">
        <v>616</v>
      </c>
    </row>
    <row r="232" spans="1:12" x14ac:dyDescent="0.25">
      <c r="A232" s="2">
        <v>226</v>
      </c>
      <c r="B232" s="2" t="s">
        <v>539</v>
      </c>
      <c r="C232" s="2">
        <v>230</v>
      </c>
      <c r="D232" s="2">
        <v>960</v>
      </c>
      <c r="E232" s="2">
        <v>1410</v>
      </c>
      <c r="F232" s="2">
        <v>960</v>
      </c>
      <c r="G232" s="2">
        <v>1.46875</v>
      </c>
      <c r="H232" s="2">
        <v>1</v>
      </c>
      <c r="I232" s="2" t="s">
        <v>614</v>
      </c>
      <c r="J232" s="2" t="s">
        <v>846</v>
      </c>
      <c r="K232" s="2" t="s">
        <v>541</v>
      </c>
      <c r="L232" s="2" t="s">
        <v>616</v>
      </c>
    </row>
    <row r="233" spans="1:12" ht="30" x14ac:dyDescent="0.25">
      <c r="A233" s="2">
        <v>227</v>
      </c>
      <c r="B233" s="2" t="s">
        <v>542</v>
      </c>
      <c r="C233" s="2">
        <v>230</v>
      </c>
      <c r="D233" s="2">
        <v>960</v>
      </c>
      <c r="E233" s="2">
        <v>1410</v>
      </c>
      <c r="F233" s="2">
        <v>960</v>
      </c>
      <c r="G233" s="2">
        <v>1.46875</v>
      </c>
      <c r="H233" s="2">
        <v>1</v>
      </c>
      <c r="I233" s="2" t="s">
        <v>622</v>
      </c>
      <c r="J233" s="2" t="s">
        <v>847</v>
      </c>
      <c r="K233" s="2" t="s">
        <v>543</v>
      </c>
      <c r="L233" s="2" t="s">
        <v>616</v>
      </c>
    </row>
    <row r="234" spans="1:12" x14ac:dyDescent="0.25">
      <c r="A234" s="2">
        <v>228</v>
      </c>
      <c r="B234" s="2" t="s">
        <v>544</v>
      </c>
      <c r="C234" s="2">
        <v>230</v>
      </c>
      <c r="D234" s="2">
        <v>860</v>
      </c>
      <c r="E234" s="2">
        <v>860</v>
      </c>
      <c r="F234" s="2">
        <v>860</v>
      </c>
      <c r="G234" s="2">
        <v>1</v>
      </c>
      <c r="H234" s="2">
        <v>1</v>
      </c>
      <c r="I234" s="2" t="s">
        <v>614</v>
      </c>
      <c r="J234" s="2" t="s">
        <v>848</v>
      </c>
      <c r="K234" s="2" t="s">
        <v>545</v>
      </c>
      <c r="L234" s="2" t="s">
        <v>616</v>
      </c>
    </row>
    <row r="235" spans="1:12" ht="30" x14ac:dyDescent="0.25">
      <c r="A235" s="2">
        <v>229</v>
      </c>
      <c r="B235" s="2" t="s">
        <v>546</v>
      </c>
      <c r="C235" s="2">
        <v>220</v>
      </c>
      <c r="D235" s="2">
        <v>656</v>
      </c>
      <c r="E235" s="2">
        <v>656</v>
      </c>
      <c r="F235" s="2">
        <v>787</v>
      </c>
      <c r="G235" s="2">
        <v>1</v>
      </c>
      <c r="H235" s="2">
        <v>1.19969512195122</v>
      </c>
      <c r="I235" s="2" t="s">
        <v>622</v>
      </c>
      <c r="J235" s="2" t="s">
        <v>849</v>
      </c>
      <c r="K235" s="2" t="s">
        <v>547</v>
      </c>
      <c r="L235" s="2" t="s">
        <v>616</v>
      </c>
    </row>
    <row r="236" spans="1:12" ht="30" x14ac:dyDescent="0.25">
      <c r="A236" s="2">
        <v>230</v>
      </c>
      <c r="B236" s="2" t="s">
        <v>548</v>
      </c>
      <c r="C236" s="2">
        <v>220</v>
      </c>
      <c r="D236" s="2">
        <v>656</v>
      </c>
      <c r="E236" s="2">
        <v>813</v>
      </c>
      <c r="F236" s="2">
        <v>787</v>
      </c>
      <c r="G236" s="2">
        <v>1.2393292682926831</v>
      </c>
      <c r="H236" s="2">
        <v>1.19969512195122</v>
      </c>
      <c r="I236" s="2" t="s">
        <v>622</v>
      </c>
      <c r="J236" s="2" t="s">
        <v>849</v>
      </c>
      <c r="K236" s="2" t="s">
        <v>547</v>
      </c>
      <c r="L236" s="2" t="s">
        <v>616</v>
      </c>
    </row>
    <row r="237" spans="1:12" x14ac:dyDescent="0.25">
      <c r="A237" s="2">
        <v>231</v>
      </c>
      <c r="B237" s="2" t="s">
        <v>549</v>
      </c>
      <c r="C237" s="2">
        <v>220</v>
      </c>
      <c r="D237" s="2">
        <v>656</v>
      </c>
      <c r="E237" s="2">
        <v>813</v>
      </c>
      <c r="F237" s="2">
        <v>787</v>
      </c>
      <c r="G237" s="2">
        <v>1.2393292682926831</v>
      </c>
      <c r="H237" s="2">
        <v>1.19969512195122</v>
      </c>
      <c r="I237" s="2" t="s">
        <v>614</v>
      </c>
      <c r="J237" s="2" t="s">
        <v>850</v>
      </c>
      <c r="K237" s="2" t="s">
        <v>550</v>
      </c>
      <c r="L237" s="2" t="s">
        <v>616</v>
      </c>
    </row>
    <row r="238" spans="1:12" ht="30" x14ac:dyDescent="0.25">
      <c r="A238" s="2">
        <v>233</v>
      </c>
      <c r="B238" s="2" t="s">
        <v>551</v>
      </c>
      <c r="C238" s="2">
        <v>230</v>
      </c>
      <c r="D238" s="2">
        <v>1000</v>
      </c>
      <c r="E238" s="2">
        <v>1000</v>
      </c>
      <c r="F238" s="2">
        <v>1000</v>
      </c>
      <c r="G238" s="2">
        <v>1</v>
      </c>
      <c r="H238" s="2">
        <v>1</v>
      </c>
      <c r="I238" s="2" t="s">
        <v>622</v>
      </c>
      <c r="J238" s="2" t="s">
        <v>851</v>
      </c>
      <c r="K238" s="2" t="s">
        <v>553</v>
      </c>
      <c r="L238" s="2" t="s">
        <v>616</v>
      </c>
    </row>
    <row r="239" spans="1:12" ht="30" x14ac:dyDescent="0.25">
      <c r="A239" s="2">
        <v>234</v>
      </c>
      <c r="B239" s="2" t="s">
        <v>554</v>
      </c>
      <c r="C239" s="2">
        <v>230</v>
      </c>
      <c r="D239" s="2">
        <v>1000</v>
      </c>
      <c r="E239" s="2">
        <v>1000</v>
      </c>
      <c r="F239" s="2">
        <v>1000</v>
      </c>
      <c r="G239" s="2">
        <v>1</v>
      </c>
      <c r="H239" s="2">
        <v>1</v>
      </c>
      <c r="I239" s="2" t="s">
        <v>622</v>
      </c>
      <c r="J239" s="2" t="s">
        <v>851</v>
      </c>
      <c r="K239" s="2" t="s">
        <v>553</v>
      </c>
      <c r="L239" s="2" t="s">
        <v>616</v>
      </c>
    </row>
    <row r="240" spans="1:12" ht="30" x14ac:dyDescent="0.25">
      <c r="A240" s="2">
        <v>235</v>
      </c>
      <c r="B240" s="2" t="s">
        <v>852</v>
      </c>
      <c r="C240" s="2">
        <v>230</v>
      </c>
      <c r="D240" s="2">
        <v>830</v>
      </c>
      <c r="E240" s="2">
        <v>830</v>
      </c>
      <c r="F240" s="2">
        <v>1079</v>
      </c>
      <c r="G240" s="2">
        <v>1</v>
      </c>
      <c r="H240" s="2">
        <v>1.3</v>
      </c>
      <c r="I240" s="2" t="s">
        <v>622</v>
      </c>
      <c r="J240" s="2" t="s">
        <v>853</v>
      </c>
      <c r="K240" s="2" t="s">
        <v>854</v>
      </c>
      <c r="L240" s="2" t="s">
        <v>628</v>
      </c>
    </row>
    <row r="241" spans="1:12" ht="30" x14ac:dyDescent="0.25">
      <c r="A241" s="2">
        <v>236</v>
      </c>
      <c r="B241" s="2" t="s">
        <v>855</v>
      </c>
      <c r="C241" s="2">
        <v>230</v>
      </c>
      <c r="D241" s="2">
        <v>1001</v>
      </c>
      <c r="E241" s="2">
        <v>1001</v>
      </c>
      <c r="F241" s="2">
        <v>1301.3</v>
      </c>
      <c r="G241" s="2">
        <v>1</v>
      </c>
      <c r="H241" s="2">
        <v>1.3</v>
      </c>
      <c r="I241" s="2" t="s">
        <v>622</v>
      </c>
      <c r="J241" s="2" t="s">
        <v>853</v>
      </c>
      <c r="K241" s="2" t="s">
        <v>854</v>
      </c>
      <c r="L241" s="2" t="s">
        <v>628</v>
      </c>
    </row>
    <row r="242" spans="1:12" ht="30" x14ac:dyDescent="0.25">
      <c r="A242" s="2">
        <v>237</v>
      </c>
      <c r="B242" s="2" t="s">
        <v>555</v>
      </c>
      <c r="C242" s="2">
        <v>230</v>
      </c>
      <c r="D242" s="2">
        <v>900</v>
      </c>
      <c r="E242" s="2">
        <v>900</v>
      </c>
      <c r="F242" s="2">
        <v>900</v>
      </c>
      <c r="G242" s="2">
        <v>1</v>
      </c>
      <c r="H242" s="2">
        <v>1</v>
      </c>
      <c r="I242" s="2" t="s">
        <v>622</v>
      </c>
      <c r="J242" s="2" t="s">
        <v>856</v>
      </c>
      <c r="K242" s="2" t="s">
        <v>556</v>
      </c>
      <c r="L242" s="2" t="s">
        <v>616</v>
      </c>
    </row>
    <row r="243" spans="1:12" ht="30" x14ac:dyDescent="0.25">
      <c r="A243" s="2">
        <v>238</v>
      </c>
      <c r="B243" s="2" t="s">
        <v>857</v>
      </c>
      <c r="C243" s="2">
        <v>230</v>
      </c>
      <c r="D243" s="2">
        <v>987</v>
      </c>
      <c r="E243" s="2">
        <v>987</v>
      </c>
      <c r="F243" s="2">
        <v>1283</v>
      </c>
      <c r="G243" s="2">
        <v>1</v>
      </c>
      <c r="H243" s="2">
        <v>1.299898682877406</v>
      </c>
      <c r="I243" s="2" t="s">
        <v>622</v>
      </c>
      <c r="J243" s="2" t="s">
        <v>858</v>
      </c>
      <c r="K243" s="2" t="s">
        <v>859</v>
      </c>
      <c r="L243" s="2" t="s">
        <v>628</v>
      </c>
    </row>
    <row r="244" spans="1:12" ht="30" x14ac:dyDescent="0.25">
      <c r="A244" s="2">
        <v>239</v>
      </c>
      <c r="B244" s="2" t="s">
        <v>557</v>
      </c>
      <c r="C244" s="2">
        <v>220</v>
      </c>
      <c r="D244" s="2">
        <v>839</v>
      </c>
      <c r="E244" s="2">
        <v>839</v>
      </c>
      <c r="F244" s="2">
        <v>840</v>
      </c>
      <c r="G244" s="2">
        <v>1</v>
      </c>
      <c r="H244" s="2">
        <v>1.0011918951132299</v>
      </c>
      <c r="I244" s="2" t="s">
        <v>622</v>
      </c>
      <c r="J244" s="2" t="s">
        <v>860</v>
      </c>
      <c r="K244" s="2" t="s">
        <v>558</v>
      </c>
      <c r="L244" s="2" t="s">
        <v>616</v>
      </c>
    </row>
    <row r="245" spans="1:12" ht="30" x14ac:dyDescent="0.25">
      <c r="A245" s="2">
        <v>240</v>
      </c>
      <c r="B245" s="2" t="s">
        <v>559</v>
      </c>
      <c r="C245" s="2">
        <v>220</v>
      </c>
      <c r="D245" s="2">
        <v>1000</v>
      </c>
      <c r="E245" s="2">
        <v>1328</v>
      </c>
      <c r="F245" s="2">
        <v>1328</v>
      </c>
      <c r="G245" s="2">
        <v>1.3280000000000001</v>
      </c>
      <c r="H245" s="2">
        <v>1.3280000000000001</v>
      </c>
      <c r="I245" s="2" t="s">
        <v>622</v>
      </c>
      <c r="J245" s="2" t="s">
        <v>861</v>
      </c>
      <c r="K245" s="2" t="s">
        <v>560</v>
      </c>
      <c r="L245" s="2" t="s">
        <v>616</v>
      </c>
    </row>
    <row r="246" spans="1:12" ht="30" x14ac:dyDescent="0.25">
      <c r="A246" s="2">
        <v>241</v>
      </c>
      <c r="B246" s="2" t="s">
        <v>561</v>
      </c>
      <c r="C246" s="2">
        <v>220</v>
      </c>
      <c r="D246" s="2">
        <v>1000</v>
      </c>
      <c r="E246" s="2">
        <v>1000</v>
      </c>
      <c r="F246" s="2">
        <v>1139</v>
      </c>
      <c r="G246" s="2">
        <v>1</v>
      </c>
      <c r="H246" s="2">
        <v>1.139</v>
      </c>
      <c r="I246" s="2" t="s">
        <v>622</v>
      </c>
      <c r="J246" s="2" t="s">
        <v>862</v>
      </c>
      <c r="K246" s="2" t="s">
        <v>562</v>
      </c>
      <c r="L246" s="2" t="s">
        <v>616</v>
      </c>
    </row>
    <row r="247" spans="1:12" ht="30" x14ac:dyDescent="0.25">
      <c r="A247" s="2">
        <v>242</v>
      </c>
      <c r="B247" s="2" t="s">
        <v>563</v>
      </c>
      <c r="C247" s="2">
        <v>220</v>
      </c>
      <c r="D247" s="2">
        <v>787</v>
      </c>
      <c r="E247" s="2">
        <v>813</v>
      </c>
      <c r="F247" s="2">
        <v>790</v>
      </c>
      <c r="G247" s="2">
        <v>1.033036848792884</v>
      </c>
      <c r="H247" s="2">
        <v>1.003811944091487</v>
      </c>
      <c r="I247" s="2" t="s">
        <v>622</v>
      </c>
      <c r="J247" s="2" t="s">
        <v>863</v>
      </c>
      <c r="K247" s="2" t="s">
        <v>565</v>
      </c>
      <c r="L247" s="2" t="s">
        <v>616</v>
      </c>
    </row>
    <row r="248" spans="1:12" ht="30" x14ac:dyDescent="0.25">
      <c r="A248" s="2">
        <v>243</v>
      </c>
      <c r="B248" s="2" t="s">
        <v>566</v>
      </c>
      <c r="C248" s="2">
        <v>220</v>
      </c>
      <c r="D248" s="2">
        <v>787</v>
      </c>
      <c r="E248" s="2">
        <v>813</v>
      </c>
      <c r="F248" s="2">
        <v>790</v>
      </c>
      <c r="G248" s="2">
        <v>1.033036848792884</v>
      </c>
      <c r="H248" s="2">
        <v>1.003811944091487</v>
      </c>
      <c r="I248" s="2" t="s">
        <v>622</v>
      </c>
      <c r="J248" s="2" t="s">
        <v>863</v>
      </c>
      <c r="K248" s="2" t="s">
        <v>565</v>
      </c>
      <c r="L248" s="2" t="s">
        <v>616</v>
      </c>
    </row>
    <row r="249" spans="1:12" ht="30" x14ac:dyDescent="0.25">
      <c r="A249" s="2">
        <v>244</v>
      </c>
      <c r="B249" s="2" t="s">
        <v>567</v>
      </c>
      <c r="C249" s="2">
        <v>220</v>
      </c>
      <c r="D249" s="2">
        <v>630</v>
      </c>
      <c r="E249" s="2">
        <v>830</v>
      </c>
      <c r="F249" s="2">
        <v>756</v>
      </c>
      <c r="G249" s="2">
        <v>1.317460317460317</v>
      </c>
      <c r="H249" s="2">
        <v>1.2</v>
      </c>
      <c r="I249" s="2" t="s">
        <v>622</v>
      </c>
      <c r="J249" s="2" t="s">
        <v>864</v>
      </c>
      <c r="K249" s="2" t="s">
        <v>568</v>
      </c>
      <c r="L249" s="2" t="s">
        <v>616</v>
      </c>
    </row>
    <row r="250" spans="1:12" ht="30" x14ac:dyDescent="0.25">
      <c r="A250" s="2">
        <v>245</v>
      </c>
      <c r="B250" s="2" t="s">
        <v>865</v>
      </c>
      <c r="C250" s="2">
        <v>230</v>
      </c>
      <c r="D250" s="2">
        <v>960</v>
      </c>
      <c r="E250" s="2">
        <v>1620</v>
      </c>
      <c r="F250" s="2">
        <v>960</v>
      </c>
      <c r="G250" s="2">
        <v>1.6875</v>
      </c>
      <c r="H250" s="2">
        <v>1</v>
      </c>
      <c r="I250" s="2" t="s">
        <v>622</v>
      </c>
      <c r="J250" s="2" t="s">
        <v>866</v>
      </c>
      <c r="K250" s="2" t="s">
        <v>867</v>
      </c>
      <c r="L250" s="2" t="s">
        <v>628</v>
      </c>
    </row>
    <row r="251" spans="1:12" ht="30" x14ac:dyDescent="0.25">
      <c r="A251" s="2">
        <v>246</v>
      </c>
      <c r="B251" s="2" t="s">
        <v>868</v>
      </c>
      <c r="C251" s="2">
        <v>230</v>
      </c>
      <c r="D251" s="2">
        <v>960</v>
      </c>
      <c r="E251" s="2">
        <v>1620</v>
      </c>
      <c r="F251" s="2">
        <v>960</v>
      </c>
      <c r="G251" s="2">
        <v>1.6875</v>
      </c>
      <c r="H251" s="2">
        <v>1</v>
      </c>
      <c r="I251" s="2" t="s">
        <v>622</v>
      </c>
      <c r="J251" s="2" t="s">
        <v>866</v>
      </c>
      <c r="K251" s="2" t="s">
        <v>867</v>
      </c>
      <c r="L251" s="2" t="s">
        <v>628</v>
      </c>
    </row>
    <row r="252" spans="1:12" x14ac:dyDescent="0.25">
      <c r="A252" s="2">
        <v>247</v>
      </c>
      <c r="B252" s="2" t="s">
        <v>569</v>
      </c>
      <c r="C252" s="2">
        <v>230</v>
      </c>
      <c r="D252" s="2">
        <v>800</v>
      </c>
      <c r="E252" s="2">
        <v>879</v>
      </c>
      <c r="F252" s="2">
        <v>1143</v>
      </c>
      <c r="G252" s="2">
        <v>1.0987499999999999</v>
      </c>
      <c r="H252" s="2">
        <v>1.42875</v>
      </c>
      <c r="I252" s="2" t="s">
        <v>614</v>
      </c>
      <c r="J252" s="2" t="s">
        <v>869</v>
      </c>
      <c r="K252" s="2" t="s">
        <v>571</v>
      </c>
      <c r="L252" s="2" t="s">
        <v>616</v>
      </c>
    </row>
    <row r="253" spans="1:12" x14ac:dyDescent="0.25">
      <c r="A253" s="2">
        <v>248</v>
      </c>
      <c r="B253" s="2" t="s">
        <v>572</v>
      </c>
      <c r="C253" s="2">
        <v>230</v>
      </c>
      <c r="D253" s="2">
        <v>1000</v>
      </c>
      <c r="E253" s="2">
        <v>1000</v>
      </c>
      <c r="F253" s="2">
        <v>1139.2</v>
      </c>
      <c r="G253" s="2">
        <v>1</v>
      </c>
      <c r="H253" s="2">
        <v>1.1392</v>
      </c>
      <c r="I253" s="2" t="s">
        <v>620</v>
      </c>
      <c r="J253" s="2" t="s">
        <v>870</v>
      </c>
      <c r="K253" s="2" t="s">
        <v>573</v>
      </c>
      <c r="L253" s="2" t="s">
        <v>616</v>
      </c>
    </row>
    <row r="254" spans="1:12" x14ac:dyDescent="0.25">
      <c r="A254" s="2">
        <v>249</v>
      </c>
      <c r="B254" s="2" t="s">
        <v>167</v>
      </c>
      <c r="C254" s="2">
        <v>230</v>
      </c>
      <c r="D254" s="2">
        <v>800</v>
      </c>
      <c r="E254" s="2">
        <v>881</v>
      </c>
      <c r="F254" s="2">
        <v>1145</v>
      </c>
      <c r="G254" s="2">
        <v>1.1012500000000001</v>
      </c>
      <c r="H254" s="2">
        <v>1.4312499999999999</v>
      </c>
      <c r="I254" s="2" t="s">
        <v>620</v>
      </c>
      <c r="J254" s="2" t="s">
        <v>871</v>
      </c>
      <c r="K254" s="2" t="s">
        <v>169</v>
      </c>
      <c r="L254" s="2" t="s">
        <v>616</v>
      </c>
    </row>
    <row r="255" spans="1:12" x14ac:dyDescent="0.25">
      <c r="A255" s="2">
        <v>250</v>
      </c>
      <c r="B255" s="2" t="s">
        <v>171</v>
      </c>
      <c r="C255" s="2">
        <v>230</v>
      </c>
      <c r="D255" s="2">
        <v>800</v>
      </c>
      <c r="E255" s="2">
        <v>881</v>
      </c>
      <c r="F255" s="2">
        <v>1145</v>
      </c>
      <c r="G255" s="2">
        <v>1.1012500000000001</v>
      </c>
      <c r="H255" s="2">
        <v>1.4312499999999999</v>
      </c>
      <c r="I255" s="2" t="s">
        <v>620</v>
      </c>
      <c r="J255" s="2" t="s">
        <v>871</v>
      </c>
      <c r="K255" s="2" t="s">
        <v>169</v>
      </c>
      <c r="L255" s="2" t="s">
        <v>616</v>
      </c>
    </row>
    <row r="256" spans="1:12" ht="30" x14ac:dyDescent="0.25">
      <c r="A256" s="2">
        <v>251</v>
      </c>
      <c r="B256" s="2" t="s">
        <v>574</v>
      </c>
      <c r="C256" s="2">
        <v>230</v>
      </c>
      <c r="D256" s="2">
        <v>1003</v>
      </c>
      <c r="E256" s="2">
        <v>1003</v>
      </c>
      <c r="F256" s="2">
        <v>1303.9000000000001</v>
      </c>
      <c r="G256" s="2">
        <v>1</v>
      </c>
      <c r="H256" s="2">
        <v>1.3</v>
      </c>
      <c r="I256" s="2" t="s">
        <v>622</v>
      </c>
      <c r="J256" s="2" t="s">
        <v>872</v>
      </c>
      <c r="K256" s="2" t="s">
        <v>575</v>
      </c>
      <c r="L256" s="2" t="s">
        <v>616</v>
      </c>
    </row>
    <row r="257" spans="1:12" x14ac:dyDescent="0.25">
      <c r="A257" s="2">
        <v>252</v>
      </c>
      <c r="B257" s="2" t="s">
        <v>873</v>
      </c>
      <c r="C257" s="2">
        <v>230</v>
      </c>
      <c r="D257" s="2">
        <v>1040</v>
      </c>
      <c r="E257" s="2">
        <v>1040</v>
      </c>
      <c r="F257" s="2">
        <v>1040</v>
      </c>
      <c r="G257" s="2">
        <v>1</v>
      </c>
      <c r="H257" s="2">
        <v>1</v>
      </c>
      <c r="I257" s="2" t="s">
        <v>614</v>
      </c>
      <c r="J257" s="2" t="s">
        <v>874</v>
      </c>
      <c r="K257" s="2" t="s">
        <v>875</v>
      </c>
      <c r="L257" s="2" t="s">
        <v>628</v>
      </c>
    </row>
    <row r="258" spans="1:12" x14ac:dyDescent="0.25">
      <c r="A258" s="2">
        <v>253</v>
      </c>
      <c r="B258" s="2" t="s">
        <v>876</v>
      </c>
      <c r="C258" s="2">
        <v>230</v>
      </c>
      <c r="D258" s="2">
        <v>1040</v>
      </c>
      <c r="E258" s="2">
        <v>1040</v>
      </c>
      <c r="F258" s="2">
        <v>1040</v>
      </c>
      <c r="G258" s="2">
        <v>1</v>
      </c>
      <c r="H258" s="2">
        <v>1</v>
      </c>
      <c r="I258" s="2" t="s">
        <v>614</v>
      </c>
      <c r="J258" s="2" t="s">
        <v>874</v>
      </c>
      <c r="K258" s="2" t="s">
        <v>875</v>
      </c>
      <c r="L258" s="2" t="s">
        <v>628</v>
      </c>
    </row>
    <row r="259" spans="1:12" x14ac:dyDescent="0.25">
      <c r="A259" s="2">
        <v>254</v>
      </c>
      <c r="B259" s="2" t="s">
        <v>576</v>
      </c>
      <c r="C259" s="2">
        <v>230</v>
      </c>
      <c r="D259" s="2">
        <v>895</v>
      </c>
      <c r="E259" s="2">
        <v>895</v>
      </c>
      <c r="F259" s="2">
        <v>1164</v>
      </c>
      <c r="G259" s="2">
        <v>1</v>
      </c>
      <c r="H259" s="2">
        <v>1.3005586592178771</v>
      </c>
      <c r="I259" s="2" t="s">
        <v>614</v>
      </c>
      <c r="J259" s="2" t="s">
        <v>877</v>
      </c>
      <c r="K259" s="2" t="s">
        <v>577</v>
      </c>
      <c r="L259" s="2" t="s">
        <v>616</v>
      </c>
    </row>
    <row r="260" spans="1:12" ht="30" x14ac:dyDescent="0.25">
      <c r="A260" s="2">
        <v>255</v>
      </c>
      <c r="B260" s="2" t="s">
        <v>172</v>
      </c>
      <c r="C260" s="2">
        <v>500</v>
      </c>
      <c r="D260" s="2">
        <v>2400</v>
      </c>
      <c r="E260" s="2">
        <v>2400</v>
      </c>
      <c r="F260" s="2">
        <v>2500</v>
      </c>
      <c r="G260" s="2">
        <v>1</v>
      </c>
      <c r="H260" s="2">
        <v>1.041666666666667</v>
      </c>
      <c r="I260" s="2" t="s">
        <v>622</v>
      </c>
      <c r="J260" s="2" t="s">
        <v>878</v>
      </c>
      <c r="K260" s="2" t="s">
        <v>174</v>
      </c>
      <c r="L260" s="2" t="s">
        <v>628</v>
      </c>
    </row>
    <row r="261" spans="1:12" x14ac:dyDescent="0.25">
      <c r="A261" s="2">
        <v>256</v>
      </c>
      <c r="B261" s="2" t="s">
        <v>175</v>
      </c>
      <c r="C261" s="2">
        <v>500</v>
      </c>
      <c r="D261" s="2">
        <v>2400</v>
      </c>
      <c r="E261" s="2">
        <v>2626.8</v>
      </c>
      <c r="F261" s="2">
        <v>2626.8</v>
      </c>
      <c r="G261" s="2">
        <v>1.0945</v>
      </c>
      <c r="H261" s="2">
        <v>1.0945</v>
      </c>
      <c r="I261" s="2" t="s">
        <v>614</v>
      </c>
      <c r="J261" s="2" t="s">
        <v>879</v>
      </c>
      <c r="K261" s="2" t="s">
        <v>177</v>
      </c>
      <c r="L261" s="2" t="s">
        <v>628</v>
      </c>
    </row>
    <row r="262" spans="1:12" x14ac:dyDescent="0.25">
      <c r="A262" s="2">
        <v>257</v>
      </c>
      <c r="B262" s="2" t="s">
        <v>578</v>
      </c>
      <c r="C262" s="2">
        <v>220</v>
      </c>
      <c r="D262" s="2">
        <v>1005</v>
      </c>
      <c r="E262" s="2">
        <v>1306</v>
      </c>
      <c r="F262" s="2">
        <v>1005</v>
      </c>
      <c r="G262" s="2">
        <v>1.299502487562189</v>
      </c>
      <c r="H262" s="2">
        <v>1</v>
      </c>
      <c r="I262" s="2" t="s">
        <v>614</v>
      </c>
      <c r="J262" s="2" t="s">
        <v>880</v>
      </c>
      <c r="K262" s="2" t="s">
        <v>580</v>
      </c>
      <c r="L262" s="2" t="s">
        <v>616</v>
      </c>
    </row>
    <row r="263" spans="1:12" x14ac:dyDescent="0.25">
      <c r="A263" s="2">
        <v>258</v>
      </c>
      <c r="B263" s="2" t="s">
        <v>581</v>
      </c>
      <c r="C263" s="2">
        <v>220</v>
      </c>
      <c r="D263" s="2">
        <v>1005</v>
      </c>
      <c r="E263" s="2">
        <v>1306</v>
      </c>
      <c r="F263" s="2">
        <v>1005</v>
      </c>
      <c r="G263" s="2">
        <v>1.299502487562189</v>
      </c>
      <c r="H263" s="2">
        <v>1</v>
      </c>
      <c r="I263" s="2" t="s">
        <v>614</v>
      </c>
      <c r="J263" s="2" t="s">
        <v>881</v>
      </c>
      <c r="K263" s="2" t="s">
        <v>582</v>
      </c>
      <c r="L263" s="2" t="s">
        <v>616</v>
      </c>
    </row>
    <row r="264" spans="1:12" x14ac:dyDescent="0.25">
      <c r="A264" s="2">
        <v>259</v>
      </c>
      <c r="B264" s="2" t="s">
        <v>583</v>
      </c>
      <c r="C264" s="2">
        <v>220</v>
      </c>
      <c r="D264" s="2">
        <v>598</v>
      </c>
      <c r="E264" s="2">
        <v>813</v>
      </c>
      <c r="F264" s="2">
        <v>717</v>
      </c>
      <c r="G264" s="2">
        <v>1.3595317725752509</v>
      </c>
      <c r="H264" s="2">
        <v>1.1989966555183951</v>
      </c>
      <c r="I264" s="2" t="s">
        <v>614</v>
      </c>
      <c r="J264" s="2" t="s">
        <v>882</v>
      </c>
      <c r="K264" s="2" t="s">
        <v>584</v>
      </c>
      <c r="L264" s="2" t="s">
        <v>616</v>
      </c>
    </row>
    <row r="265" spans="1:12" x14ac:dyDescent="0.25">
      <c r="A265" s="2">
        <v>260</v>
      </c>
      <c r="B265" s="2" t="s">
        <v>58</v>
      </c>
      <c r="C265" s="2">
        <v>220</v>
      </c>
      <c r="D265" s="2">
        <v>1000</v>
      </c>
      <c r="E265" s="2">
        <v>1144</v>
      </c>
      <c r="F265" s="2">
        <v>1430</v>
      </c>
      <c r="G265" s="2">
        <v>1.1439999999999999</v>
      </c>
      <c r="H265" s="2">
        <v>1.43</v>
      </c>
      <c r="I265" s="2" t="s">
        <v>614</v>
      </c>
      <c r="J265" s="2" t="s">
        <v>883</v>
      </c>
      <c r="K265" s="2" t="s">
        <v>884</v>
      </c>
      <c r="L265" s="2" t="s">
        <v>628</v>
      </c>
    </row>
    <row r="266" spans="1:12" x14ac:dyDescent="0.25">
      <c r="A266" s="2">
        <v>261</v>
      </c>
      <c r="B266" s="2" t="s">
        <v>885</v>
      </c>
      <c r="C266" s="2">
        <v>500</v>
      </c>
      <c r="D266" s="2">
        <v>2400</v>
      </c>
      <c r="E266" s="2">
        <v>3120</v>
      </c>
      <c r="F266" s="2">
        <v>2500</v>
      </c>
      <c r="G266" s="2">
        <v>1.3</v>
      </c>
      <c r="H266" s="2">
        <v>1.041666666666667</v>
      </c>
      <c r="I266" s="2" t="s">
        <v>614</v>
      </c>
      <c r="J266" s="2" t="s">
        <v>660</v>
      </c>
      <c r="K266" s="2" t="s">
        <v>661</v>
      </c>
      <c r="L266" s="2" t="s">
        <v>628</v>
      </c>
    </row>
    <row r="267" spans="1:12" x14ac:dyDescent="0.25">
      <c r="A267" s="2">
        <v>262</v>
      </c>
      <c r="B267" s="2" t="s">
        <v>65</v>
      </c>
      <c r="C267" s="2">
        <v>230</v>
      </c>
      <c r="D267" s="2">
        <v>1040</v>
      </c>
      <c r="E267" s="2">
        <v>1414</v>
      </c>
      <c r="F267" s="2">
        <v>1414</v>
      </c>
      <c r="G267" s="2">
        <v>1.3596153846153849</v>
      </c>
      <c r="H267" s="2">
        <v>1.3596153846153849</v>
      </c>
      <c r="I267" s="2" t="s">
        <v>614</v>
      </c>
      <c r="J267" s="2" t="s">
        <v>886</v>
      </c>
      <c r="K267" s="2" t="s">
        <v>887</v>
      </c>
      <c r="L267" s="2" t="s">
        <v>628</v>
      </c>
    </row>
    <row r="268" spans="1:12" x14ac:dyDescent="0.25">
      <c r="A268" s="2">
        <v>263</v>
      </c>
      <c r="B268" s="2" t="s">
        <v>68</v>
      </c>
      <c r="C268" s="2">
        <v>230</v>
      </c>
      <c r="D268" s="2">
        <v>1040</v>
      </c>
      <c r="E268" s="2">
        <v>1383</v>
      </c>
      <c r="F268" s="2">
        <v>1798</v>
      </c>
      <c r="G268" s="2">
        <v>1.329807692307692</v>
      </c>
      <c r="H268" s="2">
        <v>1.7288461538461539</v>
      </c>
      <c r="I268" s="2" t="s">
        <v>614</v>
      </c>
      <c r="J268" s="2" t="s">
        <v>888</v>
      </c>
      <c r="K268" s="2" t="s">
        <v>889</v>
      </c>
      <c r="L268" s="2" t="s">
        <v>628</v>
      </c>
    </row>
    <row r="269" spans="1:12" x14ac:dyDescent="0.25">
      <c r="A269" s="2">
        <v>264</v>
      </c>
      <c r="B269" s="2" t="s">
        <v>66</v>
      </c>
      <c r="C269" s="2">
        <v>230</v>
      </c>
      <c r="D269" s="2">
        <v>1040</v>
      </c>
      <c r="E269" s="2">
        <v>1381</v>
      </c>
      <c r="F269" s="2">
        <v>1795</v>
      </c>
      <c r="G269" s="2">
        <v>1.3278846153846151</v>
      </c>
      <c r="H269" s="2">
        <v>1.725961538461539</v>
      </c>
      <c r="I269" s="2" t="s">
        <v>614</v>
      </c>
      <c r="J269" s="2" t="s">
        <v>890</v>
      </c>
      <c r="K269" s="2" t="s">
        <v>891</v>
      </c>
      <c r="L269" s="2" t="s">
        <v>628</v>
      </c>
    </row>
    <row r="270" spans="1:12" x14ac:dyDescent="0.25">
      <c r="A270" s="2">
        <v>265</v>
      </c>
      <c r="B270" s="2" t="s">
        <v>178</v>
      </c>
      <c r="C270" s="2">
        <v>230</v>
      </c>
      <c r="D270" s="2">
        <v>1106</v>
      </c>
      <c r="E270" s="2">
        <v>1106</v>
      </c>
      <c r="F270" s="2">
        <v>1106</v>
      </c>
      <c r="G270" s="2">
        <v>1</v>
      </c>
      <c r="H270" s="2">
        <v>1</v>
      </c>
      <c r="I270" s="2" t="s">
        <v>620</v>
      </c>
      <c r="J270" s="2" t="s">
        <v>892</v>
      </c>
      <c r="K270" s="2" t="s">
        <v>182</v>
      </c>
      <c r="L270" s="2" t="s">
        <v>616</v>
      </c>
    </row>
    <row r="271" spans="1:12" x14ac:dyDescent="0.25">
      <c r="A271" s="2">
        <v>267</v>
      </c>
      <c r="B271" s="2" t="s">
        <v>184</v>
      </c>
      <c r="C271" s="2">
        <v>230</v>
      </c>
      <c r="D271" s="2">
        <v>1106</v>
      </c>
      <c r="E271" s="2">
        <v>1106</v>
      </c>
      <c r="F271" s="2">
        <v>1106</v>
      </c>
      <c r="G271" s="2">
        <v>1</v>
      </c>
      <c r="H271" s="2">
        <v>1</v>
      </c>
      <c r="I271" s="2" t="s">
        <v>620</v>
      </c>
      <c r="J271" s="2" t="s">
        <v>893</v>
      </c>
      <c r="K271" s="2" t="s">
        <v>186</v>
      </c>
      <c r="L271" s="2" t="s">
        <v>616</v>
      </c>
    </row>
    <row r="272" spans="1:12" x14ac:dyDescent="0.25">
      <c r="A272" s="2">
        <v>270</v>
      </c>
      <c r="B272" s="2" t="s">
        <v>187</v>
      </c>
      <c r="C272" s="2">
        <v>500</v>
      </c>
      <c r="D272" s="2">
        <v>2400</v>
      </c>
      <c r="E272" s="2">
        <v>2523.6</v>
      </c>
      <c r="F272" s="2">
        <v>3030</v>
      </c>
      <c r="G272" s="2">
        <v>1.0515000000000001</v>
      </c>
      <c r="H272" s="2">
        <v>1.2625</v>
      </c>
      <c r="I272" s="2" t="s">
        <v>620</v>
      </c>
      <c r="J272" s="2" t="s">
        <v>894</v>
      </c>
      <c r="K272" s="2" t="s">
        <v>188</v>
      </c>
      <c r="L272" s="2" t="s">
        <v>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80" customWidth="1"/>
    <col min="2" max="2" width="40" customWidth="1"/>
    <col min="3" max="3" width="52" customWidth="1"/>
    <col min="4" max="4" width="13" customWidth="1"/>
    <col min="5" max="5" width="12" customWidth="1"/>
    <col min="6" max="6" width="23" customWidth="1"/>
    <col min="7" max="7" width="22" customWidth="1"/>
    <col min="8" max="9" width="20" customWidth="1"/>
    <col min="10" max="10" width="22" customWidth="1"/>
    <col min="11" max="12" width="24" customWidth="1"/>
  </cols>
  <sheetData>
    <row r="1" spans="1:12" ht="18.75" x14ac:dyDescent="0.25">
      <c r="A1" s="1" t="s">
        <v>895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589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896</v>
      </c>
      <c r="B7" s="2">
        <v>26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897</v>
      </c>
      <c r="B8" s="2" t="s">
        <v>898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 t="s">
        <v>899</v>
      </c>
      <c r="B9" s="2" t="s">
        <v>900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 t="s">
        <v>901</v>
      </c>
      <c r="B10" s="2" t="s">
        <v>902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3" t="s">
        <v>903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4" t="s">
        <v>21</v>
      </c>
      <c r="B13" s="4" t="s">
        <v>22</v>
      </c>
      <c r="C13" s="4" t="s">
        <v>95</v>
      </c>
      <c r="D13" s="4" t="s">
        <v>194</v>
      </c>
      <c r="E13" s="4" t="s">
        <v>605</v>
      </c>
      <c r="F13" s="4" t="s">
        <v>904</v>
      </c>
      <c r="G13" s="4" t="s">
        <v>905</v>
      </c>
      <c r="H13" s="4" t="s">
        <v>906</v>
      </c>
      <c r="I13" s="4" t="s">
        <v>907</v>
      </c>
      <c r="J13" s="4" t="s">
        <v>908</v>
      </c>
      <c r="K13" s="4" t="s">
        <v>909</v>
      </c>
      <c r="L13" s="4" t="s">
        <v>910</v>
      </c>
    </row>
    <row r="14" spans="1:12" x14ac:dyDescent="0.25">
      <c r="A14" s="2" t="s">
        <v>33</v>
      </c>
      <c r="B14" s="2" t="s">
        <v>34</v>
      </c>
      <c r="C14" s="2" t="s">
        <v>35</v>
      </c>
      <c r="D14" s="2">
        <v>19</v>
      </c>
      <c r="E14" s="2">
        <v>500</v>
      </c>
      <c r="F14" s="2">
        <v>1.8431712000000001E-3</v>
      </c>
      <c r="G14" s="2">
        <v>2.6072207999999999E-2</v>
      </c>
      <c r="H14" s="2">
        <v>1649.7783942093561</v>
      </c>
      <c r="I14" s="2">
        <v>1649.7783942093561</v>
      </c>
      <c r="J14" s="2">
        <v>1</v>
      </c>
      <c r="K14" s="2">
        <v>0.99999999999999989</v>
      </c>
      <c r="L14" s="2">
        <v>0.99999999999999989</v>
      </c>
    </row>
    <row r="15" spans="1:12" x14ac:dyDescent="0.25">
      <c r="A15" s="2" t="s">
        <v>33</v>
      </c>
      <c r="B15" s="2" t="s">
        <v>36</v>
      </c>
      <c r="C15" s="2" t="s">
        <v>625</v>
      </c>
      <c r="D15" s="2">
        <v>17</v>
      </c>
      <c r="E15" s="2">
        <v>230</v>
      </c>
      <c r="F15" s="2">
        <v>1.265526086956522E-2</v>
      </c>
      <c r="G15" s="2">
        <v>0.1186461304347826</v>
      </c>
      <c r="H15" s="2">
        <v>398.37168574084183</v>
      </c>
      <c r="I15" s="2">
        <v>400.76191585528682</v>
      </c>
      <c r="J15" s="2">
        <v>10</v>
      </c>
      <c r="K15" s="2">
        <v>0.68559436542594809</v>
      </c>
      <c r="L15" s="2">
        <v>0.58523360944008185</v>
      </c>
    </row>
    <row r="16" spans="1:12" x14ac:dyDescent="0.25">
      <c r="A16" s="2" t="s">
        <v>33</v>
      </c>
      <c r="B16" s="2" t="s">
        <v>36</v>
      </c>
      <c r="C16" s="2" t="s">
        <v>629</v>
      </c>
      <c r="D16" s="2">
        <v>18</v>
      </c>
      <c r="E16" s="2">
        <v>230</v>
      </c>
      <c r="F16" s="2">
        <v>1.265526086956522E-2</v>
      </c>
      <c r="G16" s="2">
        <v>0.1186461304347826</v>
      </c>
      <c r="H16" s="2">
        <v>398.37168574084183</v>
      </c>
      <c r="I16" s="2">
        <v>400.76191585528682</v>
      </c>
      <c r="J16" s="2">
        <v>10</v>
      </c>
      <c r="K16" s="2">
        <v>0.68559436542594809</v>
      </c>
      <c r="L16" s="2">
        <v>0.58523360944008185</v>
      </c>
    </row>
    <row r="17" spans="1:12" x14ac:dyDescent="0.25">
      <c r="A17" s="2" t="s">
        <v>33</v>
      </c>
      <c r="B17" s="2" t="s">
        <v>36</v>
      </c>
      <c r="C17" s="2" t="s">
        <v>719</v>
      </c>
      <c r="D17" s="2">
        <v>108</v>
      </c>
      <c r="E17" s="2">
        <v>230</v>
      </c>
      <c r="F17" s="2">
        <v>2.0103542533081279E-2</v>
      </c>
      <c r="G17" s="2">
        <v>0.18262249149338369</v>
      </c>
      <c r="H17" s="2">
        <v>386.42053516861648</v>
      </c>
      <c r="I17" s="2">
        <v>386.42053516861648</v>
      </c>
      <c r="J17" s="2">
        <v>10</v>
      </c>
      <c r="K17" s="2">
        <v>0.68559436542594809</v>
      </c>
      <c r="L17" s="2">
        <v>0.58523360944008185</v>
      </c>
    </row>
    <row r="18" spans="1:12" x14ac:dyDescent="0.25">
      <c r="A18" s="2" t="s">
        <v>33</v>
      </c>
      <c r="B18" s="2" t="s">
        <v>36</v>
      </c>
      <c r="C18" s="2" t="s">
        <v>722</v>
      </c>
      <c r="D18" s="2">
        <v>109</v>
      </c>
      <c r="E18" s="2">
        <v>230</v>
      </c>
      <c r="F18" s="2">
        <v>2.0103542533081279E-2</v>
      </c>
      <c r="G18" s="2">
        <v>0.18262249149338369</v>
      </c>
      <c r="H18" s="2">
        <v>386.42053516861648</v>
      </c>
      <c r="I18" s="2">
        <v>386.42053516861648</v>
      </c>
      <c r="J18" s="2">
        <v>10</v>
      </c>
      <c r="K18" s="2">
        <v>0.68559436542594809</v>
      </c>
      <c r="L18" s="2">
        <v>0.58523360944008185</v>
      </c>
    </row>
    <row r="19" spans="1:12" x14ac:dyDescent="0.25">
      <c r="A19" s="2" t="s">
        <v>33</v>
      </c>
      <c r="B19" s="2" t="s">
        <v>36</v>
      </c>
      <c r="C19" s="2" t="s">
        <v>154</v>
      </c>
      <c r="D19" s="2">
        <v>200</v>
      </c>
      <c r="E19" s="2">
        <v>230</v>
      </c>
      <c r="F19" s="2">
        <v>1.0331886578449899E-2</v>
      </c>
      <c r="G19" s="2">
        <v>9.1600531190926288E-2</v>
      </c>
      <c r="H19" s="2">
        <v>391.99773876898831</v>
      </c>
      <c r="I19" s="2">
        <v>391.99773876898831</v>
      </c>
      <c r="J19" s="2">
        <v>10</v>
      </c>
      <c r="K19" s="2">
        <v>0.68559436542594809</v>
      </c>
      <c r="L19" s="2">
        <v>0.58523360944008185</v>
      </c>
    </row>
    <row r="20" spans="1:12" x14ac:dyDescent="0.25">
      <c r="A20" s="2" t="s">
        <v>33</v>
      </c>
      <c r="B20" s="2" t="s">
        <v>36</v>
      </c>
      <c r="C20" s="2" t="s">
        <v>157</v>
      </c>
      <c r="D20" s="2">
        <v>201</v>
      </c>
      <c r="E20" s="2">
        <v>230</v>
      </c>
      <c r="F20" s="2">
        <v>1.0331886578449899E-2</v>
      </c>
      <c r="G20" s="2">
        <v>9.1600531190926288E-2</v>
      </c>
      <c r="H20" s="2">
        <v>391.99773876898831</v>
      </c>
      <c r="I20" s="2">
        <v>391.99773876898831</v>
      </c>
      <c r="J20" s="2">
        <v>10</v>
      </c>
      <c r="K20" s="2">
        <v>0.68559436542594809</v>
      </c>
      <c r="L20" s="2">
        <v>0.58523360944008185</v>
      </c>
    </row>
    <row r="21" spans="1:12" x14ac:dyDescent="0.25">
      <c r="A21" s="2" t="s">
        <v>33</v>
      </c>
      <c r="B21" s="2" t="s">
        <v>36</v>
      </c>
      <c r="C21" s="2" t="s">
        <v>158</v>
      </c>
      <c r="D21" s="2">
        <v>217</v>
      </c>
      <c r="E21" s="2">
        <v>500</v>
      </c>
      <c r="F21" s="2">
        <v>1.7565192000000001E-3</v>
      </c>
      <c r="G21" s="2">
        <v>2.6772068E-2</v>
      </c>
      <c r="H21" s="2">
        <v>1732.050807568877</v>
      </c>
      <c r="I21" s="2">
        <v>2720.185793286922</v>
      </c>
      <c r="J21" s="2">
        <v>10</v>
      </c>
      <c r="K21" s="2">
        <v>0.68559436542594809</v>
      </c>
      <c r="L21" s="2">
        <v>0.58523360944008185</v>
      </c>
    </row>
    <row r="22" spans="1:12" x14ac:dyDescent="0.25">
      <c r="A22" s="2" t="s">
        <v>33</v>
      </c>
      <c r="B22" s="2" t="s">
        <v>36</v>
      </c>
      <c r="C22" s="2" t="s">
        <v>161</v>
      </c>
      <c r="D22" s="2">
        <v>218</v>
      </c>
      <c r="E22" s="2">
        <v>230</v>
      </c>
      <c r="F22" s="2">
        <v>9.8818676748582239E-3</v>
      </c>
      <c r="G22" s="2">
        <v>7.9625049149338378E-2</v>
      </c>
      <c r="H22" s="2">
        <v>385.62379179713491</v>
      </c>
      <c r="I22" s="2">
        <v>385.62379179713491</v>
      </c>
      <c r="J22" s="2">
        <v>10</v>
      </c>
      <c r="K22" s="2">
        <v>0.68559436542594809</v>
      </c>
      <c r="L22" s="2">
        <v>0.58523360944008185</v>
      </c>
    </row>
    <row r="23" spans="1:12" x14ac:dyDescent="0.25">
      <c r="A23" s="2" t="s">
        <v>33</v>
      </c>
      <c r="B23" s="2" t="s">
        <v>36</v>
      </c>
      <c r="C23" s="2" t="s">
        <v>163</v>
      </c>
      <c r="D23" s="2">
        <v>219</v>
      </c>
      <c r="E23" s="2">
        <v>230</v>
      </c>
      <c r="F23" s="2">
        <v>9.8818676748582239E-3</v>
      </c>
      <c r="G23" s="2">
        <v>8.2838383742911151E-2</v>
      </c>
      <c r="H23" s="2">
        <v>385.62379179713491</v>
      </c>
      <c r="I23" s="2">
        <v>385.62379179713491</v>
      </c>
      <c r="J23" s="2">
        <v>10</v>
      </c>
      <c r="K23" s="2">
        <v>0.68559436542594809</v>
      </c>
      <c r="L23" s="2">
        <v>0.58523360944008185</v>
      </c>
    </row>
    <row r="24" spans="1:12" x14ac:dyDescent="0.25">
      <c r="A24" s="2" t="s">
        <v>33</v>
      </c>
      <c r="B24" s="2" t="s">
        <v>36</v>
      </c>
      <c r="C24" s="2" t="s">
        <v>175</v>
      </c>
      <c r="D24" s="2">
        <v>256</v>
      </c>
      <c r="E24" s="2">
        <v>500</v>
      </c>
      <c r="F24" s="2">
        <v>1.8563480000000001E-3</v>
      </c>
      <c r="G24" s="2">
        <v>2.3132951999999998E-2</v>
      </c>
      <c r="H24" s="2">
        <v>2078.4609690826528</v>
      </c>
      <c r="I24" s="2">
        <v>2274.8755306609642</v>
      </c>
      <c r="J24" s="2">
        <v>10</v>
      </c>
      <c r="K24" s="2">
        <v>0.68559436542594809</v>
      </c>
      <c r="L24" s="2">
        <v>0.58523360944008185</v>
      </c>
    </row>
    <row r="25" spans="1:12" x14ac:dyDescent="0.25">
      <c r="A25" s="2" t="s">
        <v>33</v>
      </c>
      <c r="B25" s="2" t="s">
        <v>38</v>
      </c>
      <c r="C25" s="2" t="s">
        <v>111</v>
      </c>
      <c r="D25" s="2">
        <v>59</v>
      </c>
      <c r="E25" s="2">
        <v>500</v>
      </c>
      <c r="F25" s="2">
        <v>1.484492E-3</v>
      </c>
      <c r="G25" s="2">
        <v>1.8697800000000001E-2</v>
      </c>
      <c r="H25" s="2">
        <v>1649.7783942093561</v>
      </c>
      <c r="I25" s="2">
        <v>1732.050807568877</v>
      </c>
      <c r="J25" s="2">
        <v>4</v>
      </c>
      <c r="K25" s="2">
        <v>0.83959315556762393</v>
      </c>
      <c r="L25" s="2">
        <v>0.80029564015739663</v>
      </c>
    </row>
    <row r="26" spans="1:12" x14ac:dyDescent="0.25">
      <c r="A26" s="2" t="s">
        <v>33</v>
      </c>
      <c r="B26" s="2" t="s">
        <v>38</v>
      </c>
      <c r="C26" s="2" t="s">
        <v>120</v>
      </c>
      <c r="D26" s="2">
        <v>61</v>
      </c>
      <c r="E26" s="2">
        <v>500</v>
      </c>
      <c r="F26" s="2">
        <v>1.0985856E-3</v>
      </c>
      <c r="G26" s="2">
        <v>1.4349148799999999E-2</v>
      </c>
      <c r="H26" s="2">
        <v>2078.4609690826528</v>
      </c>
      <c r="I26" s="2">
        <v>2078.4609690826528</v>
      </c>
      <c r="J26" s="2">
        <v>4</v>
      </c>
      <c r="K26" s="2">
        <v>0.83959315556762393</v>
      </c>
      <c r="L26" s="2">
        <v>0.80029564015739663</v>
      </c>
    </row>
    <row r="27" spans="1:12" x14ac:dyDescent="0.25">
      <c r="A27" s="2" t="s">
        <v>33</v>
      </c>
      <c r="B27" s="2" t="s">
        <v>38</v>
      </c>
      <c r="C27" s="2" t="s">
        <v>123</v>
      </c>
      <c r="D27" s="2">
        <v>62</v>
      </c>
      <c r="E27" s="2">
        <v>500</v>
      </c>
      <c r="F27" s="2">
        <v>1.0988784000000001E-3</v>
      </c>
      <c r="G27" s="2">
        <v>1.4357476799999999E-2</v>
      </c>
      <c r="H27" s="2">
        <v>2078.4609690826528</v>
      </c>
      <c r="I27" s="2">
        <v>2078.4609690826528</v>
      </c>
      <c r="J27" s="2">
        <v>4</v>
      </c>
      <c r="K27" s="2">
        <v>0.83959315556762393</v>
      </c>
      <c r="L27" s="2">
        <v>0.80029564015739663</v>
      </c>
    </row>
    <row r="28" spans="1:12" x14ac:dyDescent="0.25">
      <c r="A28" s="2" t="s">
        <v>33</v>
      </c>
      <c r="B28" s="2" t="s">
        <v>38</v>
      </c>
      <c r="C28" s="2" t="s">
        <v>128</v>
      </c>
      <c r="D28" s="2">
        <v>65</v>
      </c>
      <c r="E28" s="2">
        <v>500</v>
      </c>
      <c r="F28" s="2">
        <v>2.4226747999999999E-3</v>
      </c>
      <c r="G28" s="2">
        <v>3.1651706799999998E-2</v>
      </c>
      <c r="H28" s="2">
        <v>2165.0635094610971</v>
      </c>
      <c r="I28" s="2">
        <v>2474.2345786121409</v>
      </c>
      <c r="J28" s="2">
        <v>4</v>
      </c>
      <c r="K28" s="2">
        <v>0.83959315556762393</v>
      </c>
      <c r="L28" s="2">
        <v>0.80029564015739663</v>
      </c>
    </row>
    <row r="29" spans="1:12" x14ac:dyDescent="0.25">
      <c r="A29" s="2" t="s">
        <v>33</v>
      </c>
      <c r="B29" s="2" t="s">
        <v>40</v>
      </c>
      <c r="C29" s="2" t="s">
        <v>696</v>
      </c>
      <c r="D29" s="2">
        <v>84</v>
      </c>
      <c r="E29" s="2">
        <v>230</v>
      </c>
      <c r="F29" s="2">
        <v>1.4872967863894139E-2</v>
      </c>
      <c r="G29" s="2">
        <v>0.1163466918714556</v>
      </c>
      <c r="H29" s="2">
        <v>322.68106545008192</v>
      </c>
      <c r="I29" s="2">
        <v>322.68106545008192</v>
      </c>
      <c r="J29" s="2">
        <v>5</v>
      </c>
      <c r="K29" s="2">
        <v>0.7108485775795923</v>
      </c>
      <c r="L29" s="2">
        <v>0.7108485775795923</v>
      </c>
    </row>
    <row r="30" spans="1:12" x14ac:dyDescent="0.25">
      <c r="A30" s="2" t="s">
        <v>33</v>
      </c>
      <c r="B30" s="2" t="s">
        <v>40</v>
      </c>
      <c r="C30" s="2" t="s">
        <v>699</v>
      </c>
      <c r="D30" s="2">
        <v>85</v>
      </c>
      <c r="E30" s="2">
        <v>230</v>
      </c>
      <c r="F30" s="2">
        <v>1.3944931947069941E-2</v>
      </c>
      <c r="G30" s="2">
        <v>0.10287024763705099</v>
      </c>
      <c r="H30" s="2">
        <v>322.28269376434099</v>
      </c>
      <c r="I30" s="2">
        <v>322.28269376434099</v>
      </c>
      <c r="J30" s="2">
        <v>5</v>
      </c>
      <c r="K30" s="2">
        <v>0.7108485775795923</v>
      </c>
      <c r="L30" s="2">
        <v>0.7108485775795923</v>
      </c>
    </row>
    <row r="31" spans="1:12" x14ac:dyDescent="0.25">
      <c r="A31" s="2" t="s">
        <v>33</v>
      </c>
      <c r="B31" s="2" t="s">
        <v>40</v>
      </c>
      <c r="C31" s="2" t="s">
        <v>815</v>
      </c>
      <c r="D31" s="2">
        <v>194</v>
      </c>
      <c r="E31" s="2">
        <v>500</v>
      </c>
      <c r="F31" s="2">
        <v>2.2629120000000002E-3</v>
      </c>
      <c r="G31" s="2">
        <v>2.9889295999999999E-2</v>
      </c>
      <c r="H31" s="2">
        <v>2078.4609690826528</v>
      </c>
      <c r="I31" s="2">
        <v>2078.4609690826528</v>
      </c>
      <c r="J31" s="2">
        <v>5</v>
      </c>
      <c r="K31" s="2">
        <v>0.7108485775795923</v>
      </c>
      <c r="L31" s="2">
        <v>0.7108485775795923</v>
      </c>
    </row>
    <row r="32" spans="1:12" x14ac:dyDescent="0.25">
      <c r="A32" s="2" t="s">
        <v>33</v>
      </c>
      <c r="B32" s="2" t="s">
        <v>40</v>
      </c>
      <c r="C32" s="2" t="s">
        <v>818</v>
      </c>
      <c r="D32" s="2">
        <v>195</v>
      </c>
      <c r="E32" s="2">
        <v>230</v>
      </c>
      <c r="F32" s="2">
        <v>1.6724194706994329E-2</v>
      </c>
      <c r="G32" s="2">
        <v>0.1467909981096408</v>
      </c>
      <c r="H32" s="2">
        <v>390.00588034028408</v>
      </c>
      <c r="I32" s="2">
        <v>390.00588034028408</v>
      </c>
      <c r="J32" s="2">
        <v>5</v>
      </c>
      <c r="K32" s="2">
        <v>0.7108485775795923</v>
      </c>
      <c r="L32" s="2">
        <v>0.7108485775795923</v>
      </c>
    </row>
    <row r="33" spans="1:12" x14ac:dyDescent="0.25">
      <c r="A33" s="2" t="s">
        <v>33</v>
      </c>
      <c r="B33" s="2" t="s">
        <v>40</v>
      </c>
      <c r="C33" s="2" t="s">
        <v>822</v>
      </c>
      <c r="D33" s="2">
        <v>197</v>
      </c>
      <c r="E33" s="2">
        <v>500</v>
      </c>
      <c r="F33" s="2">
        <v>1.5140772E-3</v>
      </c>
      <c r="G33" s="2">
        <v>1.7962708000000001E-2</v>
      </c>
      <c r="H33" s="2">
        <v>1649.7783942093561</v>
      </c>
      <c r="I33" s="2">
        <v>1649.7783942093561</v>
      </c>
      <c r="J33" s="2">
        <v>5</v>
      </c>
      <c r="K33" s="2">
        <v>0.7108485775795923</v>
      </c>
      <c r="L33" s="2">
        <v>0.7108485775795923</v>
      </c>
    </row>
    <row r="34" spans="1:12" x14ac:dyDescent="0.25">
      <c r="A34" s="2" t="s">
        <v>42</v>
      </c>
      <c r="B34" s="2" t="s">
        <v>40</v>
      </c>
      <c r="C34" s="2" t="s">
        <v>43</v>
      </c>
      <c r="D34" s="2">
        <v>167</v>
      </c>
      <c r="E34" s="2">
        <v>230</v>
      </c>
      <c r="F34" s="2">
        <v>8.0801701323251433E-3</v>
      </c>
      <c r="G34" s="2">
        <v>7.7527580340264649E-2</v>
      </c>
      <c r="H34" s="2">
        <v>318.69734859267339</v>
      </c>
      <c r="I34" s="2">
        <v>346.18499490879151</v>
      </c>
      <c r="J34" s="2">
        <v>1</v>
      </c>
      <c r="K34" s="2">
        <v>1</v>
      </c>
      <c r="L34" s="2">
        <v>1</v>
      </c>
    </row>
    <row r="35" spans="1:12" x14ac:dyDescent="0.25">
      <c r="A35" s="2" t="s">
        <v>44</v>
      </c>
      <c r="B35" s="2" t="s">
        <v>45</v>
      </c>
      <c r="C35" s="2" t="s">
        <v>659</v>
      </c>
      <c r="D35" s="2">
        <v>45</v>
      </c>
      <c r="E35" s="2">
        <v>220</v>
      </c>
      <c r="F35" s="2">
        <v>1.289868388429752E-2</v>
      </c>
      <c r="G35" s="2">
        <v>7.1643305785123956E-2</v>
      </c>
      <c r="H35" s="2">
        <v>240.06224192904639</v>
      </c>
      <c r="I35" s="2">
        <v>309.79460744176941</v>
      </c>
      <c r="J35" s="2">
        <v>4</v>
      </c>
      <c r="K35" s="2">
        <v>0.9523603983147122</v>
      </c>
      <c r="L35" s="2">
        <v>0.97387453986521155</v>
      </c>
    </row>
    <row r="36" spans="1:12" x14ac:dyDescent="0.25">
      <c r="A36" s="2" t="s">
        <v>44</v>
      </c>
      <c r="B36" s="2" t="s">
        <v>45</v>
      </c>
      <c r="C36" s="2" t="s">
        <v>663</v>
      </c>
      <c r="D36" s="2">
        <v>47</v>
      </c>
      <c r="E36" s="2">
        <v>220</v>
      </c>
      <c r="F36" s="2">
        <v>8.2277479338842968E-3</v>
      </c>
      <c r="G36" s="2">
        <v>6.503838842975207E-2</v>
      </c>
      <c r="H36" s="2">
        <v>353.99654405092713</v>
      </c>
      <c r="I36" s="2">
        <v>353.99654405092713</v>
      </c>
      <c r="J36" s="2">
        <v>4</v>
      </c>
      <c r="K36" s="2">
        <v>0.9523603983147122</v>
      </c>
      <c r="L36" s="2">
        <v>0.97387453986521155</v>
      </c>
    </row>
    <row r="37" spans="1:12" x14ac:dyDescent="0.25">
      <c r="A37" s="2" t="s">
        <v>44</v>
      </c>
      <c r="B37" s="2" t="s">
        <v>45</v>
      </c>
      <c r="C37" s="2" t="s">
        <v>828</v>
      </c>
      <c r="D37" s="2">
        <v>207</v>
      </c>
      <c r="E37" s="2">
        <v>220</v>
      </c>
      <c r="F37" s="2">
        <v>1.2896838842975209E-2</v>
      </c>
      <c r="G37" s="2">
        <v>7.1633057851239676E-2</v>
      </c>
      <c r="H37" s="2">
        <v>240.06224192904639</v>
      </c>
      <c r="I37" s="2">
        <v>309.79460744176941</v>
      </c>
      <c r="J37" s="2">
        <v>4</v>
      </c>
      <c r="K37" s="2">
        <v>0.9523603983147122</v>
      </c>
      <c r="L37" s="2">
        <v>0.97387453986521155</v>
      </c>
    </row>
    <row r="38" spans="1:12" x14ac:dyDescent="0.25">
      <c r="A38" s="2" t="s">
        <v>44</v>
      </c>
      <c r="B38" s="2" t="s">
        <v>45</v>
      </c>
      <c r="C38" s="2" t="s">
        <v>885</v>
      </c>
      <c r="D38" s="2">
        <v>261</v>
      </c>
      <c r="E38" s="2">
        <v>500</v>
      </c>
      <c r="F38" s="2">
        <v>6.3627536000000003E-4</v>
      </c>
      <c r="G38" s="2">
        <v>8.4739099199999997E-3</v>
      </c>
      <c r="H38" s="2">
        <v>2078.4609690826528</v>
      </c>
      <c r="I38" s="2">
        <v>2701.9992598074482</v>
      </c>
      <c r="J38" s="2">
        <v>4</v>
      </c>
      <c r="K38" s="2">
        <v>0.9523603983147122</v>
      </c>
      <c r="L38" s="2">
        <v>0.97387453986521155</v>
      </c>
    </row>
    <row r="39" spans="1:12" x14ac:dyDescent="0.25">
      <c r="A39" s="2" t="s">
        <v>44</v>
      </c>
      <c r="B39" s="2" t="s">
        <v>47</v>
      </c>
      <c r="C39" s="2" t="s">
        <v>678</v>
      </c>
      <c r="D39" s="2">
        <v>67</v>
      </c>
      <c r="E39" s="2">
        <v>500</v>
      </c>
      <c r="F39" s="2">
        <v>2.2785983999999999E-3</v>
      </c>
      <c r="G39" s="2">
        <v>2.4436507199999999E-2</v>
      </c>
      <c r="H39" s="2">
        <v>2165.0635094610971</v>
      </c>
      <c r="I39" s="2">
        <v>2468.1724007856501</v>
      </c>
      <c r="J39" s="2">
        <v>2</v>
      </c>
      <c r="K39" s="2">
        <v>0.96835322621783615</v>
      </c>
      <c r="L39" s="2">
        <v>0.90348745986831613</v>
      </c>
    </row>
    <row r="40" spans="1:12" x14ac:dyDescent="0.25">
      <c r="A40" s="2" t="s">
        <v>44</v>
      </c>
      <c r="B40" s="2" t="s">
        <v>47</v>
      </c>
      <c r="C40" s="2" t="s">
        <v>681</v>
      </c>
      <c r="D40" s="2">
        <v>68</v>
      </c>
      <c r="E40" s="2">
        <v>500</v>
      </c>
      <c r="F40" s="2">
        <v>1.718656E-3</v>
      </c>
      <c r="G40" s="2">
        <v>2.4135264E-2</v>
      </c>
      <c r="H40" s="2">
        <v>2056.8103339880422</v>
      </c>
      <c r="I40" s="2">
        <v>2056.8103339880422</v>
      </c>
      <c r="J40" s="2">
        <v>2</v>
      </c>
      <c r="K40" s="2">
        <v>0.96835322621783615</v>
      </c>
      <c r="L40" s="2">
        <v>0.90348745986831613</v>
      </c>
    </row>
    <row r="41" spans="1:12" x14ac:dyDescent="0.25">
      <c r="A41" s="2" t="s">
        <v>44</v>
      </c>
      <c r="B41" s="2" t="s">
        <v>49</v>
      </c>
      <c r="C41" s="2" t="s">
        <v>725</v>
      </c>
      <c r="D41" s="2">
        <v>114</v>
      </c>
      <c r="E41" s="2">
        <v>220</v>
      </c>
      <c r="F41" s="2">
        <v>1.6874049586776858E-2</v>
      </c>
      <c r="G41" s="2">
        <v>9.3409917355371908E-2</v>
      </c>
      <c r="H41" s="2">
        <v>370.00069351286362</v>
      </c>
      <c r="I41" s="2">
        <v>376.47856353317121</v>
      </c>
      <c r="J41" s="2">
        <v>3</v>
      </c>
      <c r="K41" s="2">
        <v>0.83026066279716226</v>
      </c>
      <c r="L41" s="2">
        <v>0.92338349920181206</v>
      </c>
    </row>
    <row r="42" spans="1:12" x14ac:dyDescent="0.25">
      <c r="A42" s="2" t="s">
        <v>44</v>
      </c>
      <c r="B42" s="2" t="s">
        <v>49</v>
      </c>
      <c r="C42" s="2" t="s">
        <v>728</v>
      </c>
      <c r="D42" s="2">
        <v>115</v>
      </c>
      <c r="E42" s="2">
        <v>220</v>
      </c>
      <c r="F42" s="2">
        <v>1.6883305785123971E-2</v>
      </c>
      <c r="G42" s="2">
        <v>9.3461157024793393E-2</v>
      </c>
      <c r="H42" s="2">
        <v>323.13139866004968</v>
      </c>
      <c r="I42" s="2">
        <v>364.6659770255514</v>
      </c>
      <c r="J42" s="2">
        <v>3</v>
      </c>
      <c r="K42" s="2">
        <v>0.83026066279716226</v>
      </c>
      <c r="L42" s="2">
        <v>0.92338349920181206</v>
      </c>
    </row>
    <row r="43" spans="1:12" x14ac:dyDescent="0.25">
      <c r="A43" s="2" t="s">
        <v>44</v>
      </c>
      <c r="B43" s="2" t="s">
        <v>49</v>
      </c>
      <c r="C43" s="2" t="s">
        <v>729</v>
      </c>
      <c r="D43" s="2">
        <v>116</v>
      </c>
      <c r="E43" s="2">
        <v>220</v>
      </c>
      <c r="F43" s="2">
        <v>1.7328409090909089E-2</v>
      </c>
      <c r="G43" s="2">
        <v>9.9623863636363635E-2</v>
      </c>
      <c r="H43" s="2">
        <v>249.96957254834041</v>
      </c>
      <c r="I43" s="2">
        <v>309.79460744176941</v>
      </c>
      <c r="J43" s="2">
        <v>3</v>
      </c>
      <c r="K43" s="2">
        <v>0.83026066279716226</v>
      </c>
      <c r="L43" s="2">
        <v>0.92338349920181206</v>
      </c>
    </row>
    <row r="44" spans="1:12" x14ac:dyDescent="0.25">
      <c r="A44" s="2" t="s">
        <v>34</v>
      </c>
      <c r="B44" s="2" t="s">
        <v>51</v>
      </c>
      <c r="C44" s="2" t="s">
        <v>687</v>
      </c>
      <c r="D44" s="2">
        <v>76</v>
      </c>
      <c r="E44" s="2">
        <v>230</v>
      </c>
      <c r="F44" s="2">
        <v>1.0879183364839321E-2</v>
      </c>
      <c r="G44" s="2">
        <v>0.1063352438563327</v>
      </c>
      <c r="H44" s="2">
        <v>382.43681831120813</v>
      </c>
      <c r="I44" s="2">
        <v>406.7374911413994</v>
      </c>
      <c r="J44" s="2">
        <v>2</v>
      </c>
      <c r="K44" s="2">
        <v>1</v>
      </c>
      <c r="L44" s="2">
        <v>0.99999999999999989</v>
      </c>
    </row>
    <row r="45" spans="1:12" x14ac:dyDescent="0.25">
      <c r="A45" s="2" t="s">
        <v>34</v>
      </c>
      <c r="B45" s="2" t="s">
        <v>51</v>
      </c>
      <c r="C45" s="2" t="s">
        <v>690</v>
      </c>
      <c r="D45" s="2">
        <v>77</v>
      </c>
      <c r="E45" s="2">
        <v>230</v>
      </c>
      <c r="F45" s="2">
        <v>1.0879183364839321E-2</v>
      </c>
      <c r="G45" s="2">
        <v>0.1063352438563327</v>
      </c>
      <c r="H45" s="2">
        <v>382.43681831120813</v>
      </c>
      <c r="I45" s="2">
        <v>406.7374911413994</v>
      </c>
      <c r="J45" s="2">
        <v>2</v>
      </c>
      <c r="K45" s="2">
        <v>1</v>
      </c>
      <c r="L45" s="2">
        <v>0.99999999999999989</v>
      </c>
    </row>
    <row r="46" spans="1:12" x14ac:dyDescent="0.25">
      <c r="A46" s="2" t="s">
        <v>34</v>
      </c>
      <c r="B46" s="2" t="s">
        <v>36</v>
      </c>
      <c r="C46" s="2" t="s">
        <v>777</v>
      </c>
      <c r="D46" s="2">
        <v>160</v>
      </c>
      <c r="E46" s="2">
        <v>230</v>
      </c>
      <c r="F46" s="2">
        <v>8.0118714555765594E-3</v>
      </c>
      <c r="G46" s="2">
        <v>7.2033875236294898E-2</v>
      </c>
      <c r="H46" s="2">
        <v>379.24984482528129</v>
      </c>
      <c r="I46" s="2">
        <v>379.24984482528129</v>
      </c>
      <c r="J46" s="2">
        <v>5</v>
      </c>
      <c r="K46" s="2">
        <v>0.62832298917870022</v>
      </c>
      <c r="L46" s="2">
        <v>0.62832298917870022</v>
      </c>
    </row>
    <row r="47" spans="1:12" x14ac:dyDescent="0.25">
      <c r="A47" s="2" t="s">
        <v>34</v>
      </c>
      <c r="B47" s="2" t="s">
        <v>36</v>
      </c>
      <c r="C47" s="2" t="s">
        <v>780</v>
      </c>
      <c r="D47" s="2">
        <v>161</v>
      </c>
      <c r="E47" s="2">
        <v>230</v>
      </c>
      <c r="F47" s="2">
        <v>8.0118714555765594E-3</v>
      </c>
      <c r="G47" s="2">
        <v>7.2033875236294898E-2</v>
      </c>
      <c r="H47" s="2">
        <v>379.24984482528129</v>
      </c>
      <c r="I47" s="2">
        <v>379.24984482528129</v>
      </c>
      <c r="J47" s="2">
        <v>5</v>
      </c>
      <c r="K47" s="2">
        <v>0.62832298917870022</v>
      </c>
      <c r="L47" s="2">
        <v>0.62832298917870022</v>
      </c>
    </row>
    <row r="48" spans="1:12" x14ac:dyDescent="0.25">
      <c r="A48" s="2" t="s">
        <v>34</v>
      </c>
      <c r="B48" s="2" t="s">
        <v>36</v>
      </c>
      <c r="C48" s="2" t="s">
        <v>143</v>
      </c>
      <c r="D48" s="2">
        <v>171</v>
      </c>
      <c r="E48" s="2">
        <v>230</v>
      </c>
      <c r="F48" s="2">
        <v>1.0125221172022679E-2</v>
      </c>
      <c r="G48" s="2">
        <v>8.8973926275992432E-2</v>
      </c>
      <c r="H48" s="2">
        <v>386.42053516861648</v>
      </c>
      <c r="I48" s="2">
        <v>386.42053516861648</v>
      </c>
      <c r="J48" s="2">
        <v>5</v>
      </c>
      <c r="K48" s="2">
        <v>0.62832298917870022</v>
      </c>
      <c r="L48" s="2">
        <v>0.62832298917870022</v>
      </c>
    </row>
    <row r="49" spans="1:12" x14ac:dyDescent="0.25">
      <c r="A49" s="2" t="s">
        <v>34</v>
      </c>
      <c r="B49" s="2" t="s">
        <v>36</v>
      </c>
      <c r="C49" s="2" t="s">
        <v>149</v>
      </c>
      <c r="D49" s="2">
        <v>172</v>
      </c>
      <c r="E49" s="2">
        <v>230</v>
      </c>
      <c r="F49" s="2">
        <v>1.0116340264650281E-2</v>
      </c>
      <c r="G49" s="2">
        <v>8.8895886578449893E-2</v>
      </c>
      <c r="H49" s="2">
        <v>386.42053516861648</v>
      </c>
      <c r="I49" s="2">
        <v>386.42053516861648</v>
      </c>
      <c r="J49" s="2">
        <v>5</v>
      </c>
      <c r="K49" s="2">
        <v>0.62832298917870022</v>
      </c>
      <c r="L49" s="2">
        <v>0.62832298917870022</v>
      </c>
    </row>
    <row r="50" spans="1:12" x14ac:dyDescent="0.25">
      <c r="A50" s="2" t="s">
        <v>34</v>
      </c>
      <c r="B50" s="2" t="s">
        <v>36</v>
      </c>
      <c r="C50" s="2" t="s">
        <v>172</v>
      </c>
      <c r="D50" s="2">
        <v>255</v>
      </c>
      <c r="E50" s="2">
        <v>500</v>
      </c>
      <c r="F50" s="2">
        <v>2.0812007999999999E-3</v>
      </c>
      <c r="G50" s="2">
        <v>3.05147752E-2</v>
      </c>
      <c r="H50" s="2">
        <v>2078.4609690826528</v>
      </c>
      <c r="I50" s="2">
        <v>2078.4609690826528</v>
      </c>
      <c r="J50" s="2">
        <v>5</v>
      </c>
      <c r="K50" s="2">
        <v>0.62832298917870022</v>
      </c>
      <c r="L50" s="2">
        <v>0.62832298917870022</v>
      </c>
    </row>
    <row r="51" spans="1:12" x14ac:dyDescent="0.25">
      <c r="A51" s="2" t="s">
        <v>34</v>
      </c>
      <c r="B51" s="2" t="s">
        <v>54</v>
      </c>
      <c r="C51" s="2" t="s">
        <v>773</v>
      </c>
      <c r="D51" s="2">
        <v>158</v>
      </c>
      <c r="E51" s="2">
        <v>230</v>
      </c>
      <c r="F51" s="2">
        <v>8.7774385633270328E-3</v>
      </c>
      <c r="G51" s="2">
        <v>7.9193824196597359E-2</v>
      </c>
      <c r="H51" s="2">
        <v>384.82704842565312</v>
      </c>
      <c r="I51" s="2">
        <v>384.82704842565312</v>
      </c>
      <c r="J51" s="2">
        <v>2</v>
      </c>
      <c r="K51" s="2">
        <v>0.99925106579098966</v>
      </c>
      <c r="L51" s="2">
        <v>0.99925106579098966</v>
      </c>
    </row>
    <row r="52" spans="1:12" x14ac:dyDescent="0.25">
      <c r="A52" s="2" t="s">
        <v>34</v>
      </c>
      <c r="B52" s="2" t="s">
        <v>54</v>
      </c>
      <c r="C52" s="2" t="s">
        <v>776</v>
      </c>
      <c r="D52" s="2">
        <v>159</v>
      </c>
      <c r="E52" s="2">
        <v>230</v>
      </c>
      <c r="F52" s="2">
        <v>8.7642911153119098E-3</v>
      </c>
      <c r="G52" s="2">
        <v>7.9075202268430997E-2</v>
      </c>
      <c r="H52" s="2">
        <v>384.82704842565312</v>
      </c>
      <c r="I52" s="2">
        <v>384.82704842565312</v>
      </c>
      <c r="J52" s="2">
        <v>2</v>
      </c>
      <c r="K52" s="2">
        <v>0.99925106579098966</v>
      </c>
      <c r="L52" s="2">
        <v>0.99925106579098966</v>
      </c>
    </row>
    <row r="53" spans="1:12" x14ac:dyDescent="0.25">
      <c r="A53" s="2" t="s">
        <v>34</v>
      </c>
      <c r="B53" s="2" t="s">
        <v>56</v>
      </c>
      <c r="C53" s="2" t="s">
        <v>742</v>
      </c>
      <c r="D53" s="2">
        <v>133</v>
      </c>
      <c r="E53" s="2">
        <v>230</v>
      </c>
      <c r="F53" s="2">
        <v>5.9150472589792058E-3</v>
      </c>
      <c r="G53" s="2">
        <v>7.1339054820415873E-2</v>
      </c>
      <c r="H53" s="2">
        <v>573.65522746681211</v>
      </c>
      <c r="I53" s="2">
        <v>645.36213090016372</v>
      </c>
      <c r="J53" s="2">
        <v>4</v>
      </c>
      <c r="K53" s="2">
        <v>0.73589597753843838</v>
      </c>
      <c r="L53" s="2">
        <v>0.91986997192304787</v>
      </c>
    </row>
    <row r="54" spans="1:12" x14ac:dyDescent="0.25">
      <c r="A54" s="2" t="s">
        <v>34</v>
      </c>
      <c r="B54" s="2" t="s">
        <v>56</v>
      </c>
      <c r="C54" s="2" t="s">
        <v>746</v>
      </c>
      <c r="D54" s="2">
        <v>135</v>
      </c>
      <c r="E54" s="2">
        <v>230</v>
      </c>
      <c r="F54" s="2">
        <v>5.3064234404536859E-3</v>
      </c>
      <c r="G54" s="2">
        <v>6.1545310018903593E-2</v>
      </c>
      <c r="H54" s="2">
        <v>573.65522746681211</v>
      </c>
      <c r="I54" s="2">
        <v>645.36213090016372</v>
      </c>
      <c r="J54" s="2">
        <v>4</v>
      </c>
      <c r="K54" s="2">
        <v>0.73589597753843838</v>
      </c>
      <c r="L54" s="2">
        <v>0.91986997192304787</v>
      </c>
    </row>
    <row r="55" spans="1:12" x14ac:dyDescent="0.25">
      <c r="A55" s="2" t="s">
        <v>34</v>
      </c>
      <c r="B55" s="2" t="s">
        <v>56</v>
      </c>
      <c r="C55" s="2" t="s">
        <v>865</v>
      </c>
      <c r="D55" s="2">
        <v>245</v>
      </c>
      <c r="E55" s="2">
        <v>230</v>
      </c>
      <c r="F55" s="2">
        <v>4.8313705103969753E-3</v>
      </c>
      <c r="G55" s="2">
        <v>5.5539508506616257E-2</v>
      </c>
      <c r="H55" s="2">
        <v>382.43681831120813</v>
      </c>
      <c r="I55" s="2">
        <v>645.36213090016372</v>
      </c>
      <c r="J55" s="2">
        <v>4</v>
      </c>
      <c r="K55" s="2">
        <v>0.73589597753843838</v>
      </c>
      <c r="L55" s="2">
        <v>0.91986997192304787</v>
      </c>
    </row>
    <row r="56" spans="1:12" x14ac:dyDescent="0.25">
      <c r="A56" s="2" t="s">
        <v>34</v>
      </c>
      <c r="B56" s="2" t="s">
        <v>56</v>
      </c>
      <c r="C56" s="2" t="s">
        <v>868</v>
      </c>
      <c r="D56" s="2">
        <v>246</v>
      </c>
      <c r="E56" s="2">
        <v>230</v>
      </c>
      <c r="F56" s="2">
        <v>4.8384612476370511E-3</v>
      </c>
      <c r="G56" s="2">
        <v>5.5621020793950857E-2</v>
      </c>
      <c r="H56" s="2">
        <v>382.43681831120813</v>
      </c>
      <c r="I56" s="2">
        <v>645.36213090016372</v>
      </c>
      <c r="J56" s="2">
        <v>4</v>
      </c>
      <c r="K56" s="2">
        <v>0.73589597753843838</v>
      </c>
      <c r="L56" s="2">
        <v>0.91986997192304787</v>
      </c>
    </row>
    <row r="57" spans="1:12" x14ac:dyDescent="0.25">
      <c r="A57" s="2" t="s">
        <v>45</v>
      </c>
      <c r="B57" s="2" t="s">
        <v>47</v>
      </c>
      <c r="C57" s="2" t="s">
        <v>58</v>
      </c>
      <c r="D57" s="2">
        <v>260</v>
      </c>
      <c r="E57" s="2">
        <v>220</v>
      </c>
      <c r="F57" s="2">
        <v>1.441566115702479E-2</v>
      </c>
      <c r="G57" s="2">
        <v>8.854997107438016E-2</v>
      </c>
      <c r="H57" s="2">
        <v>381.05117766515298</v>
      </c>
      <c r="I57" s="2">
        <v>435.92254724893502</v>
      </c>
      <c r="J57" s="2">
        <v>1</v>
      </c>
      <c r="K57" s="2">
        <v>1</v>
      </c>
      <c r="L57" s="2">
        <v>1</v>
      </c>
    </row>
    <row r="58" spans="1:12" x14ac:dyDescent="0.25">
      <c r="A58" s="2" t="s">
        <v>45</v>
      </c>
      <c r="B58" s="2" t="s">
        <v>49</v>
      </c>
      <c r="C58" s="2" t="s">
        <v>59</v>
      </c>
      <c r="D58" s="2">
        <v>92</v>
      </c>
      <c r="E58" s="2">
        <v>500</v>
      </c>
      <c r="F58" s="2">
        <v>1.5801264E-3</v>
      </c>
      <c r="G58" s="2">
        <v>2.2281782399999998E-2</v>
      </c>
      <c r="H58" s="2">
        <v>1649.7783942093561</v>
      </c>
      <c r="I58" s="2">
        <v>2144.2788997702701</v>
      </c>
      <c r="J58" s="2">
        <v>1</v>
      </c>
      <c r="K58" s="2">
        <v>1</v>
      </c>
      <c r="L58" s="2">
        <v>1</v>
      </c>
    </row>
    <row r="59" spans="1:12" x14ac:dyDescent="0.25">
      <c r="A59" s="2" t="s">
        <v>51</v>
      </c>
      <c r="B59" s="2" t="s">
        <v>40</v>
      </c>
      <c r="C59" s="2" t="s">
        <v>852</v>
      </c>
      <c r="D59" s="2">
        <v>235</v>
      </c>
      <c r="E59" s="2">
        <v>230</v>
      </c>
      <c r="F59" s="2">
        <v>1.8386540642722118E-2</v>
      </c>
      <c r="G59" s="2">
        <v>0.13797969754253309</v>
      </c>
      <c r="H59" s="2">
        <v>330.64849916489862</v>
      </c>
      <c r="I59" s="2">
        <v>330.64849916489862</v>
      </c>
      <c r="J59" s="2">
        <v>2</v>
      </c>
      <c r="K59" s="2">
        <v>0.90299533209698535</v>
      </c>
      <c r="L59" s="2">
        <v>0.90299533209698535</v>
      </c>
    </row>
    <row r="60" spans="1:12" x14ac:dyDescent="0.25">
      <c r="A60" s="2" t="s">
        <v>51</v>
      </c>
      <c r="B60" s="2" t="s">
        <v>40</v>
      </c>
      <c r="C60" s="2" t="s">
        <v>855</v>
      </c>
      <c r="D60" s="2">
        <v>236</v>
      </c>
      <c r="E60" s="2">
        <v>230</v>
      </c>
      <c r="F60" s="2">
        <v>1.470420793950851E-2</v>
      </c>
      <c r="G60" s="2">
        <v>0.13908830623818519</v>
      </c>
      <c r="H60" s="2">
        <v>398.77005742658258</v>
      </c>
      <c r="I60" s="2">
        <v>398.77005742658258</v>
      </c>
      <c r="J60" s="2">
        <v>2</v>
      </c>
      <c r="K60" s="2">
        <v>0.90299533209698535</v>
      </c>
      <c r="L60" s="2">
        <v>0.90299533209698535</v>
      </c>
    </row>
    <row r="61" spans="1:12" x14ac:dyDescent="0.25">
      <c r="A61" s="2" t="s">
        <v>36</v>
      </c>
      <c r="B61" s="2" t="s">
        <v>61</v>
      </c>
      <c r="C61" s="2" t="s">
        <v>104</v>
      </c>
      <c r="D61" s="2">
        <v>55</v>
      </c>
      <c r="E61" s="2">
        <v>230</v>
      </c>
      <c r="F61" s="2">
        <v>1.8478922495274101E-3</v>
      </c>
      <c r="G61" s="2">
        <v>1.64054347826087E-2</v>
      </c>
      <c r="H61" s="2">
        <v>391.99773876898831</v>
      </c>
      <c r="I61" s="2">
        <v>391.99773876898831</v>
      </c>
      <c r="J61" s="2">
        <v>5</v>
      </c>
      <c r="K61" s="2">
        <v>0.34880009569510773</v>
      </c>
      <c r="L61" s="2">
        <v>0.26861371196259087</v>
      </c>
    </row>
    <row r="62" spans="1:12" x14ac:dyDescent="0.25">
      <c r="A62" s="2" t="s">
        <v>36</v>
      </c>
      <c r="B62" s="2" t="s">
        <v>61</v>
      </c>
      <c r="C62" s="2" t="s">
        <v>110</v>
      </c>
      <c r="D62" s="2">
        <v>56</v>
      </c>
      <c r="E62" s="2">
        <v>230</v>
      </c>
      <c r="F62" s="2">
        <v>1.833277882797732E-3</v>
      </c>
      <c r="G62" s="2">
        <v>1.619724007561436E-2</v>
      </c>
      <c r="H62" s="2">
        <v>391.99773876898831</v>
      </c>
      <c r="I62" s="2">
        <v>391.99773876898831</v>
      </c>
      <c r="J62" s="2">
        <v>5</v>
      </c>
      <c r="K62" s="2">
        <v>0.34880009569510773</v>
      </c>
      <c r="L62" s="2">
        <v>0.26861371196259087</v>
      </c>
    </row>
    <row r="63" spans="1:12" x14ac:dyDescent="0.25">
      <c r="A63" s="2" t="s">
        <v>36</v>
      </c>
      <c r="B63" s="2" t="s">
        <v>61</v>
      </c>
      <c r="C63" s="2" t="s">
        <v>716</v>
      </c>
      <c r="D63" s="2">
        <v>107</v>
      </c>
      <c r="E63" s="2">
        <v>230</v>
      </c>
      <c r="F63" s="2">
        <v>2.0076657844990551E-2</v>
      </c>
      <c r="G63" s="2">
        <v>0.1694954404536862</v>
      </c>
      <c r="H63" s="2">
        <v>398.37168574084183</v>
      </c>
      <c r="I63" s="2">
        <v>398.77005742658258</v>
      </c>
      <c r="J63" s="2">
        <v>5</v>
      </c>
      <c r="K63" s="2">
        <v>0.34880009569510773</v>
      </c>
      <c r="L63" s="2">
        <v>0.26861371196259087</v>
      </c>
    </row>
    <row r="64" spans="1:12" x14ac:dyDescent="0.25">
      <c r="A64" s="2" t="s">
        <v>36</v>
      </c>
      <c r="B64" s="2" t="s">
        <v>61</v>
      </c>
      <c r="C64" s="2" t="s">
        <v>724</v>
      </c>
      <c r="D64" s="2">
        <v>113</v>
      </c>
      <c r="E64" s="2">
        <v>230</v>
      </c>
      <c r="F64" s="2">
        <v>2.008182797731569E-2</v>
      </c>
      <c r="G64" s="2">
        <v>0.1695390888468809</v>
      </c>
      <c r="H64" s="2">
        <v>398.37168574084183</v>
      </c>
      <c r="I64" s="2">
        <v>398.77005742658258</v>
      </c>
      <c r="J64" s="2">
        <v>5</v>
      </c>
      <c r="K64" s="2">
        <v>0.34880009569510773</v>
      </c>
      <c r="L64" s="2">
        <v>0.26861371196259087</v>
      </c>
    </row>
    <row r="65" spans="1:12" x14ac:dyDescent="0.25">
      <c r="A65" s="2" t="s">
        <v>36</v>
      </c>
      <c r="B65" s="2" t="s">
        <v>61</v>
      </c>
      <c r="C65" s="2" t="s">
        <v>164</v>
      </c>
      <c r="D65" s="2">
        <v>224</v>
      </c>
      <c r="E65" s="2">
        <v>500</v>
      </c>
      <c r="F65" s="2">
        <v>1.4323392E-3</v>
      </c>
      <c r="G65" s="2">
        <v>2.1054059999999999E-2</v>
      </c>
      <c r="H65" s="2">
        <v>1732.050807568877</v>
      </c>
      <c r="I65" s="2">
        <v>2720.185793286922</v>
      </c>
      <c r="J65" s="2">
        <v>5</v>
      </c>
      <c r="K65" s="2">
        <v>0.34880009569510773</v>
      </c>
      <c r="L65" s="2">
        <v>0.26861371196259087</v>
      </c>
    </row>
    <row r="66" spans="1:12" x14ac:dyDescent="0.25">
      <c r="A66" s="2" t="s">
        <v>63</v>
      </c>
      <c r="B66" s="2" t="s">
        <v>64</v>
      </c>
      <c r="C66" s="2" t="s">
        <v>65</v>
      </c>
      <c r="D66" s="2">
        <v>262</v>
      </c>
      <c r="E66" s="2">
        <v>230</v>
      </c>
      <c r="F66" s="2">
        <v>4.7257277882797729E-3</v>
      </c>
      <c r="G66" s="2">
        <v>3.5109432892249527E-2</v>
      </c>
      <c r="H66" s="2">
        <v>414.30655317047552</v>
      </c>
      <c r="I66" s="2">
        <v>563.29756363755018</v>
      </c>
      <c r="J66" s="2">
        <v>1</v>
      </c>
      <c r="K66" s="2">
        <v>1</v>
      </c>
      <c r="L66" s="2">
        <v>1</v>
      </c>
    </row>
    <row r="67" spans="1:12" x14ac:dyDescent="0.25">
      <c r="A67" s="2" t="s">
        <v>63</v>
      </c>
      <c r="B67" s="2" t="s">
        <v>54</v>
      </c>
      <c r="C67" s="2" t="s">
        <v>66</v>
      </c>
      <c r="D67" s="2">
        <v>264</v>
      </c>
      <c r="E67" s="2">
        <v>230</v>
      </c>
      <c r="F67" s="2">
        <v>7.4627637051039699E-3</v>
      </c>
      <c r="G67" s="2">
        <v>5.5986340264650283E-2</v>
      </c>
      <c r="H67" s="2">
        <v>414.30655317047552</v>
      </c>
      <c r="I67" s="2">
        <v>550.15129800810246</v>
      </c>
      <c r="J67" s="2">
        <v>1</v>
      </c>
      <c r="K67" s="2">
        <v>1</v>
      </c>
      <c r="L67" s="2">
        <v>1</v>
      </c>
    </row>
    <row r="68" spans="1:12" x14ac:dyDescent="0.25">
      <c r="A68" s="2" t="s">
        <v>63</v>
      </c>
      <c r="B68" s="2" t="s">
        <v>67</v>
      </c>
      <c r="C68" s="2" t="s">
        <v>68</v>
      </c>
      <c r="D68" s="2">
        <v>263</v>
      </c>
      <c r="E68" s="2">
        <v>230</v>
      </c>
      <c r="F68" s="2">
        <v>1.2867470699432891E-2</v>
      </c>
      <c r="G68" s="2">
        <v>9.8186177693761825E-2</v>
      </c>
      <c r="H68" s="2">
        <v>414.30655317047552</v>
      </c>
      <c r="I68" s="2">
        <v>550.94804137958408</v>
      </c>
      <c r="J68" s="2">
        <v>1</v>
      </c>
      <c r="K68" s="2">
        <v>1</v>
      </c>
      <c r="L68" s="2">
        <v>1</v>
      </c>
    </row>
    <row r="69" spans="1:12" x14ac:dyDescent="0.25">
      <c r="A69" s="2" t="s">
        <v>64</v>
      </c>
      <c r="B69" s="2" t="s">
        <v>54</v>
      </c>
      <c r="C69" s="2" t="s">
        <v>650</v>
      </c>
      <c r="D69" s="2">
        <v>40</v>
      </c>
      <c r="E69" s="2">
        <v>230</v>
      </c>
      <c r="F69" s="2">
        <v>4.5874215500945181E-3</v>
      </c>
      <c r="G69" s="2">
        <v>2.4220775047258981E-2</v>
      </c>
      <c r="H69" s="2">
        <v>414.30655317047552</v>
      </c>
      <c r="I69" s="2">
        <v>715.07717590481104</v>
      </c>
      <c r="J69" s="2">
        <v>3</v>
      </c>
      <c r="K69" s="2">
        <v>0.54364718137847312</v>
      </c>
      <c r="L69" s="2">
        <v>0.55355291429228803</v>
      </c>
    </row>
    <row r="70" spans="1:12" x14ac:dyDescent="0.25">
      <c r="A70" s="2" t="s">
        <v>64</v>
      </c>
      <c r="B70" s="2" t="s">
        <v>54</v>
      </c>
      <c r="C70" s="2" t="s">
        <v>653</v>
      </c>
      <c r="D70" s="2">
        <v>41</v>
      </c>
      <c r="E70" s="2">
        <v>230</v>
      </c>
      <c r="F70" s="2">
        <v>8.9804914933837438E-3</v>
      </c>
      <c r="G70" s="2">
        <v>0.12746855198487711</v>
      </c>
      <c r="H70" s="2">
        <v>318.69734859267339</v>
      </c>
      <c r="I70" s="2">
        <v>533.81805889272789</v>
      </c>
      <c r="J70" s="2">
        <v>3</v>
      </c>
      <c r="K70" s="2">
        <v>0.54364718137847312</v>
      </c>
      <c r="L70" s="2">
        <v>0.55355291429228803</v>
      </c>
    </row>
    <row r="71" spans="1:12" x14ac:dyDescent="0.25">
      <c r="A71" s="2" t="s">
        <v>64</v>
      </c>
      <c r="B71" s="2" t="s">
        <v>54</v>
      </c>
      <c r="C71" s="2" t="s">
        <v>656</v>
      </c>
      <c r="D71" s="2">
        <v>42</v>
      </c>
      <c r="E71" s="2">
        <v>230</v>
      </c>
      <c r="F71" s="2">
        <v>8.9804914933837438E-3</v>
      </c>
      <c r="G71" s="2">
        <v>0.12746855198487711</v>
      </c>
      <c r="H71" s="2">
        <v>318.69734859267339</v>
      </c>
      <c r="I71" s="2">
        <v>533.81805889272789</v>
      </c>
      <c r="J71" s="2">
        <v>3</v>
      </c>
      <c r="K71" s="2">
        <v>0.54364718137847312</v>
      </c>
      <c r="L71" s="2">
        <v>0.55355291429228803</v>
      </c>
    </row>
    <row r="72" spans="1:12" x14ac:dyDescent="0.25">
      <c r="A72" s="2" t="s">
        <v>64</v>
      </c>
      <c r="B72" s="2" t="s">
        <v>67</v>
      </c>
      <c r="C72" s="2" t="s">
        <v>70</v>
      </c>
      <c r="D72" s="2">
        <v>139</v>
      </c>
      <c r="E72" s="2">
        <v>230</v>
      </c>
      <c r="F72" s="2">
        <v>1.244615500945179E-2</v>
      </c>
      <c r="G72" s="2">
        <v>7.3440839319470694E-2</v>
      </c>
      <c r="H72" s="2">
        <v>274.87646316118082</v>
      </c>
      <c r="I72" s="2">
        <v>274.87646316118082</v>
      </c>
      <c r="J72" s="2">
        <v>1</v>
      </c>
      <c r="K72" s="2">
        <v>1</v>
      </c>
      <c r="L72" s="2">
        <v>1</v>
      </c>
    </row>
    <row r="73" spans="1:12" x14ac:dyDescent="0.25">
      <c r="A73" s="2" t="s">
        <v>64</v>
      </c>
      <c r="B73" s="2" t="s">
        <v>61</v>
      </c>
      <c r="C73" s="2" t="s">
        <v>764</v>
      </c>
      <c r="D73" s="2">
        <v>148</v>
      </c>
      <c r="E73" s="2">
        <v>230</v>
      </c>
      <c r="F73" s="2">
        <v>3.665347826086956E-3</v>
      </c>
      <c r="G73" s="2">
        <v>3.1777434782608693E-2</v>
      </c>
      <c r="H73" s="2">
        <v>399.56680079806432</v>
      </c>
      <c r="I73" s="2">
        <v>399.56680079806432</v>
      </c>
      <c r="J73" s="2">
        <v>4</v>
      </c>
      <c r="K73" s="2">
        <v>0.41549779322466301</v>
      </c>
      <c r="L73" s="2">
        <v>0.41549779322466301</v>
      </c>
    </row>
    <row r="74" spans="1:12" x14ac:dyDescent="0.25">
      <c r="A74" s="2" t="s">
        <v>64</v>
      </c>
      <c r="B74" s="2" t="s">
        <v>61</v>
      </c>
      <c r="C74" s="2" t="s">
        <v>834</v>
      </c>
      <c r="D74" s="2">
        <v>214</v>
      </c>
      <c r="E74" s="2">
        <v>230</v>
      </c>
      <c r="F74" s="2">
        <v>8.957102079395084E-3</v>
      </c>
      <c r="G74" s="2">
        <v>8.9571020793950851E-2</v>
      </c>
      <c r="H74" s="2">
        <v>399.56680079806432</v>
      </c>
      <c r="I74" s="2">
        <v>399.56680079806432</v>
      </c>
      <c r="J74" s="2">
        <v>4</v>
      </c>
      <c r="K74" s="2">
        <v>0.41549779322466301</v>
      </c>
      <c r="L74" s="2">
        <v>0.41549779322466301</v>
      </c>
    </row>
    <row r="75" spans="1:12" x14ac:dyDescent="0.25">
      <c r="A75" s="2" t="s">
        <v>64</v>
      </c>
      <c r="B75" s="2" t="s">
        <v>61</v>
      </c>
      <c r="C75" s="2" t="s">
        <v>873</v>
      </c>
      <c r="D75" s="2">
        <v>252</v>
      </c>
      <c r="E75" s="2">
        <v>230</v>
      </c>
      <c r="F75" s="2">
        <v>1.901527032136106E-2</v>
      </c>
      <c r="G75" s="2">
        <v>0.18810315311909259</v>
      </c>
      <c r="H75" s="2">
        <v>414.30655317047552</v>
      </c>
      <c r="I75" s="2">
        <v>414.30655317047552</v>
      </c>
      <c r="J75" s="2">
        <v>4</v>
      </c>
      <c r="K75" s="2">
        <v>0.41549779322466301</v>
      </c>
      <c r="L75" s="2">
        <v>0.41549779322466301</v>
      </c>
    </row>
    <row r="76" spans="1:12" x14ac:dyDescent="0.25">
      <c r="A76" s="2" t="s">
        <v>64</v>
      </c>
      <c r="B76" s="2" t="s">
        <v>61</v>
      </c>
      <c r="C76" s="2" t="s">
        <v>876</v>
      </c>
      <c r="D76" s="2">
        <v>253</v>
      </c>
      <c r="E76" s="2">
        <v>230</v>
      </c>
      <c r="F76" s="2">
        <v>1.901527032136106E-2</v>
      </c>
      <c r="G76" s="2">
        <v>0.18810315311909259</v>
      </c>
      <c r="H76" s="2">
        <v>414.30655317047552</v>
      </c>
      <c r="I76" s="2">
        <v>414.30655317047552</v>
      </c>
      <c r="J76" s="2">
        <v>4</v>
      </c>
      <c r="K76" s="2">
        <v>0.41549779322466301</v>
      </c>
      <c r="L76" s="2">
        <v>0.41549779322466301</v>
      </c>
    </row>
    <row r="77" spans="1:12" x14ac:dyDescent="0.25">
      <c r="A77" s="2" t="s">
        <v>38</v>
      </c>
      <c r="B77" s="2" t="s">
        <v>47</v>
      </c>
      <c r="C77" s="2" t="s">
        <v>117</v>
      </c>
      <c r="D77" s="2">
        <v>60</v>
      </c>
      <c r="E77" s="2">
        <v>500</v>
      </c>
      <c r="F77" s="2">
        <v>1.5320119999999999E-3</v>
      </c>
      <c r="G77" s="2">
        <v>1.6988432000000001E-2</v>
      </c>
      <c r="H77" s="2">
        <v>2078.4609690826528</v>
      </c>
      <c r="I77" s="2">
        <v>2078.4609690826528</v>
      </c>
      <c r="J77" s="2">
        <v>3</v>
      </c>
      <c r="K77" s="2">
        <v>0.75221127402942689</v>
      </c>
      <c r="L77" s="2">
        <v>0.72722298797944451</v>
      </c>
    </row>
    <row r="78" spans="1:12" x14ac:dyDescent="0.25">
      <c r="A78" s="2" t="s">
        <v>38</v>
      </c>
      <c r="B78" s="2" t="s">
        <v>47</v>
      </c>
      <c r="C78" s="2" t="s">
        <v>124</v>
      </c>
      <c r="D78" s="2">
        <v>63</v>
      </c>
      <c r="E78" s="2">
        <v>500</v>
      </c>
      <c r="F78" s="2">
        <v>7.0240799999999996E-4</v>
      </c>
      <c r="G78" s="2">
        <v>1.097908E-2</v>
      </c>
      <c r="H78" s="2">
        <v>2078.4609690826528</v>
      </c>
      <c r="I78" s="2">
        <v>2120.8962138680899</v>
      </c>
      <c r="J78" s="2">
        <v>3</v>
      </c>
      <c r="K78" s="2">
        <v>0.75221127402942689</v>
      </c>
      <c r="L78" s="2">
        <v>0.72722298797944451</v>
      </c>
    </row>
    <row r="79" spans="1:12" x14ac:dyDescent="0.25">
      <c r="A79" s="2" t="s">
        <v>38</v>
      </c>
      <c r="B79" s="2" t="s">
        <v>47</v>
      </c>
      <c r="C79" s="2" t="s">
        <v>127</v>
      </c>
      <c r="D79" s="2">
        <v>64</v>
      </c>
      <c r="E79" s="2">
        <v>500</v>
      </c>
      <c r="F79" s="2">
        <v>1.2115016E-3</v>
      </c>
      <c r="G79" s="2">
        <v>1.71091536E-2</v>
      </c>
      <c r="H79" s="2">
        <v>2165.0635094610971</v>
      </c>
      <c r="I79" s="2">
        <v>2473.3685532083568</v>
      </c>
      <c r="J79" s="2">
        <v>3</v>
      </c>
      <c r="K79" s="2">
        <v>0.75221127402942689</v>
      </c>
      <c r="L79" s="2">
        <v>0.72722298797944451</v>
      </c>
    </row>
    <row r="80" spans="1:12" x14ac:dyDescent="0.25">
      <c r="A80" s="2" t="s">
        <v>47</v>
      </c>
      <c r="B80" s="2" t="s">
        <v>49</v>
      </c>
      <c r="C80" s="2" t="s">
        <v>73</v>
      </c>
      <c r="D80" s="2">
        <v>66</v>
      </c>
      <c r="E80" s="2">
        <v>500</v>
      </c>
      <c r="F80" s="2">
        <v>2.6140868000000001E-3</v>
      </c>
      <c r="G80" s="2">
        <v>2.8987524800000001E-2</v>
      </c>
      <c r="H80" s="2">
        <v>2078.4609690826528</v>
      </c>
      <c r="I80" s="2">
        <v>2078.4609690826528</v>
      </c>
      <c r="J80" s="2">
        <v>1</v>
      </c>
      <c r="K80" s="2">
        <v>0.99999999999999978</v>
      </c>
      <c r="L80" s="2">
        <v>0.99999999999999978</v>
      </c>
    </row>
    <row r="81" spans="1:12" x14ac:dyDescent="0.25">
      <c r="A81" s="2" t="s">
        <v>49</v>
      </c>
      <c r="B81" s="2" t="s">
        <v>74</v>
      </c>
      <c r="C81" s="2" t="s">
        <v>75</v>
      </c>
      <c r="D81" s="2">
        <v>176</v>
      </c>
      <c r="E81" s="2">
        <v>500</v>
      </c>
      <c r="F81" s="2">
        <v>1.0751999999999999E-3</v>
      </c>
      <c r="G81" s="2">
        <v>2.3923199999999999E-2</v>
      </c>
      <c r="H81" s="2">
        <v>1649.7783942093561</v>
      </c>
      <c r="I81" s="2">
        <v>2144.2788997702701</v>
      </c>
      <c r="J81" s="2">
        <v>1</v>
      </c>
      <c r="K81" s="2">
        <v>1</v>
      </c>
      <c r="L81" s="2">
        <v>1</v>
      </c>
    </row>
    <row r="82" spans="1:12" x14ac:dyDescent="0.25">
      <c r="A82" s="2" t="s">
        <v>74</v>
      </c>
      <c r="B82" s="2" t="s">
        <v>40</v>
      </c>
      <c r="C82" s="2" t="s">
        <v>785</v>
      </c>
      <c r="D82" s="2">
        <v>166</v>
      </c>
      <c r="E82" s="2">
        <v>230</v>
      </c>
      <c r="F82" s="2">
        <v>1.3003758034026459E-2</v>
      </c>
      <c r="G82" s="2">
        <v>0.1018627712665406</v>
      </c>
      <c r="H82" s="2">
        <v>326.66478230749021</v>
      </c>
      <c r="I82" s="2">
        <v>326.66478230749021</v>
      </c>
      <c r="J82" s="2">
        <v>4</v>
      </c>
      <c r="K82" s="2">
        <v>0.86793856110073608</v>
      </c>
      <c r="L82" s="2">
        <v>0.86793856110073608</v>
      </c>
    </row>
    <row r="83" spans="1:12" x14ac:dyDescent="0.25">
      <c r="A83" s="2" t="s">
        <v>74</v>
      </c>
      <c r="B83" s="2" t="s">
        <v>40</v>
      </c>
      <c r="C83" s="2" t="s">
        <v>798</v>
      </c>
      <c r="D83" s="2">
        <v>177</v>
      </c>
      <c r="E83" s="2">
        <v>500</v>
      </c>
      <c r="F83" s="2">
        <v>1.7811648000000001E-3</v>
      </c>
      <c r="G83" s="2">
        <v>2.1609719999999999E-2</v>
      </c>
      <c r="H83" s="2">
        <v>1649.7783942093561</v>
      </c>
      <c r="I83" s="2">
        <v>1649.7783942093561</v>
      </c>
      <c r="J83" s="2">
        <v>4</v>
      </c>
      <c r="K83" s="2">
        <v>0.86793856110073608</v>
      </c>
      <c r="L83" s="2">
        <v>0.86793856110073608</v>
      </c>
    </row>
    <row r="84" spans="1:12" x14ac:dyDescent="0.25">
      <c r="A84" s="2" t="s">
        <v>74</v>
      </c>
      <c r="B84" s="2" t="s">
        <v>40</v>
      </c>
      <c r="C84" s="2" t="s">
        <v>802</v>
      </c>
      <c r="D84" s="2">
        <v>179</v>
      </c>
      <c r="E84" s="2">
        <v>230</v>
      </c>
      <c r="F84" s="2">
        <v>1.967733648393194E-2</v>
      </c>
      <c r="G84" s="2">
        <v>0.15660006616257091</v>
      </c>
      <c r="H84" s="2">
        <v>353.35568525212659</v>
      </c>
      <c r="I84" s="2">
        <v>353.35568525212659</v>
      </c>
      <c r="J84" s="2">
        <v>4</v>
      </c>
      <c r="K84" s="2">
        <v>0.86793856110073608</v>
      </c>
      <c r="L84" s="2">
        <v>0.86793856110073608</v>
      </c>
    </row>
    <row r="85" spans="1:12" x14ac:dyDescent="0.25">
      <c r="A85" s="2" t="s">
        <v>74</v>
      </c>
      <c r="B85" s="2" t="s">
        <v>40</v>
      </c>
      <c r="C85" s="2" t="s">
        <v>857</v>
      </c>
      <c r="D85" s="2">
        <v>238</v>
      </c>
      <c r="E85" s="2">
        <v>230</v>
      </c>
      <c r="F85" s="2">
        <v>1.3052519848771271E-2</v>
      </c>
      <c r="G85" s="2">
        <v>0.11699014555765599</v>
      </c>
      <c r="H85" s="2">
        <v>393.19285382621081</v>
      </c>
      <c r="I85" s="2">
        <v>393.19285382621081</v>
      </c>
      <c r="J85" s="2">
        <v>4</v>
      </c>
      <c r="K85" s="2">
        <v>0.86793856110073608</v>
      </c>
      <c r="L85" s="2">
        <v>0.86793856110073608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showGridLines="0" workbookViewId="0">
      <pane ySplit="4" topLeftCell="A5" activePane="bottomLeft" state="frozen"/>
      <selection pane="bottomLeft" activeCell="B15" sqref="B15"/>
    </sheetView>
  </sheetViews>
  <sheetFormatPr defaultRowHeight="15" x14ac:dyDescent="0.25"/>
  <cols>
    <col min="1" max="1" width="80" customWidth="1"/>
    <col min="2" max="2" width="73" customWidth="1"/>
    <col min="3" max="3" width="12" customWidth="1"/>
    <col min="4" max="4" width="23" customWidth="1"/>
    <col min="5" max="5" width="20" customWidth="1"/>
    <col min="6" max="6" width="28" customWidth="1"/>
  </cols>
  <sheetData>
    <row r="1" spans="1:6" ht="18.75" x14ac:dyDescent="0.25">
      <c r="A1" s="1" t="s">
        <v>911</v>
      </c>
      <c r="B1" s="2"/>
      <c r="C1" s="2"/>
      <c r="D1" s="2"/>
      <c r="E1" s="2"/>
      <c r="F1" s="2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ht="30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 t="s">
        <v>912</v>
      </c>
      <c r="B5" s="2"/>
      <c r="C5" s="2"/>
      <c r="D5" s="2"/>
      <c r="E5" s="2"/>
      <c r="F5" s="2"/>
    </row>
    <row r="6" spans="1:6" x14ac:dyDescent="0.25">
      <c r="A6" s="4" t="s">
        <v>4</v>
      </c>
      <c r="B6" s="4" t="s">
        <v>5</v>
      </c>
      <c r="C6" s="2"/>
      <c r="D6" s="2"/>
      <c r="E6" s="2"/>
      <c r="F6" s="2"/>
    </row>
    <row r="7" spans="1:6" ht="30" x14ac:dyDescent="0.25">
      <c r="A7" s="2" t="s">
        <v>913</v>
      </c>
      <c r="B7" s="2" t="s">
        <v>914</v>
      </c>
      <c r="C7" s="2"/>
      <c r="D7" s="2"/>
      <c r="E7" s="2"/>
      <c r="F7" s="2"/>
    </row>
    <row r="8" spans="1:6" x14ac:dyDescent="0.25">
      <c r="A8" s="2" t="s">
        <v>340</v>
      </c>
      <c r="B8" s="2" t="s">
        <v>915</v>
      </c>
      <c r="C8" s="2"/>
      <c r="D8" s="2"/>
      <c r="E8" s="2"/>
      <c r="F8" s="2"/>
    </row>
    <row r="9" spans="1:6" x14ac:dyDescent="0.25">
      <c r="A9" s="2" t="s">
        <v>916</v>
      </c>
      <c r="B9" s="2">
        <v>4</v>
      </c>
      <c r="C9" s="2"/>
      <c r="D9" s="2"/>
      <c r="E9" s="2"/>
      <c r="F9" s="2"/>
    </row>
    <row r="10" spans="1:6" x14ac:dyDescent="0.25">
      <c r="A10" s="2" t="s">
        <v>917</v>
      </c>
      <c r="B10" s="2" t="s">
        <v>918</v>
      </c>
      <c r="C10" s="2"/>
      <c r="D10" s="2"/>
      <c r="E10" s="2"/>
      <c r="F10" s="2"/>
    </row>
    <row r="11" spans="1:6" x14ac:dyDescent="0.25">
      <c r="A11" s="2" t="s">
        <v>919</v>
      </c>
      <c r="B11" s="2" t="s">
        <v>920</v>
      </c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3" t="s">
        <v>193</v>
      </c>
      <c r="B13" s="2"/>
      <c r="C13" s="2"/>
      <c r="D13" s="2"/>
      <c r="E13" s="2"/>
      <c r="F13" s="2"/>
    </row>
    <row r="14" spans="1:6" x14ac:dyDescent="0.25">
      <c r="A14" s="4" t="s">
        <v>194</v>
      </c>
      <c r="B14" s="4" t="s">
        <v>95</v>
      </c>
      <c r="C14" s="4" t="s">
        <v>605</v>
      </c>
      <c r="D14" s="4" t="s">
        <v>921</v>
      </c>
      <c r="E14" s="4" t="s">
        <v>922</v>
      </c>
      <c r="F14" s="4" t="s">
        <v>101</v>
      </c>
    </row>
    <row r="15" spans="1:6" ht="30" x14ac:dyDescent="0.25">
      <c r="A15" s="2">
        <v>140</v>
      </c>
      <c r="B15" s="2" t="s">
        <v>753</v>
      </c>
      <c r="C15" s="2">
        <v>230</v>
      </c>
      <c r="D15" s="2" t="s">
        <v>754</v>
      </c>
      <c r="E15" s="2" t="s">
        <v>923</v>
      </c>
      <c r="F15" s="2" t="s">
        <v>755</v>
      </c>
    </row>
    <row r="16" spans="1:6" ht="30" x14ac:dyDescent="0.25">
      <c r="A16" s="2">
        <v>141</v>
      </c>
      <c r="B16" s="2" t="s">
        <v>757</v>
      </c>
      <c r="C16" s="2">
        <v>230</v>
      </c>
      <c r="D16" s="2" t="s">
        <v>754</v>
      </c>
      <c r="E16" s="2" t="s">
        <v>923</v>
      </c>
      <c r="F16" s="2" t="s">
        <v>755</v>
      </c>
    </row>
    <row r="17" spans="1:6" ht="30" x14ac:dyDescent="0.25">
      <c r="A17" s="2">
        <v>142</v>
      </c>
      <c r="B17" s="2" t="s">
        <v>758</v>
      </c>
      <c r="C17" s="2">
        <v>230</v>
      </c>
      <c r="D17" s="2" t="s">
        <v>754</v>
      </c>
      <c r="E17" s="2" t="s">
        <v>923</v>
      </c>
      <c r="F17" s="2" t="s">
        <v>755</v>
      </c>
    </row>
    <row r="18" spans="1:6" ht="30" x14ac:dyDescent="0.25">
      <c r="A18" s="2">
        <v>143</v>
      </c>
      <c r="B18" s="2" t="s">
        <v>759</v>
      </c>
      <c r="C18" s="2">
        <v>230</v>
      </c>
      <c r="D18" s="2" t="s">
        <v>754</v>
      </c>
      <c r="E18" s="2" t="s">
        <v>923</v>
      </c>
      <c r="F18" s="2" t="s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Red_Equivalente</vt:lpstr>
      <vt:lpstr>Revision_Manual</vt:lpstr>
      <vt:lpstr>Lineas_Internas</vt:lpstr>
      <vt:lpstr>Conteo_Subestaciones</vt:lpstr>
      <vt:lpstr>Limites_Corriente</vt:lpstr>
      <vt:lpstr>Circuitos_Paralelos</vt:lpstr>
      <vt:lpstr>Internacionales_Excluidas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2026-08-15T20:41:51Z</dcterms:created>
  <dcterms:modified xsi:type="dcterms:W3CDTF">2026-08-22T20:52:32Z</dcterms:modified>
</cp:coreProperties>
</file>