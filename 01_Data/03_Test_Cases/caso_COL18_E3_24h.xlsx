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09F90B10-04F7-4E74-8138-9C83C9ACE62C}" xr6:coauthVersionLast="47" xr6:coauthVersionMax="47" xr10:uidLastSave="{00000000-0000-0000-0000-000000000000}"/>
  <bookViews>
    <workbookView xWindow="-120" yWindow="-120" windowWidth="29040" windowHeight="15720" activeTab="1"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Aportes" sheetId="8" r:id="rId8"/>
    <sheet name="Renovables" sheetId="9" r:id="rId9"/>
    <sheet name="Renov_Perfil" sheetId="10" r:id="rId10"/>
    <sheet name="Demanda" sheetId="11" r:id="rId11"/>
    <sheet name="BESS_Cand" sheetId="12" r:id="rId12"/>
    <sheet name="FACTS_Cand"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12" l="1"/>
  <c r="E23" i="12"/>
  <c r="F22" i="12"/>
  <c r="E22" i="12"/>
  <c r="F21" i="12"/>
  <c r="E21" i="12"/>
  <c r="F20" i="12"/>
  <c r="E20" i="12"/>
  <c r="F19" i="12"/>
  <c r="E19" i="12"/>
  <c r="F18" i="12"/>
  <c r="E18" i="12"/>
  <c r="F17" i="12"/>
  <c r="E17" i="12"/>
  <c r="F16" i="12"/>
  <c r="E16" i="12"/>
  <c r="F15" i="12"/>
  <c r="E15" i="12"/>
  <c r="F14" i="12"/>
  <c r="E14" i="12"/>
  <c r="F13" i="12"/>
  <c r="E13" i="12"/>
  <c r="F12" i="12"/>
  <c r="E12" i="12"/>
  <c r="F11" i="12"/>
  <c r="E11" i="12"/>
  <c r="F10" i="12"/>
  <c r="E10" i="12"/>
  <c r="F9" i="12"/>
  <c r="E9" i="12"/>
  <c r="F8" i="12"/>
  <c r="E8" i="12"/>
  <c r="F7" i="12"/>
  <c r="E7" i="12"/>
  <c r="F6" i="12"/>
  <c r="E6" i="12"/>
  <c r="B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tc={773FF588-47DD-4E6B-8C48-2DAECBFC0561}</author>
  </authors>
  <commentList>
    <comment ref="F7" authorId="0" shapeId="0" xr:uid="{773FF588-47DD-4E6B-8C48-2DAECBFC0561}">
      <text>
        <t xml:space="preserve">[Threaded comment]
Your version of Excel allows you to read this threaded comment; however, any edits to it will get removed if the file is opened in a newer version of Excel. Learn more: https://go.microsoft.com/fwlink/?linkid=870924
Comment:
    Plan_Expansion_Transmision_2025-2039.pdf - pag 316
En el Informe Trimestral de Restricciones de 2019-T2, XM manifestó que, “La
importación del área Suroccidental a través del circuito San Carlos – Virginia
500 kV se limita a 500 MW para evitar sobrecargas en San Marcos 500/230 kV y
Virginia 500/230 kV ante la contingencia N-1 de uno de ellos. Adicionalmente,
se requiere despachar un mínimo número de unidades para el control de
tensión al interior del área.”, con lo cual muestra la necesidad de refuerzos de
transformación en el área Suroccidental.
Así que XM opera ese corredor muy por debajo de su límite térmico, por seguridad. 
</t>
      </text>
    </comment>
  </commentList>
</comments>
</file>

<file path=xl/sharedStrings.xml><?xml version="1.0" encoding="utf-8"?>
<sst xmlns="http://schemas.openxmlformats.org/spreadsheetml/2006/main" count="1185" uniqueCount="513">
  <si>
    <t>Demanda - Perfil horario de demanda por nodo</t>
  </si>
  <si>
    <t>Estructura {hora x nodo}, igual a la hoja 'load' de XM/Alvaro. Solo columnas de nodos con carga. Filas = horas del horizonte.</t>
  </si>
  <si>
    <t>hora</t>
  </si>
  <si>
    <t>ANT</t>
  </si>
  <si>
    <t>ARA</t>
  </si>
  <si>
    <t>ATL</t>
  </si>
  <si>
    <t>BOG</t>
  </si>
  <si>
    <t>BOL</t>
  </si>
  <si>
    <t>BYC</t>
  </si>
  <si>
    <t>CQR</t>
  </si>
  <si>
    <t>CAQ</t>
  </si>
  <si>
    <t>CAN</t>
  </si>
  <si>
    <t>CER</t>
  </si>
  <si>
    <t>CSU</t>
  </si>
  <si>
    <t>GCM</t>
  </si>
  <si>
    <t>HTO</t>
  </si>
  <si>
    <t>MET</t>
  </si>
  <si>
    <t>NDS</t>
  </si>
  <si>
    <t>PUT</t>
  </si>
  <si>
    <t>SAN</t>
  </si>
  <si>
    <t>VAL</t>
  </si>
  <si>
    <t>MW</t>
  </si>
  <si>
    <t>Plantilla de datos - Modelo TEP con BESS y FACTS</t>
  </si>
  <si>
    <t>Fuentes y trazabilidad</t>
  </si>
  <si>
    <t>Hoja auxiliar. data_loader no la lee.</t>
  </si>
  <si>
    <t>dato</t>
  </si>
  <si>
    <t>archivo_de_origen</t>
  </si>
  <si>
    <t>Comentarios</t>
  </si>
  <si>
    <t>Esta plantilla define un CASO de estudio. Un archivo = un caso.</t>
  </si>
  <si>
    <t>Nodos</t>
  </si>
  <si>
    <t>\01_Data\02_Processed\Datos_hojas_excel_COL\18_nodos\01_Nodos_Lineas</t>
  </si>
  <si>
    <t>STN es tensión nominal mayor o igual a 220 kV</t>
  </si>
  <si>
    <t>Cada hoja corresponde a un tipo de dato. Llene solo las que aplican;</t>
  </si>
  <si>
    <t>nodos</t>
  </si>
  <si>
    <t>PARATEC_Subestaciones.xlsx</t>
  </si>
  <si>
    <t>las hojas vacias se interpretan como 'ese componente no existe'.</t>
  </si>
  <si>
    <t>Lineas</t>
  </si>
  <si>
    <t>desde / hasta</t>
  </si>
  <si>
    <t>PARATEC_Líneas.xlsx</t>
  </si>
  <si>
    <t>HOJAS:</t>
  </si>
  <si>
    <t>R, X</t>
  </si>
  <si>
    <t xml:space="preserve">  Config          -&gt; parametros globales (S_base, horizonte, etc.)</t>
  </si>
  <si>
    <t>capacidad línea</t>
  </si>
  <si>
    <t>Se pasa a MWA a partir de la corriente nominal</t>
  </si>
  <si>
    <t xml:space="preserve">  Nodos           -&gt; buses del sistema (id, tipo, demanda base)</t>
  </si>
  <si>
    <t>Generadores</t>
  </si>
  <si>
    <t>\01_Data\02_Processed\Datos_hojas_excel_COL\18_nodos\02_Generadores</t>
  </si>
  <si>
    <t xml:space="preserve">  Lineas          -&gt; lineas existentes (R, X, capacidad)</t>
  </si>
  <si>
    <t>id</t>
  </si>
  <si>
    <t>PARATEC_Utérmica.xlsx -&gt; InfoCombustible</t>
  </si>
  <si>
    <t>Filtros de Modo de operación "Desapacho centralmente" y Estado "Operación"</t>
  </si>
  <si>
    <t xml:space="preserve">  Generadores     -&gt; unidades termicas (limites, costos, rampas)</t>
  </si>
  <si>
    <t>Pmin/Pmax</t>
  </si>
  <si>
    <t xml:space="preserve">  Hidraulicos     -&gt; unidades hidraulicas y embalses (opcional)</t>
  </si>
  <si>
    <t>rampa_sub</t>
  </si>
  <si>
    <t>PARATEC_Utérmica.xlsx -&gt; VelCarga-Descarga</t>
  </si>
  <si>
    <t xml:space="preserve">  Aportes      -&gt; xxxx</t>
  </si>
  <si>
    <t>rampa_baj</t>
  </si>
  <si>
    <t xml:space="preserve">  Renovables      -&gt; solar/eolica (opcional)</t>
  </si>
  <si>
    <t xml:space="preserve"> costo</t>
  </si>
  <si>
    <t>PrecOferDesp_Jul26.xlsx</t>
  </si>
  <si>
    <t xml:space="preserve">  Renov_Perfil      -&gt; xxxxx</t>
  </si>
  <si>
    <t>u_init</t>
  </si>
  <si>
    <t>Gene.xlsx</t>
  </si>
  <si>
    <t xml:space="preserve">  BESS_Cand       -&gt; nodos candidatos a instalar BESS</t>
  </si>
  <si>
    <t>min_on</t>
  </si>
  <si>
    <t xml:space="preserve">  FACTS_Cand      -&gt; lineas candidatas a instalar TCSC</t>
  </si>
  <si>
    <t>min_off</t>
  </si>
  <si>
    <t xml:space="preserve">  Demanda         -&gt; perfil horario {hora x nodo} (como XM/Alvaro)</t>
  </si>
  <si>
    <t>cost_su</t>
  </si>
  <si>
    <t>cost_sd</t>
  </si>
  <si>
    <t>no disponible en la fuente</t>
  </si>
  <si>
    <t xml:space="preserve">Se establece en cero </t>
  </si>
  <si>
    <t>CONVENCION DE COLOR:</t>
  </si>
  <si>
    <t>combustible</t>
  </si>
  <si>
    <t>planta</t>
  </si>
  <si>
    <t>PARATEC_Ptérmica.xlsx -&gt; Ptérmica</t>
  </si>
  <si>
    <t>Hidraulicos</t>
  </si>
  <si>
    <t>\01_Data\02_Processed\Datos_hojas_excel_COL\18_nodos\03_Hidraulicos</t>
  </si>
  <si>
    <t>PARATEC_Detalle_Embalse.xlsx -&gt; Información_Técnica e Información_Básica / PARATEC_Phidráulica.xlsx / PARATEC_Chidraulicas.xlsx</t>
  </si>
  <si>
    <t>Embalse</t>
  </si>
  <si>
    <t>Pmin</t>
  </si>
  <si>
    <t>NODO SLACK: en la hoja Nodos, marque tipo=slack en un unico nodo.</t>
  </si>
  <si>
    <t>Pmax</t>
  </si>
  <si>
    <t>Capacidadefectiva.xlsx</t>
  </si>
  <si>
    <t>UNIDADES: indicadas en la fila bajo cada encabezado. (No borrarlas ni modificarlas)</t>
  </si>
  <si>
    <t>qmin</t>
  </si>
  <si>
    <t>Pmin / eta</t>
  </si>
  <si>
    <t>qmax</t>
  </si>
  <si>
    <t>Pmáx / eta</t>
  </si>
  <si>
    <t>eta</t>
  </si>
  <si>
    <t>PARATEC_Phidráulica.xlsx -&gt; Phidráulica</t>
  </si>
  <si>
    <t>Vmin</t>
  </si>
  <si>
    <t>PARATEC_Detalle_Embalse.xlsx -&gt; Información_Técnica</t>
  </si>
  <si>
    <t>Se establece en cero para las filo de agua y las que comparten cadena hidrico (ALBAN;GUATRON; PAGUA)</t>
  </si>
  <si>
    <t>Vmax</t>
  </si>
  <si>
    <t>Vinit</t>
  </si>
  <si>
    <t>VoluUtilDiarMasa_Jul26.xlsx/CapaUtilDiarMasa_Jul26.xlsx</t>
  </si>
  <si>
    <t>Smax</t>
  </si>
  <si>
    <t>costo</t>
  </si>
  <si>
    <t>Pmin_PARATEC</t>
  </si>
  <si>
    <t>PARATEC_Uhidráulica.xlsx -&gt; Uhidráulica</t>
  </si>
  <si>
    <t>clasificación</t>
  </si>
  <si>
    <t>Aportes</t>
  </si>
  <si>
    <t>/01_Data/02_Processed/Datos_hojas_excel_COL/18_nodos/04_Aportes -&gt; AporCaudal_Jul26.xlsx</t>
  </si>
  <si>
    <t>Aporte de embalses; filo de agua no aplica</t>
  </si>
  <si>
    <t>Renovables</t>
  </si>
  <si>
    <t>/01_Data/02_Processed/Datos_hojas_excel_COL/18_nodos/05_Renovables</t>
  </si>
  <si>
    <t>tipo</t>
  </si>
  <si>
    <t>capacidad</t>
  </si>
  <si>
    <t>Renov_Perfil</t>
  </si>
  <si>
    <t>/01_Data/02_Processed/Datos_hojas_excel_COL/18_nodos/05_Renovables -&gt; Gene.xlsx</t>
  </si>
  <si>
    <t>Demanda</t>
  </si>
  <si>
    <t>BESS_Cand</t>
  </si>
  <si>
    <t>Ver Capitulo 5 del documento de la tesis de maestría</t>
  </si>
  <si>
    <t>FACTS_Cand</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</si>
  <si>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</si>
  <si>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</si>
  <si>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</si>
  <si>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</si>
  <si>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</si>
  <si>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</si>
  <si>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</si>
  <si>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</si>
  <si>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</si>
  <si>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</si>
  <si>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</si>
  <si>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</si>
  <si>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</si>
  <si>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</si>
  <si>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</si>
  <si>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</si>
  <si>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</si>
  <si>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vida_bess</t>
  </si>
  <si>
    <t>años NREL</t>
  </si>
  <si>
    <t>vida_facts</t>
  </si>
  <si>
    <t>años</t>
  </si>
  <si>
    <t>incluir_perdidas</t>
  </si>
  <si>
    <t xml:space="preserve">0 (sin pérdidas - validación DC); 1(con pérdidas) </t>
  </si>
  <si>
    <t>tasa_descuento</t>
  </si>
  <si>
    <t>CREG</t>
  </si>
  <si>
    <t>c_tcsc</t>
  </si>
  <si>
    <t>[USD/MVAr]</t>
  </si>
  <si>
    <t>sigma_niveles</t>
  </si>
  <si>
    <t>theta_max_grados</t>
  </si>
  <si>
    <t>solver</t>
  </si>
  <si>
    <t>gurobi</t>
  </si>
  <si>
    <t>costo_vertimiento</t>
  </si>
  <si>
    <t>Regularizacion del vertimiento [USD por m3/s y hora]. No es un costo real.</t>
  </si>
  <si>
    <t>tol_volumen_inf</t>
  </si>
  <si>
    <t>Banda inferior del cierre de volumen: Vinit - tol*(Vmax-Vmin)</t>
  </si>
  <si>
    <t>tol_volumen_sup</t>
  </si>
  <si>
    <t>Banda superior del cierre de volumen: Vinit + tol*(Vmax-Vmin)</t>
  </si>
  <si>
    <t>fecha_inicio_simulacion</t>
  </si>
  <si>
    <t>fecha_fin_simulacion</t>
  </si>
  <si>
    <t>Nodos - Buses del sistema</t>
  </si>
  <si>
    <t>tipo: 'slack' (referencia, UNO solo), 'pv' (con gen), 'pq' (carga).</t>
  </si>
  <si>
    <t>nombre_subarea</t>
  </si>
  <si>
    <t>slack/pv/pq</t>
  </si>
  <si>
    <t>slack</t>
  </si>
  <si>
    <t>Antioquia</t>
  </si>
  <si>
    <t>Arauca</t>
  </si>
  <si>
    <t>Atlántico</t>
  </si>
  <si>
    <t>Bogotá</t>
  </si>
  <si>
    <t>Bolivar</t>
  </si>
  <si>
    <t>Boyaca-Casanare</t>
  </si>
  <si>
    <t>Caquetá</t>
  </si>
  <si>
    <t>Cauca-Nariño</t>
  </si>
  <si>
    <t>Cerromatoso</t>
  </si>
  <si>
    <t>Cordoba_Sucre</t>
  </si>
  <si>
    <t>Huila-Tolima</t>
  </si>
  <si>
    <t>Meta</t>
  </si>
  <si>
    <t>Norte de Santander</t>
  </si>
  <si>
    <t>Putumayo</t>
  </si>
  <si>
    <t>Santander</t>
  </si>
  <si>
    <t>Valle del Cauca</t>
  </si>
  <si>
    <t>Lineas - Lineas de transmision existentes</t>
  </si>
  <si>
    <t>R y X en por unidad. La susceptancia se calcula como 1/X.</t>
  </si>
  <si>
    <t>desde</t>
  </si>
  <si>
    <t>hasta</t>
  </si>
  <si>
    <t>R</t>
  </si>
  <si>
    <t>X</t>
  </si>
  <si>
    <t>nodo</t>
  </si>
  <si>
    <t>p.u.</t>
  </si>
  <si>
    <t>l1</t>
  </si>
  <si>
    <t>l2</t>
  </si>
  <si>
    <t>l3</t>
  </si>
  <si>
    <t>l4</t>
  </si>
  <si>
    <t>l5</t>
  </si>
  <si>
    <t>l6</t>
  </si>
  <si>
    <t>l7</t>
  </si>
  <si>
    <t>l8</t>
  </si>
  <si>
    <t>l9</t>
  </si>
  <si>
    <t>l10</t>
  </si>
  <si>
    <t>l11</t>
  </si>
  <si>
    <t>l12</t>
  </si>
  <si>
    <t>l13</t>
  </si>
  <si>
    <t>l14</t>
  </si>
  <si>
    <t>l15</t>
  </si>
  <si>
    <t>l16</t>
  </si>
  <si>
    <t>l17</t>
  </si>
  <si>
    <t>l18</t>
  </si>
  <si>
    <t>l19</t>
  </si>
  <si>
    <t>l20</t>
  </si>
  <si>
    <t>l21</t>
  </si>
  <si>
    <t>l22</t>
  </si>
  <si>
    <t>l23</t>
  </si>
  <si>
    <t>l24</t>
  </si>
  <si>
    <t>l25</t>
  </si>
  <si>
    <t>l26</t>
  </si>
  <si>
    <t>Lineas_Cand - Lineas candidatas a construir (TEP)</t>
  </si>
  <si>
    <t>Vacia si no hay candidatas. 'costo' = costo de construccion.</t>
  </si>
  <si>
    <t>USD</t>
  </si>
  <si>
    <t>Generadores - Unidades termicas</t>
  </si>
  <si>
    <t>Costo cuadratico c2*P^2+c1*P+c0. min_on/off y cost_su/sd para UC.</t>
  </si>
  <si>
    <t>rampa_sub_min</t>
  </si>
  <si>
    <t>rampa_baj_min</t>
  </si>
  <si>
    <t>c2</t>
  </si>
  <si>
    <t>c1</t>
  </si>
  <si>
    <t>c0</t>
  </si>
  <si>
    <t>Carga_sincronizante_frío</t>
  </si>
  <si>
    <t>Tiempo_calentamiento_frío</t>
  </si>
  <si>
    <t>Planta</t>
  </si>
  <si>
    <t>codigo</t>
  </si>
  <si>
    <t xml:space="preserve"> Latitud</t>
  </si>
  <si>
    <t>Longitud</t>
  </si>
  <si>
    <t>MW/min</t>
  </si>
  <si>
    <t>MW/h</t>
  </si>
  <si>
    <t>$/MW2</t>
  </si>
  <si>
    <t>$/MW</t>
  </si>
  <si>
    <t>$</t>
  </si>
  <si>
    <t>h</t>
  </si>
  <si>
    <t>°</t>
  </si>
  <si>
    <t>TERMOCENTRO 1</t>
  </si>
  <si>
    <t>Gas</t>
  </si>
  <si>
    <t>TERMOCENTRO CC</t>
  </si>
  <si>
    <t>TRM1</t>
  </si>
  <si>
    <t>TERMOCENTRO 2</t>
  </si>
  <si>
    <t>ACPM</t>
  </si>
  <si>
    <t>TERMOCENTRO 3</t>
  </si>
  <si>
    <t>TERMOSIERRA 1</t>
  </si>
  <si>
    <t>TERMOSIERRA CC</t>
  </si>
  <si>
    <t>TSR1</t>
  </si>
  <si>
    <t>TERMOSIERRA 2</t>
  </si>
  <si>
    <t>TERMOSIERRA 3</t>
  </si>
  <si>
    <t>BARRANQUILLA 3</t>
  </si>
  <si>
    <t>TBQ3</t>
  </si>
  <si>
    <t>BARRANQUILLA 4</t>
  </si>
  <si>
    <t>TBQ4</t>
  </si>
  <si>
    <t>FLORES 1 GAS</t>
  </si>
  <si>
    <t>FLORES I CC</t>
  </si>
  <si>
    <t>TFL1</t>
  </si>
  <si>
    <t>FLORES 1 VAPOR</t>
  </si>
  <si>
    <t>FLORES 2</t>
  </si>
  <si>
    <t>FLORES 4 CC</t>
  </si>
  <si>
    <t>TFL4</t>
  </si>
  <si>
    <t>FLORES 3</t>
  </si>
  <si>
    <t>FLORES 4</t>
  </si>
  <si>
    <t>TEBSA 11</t>
  </si>
  <si>
    <t>TEBSAB CC</t>
  </si>
  <si>
    <t>TBST</t>
  </si>
  <si>
    <t>TEBSA 12</t>
  </si>
  <si>
    <t>TEBSA 13</t>
  </si>
  <si>
    <t>TEBSA 14</t>
  </si>
  <si>
    <t>TEBSA 21</t>
  </si>
  <si>
    <t>TEBSA 22</t>
  </si>
  <si>
    <t>TEBSA 24</t>
  </si>
  <si>
    <t>ZIPAEMG 2</t>
  </si>
  <si>
    <t>Carbón</t>
  </si>
  <si>
    <t>ZPA2</t>
  </si>
  <si>
    <t>ZIPAEMG 3</t>
  </si>
  <si>
    <t>ZPA3</t>
  </si>
  <si>
    <t>ZIPAEMG 4</t>
  </si>
  <si>
    <t>ZPA4</t>
  </si>
  <si>
    <t>ZIPAEMG 5</t>
  </si>
  <si>
    <t>ZPA5</t>
  </si>
  <si>
    <t>CARTAGENA 1</t>
  </si>
  <si>
    <t>Combustóleo</t>
  </si>
  <si>
    <t>CTG1</t>
  </si>
  <si>
    <t>CARTAGENA 2</t>
  </si>
  <si>
    <t>CTG2</t>
  </si>
  <si>
    <t>CARTAGENA 3</t>
  </si>
  <si>
    <t>CTG3</t>
  </si>
  <si>
    <t>PROELECTRICA 1</t>
  </si>
  <si>
    <t>PRG1</t>
  </si>
  <si>
    <t>PROELECTRICA 2</t>
  </si>
  <si>
    <t>PRG2</t>
  </si>
  <si>
    <t>TERMOCANDELARIA CC 1</t>
  </si>
  <si>
    <t>TERMOCANDELARIA CC</t>
  </si>
  <si>
    <t>TCDT</t>
  </si>
  <si>
    <t>TERMOCANDELARIA CC 2</t>
  </si>
  <si>
    <t>TERMOCANDELARIA CC 3</t>
  </si>
  <si>
    <t>TERMOCARIBE III 1</t>
  </si>
  <si>
    <t>GLP</t>
  </si>
  <si>
    <t>TERMOCARIBE III</t>
  </si>
  <si>
    <t>TCBE</t>
  </si>
  <si>
    <t>PAIPA 1</t>
  </si>
  <si>
    <t>PPA1</t>
  </si>
  <si>
    <t>PAIPA 2</t>
  </si>
  <si>
    <t>PPA2</t>
  </si>
  <si>
    <t>PAIPA 3</t>
  </si>
  <si>
    <t>PPA3</t>
  </si>
  <si>
    <t>PAIPA 4</t>
  </si>
  <si>
    <t>PPA4</t>
  </si>
  <si>
    <t>TERMOYOPAL 1</t>
  </si>
  <si>
    <t>TYP1</t>
  </si>
  <si>
    <t>TERMOYOPAL 2</t>
  </si>
  <si>
    <t>TYP2</t>
  </si>
  <si>
    <t>TERMOYOPAL G3</t>
  </si>
  <si>
    <t>TYP3</t>
  </si>
  <si>
    <t>TERMOYOPAL G4</t>
  </si>
  <si>
    <t>TYP4</t>
  </si>
  <si>
    <t>TERMOYOPAL G5</t>
  </si>
  <si>
    <t>TYP5</t>
  </si>
  <si>
    <t>VILLANUEVA 1</t>
  </si>
  <si>
    <t>Biomasa</t>
  </si>
  <si>
    <t>VILLANUEVA</t>
  </si>
  <si>
    <t>4YCN</t>
  </si>
  <si>
    <t>GECELCA 3</t>
  </si>
  <si>
    <t>GEC3</t>
  </si>
  <si>
    <t>GECELCA 32</t>
  </si>
  <si>
    <t>GE32</t>
  </si>
  <si>
    <t>TESORITO 1</t>
  </si>
  <si>
    <t>TESORITO</t>
  </si>
  <si>
    <t>3ENA</t>
  </si>
  <si>
    <t>TESORITO 10</t>
  </si>
  <si>
    <t>TESORITO 11</t>
  </si>
  <si>
    <t>TESORITO 2</t>
  </si>
  <si>
    <t>TESORITO 3</t>
  </si>
  <si>
    <t>TESORITO 4</t>
  </si>
  <si>
    <t>TESORITO 5</t>
  </si>
  <si>
    <t>TESORITO 6</t>
  </si>
  <si>
    <t>TESORITO 7</t>
  </si>
  <si>
    <t>TESORITO 8</t>
  </si>
  <si>
    <t>TESORITO 9</t>
  </si>
  <si>
    <t>TERMODORADA 1</t>
  </si>
  <si>
    <t>TDR1</t>
  </si>
  <si>
    <t>GUAJIRA 1</t>
  </si>
  <si>
    <t>Mezcla Gas - Carbón</t>
  </si>
  <si>
    <t>TGJ1</t>
  </si>
  <si>
    <t>GUAJIRA 2</t>
  </si>
  <si>
    <t>TGJ2</t>
  </si>
  <si>
    <t>TERMONORTE 1</t>
  </si>
  <si>
    <t>TERMONORTE</t>
  </si>
  <si>
    <t>TRN1</t>
  </si>
  <si>
    <t>TERMONORTE 10</t>
  </si>
  <si>
    <t>TERMONORTE 2</t>
  </si>
  <si>
    <t>TERMONORTE 3</t>
  </si>
  <si>
    <t>TERMONORTE 4</t>
  </si>
  <si>
    <t>TERMONORTE 5</t>
  </si>
  <si>
    <t>TERMONORTE 6</t>
  </si>
  <si>
    <t>TERMONORTE 7</t>
  </si>
  <si>
    <t>TERMONORTE 8</t>
  </si>
  <si>
    <t>TERMONORTE 9</t>
  </si>
  <si>
    <t>TASAJERO 1</t>
  </si>
  <si>
    <t>TSJ1</t>
  </si>
  <si>
    <t>TASAJERO 2</t>
  </si>
  <si>
    <t>TSJ2</t>
  </si>
  <si>
    <t>MERILECTRICA 1</t>
  </si>
  <si>
    <t>MRL1</t>
  </si>
  <si>
    <t>TERMOEMCALI 1 GAS</t>
  </si>
  <si>
    <t>TERMOEMCALI CC</t>
  </si>
  <si>
    <t>TEC1</t>
  </si>
  <si>
    <t>TERMOEMCALI 1 VAPOR</t>
  </si>
  <si>
    <t>TERMOVALLE 1 GAS</t>
  </si>
  <si>
    <t>TERMOVALLE CC</t>
  </si>
  <si>
    <t>TVL1</t>
  </si>
  <si>
    <t>TERMOVALLE 1 VAPOR</t>
  </si>
  <si>
    <t>Hidraulicos - Unidades hidraulicas y embalses</t>
  </si>
  <si>
    <t>Vacia si el sistema no tiene hidraulica. Embalse: vol_min/max/ini.</t>
  </si>
  <si>
    <t>Vol/Capa</t>
  </si>
  <si>
    <t>Clasificación</t>
  </si>
  <si>
    <t>embalse</t>
  </si>
  <si>
    <t>m3/s</t>
  </si>
  <si>
    <t>MW/(m3/s)</t>
  </si>
  <si>
    <t>hm3</t>
  </si>
  <si>
    <t>Mm3</t>
  </si>
  <si>
    <t>-</t>
  </si>
  <si>
    <t>$/MWh</t>
  </si>
  <si>
    <t>GUAVIO</t>
  </si>
  <si>
    <t>Cuenta con embalse</t>
  </si>
  <si>
    <t>GVIO</t>
  </si>
  <si>
    <t>PUNCHINA</t>
  </si>
  <si>
    <t>SAN CARLOS</t>
  </si>
  <si>
    <t>SNCR</t>
  </si>
  <si>
    <t>ITUANGO</t>
  </si>
  <si>
    <t>PES1</t>
  </si>
  <si>
    <t>ESMERALDA</t>
  </si>
  <si>
    <t>CHIVOR</t>
  </si>
  <si>
    <t>CHVR</t>
  </si>
  <si>
    <t>TOPOCORO</t>
  </si>
  <si>
    <t>SOGAMOSO</t>
  </si>
  <si>
    <t>SOG1</t>
  </si>
  <si>
    <t>PORCE III</t>
  </si>
  <si>
    <t>PRC3</t>
  </si>
  <si>
    <t>PENOL</t>
  </si>
  <si>
    <t>GUATAPE</t>
  </si>
  <si>
    <t>GTPE</t>
  </si>
  <si>
    <t>BETANIA</t>
  </si>
  <si>
    <t>CHBG</t>
  </si>
  <si>
    <t>PORCE II</t>
  </si>
  <si>
    <t>PRC2</t>
  </si>
  <si>
    <t>EL QUIMBO</t>
  </si>
  <si>
    <t>QUI1</t>
  </si>
  <si>
    <t>AMANI</t>
  </si>
  <si>
    <t>MIEL I</t>
  </si>
  <si>
    <t>HMLG</t>
  </si>
  <si>
    <t>ALTO ANCHICAYA</t>
  </si>
  <si>
    <t>ALBG</t>
  </si>
  <si>
    <t>URRA</t>
  </si>
  <si>
    <t>URA1</t>
  </si>
  <si>
    <t>SALVAJINA</t>
  </si>
  <si>
    <t>SLVJ</t>
  </si>
  <si>
    <t>RIOGRANDE2</t>
  </si>
  <si>
    <t>LA TASAJERA</t>
  </si>
  <si>
    <t>LTSJ</t>
  </si>
  <si>
    <t>PLAYAS</t>
  </si>
  <si>
    <t>PLYS</t>
  </si>
  <si>
    <t>SAN LORENZO</t>
  </si>
  <si>
    <t>JAGUAS</t>
  </si>
  <si>
    <t>JAGS</t>
  </si>
  <si>
    <t>CALIMA</t>
  </si>
  <si>
    <t>CLMG</t>
  </si>
  <si>
    <t>PRADO</t>
  </si>
  <si>
    <t>PRDO</t>
  </si>
  <si>
    <t>TRONERAS</t>
  </si>
  <si>
    <t>GTRG</t>
  </si>
  <si>
    <t>LA GUACA</t>
  </si>
  <si>
    <t>PGUG</t>
  </si>
  <si>
    <t>PARAISO</t>
  </si>
  <si>
    <t>GUADALUPE III</t>
  </si>
  <si>
    <t>GUADALUPE IV</t>
  </si>
  <si>
    <t>DARIO VALENCIA SAMPER</t>
  </si>
  <si>
    <t>Filo de agua</t>
  </si>
  <si>
    <t>DVS1</t>
  </si>
  <si>
    <t>SAN FRANCISCO</t>
  </si>
  <si>
    <t>SNFR</t>
  </si>
  <si>
    <t>AMOYA LA ESPERANZA</t>
  </si>
  <si>
    <t>MOY1</t>
  </si>
  <si>
    <t>CARLOS LLERAS</t>
  </si>
  <si>
    <t>Filo de agua especial</t>
  </si>
  <si>
    <t>CLL1</t>
  </si>
  <si>
    <t>BAJO ANCHICAYA</t>
  </si>
  <si>
    <t>CUCUANA</t>
  </si>
  <si>
    <t>CUC1</t>
  </si>
  <si>
    <t>ESCUELA DE MINAS</t>
  </si>
  <si>
    <t>HMIN</t>
  </si>
  <si>
    <t>SAN MIGUEL</t>
  </si>
  <si>
    <t>SMI1</t>
  </si>
  <si>
    <t>SALTO II</t>
  </si>
  <si>
    <t>2QEK</t>
  </si>
  <si>
    <t>ESMERALDA (CQR)</t>
  </si>
  <si>
    <t>ESMR</t>
  </si>
  <si>
    <t>TUNJITA</t>
  </si>
  <si>
    <t>TUJ1</t>
  </si>
  <si>
    <t>Aportes - Aporte natural por embalse I(h,t)</t>
  </si>
  <si>
    <t>m3/s, dato diario de XM AporCaudal repartido uniformemente entre las 24 horas. El modelo convierte a Mm3 con k_q2v en el balance.</t>
  </si>
  <si>
    <t>Renovables - Generacion solar y eolica</t>
  </si>
  <si>
    <t>La disponibilidad horaria va en la hoja Demanda o un perfil aparte.</t>
  </si>
  <si>
    <t>solar/eolica</t>
  </si>
  <si>
    <t>PORTON DEL SOL</t>
  </si>
  <si>
    <t>solar</t>
  </si>
  <si>
    <t>3IRX</t>
  </si>
  <si>
    <t>CARACOLI I</t>
  </si>
  <si>
    <t>3INX</t>
  </si>
  <si>
    <t>GUAYEPO</t>
  </si>
  <si>
    <t>GYPO</t>
  </si>
  <si>
    <t>GUAYEPO III</t>
  </si>
  <si>
    <t>GYP3</t>
  </si>
  <si>
    <t>PARQUE SOLAR LA UNION</t>
  </si>
  <si>
    <t>3IZ6</t>
  </si>
  <si>
    <t>PARQUE SOLAR PUERTA DE ORO</t>
  </si>
  <si>
    <t>PORO</t>
  </si>
  <si>
    <t>PARQUE SOLAR TEPUY</t>
  </si>
  <si>
    <t>TPUY</t>
  </si>
  <si>
    <t>EL PASO</t>
  </si>
  <si>
    <t>EPFV</t>
  </si>
  <si>
    <t>FUNDACION</t>
  </si>
  <si>
    <t>3HF5</t>
  </si>
  <si>
    <t>LATAM SOLAR LA LOMA</t>
  </si>
  <si>
    <t>3DDT</t>
  </si>
  <si>
    <t>SHANGRI LA</t>
  </si>
  <si>
    <t>4YCF</t>
  </si>
  <si>
    <t>LA MATA</t>
  </si>
  <si>
    <t>MATA</t>
  </si>
  <si>
    <t>SUNNORTE</t>
  </si>
  <si>
    <t>3IQA</t>
  </si>
  <si>
    <t>Renov_Perfil - Disponibilidad horaria de generacion renovable</t>
  </si>
  <si>
    <t>Estructura {hora x recurso}. Fraccion de la capacidad instalada (0-1).</t>
  </si>
  <si>
    <t>frac</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</si>
  <si>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</si>
  <si>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</si>
  <si>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</si>
  <si>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</si>
  <si>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</si>
  <si>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</si>
  <si>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</si>
  <si>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</si>
  <si>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</si>
  <si>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</si>
  <si>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</si>
  <si>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</si>
  <si>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</si>
  <si>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FACTS_Cand - Lineas candidatas a instalar TCSC</t>
  </si>
  <si>
    <t>Vacia si no se consideran FACTS. 'linea' debe existir en Lineas.</t>
  </si>
  <si>
    <t>linea</t>
  </si>
  <si>
    <t>habilitada</t>
  </si>
  <si>
    <r>
      <t xml:space="preserve">  Encabezado fondo </t>
    </r>
    <r>
      <rPr>
        <i/>
        <sz val="10"/>
        <color rgb="FF0000FF"/>
        <rFont val="Calibri"/>
        <family val="2"/>
      </rPr>
      <t xml:space="preserve">azul </t>
    </r>
    <r>
      <rPr>
        <i/>
        <sz val="10"/>
        <color rgb="FF808080"/>
        <rFont val="Calibri"/>
        <family val="2"/>
      </rPr>
      <t>y letras blancas = dato leído por el código</t>
    </r>
  </si>
  <si>
    <r>
      <t xml:space="preserve">  Encabezado fondo </t>
    </r>
    <r>
      <rPr>
        <i/>
        <sz val="10"/>
        <color rgb="FFFF0000"/>
        <rFont val="Calibri"/>
        <family val="2"/>
      </rPr>
      <t>rojo</t>
    </r>
    <r>
      <rPr>
        <i/>
        <sz val="10"/>
        <color rgb="FF808080"/>
        <rFont val="Calibri"/>
        <family val="2"/>
      </rPr>
      <t xml:space="preserve"> y letras blancas = dato no leído por el código</t>
    </r>
  </si>
  <si>
    <r>
      <t xml:space="preserve">  Texto </t>
    </r>
    <r>
      <rPr>
        <i/>
        <sz val="10"/>
        <color rgb="FF0000FF"/>
        <rFont val="Calibri"/>
        <family val="2"/>
      </rPr>
      <t>azul</t>
    </r>
    <r>
      <rPr>
        <i/>
        <sz val="10"/>
        <color rgb="FF808080"/>
        <rFont val="Calibri"/>
        <family val="2"/>
      </rPr>
      <t xml:space="preserve"> = dato de entrada (lo edita el usuario).</t>
    </r>
  </si>
  <si>
    <r>
      <t xml:space="preserve">  Fondo </t>
    </r>
    <r>
      <rPr>
        <i/>
        <sz val="10"/>
        <color theme="4" tint="0.39997558519241921"/>
        <rFont val="Calibri"/>
        <family val="2"/>
      </rPr>
      <t>azul claro</t>
    </r>
    <r>
      <rPr>
        <i/>
        <sz val="10"/>
        <color rgb="FF808080"/>
        <rFont val="Calibri"/>
        <family val="2"/>
      </rPr>
      <t xml:space="preserve"> y letras </t>
    </r>
    <r>
      <rPr>
        <i/>
        <sz val="10"/>
        <color rgb="FF0000FF"/>
        <rFont val="Calibri"/>
        <family val="2"/>
      </rPr>
      <t>azules oscuras</t>
    </r>
    <r>
      <rPr>
        <i/>
        <sz val="10"/>
        <color rgb="FF808080"/>
        <rFont val="Calibri"/>
        <family val="2"/>
      </rPr>
      <t xml:space="preserve">  = dato a cambiar cada vez que se simulan fechas distintas</t>
    </r>
  </si>
  <si>
    <t>-0.40,-0.20,-0.10,0.15,0.30,0.45,0.60</t>
  </si>
  <si>
    <t>Solo compensacion capacitiva/inductiva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</si>
</sst>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43" formatCode="_-* #,##0.00_-;\-* #,##0.00_-;_-* &quot;-&quot;??_-;_-@_-"/>
  </numFmts>
  <fonts count="13"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theme="1"/>
      <name val="Calibri"/>
      <family val="2"/>
      <scheme val="minor"/>
    </font>
    <font>
      <sz val="11"/>
      <color theme="0" tint="-0.499984740745262"/>
      <name val="Calibri"/>
      <family val="2"/>
    </font>
    <font>
      <i/>
      <sz val="9"/>
      <color rgb="FFFF0000"/>
      <name val="Calibri"/>
      <family val="2"/>
    </font>
    <font>
      <sz val="11"/>
      <color rgb="FF9C5700"/>
      <name val="Calibri"/>
      <family val="2"/>
      <scheme val="minor"/>
    </font>
    <font>
      <i/>
      <sz val="10"/>
      <color rgb="FFFF0000"/>
      <name val="Calibri"/>
      <family val="2"/>
    </font>
    <font>
      <i/>
      <sz val="10"/>
      <color rgb="FF0000FF"/>
      <name val="Calibri"/>
      <family val="2"/>
    </font>
    <font>
      <i/>
      <sz val="10"/>
      <color theme="4" tint="0.39997558519241921"/>
      <name val="Calibri"/>
      <family val="2"/>
    </font>
  </fonts>
  <fills count="7">
    <fill>
      <patternFill patternType="none"/>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2"/>
        <bgColor indexed="64"/>
      </patternFill>
    </fill>
    <fill>
      <patternFill patternType="solid">
        <fgColor theme="4" tint="0.79998168889431442"/>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0" fillId="0" borderId="0"/>
    <xf numFmtId="43" fontId="6" fillId="0" borderId="0"/>
    <xf numFmtId="44" fontId="6" fillId="0" borderId="0"/>
    <xf numFmtId="0" fontId="9" fillId="4" borderId="0"/>
  </cellStyleXfs>
  <cellXfs count="3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left"/>
    </xf>
    <xf numFmtId="0" fontId="5" fillId="0" borderId="0" xfId="0" applyFont="1" applyAlignment="1">
      <alignment horizontal="left" vertical="center"/>
    </xf>
    <xf numFmtId="0" fontId="5" fillId="0" borderId="0" xfId="0" applyFont="1" applyAlignment="1">
      <alignment horizontal="center" vertical="center"/>
    </xf>
    <xf numFmtId="44" fontId="5" fillId="0" borderId="1" xfId="2" applyFont="1" applyBorder="1" applyAlignment="1">
      <alignment horizontal="center" vertical="center"/>
    </xf>
    <xf numFmtId="0" fontId="7" fillId="0" borderId="1" xfId="0" applyFont="1" applyBorder="1" applyAlignment="1">
      <alignment horizontal="left" vertical="center"/>
    </xf>
    <xf numFmtId="0" fontId="3" fillId="3" borderId="1" xfId="0" applyFont="1" applyFill="1" applyBorder="1" applyAlignment="1">
      <alignment horizontal="center" vertical="center"/>
    </xf>
    <xf numFmtId="0" fontId="7" fillId="0" borderId="1" xfId="0" applyFont="1" applyBorder="1" applyAlignment="1">
      <alignment horizontal="left" vertical="center" indent="3"/>
    </xf>
    <xf numFmtId="0" fontId="7" fillId="0" borderId="2" xfId="0" applyFont="1" applyBorder="1" applyAlignment="1">
      <alignment horizontal="left" vertical="center" indent="3"/>
    </xf>
    <xf numFmtId="0" fontId="7" fillId="0" borderId="3" xfId="0" applyFont="1" applyBorder="1" applyAlignment="1">
      <alignment horizontal="left" vertical="center"/>
    </xf>
    <xf numFmtId="0" fontId="8" fillId="0" borderId="0" xfId="0" applyFont="1" applyAlignment="1">
      <alignment horizontal="center" vertical="center"/>
    </xf>
    <xf numFmtId="0" fontId="5" fillId="0" borderId="1" xfId="1" applyNumberFormat="1" applyFont="1" applyBorder="1" applyAlignment="1">
      <alignment horizontal="center" vertical="center"/>
    </xf>
    <xf numFmtId="0" fontId="3" fillId="3" borderId="1" xfId="0" applyFont="1" applyFill="1" applyBorder="1" applyAlignment="1">
      <alignment horizontal="center" vertical="center" wrapText="1"/>
    </xf>
    <xf numFmtId="2" fontId="5" fillId="0" borderId="1" xfId="0" applyNumberFormat="1" applyFont="1" applyBorder="1" applyAlignment="1">
      <alignment horizontal="center" vertical="center"/>
    </xf>
    <xf numFmtId="0" fontId="4" fillId="0" borderId="0" xfId="0" applyFont="1" applyAlignment="1">
      <alignment horizontal="left" vertical="center"/>
    </xf>
    <xf numFmtId="14" fontId="5" fillId="0" borderId="0" xfId="0" applyNumberFormat="1" applyFont="1" applyAlignment="1">
      <alignment horizontal="left" vertical="center"/>
    </xf>
    <xf numFmtId="0" fontId="7" fillId="0" borderId="0" xfId="0" applyFont="1" applyAlignment="1">
      <alignment horizontal="left" vertical="center"/>
    </xf>
    <xf numFmtId="2" fontId="9" fillId="4" borderId="1" xfId="3" applyNumberFormat="1" applyBorder="1" applyAlignment="1">
      <alignment horizontal="center" vertical="center"/>
    </xf>
    <xf numFmtId="2" fontId="5" fillId="0" borderId="1" xfId="1" applyNumberFormat="1" applyFont="1" applyBorder="1" applyAlignment="1">
      <alignment horizontal="center" vertical="center"/>
    </xf>
    <xf numFmtId="0" fontId="9" fillId="4" borderId="0" xfId="3" applyAlignment="1">
      <alignment horizontal="left" vertical="center"/>
    </xf>
    <xf numFmtId="0" fontId="5" fillId="5" borderId="1" xfId="0" applyFont="1" applyFill="1" applyBorder="1" applyAlignment="1">
      <alignment horizontal="left" vertical="center"/>
    </xf>
    <xf numFmtId="0" fontId="9" fillId="4" borderId="1" xfId="3" applyBorder="1" applyAlignment="1">
      <alignment horizontal="center" vertical="center"/>
    </xf>
    <xf numFmtId="0" fontId="5" fillId="0" borderId="0" xfId="0" quotePrefix="1" applyFont="1" applyAlignment="1">
      <alignment horizontal="left" vertical="center"/>
    </xf>
    <xf numFmtId="11" fontId="5" fillId="0" borderId="1" xfId="0" applyNumberFormat="1" applyFont="1" applyBorder="1" applyAlignment="1">
      <alignment horizontal="left" vertical="center"/>
    </xf>
    <xf numFmtId="44" fontId="5" fillId="6" borderId="1" xfId="2" applyFont="1" applyFill="1" applyBorder="1" applyAlignment="1">
      <alignment horizontal="center" vertical="center"/>
    </xf>
    <xf numFmtId="2"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43" fontId="5" fillId="0" borderId="1" xfId="1" applyFont="1" applyBorder="1" applyAlignment="1">
      <alignment horizontal="center" vertical="center"/>
    </xf>
  </cellXfs>
  <cellStyles count="4">
    <cellStyle name="Comma" xfId="1" builtinId="3"/>
    <cellStyle name="Currency" xfId="2" builtinId="4"/>
    <cellStyle name="Neutral" xfId="3" builtinId="28"/>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Daniel Lindo" id="{55B0B323-01BE-440E-9E23-E08A27D9B3CF}"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7" dT="2026-08-30T03:29:11.61" personId="{55B0B323-01BE-440E-9E23-E08A27D9B3CF}" id="{773FF588-47DD-4E6B-8C48-2DAECBFC0561}">
    <text xml:space="preserve">Plan_Expansion_Transmision_2025-2039.pdf - pag 316
En el Informe Trimestral de Restricciones de 2019-T2, XM manifestó que, “La
importación del área Suroccidental a través del circuito San Carlos – Virginia
500 kV se limita a 500 MW para evitar sobrecargas en San Marcos 500/230 kV y
Virginia 500/230 kV ante la contingencia N-1 de uno de ellos. Adicionalmente,
se requiere despachar un mínimo número de unidades para el control de
tensión al interior del área.”, con lo cual muestra la necesidad de refuerzos de
transformación en el área Suroccidental.
Así que XM opera ese corredor muy por debajo de su límite térmico, por seguridad. 
</text>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workbookViewId="0">
      <selection activeCell="A6" sqref="A6"/>
    </sheetView>
  </sheetViews>
  <sheetFormatPr defaultRowHeight="15" x14ac:dyDescent="0.25"/>
  <cols>
    <col min="1" max="1" width="70" customWidth="1"/>
    <col min="2" max="2" width="4.28515625" customWidth="1"/>
    <col min="3" max="3" width="26.85546875" bestFit="1" customWidth="1"/>
    <col min="4" max="4" width="72.140625" customWidth="1"/>
    <col min="5" max="5" width="101" bestFit="1" customWidth="1"/>
  </cols>
  <sheetData>
    <row r="1" spans="1:5" ht="18.75" customHeight="1" x14ac:dyDescent="0.3">
      <c r="A1" s="1" t="s">
        <v>22</v>
      </c>
      <c r="C1" s="1" t="s">
        <v>23</v>
      </c>
    </row>
    <row r="2" spans="1:5" x14ac:dyDescent="0.25">
      <c r="A2" s="2" t="s">
        <v>24</v>
      </c>
      <c r="C2" s="2" t="s">
        <v>24</v>
      </c>
    </row>
    <row r="3" spans="1:5" x14ac:dyDescent="0.25">
      <c r="A3" s="2"/>
      <c r="C3" s="12" t="s">
        <v>25</v>
      </c>
      <c r="D3" s="12" t="s">
        <v>26</v>
      </c>
      <c r="E3" s="12" t="s">
        <v>27</v>
      </c>
    </row>
    <row r="4" spans="1:5" x14ac:dyDescent="0.25">
      <c r="A4" s="2" t="s">
        <v>28</v>
      </c>
      <c r="C4" s="11" t="s">
        <v>29</v>
      </c>
      <c r="D4" s="11" t="s">
        <v>30</v>
      </c>
      <c r="E4" s="11" t="s">
        <v>31</v>
      </c>
    </row>
    <row r="5" spans="1:5" x14ac:dyDescent="0.25">
      <c r="A5" s="2" t="s">
        <v>32</v>
      </c>
      <c r="C5" s="13" t="s">
        <v>33</v>
      </c>
      <c r="D5" s="11" t="s">
        <v>34</v>
      </c>
    </row>
    <row r="6" spans="1:5" x14ac:dyDescent="0.25">
      <c r="A6" s="2" t="s">
        <v>35</v>
      </c>
      <c r="C6" s="11" t="s">
        <v>36</v>
      </c>
      <c r="D6" s="11" t="s">
        <v>30</v>
      </c>
    </row>
    <row r="7" spans="1:5" x14ac:dyDescent="0.25">
      <c r="A7" s="2"/>
      <c r="C7" s="13" t="s">
        <v>37</v>
      </c>
      <c r="D7" s="22" t="s">
        <v>38</v>
      </c>
    </row>
    <row r="8" spans="1:5" x14ac:dyDescent="0.25">
      <c r="A8" s="2" t="s">
        <v>39</v>
      </c>
      <c r="C8" s="13" t="s">
        <v>40</v>
      </c>
      <c r="D8" s="22" t="s">
        <v>38</v>
      </c>
    </row>
    <row r="9" spans="1:5" x14ac:dyDescent="0.25">
      <c r="A9" s="2" t="s">
        <v>41</v>
      </c>
      <c r="C9" s="13" t="s">
        <v>42</v>
      </c>
      <c r="D9" s="22" t="s">
        <v>38</v>
      </c>
      <c r="E9" s="11" t="s">
        <v>43</v>
      </c>
    </row>
    <row r="10" spans="1:5" x14ac:dyDescent="0.25">
      <c r="A10" s="2" t="s">
        <v>44</v>
      </c>
      <c r="C10" s="11" t="s">
        <v>45</v>
      </c>
      <c r="D10" s="11" t="s">
        <v>46</v>
      </c>
      <c r="E10" s="11"/>
    </row>
    <row r="11" spans="1:5" x14ac:dyDescent="0.25">
      <c r="A11" s="2" t="s">
        <v>47</v>
      </c>
      <c r="C11" s="13" t="s">
        <v>48</v>
      </c>
      <c r="D11" s="11" t="s">
        <v>49</v>
      </c>
      <c r="E11" s="11" t="s">
        <v>50</v>
      </c>
    </row>
    <row r="12" spans="1:5" x14ac:dyDescent="0.25">
      <c r="A12" s="2" t="s">
        <v>51</v>
      </c>
      <c r="C12" s="13" t="s">
        <v>52</v>
      </c>
      <c r="D12" s="11" t="s">
        <v>49</v>
      </c>
      <c r="E12" s="11"/>
    </row>
    <row r="13" spans="1:5" x14ac:dyDescent="0.25">
      <c r="A13" s="2" t="s">
        <v>53</v>
      </c>
      <c r="C13" s="13" t="s">
        <v>54</v>
      </c>
      <c r="D13" s="11" t="s">
        <v>55</v>
      </c>
      <c r="E13" s="11"/>
    </row>
    <row r="14" spans="1:5" x14ac:dyDescent="0.25">
      <c r="A14" s="2" t="s">
        <v>56</v>
      </c>
      <c r="C14" s="13" t="s">
        <v>57</v>
      </c>
      <c r="D14" s="11" t="s">
        <v>55</v>
      </c>
      <c r="E14" s="11"/>
    </row>
    <row r="15" spans="1:5" x14ac:dyDescent="0.25">
      <c r="A15" s="2" t="s">
        <v>58</v>
      </c>
      <c r="C15" s="13" t="s">
        <v>59</v>
      </c>
      <c r="D15" s="11" t="s">
        <v>60</v>
      </c>
      <c r="E15" s="11"/>
    </row>
    <row r="16" spans="1:5" x14ac:dyDescent="0.25">
      <c r="A16" s="2" t="s">
        <v>61</v>
      </c>
      <c r="C16" s="13" t="s">
        <v>62</v>
      </c>
      <c r="D16" s="11" t="s">
        <v>63</v>
      </c>
      <c r="E16" s="11"/>
    </row>
    <row r="17" spans="1:5" x14ac:dyDescent="0.25">
      <c r="A17" s="2" t="s">
        <v>64</v>
      </c>
      <c r="C17" s="13" t="s">
        <v>65</v>
      </c>
      <c r="D17" s="11" t="s">
        <v>49</v>
      </c>
      <c r="E17" s="11"/>
    </row>
    <row r="18" spans="1:5" x14ac:dyDescent="0.25">
      <c r="A18" s="2" t="s">
        <v>66</v>
      </c>
      <c r="C18" s="13" t="s">
        <v>67</v>
      </c>
      <c r="D18" s="11" t="s">
        <v>49</v>
      </c>
      <c r="E18" s="11"/>
    </row>
    <row r="19" spans="1:5" x14ac:dyDescent="0.25">
      <c r="A19" s="2" t="s">
        <v>68</v>
      </c>
      <c r="C19" s="14" t="s">
        <v>69</v>
      </c>
      <c r="D19" s="11" t="s">
        <v>49</v>
      </c>
      <c r="E19" s="11"/>
    </row>
    <row r="20" spans="1:5" x14ac:dyDescent="0.25">
      <c r="A20" s="2"/>
      <c r="C20" s="14" t="s">
        <v>70</v>
      </c>
      <c r="D20" s="11" t="s">
        <v>71</v>
      </c>
      <c r="E20" s="11" t="s">
        <v>72</v>
      </c>
    </row>
    <row r="21" spans="1:5" x14ac:dyDescent="0.25">
      <c r="A21" s="2" t="s">
        <v>73</v>
      </c>
      <c r="C21" s="14" t="s">
        <v>74</v>
      </c>
      <c r="D21" s="11" t="s">
        <v>49</v>
      </c>
      <c r="E21" s="11"/>
    </row>
    <row r="22" spans="1:5" x14ac:dyDescent="0.25">
      <c r="A22" s="2" t="s">
        <v>507</v>
      </c>
      <c r="C22" s="14" t="s">
        <v>75</v>
      </c>
      <c r="D22" s="15" t="s">
        <v>76</v>
      </c>
      <c r="E22" s="11"/>
    </row>
    <row r="23" spans="1:5" x14ac:dyDescent="0.25">
      <c r="A23" s="2" t="s">
        <v>508</v>
      </c>
      <c r="C23" s="11" t="s">
        <v>77</v>
      </c>
      <c r="D23" s="11" t="s">
        <v>78</v>
      </c>
      <c r="E23" s="11" t="s">
        <v>50</v>
      </c>
    </row>
    <row r="24" spans="1:5" x14ac:dyDescent="0.25">
      <c r="A24" s="2" t="s">
        <v>509</v>
      </c>
      <c r="C24" s="13" t="s">
        <v>48</v>
      </c>
      <c r="D24" s="11" t="s">
        <v>79</v>
      </c>
      <c r="E24" s="11" t="s">
        <v>80</v>
      </c>
    </row>
    <row r="25" spans="1:5" x14ac:dyDescent="0.25">
      <c r="A25" s="2" t="s">
        <v>510</v>
      </c>
      <c r="C25" s="13" t="s">
        <v>81</v>
      </c>
      <c r="D25" s="11" t="s">
        <v>71</v>
      </c>
      <c r="E25" s="11" t="s">
        <v>72</v>
      </c>
    </row>
    <row r="26" spans="1:5" x14ac:dyDescent="0.25">
      <c r="C26" s="13" t="s">
        <v>83</v>
      </c>
      <c r="D26" s="11" t="s">
        <v>84</v>
      </c>
      <c r="E26" s="11"/>
    </row>
    <row r="27" spans="1:5" x14ac:dyDescent="0.25">
      <c r="A27" s="2" t="s">
        <v>82</v>
      </c>
      <c r="C27" s="13" t="s">
        <v>86</v>
      </c>
      <c r="D27" s="15" t="s">
        <v>87</v>
      </c>
      <c r="E27" s="11"/>
    </row>
    <row r="28" spans="1:5" x14ac:dyDescent="0.25">
      <c r="A28" s="2" t="s">
        <v>85</v>
      </c>
      <c r="C28" s="13" t="s">
        <v>88</v>
      </c>
      <c r="D28" s="15" t="s">
        <v>89</v>
      </c>
      <c r="E28" s="11"/>
    </row>
    <row r="29" spans="1:5" x14ac:dyDescent="0.25">
      <c r="C29" s="13" t="s">
        <v>90</v>
      </c>
      <c r="D29" s="11" t="s">
        <v>91</v>
      </c>
      <c r="E29" s="11"/>
    </row>
    <row r="30" spans="1:5" x14ac:dyDescent="0.25">
      <c r="A30" s="6"/>
      <c r="C30" s="13" t="s">
        <v>92</v>
      </c>
      <c r="D30" s="11" t="s">
        <v>93</v>
      </c>
      <c r="E30" s="11" t="s">
        <v>94</v>
      </c>
    </row>
    <row r="31" spans="1:5" x14ac:dyDescent="0.25">
      <c r="C31" s="13" t="s">
        <v>95</v>
      </c>
      <c r="D31" s="11" t="s">
        <v>93</v>
      </c>
      <c r="E31" s="11" t="s">
        <v>94</v>
      </c>
    </row>
    <row r="32" spans="1:5" x14ac:dyDescent="0.25">
      <c r="C32" s="13" t="s">
        <v>96</v>
      </c>
      <c r="D32" s="15" t="s">
        <v>97</v>
      </c>
      <c r="E32" s="11"/>
    </row>
    <row r="33" spans="3:5" x14ac:dyDescent="0.25">
      <c r="C33" s="13" t="s">
        <v>98</v>
      </c>
      <c r="D33" s="11" t="s">
        <v>71</v>
      </c>
      <c r="E33" s="11"/>
    </row>
    <row r="34" spans="3:5" x14ac:dyDescent="0.25">
      <c r="C34" s="13" t="s">
        <v>99</v>
      </c>
      <c r="D34" s="11" t="s">
        <v>60</v>
      </c>
      <c r="E34" s="11"/>
    </row>
    <row r="35" spans="3:5" x14ac:dyDescent="0.25">
      <c r="C35" s="13" t="s">
        <v>100</v>
      </c>
      <c r="D35" s="15" t="s">
        <v>101</v>
      </c>
      <c r="E35" s="11"/>
    </row>
    <row r="36" spans="3:5" x14ac:dyDescent="0.25">
      <c r="C36" s="13" t="s">
        <v>102</v>
      </c>
      <c r="D36" s="11" t="s">
        <v>91</v>
      </c>
      <c r="E36" s="11"/>
    </row>
    <row r="37" spans="3:5" x14ac:dyDescent="0.25">
      <c r="C37" s="11" t="s">
        <v>103</v>
      </c>
      <c r="D37" s="11" t="s">
        <v>104</v>
      </c>
      <c r="E37" s="11" t="s">
        <v>105</v>
      </c>
    </row>
    <row r="38" spans="3:5" x14ac:dyDescent="0.25">
      <c r="C38" s="11" t="s">
        <v>106</v>
      </c>
      <c r="D38" s="11" t="s">
        <v>107</v>
      </c>
      <c r="E38" s="11"/>
    </row>
    <row r="39" spans="3:5" x14ac:dyDescent="0.25">
      <c r="C39" s="13" t="s">
        <v>48</v>
      </c>
      <c r="D39" s="11" t="s">
        <v>84</v>
      </c>
      <c r="E39" s="11"/>
    </row>
    <row r="40" spans="3:5" x14ac:dyDescent="0.25">
      <c r="C40" s="13" t="s">
        <v>108</v>
      </c>
      <c r="D40" s="11" t="s">
        <v>84</v>
      </c>
      <c r="E40" s="11"/>
    </row>
    <row r="41" spans="3:5" x14ac:dyDescent="0.25">
      <c r="C41" s="13" t="s">
        <v>109</v>
      </c>
      <c r="D41" s="11" t="s">
        <v>84</v>
      </c>
      <c r="E41" s="11"/>
    </row>
    <row r="42" spans="3:5" x14ac:dyDescent="0.25">
      <c r="C42" s="11" t="s">
        <v>110</v>
      </c>
      <c r="D42" s="11" t="s">
        <v>111</v>
      </c>
      <c r="E42" s="11"/>
    </row>
    <row r="43" spans="3:5" x14ac:dyDescent="0.25">
      <c r="C43" s="11" t="s">
        <v>112</v>
      </c>
      <c r="D43" s="11"/>
      <c r="E43" s="11"/>
    </row>
    <row r="44" spans="3:5" x14ac:dyDescent="0.25">
      <c r="C44" s="11" t="s">
        <v>113</v>
      </c>
      <c r="D44" s="11" t="s">
        <v>114</v>
      </c>
      <c r="E44" s="11" t="s">
        <v>114</v>
      </c>
    </row>
    <row r="45" spans="3:5" x14ac:dyDescent="0.25">
      <c r="C45" s="11" t="s">
        <v>115</v>
      </c>
      <c r="D45" s="11" t="s">
        <v>114</v>
      </c>
      <c r="E45" s="11" t="s">
        <v>114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4"/>
  <sheetViews>
    <sheetView tabSelected="1" workbookViewId="0">
      <selection activeCell="C19" sqref="C19"/>
    </sheetView>
  </sheetViews>
  <sheetFormatPr defaultRowHeight="15" x14ac:dyDescent="0.25"/>
  <cols>
    <col min="1" max="1" width="44.42578125" bestFit="1" customWidth="1"/>
    <col min="2" max="2" width="37.28515625" bestFit="1" customWidth="1"/>
    <col min="3" max="3" width="68.5703125" customWidth="1"/>
  </cols>
  <sheetData>
    <row r="1" spans="1:3" ht="18.75" customHeight="1" x14ac:dyDescent="0.3">
      <c r="A1" s="1" t="s">
        <v>116</v>
      </c>
    </row>
    <row r="2" spans="1:3" x14ac:dyDescent="0.25">
      <c r="A2" s="2" t="s">
        <v>117</v>
      </c>
    </row>
    <row r="4" spans="1:3" x14ac:dyDescent="0.25">
      <c r="A4" s="3" t="s">
        <v>118</v>
      </c>
      <c r="B4" s="3" t="s">
        <v>119</v>
      </c>
      <c r="C4" s="3" t="s">
        <v>120</v>
      </c>
    </row>
    <row r="5" spans="1:3" x14ac:dyDescent="0.25">
      <c r="A5" s="4"/>
      <c r="B5" s="4"/>
      <c r="C5" s="4"/>
    </row>
    <row r="6" spans="1:3" x14ac:dyDescent="0.25">
      <c r="A6" s="6" t="s">
        <v>121</v>
      </c>
      <c r="B6" s="6">
        <v>100</v>
      </c>
      <c r="C6" s="6" t="s">
        <v>122</v>
      </c>
    </row>
    <row r="7" spans="1:3" x14ac:dyDescent="0.25">
      <c r="A7" s="6" t="s">
        <v>123</v>
      </c>
      <c r="B7" s="6">
        <v>24</v>
      </c>
      <c r="C7" s="6" t="s">
        <v>124</v>
      </c>
    </row>
    <row r="8" spans="1:3" x14ac:dyDescent="0.25">
      <c r="A8" s="6" t="s">
        <v>125</v>
      </c>
      <c r="B8" s="6">
        <v>3</v>
      </c>
      <c r="C8" s="6" t="s">
        <v>126</v>
      </c>
    </row>
    <row r="9" spans="1:3" x14ac:dyDescent="0.25">
      <c r="A9" s="6" t="s">
        <v>127</v>
      </c>
      <c r="B9" s="6">
        <v>4</v>
      </c>
      <c r="C9" s="6" t="s">
        <v>128</v>
      </c>
    </row>
    <row r="10" spans="1:3" x14ac:dyDescent="0.25">
      <c r="A10" s="6" t="s">
        <v>129</v>
      </c>
      <c r="B10" s="29">
        <v>9.9999999999999995E-8</v>
      </c>
      <c r="C10" s="6" t="s">
        <v>130</v>
      </c>
    </row>
    <row r="11" spans="1:3" x14ac:dyDescent="0.25">
      <c r="A11" s="6" t="s">
        <v>131</v>
      </c>
      <c r="B11" s="6">
        <f>60*60*8</f>
        <v>28800</v>
      </c>
      <c r="C11" s="6" t="s">
        <v>132</v>
      </c>
    </row>
    <row r="12" spans="1:3" x14ac:dyDescent="0.25">
      <c r="A12" s="7" t="s">
        <v>133</v>
      </c>
      <c r="B12" s="7">
        <v>15</v>
      </c>
      <c r="C12" s="7" t="s">
        <v>134</v>
      </c>
    </row>
    <row r="13" spans="1:3" x14ac:dyDescent="0.25">
      <c r="A13" s="7" t="s">
        <v>135</v>
      </c>
      <c r="B13" s="7">
        <v>20</v>
      </c>
      <c r="C13" s="7" t="s">
        <v>136</v>
      </c>
    </row>
    <row r="14" spans="1:3" x14ac:dyDescent="0.25">
      <c r="A14" s="8" t="s">
        <v>137</v>
      </c>
      <c r="B14" s="8">
        <v>1</v>
      </c>
      <c r="C14" s="8" t="s">
        <v>138</v>
      </c>
    </row>
    <row r="15" spans="1:3" x14ac:dyDescent="0.25">
      <c r="A15" s="8" t="s">
        <v>139</v>
      </c>
      <c r="B15" s="8">
        <v>0.115</v>
      </c>
      <c r="C15" s="8" t="s">
        <v>140</v>
      </c>
    </row>
    <row r="16" spans="1:3" x14ac:dyDescent="0.25">
      <c r="A16" s="8" t="s">
        <v>141</v>
      </c>
      <c r="B16" s="8">
        <v>135000</v>
      </c>
      <c r="C16" s="8" t="s">
        <v>142</v>
      </c>
    </row>
    <row r="17" spans="1:3" x14ac:dyDescent="0.25">
      <c r="A17" s="8" t="s">
        <v>143</v>
      </c>
      <c r="B17" s="28" t="s">
        <v>511</v>
      </c>
      <c r="C17" s="8" t="s">
        <v>512</v>
      </c>
    </row>
    <row r="18" spans="1:3" x14ac:dyDescent="0.25">
      <c r="A18" s="8" t="s">
        <v>144</v>
      </c>
      <c r="B18" s="8">
        <v>20</v>
      </c>
      <c r="C18" s="8"/>
    </row>
    <row r="19" spans="1:3" x14ac:dyDescent="0.25">
      <c r="A19" s="8" t="s">
        <v>145</v>
      </c>
      <c r="B19" s="8" t="s">
        <v>146</v>
      </c>
      <c r="C19" s="8"/>
    </row>
    <row r="20" spans="1:3" x14ac:dyDescent="0.25">
      <c r="A20" s="25" t="s">
        <v>147</v>
      </c>
      <c r="B20" s="25">
        <v>0.01</v>
      </c>
      <c r="C20" s="25" t="s">
        <v>148</v>
      </c>
    </row>
    <row r="21" spans="1:3" x14ac:dyDescent="0.25">
      <c r="A21" s="25" t="s">
        <v>149</v>
      </c>
      <c r="B21" s="25">
        <v>0.3</v>
      </c>
      <c r="C21" s="25" t="s">
        <v>150</v>
      </c>
    </row>
    <row r="22" spans="1:3" x14ac:dyDescent="0.25">
      <c r="A22" s="25" t="s">
        <v>151</v>
      </c>
      <c r="B22" s="25">
        <v>0.05</v>
      </c>
      <c r="C22" s="25" t="s">
        <v>152</v>
      </c>
    </row>
    <row r="23" spans="1:3" x14ac:dyDescent="0.25">
      <c r="A23" s="8" t="s">
        <v>153</v>
      </c>
      <c r="B23" s="21">
        <v>46211</v>
      </c>
    </row>
    <row r="24" spans="1:3" x14ac:dyDescent="0.25">
      <c r="A24" s="8" t="s">
        <v>154</v>
      </c>
      <c r="B24" s="21">
        <v>46211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workbookViewId="0">
      <selection activeCell="A6" sqref="A6:A23"/>
    </sheetView>
  </sheetViews>
  <sheetFormatPr defaultRowHeight="15" x14ac:dyDescent="0.25"/>
  <cols>
    <col min="1" max="2" width="16" customWidth="1"/>
    <col min="3" max="3" width="18.5703125" bestFit="1" customWidth="1"/>
  </cols>
  <sheetData>
    <row r="1" spans="1:3" ht="18.75" customHeight="1" x14ac:dyDescent="0.3">
      <c r="A1" s="1" t="s">
        <v>155</v>
      </c>
    </row>
    <row r="2" spans="1:3" x14ac:dyDescent="0.25">
      <c r="A2" s="2" t="s">
        <v>156</v>
      </c>
    </row>
    <row r="4" spans="1:3" x14ac:dyDescent="0.25">
      <c r="A4" s="3" t="s">
        <v>48</v>
      </c>
      <c r="B4" s="3" t="s">
        <v>108</v>
      </c>
      <c r="C4" s="12" t="s">
        <v>157</v>
      </c>
    </row>
    <row r="5" spans="1:3" x14ac:dyDescent="0.25">
      <c r="A5" s="4"/>
      <c r="B5" s="4" t="s">
        <v>158</v>
      </c>
      <c r="C5" s="4"/>
    </row>
    <row r="6" spans="1:3" x14ac:dyDescent="0.25">
      <c r="A6" s="5" t="s">
        <v>3</v>
      </c>
      <c r="B6" s="5" t="s">
        <v>159</v>
      </c>
      <c r="C6" s="6" t="s">
        <v>160</v>
      </c>
    </row>
    <row r="7" spans="1:3" x14ac:dyDescent="0.25">
      <c r="A7" s="5" t="s">
        <v>4</v>
      </c>
      <c r="B7" s="5">
        <v>0</v>
      </c>
      <c r="C7" s="6" t="s">
        <v>161</v>
      </c>
    </row>
    <row r="8" spans="1:3" x14ac:dyDescent="0.25">
      <c r="A8" s="5" t="s">
        <v>5</v>
      </c>
      <c r="B8" s="5">
        <v>0</v>
      </c>
      <c r="C8" s="6" t="s">
        <v>162</v>
      </c>
    </row>
    <row r="9" spans="1:3" x14ac:dyDescent="0.25">
      <c r="A9" s="5" t="s">
        <v>6</v>
      </c>
      <c r="B9" s="5">
        <v>0</v>
      </c>
      <c r="C9" s="6" t="s">
        <v>163</v>
      </c>
    </row>
    <row r="10" spans="1:3" x14ac:dyDescent="0.25">
      <c r="A10" s="5" t="s">
        <v>7</v>
      </c>
      <c r="B10" s="5">
        <v>0</v>
      </c>
      <c r="C10" s="6" t="s">
        <v>164</v>
      </c>
    </row>
    <row r="11" spans="1:3" x14ac:dyDescent="0.25">
      <c r="A11" s="5" t="s">
        <v>8</v>
      </c>
      <c r="B11" s="5">
        <v>0</v>
      </c>
      <c r="C11" s="6" t="s">
        <v>165</v>
      </c>
    </row>
    <row r="12" spans="1:3" x14ac:dyDescent="0.25">
      <c r="A12" s="5" t="s">
        <v>9</v>
      </c>
      <c r="B12" s="5">
        <v>0</v>
      </c>
      <c r="C12" s="6" t="s">
        <v>9</v>
      </c>
    </row>
    <row r="13" spans="1:3" x14ac:dyDescent="0.25">
      <c r="A13" s="5" t="s">
        <v>10</v>
      </c>
      <c r="B13" s="5">
        <v>0</v>
      </c>
      <c r="C13" s="6" t="s">
        <v>166</v>
      </c>
    </row>
    <row r="14" spans="1:3" x14ac:dyDescent="0.25">
      <c r="A14" s="5" t="s">
        <v>11</v>
      </c>
      <c r="B14" s="5">
        <v>0</v>
      </c>
      <c r="C14" s="6" t="s">
        <v>167</v>
      </c>
    </row>
    <row r="15" spans="1:3" x14ac:dyDescent="0.25">
      <c r="A15" s="5" t="s">
        <v>12</v>
      </c>
      <c r="B15" s="5">
        <v>0</v>
      </c>
      <c r="C15" s="6" t="s">
        <v>168</v>
      </c>
    </row>
    <row r="16" spans="1:3" x14ac:dyDescent="0.25">
      <c r="A16" s="5" t="s">
        <v>13</v>
      </c>
      <c r="B16" s="5">
        <v>0</v>
      </c>
      <c r="C16" s="6" t="s">
        <v>169</v>
      </c>
    </row>
    <row r="17" spans="1:3" x14ac:dyDescent="0.25">
      <c r="A17" s="5" t="s">
        <v>14</v>
      </c>
      <c r="B17" s="5">
        <v>0</v>
      </c>
      <c r="C17" s="6" t="s">
        <v>14</v>
      </c>
    </row>
    <row r="18" spans="1:3" x14ac:dyDescent="0.25">
      <c r="A18" s="5" t="s">
        <v>15</v>
      </c>
      <c r="B18" s="5">
        <v>0</v>
      </c>
      <c r="C18" s="6" t="s">
        <v>170</v>
      </c>
    </row>
    <row r="19" spans="1:3" x14ac:dyDescent="0.25">
      <c r="A19" s="5" t="s">
        <v>16</v>
      </c>
      <c r="B19" s="5">
        <v>0</v>
      </c>
      <c r="C19" s="6" t="s">
        <v>171</v>
      </c>
    </row>
    <row r="20" spans="1:3" x14ac:dyDescent="0.25">
      <c r="A20" s="5" t="s">
        <v>17</v>
      </c>
      <c r="B20" s="5">
        <v>0</v>
      </c>
      <c r="C20" s="6" t="s">
        <v>172</v>
      </c>
    </row>
    <row r="21" spans="1:3" x14ac:dyDescent="0.25">
      <c r="A21" s="5" t="s">
        <v>18</v>
      </c>
      <c r="B21" s="5">
        <v>0</v>
      </c>
      <c r="C21" s="6" t="s">
        <v>173</v>
      </c>
    </row>
    <row r="22" spans="1:3" x14ac:dyDescent="0.25">
      <c r="A22" s="5" t="s">
        <v>19</v>
      </c>
      <c r="B22" s="5">
        <v>0</v>
      </c>
      <c r="C22" s="6" t="s">
        <v>174</v>
      </c>
    </row>
    <row r="23" spans="1:3" x14ac:dyDescent="0.25">
      <c r="A23" s="5" t="s">
        <v>20</v>
      </c>
      <c r="B23" s="5">
        <v>0</v>
      </c>
      <c r="C23" s="6" t="s">
        <v>175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election activeCell="A6" sqref="A6:A31"/>
    </sheetView>
  </sheetViews>
  <sheetFormatPr defaultRowHeight="15" x14ac:dyDescent="0.25"/>
  <cols>
    <col min="1" max="6" width="16" customWidth="1"/>
  </cols>
  <sheetData>
    <row r="1" spans="1:6" ht="18.75" customHeight="1" x14ac:dyDescent="0.3">
      <c r="A1" s="1" t="s">
        <v>176</v>
      </c>
    </row>
    <row r="2" spans="1:6" x14ac:dyDescent="0.25">
      <c r="A2" s="2" t="s">
        <v>177</v>
      </c>
    </row>
    <row r="4" spans="1:6" x14ac:dyDescent="0.25">
      <c r="A4" s="3" t="s">
        <v>48</v>
      </c>
      <c r="B4" s="3" t="s">
        <v>178</v>
      </c>
      <c r="C4" s="3" t="s">
        <v>179</v>
      </c>
      <c r="D4" s="3" t="s">
        <v>180</v>
      </c>
      <c r="E4" s="3" t="s">
        <v>181</v>
      </c>
      <c r="F4" s="3" t="s">
        <v>109</v>
      </c>
    </row>
    <row r="5" spans="1:6" x14ac:dyDescent="0.25">
      <c r="A5" s="4"/>
      <c r="B5" s="4" t="s">
        <v>182</v>
      </c>
      <c r="C5" s="4" t="s">
        <v>182</v>
      </c>
      <c r="D5" s="4" t="s">
        <v>183</v>
      </c>
      <c r="E5" s="4" t="s">
        <v>183</v>
      </c>
      <c r="F5" s="4" t="s">
        <v>21</v>
      </c>
    </row>
    <row r="6" spans="1:6" x14ac:dyDescent="0.25">
      <c r="A6" s="5" t="s">
        <v>184</v>
      </c>
      <c r="B6" s="5" t="s">
        <v>3</v>
      </c>
      <c r="C6" s="5" t="s">
        <v>6</v>
      </c>
      <c r="D6" s="5">
        <v>1.8431712000000001E-3</v>
      </c>
      <c r="E6" s="5">
        <v>2.6072207999999999E-2</v>
      </c>
      <c r="F6" s="5">
        <v>1649.7783942093561</v>
      </c>
    </row>
    <row r="7" spans="1:6" x14ac:dyDescent="0.25">
      <c r="A7" s="5" t="s">
        <v>185</v>
      </c>
      <c r="B7" s="5" t="s">
        <v>3</v>
      </c>
      <c r="C7" s="5" t="s">
        <v>9</v>
      </c>
      <c r="D7" s="5">
        <v>5.6770177839512981E-4</v>
      </c>
      <c r="E7" s="5">
        <v>6.4577106635870371E-3</v>
      </c>
      <c r="F7" s="5">
        <v>5703.2884720338152</v>
      </c>
    </row>
    <row r="8" spans="1:6" x14ac:dyDescent="0.25">
      <c r="A8" s="5" t="s">
        <v>186</v>
      </c>
      <c r="B8" s="5" t="s">
        <v>3</v>
      </c>
      <c r="C8" s="5" t="s">
        <v>12</v>
      </c>
      <c r="D8" s="5">
        <v>3.4403533630858409E-4</v>
      </c>
      <c r="E8" s="5">
        <v>4.4559950382538401E-3</v>
      </c>
      <c r="F8" s="5">
        <v>7971.7638418357583</v>
      </c>
    </row>
    <row r="9" spans="1:6" x14ac:dyDescent="0.25">
      <c r="A9" s="5" t="s">
        <v>187</v>
      </c>
      <c r="B9" s="5" t="s">
        <v>3</v>
      </c>
      <c r="C9" s="5" t="s">
        <v>19</v>
      </c>
      <c r="D9" s="5">
        <v>7.6857032451366279E-4</v>
      </c>
      <c r="E9" s="5">
        <v>8.7522695591496103E-3</v>
      </c>
      <c r="F9" s="5">
        <v>4763.2090028467164</v>
      </c>
    </row>
    <row r="10" spans="1:6" x14ac:dyDescent="0.25">
      <c r="A10" s="5" t="s">
        <v>188</v>
      </c>
      <c r="B10" s="5" t="s">
        <v>4</v>
      </c>
      <c r="C10" s="5" t="s">
        <v>19</v>
      </c>
      <c r="D10" s="5">
        <v>8.0801701323251433E-3</v>
      </c>
      <c r="E10" s="5">
        <v>7.7527580340264649E-2</v>
      </c>
      <c r="F10" s="5">
        <v>318.69734859267339</v>
      </c>
    </row>
    <row r="11" spans="1:6" x14ac:dyDescent="0.25">
      <c r="A11" s="5" t="s">
        <v>189</v>
      </c>
      <c r="B11" s="5" t="s">
        <v>5</v>
      </c>
      <c r="C11" s="5" t="s">
        <v>7</v>
      </c>
      <c r="D11" s="5">
        <v>5.4105170230786699E-4</v>
      </c>
      <c r="E11" s="5">
        <v>6.1995170605567348E-3</v>
      </c>
      <c r="F11" s="5">
        <v>2912.5819969916729</v>
      </c>
    </row>
    <row r="12" spans="1:6" x14ac:dyDescent="0.25">
      <c r="A12" s="5" t="s">
        <v>190</v>
      </c>
      <c r="B12" s="5" t="s">
        <v>5</v>
      </c>
      <c r="C12" s="5" t="s">
        <v>13</v>
      </c>
      <c r="D12" s="5">
        <v>9.7970417188117907E-4</v>
      </c>
      <c r="E12" s="5">
        <v>1.214247572075158E-2</v>
      </c>
      <c r="F12" s="5">
        <v>4221.8738434491388</v>
      </c>
    </row>
    <row r="13" spans="1:6" x14ac:dyDescent="0.25">
      <c r="A13" s="5" t="s">
        <v>191</v>
      </c>
      <c r="B13" s="5" t="s">
        <v>5</v>
      </c>
      <c r="C13" s="5" t="s">
        <v>14</v>
      </c>
      <c r="D13" s="5">
        <v>5.6753236219606509E-3</v>
      </c>
      <c r="E13" s="5">
        <v>3.1803693171420087E-2</v>
      </c>
      <c r="F13" s="5">
        <v>943.10166472125366</v>
      </c>
    </row>
    <row r="14" spans="1:6" x14ac:dyDescent="0.25">
      <c r="A14" s="5" t="s">
        <v>192</v>
      </c>
      <c r="B14" s="5" t="s">
        <v>6</v>
      </c>
      <c r="C14" s="5" t="s">
        <v>8</v>
      </c>
      <c r="D14" s="5">
        <v>5.4395916824196604E-3</v>
      </c>
      <c r="E14" s="5">
        <v>5.3167621928166361E-2</v>
      </c>
      <c r="F14" s="5">
        <v>764.87363662241626</v>
      </c>
    </row>
    <row r="15" spans="1:6" x14ac:dyDescent="0.25">
      <c r="A15" s="5" t="s">
        <v>193</v>
      </c>
      <c r="B15" s="5" t="s">
        <v>6</v>
      </c>
      <c r="C15" s="5" t="s">
        <v>9</v>
      </c>
      <c r="D15" s="5">
        <v>1.077894408851415E-3</v>
      </c>
      <c r="E15" s="5">
        <v>1.204469736581769E-2</v>
      </c>
      <c r="F15" s="5">
        <v>3609.8017290704479</v>
      </c>
    </row>
    <row r="16" spans="1:6" x14ac:dyDescent="0.25">
      <c r="A16" s="5" t="s">
        <v>194</v>
      </c>
      <c r="B16" s="5" t="s">
        <v>6</v>
      </c>
      <c r="C16" s="5" t="s">
        <v>15</v>
      </c>
      <c r="D16" s="5">
        <v>4.3854299561713501E-3</v>
      </c>
      <c r="E16" s="5">
        <v>3.9567234389605813E-2</v>
      </c>
      <c r="F16" s="5">
        <v>769.65409685130624</v>
      </c>
    </row>
    <row r="17" spans="1:6" x14ac:dyDescent="0.25">
      <c r="A17" s="5" t="s">
        <v>195</v>
      </c>
      <c r="B17" s="5" t="s">
        <v>6</v>
      </c>
      <c r="C17" s="5" t="s">
        <v>16</v>
      </c>
      <c r="D17" s="5">
        <v>1.296732471385508E-3</v>
      </c>
      <c r="E17" s="5">
        <v>1.5094391110111819E-2</v>
      </c>
      <c r="F17" s="5">
        <v>1912.184091556041</v>
      </c>
    </row>
    <row r="18" spans="1:6" x14ac:dyDescent="0.25">
      <c r="A18" s="5" t="s">
        <v>196</v>
      </c>
      <c r="B18" s="5" t="s">
        <v>7</v>
      </c>
      <c r="C18" s="5" t="s">
        <v>13</v>
      </c>
      <c r="D18" s="5">
        <v>1.441566115702479E-2</v>
      </c>
      <c r="E18" s="5">
        <v>8.854997107438016E-2</v>
      </c>
      <c r="F18" s="5">
        <v>381.05117766515298</v>
      </c>
    </row>
    <row r="19" spans="1:6" x14ac:dyDescent="0.25">
      <c r="A19" s="5" t="s">
        <v>197</v>
      </c>
      <c r="B19" s="5" t="s">
        <v>7</v>
      </c>
      <c r="C19" s="5" t="s">
        <v>14</v>
      </c>
      <c r="D19" s="5">
        <v>1.5801264E-3</v>
      </c>
      <c r="E19" s="5">
        <v>2.2281782399999998E-2</v>
      </c>
      <c r="F19" s="5">
        <v>1649.7783942093561</v>
      </c>
    </row>
    <row r="20" spans="1:6" x14ac:dyDescent="0.25">
      <c r="A20" s="5" t="s">
        <v>198</v>
      </c>
      <c r="B20" s="5" t="s">
        <v>8</v>
      </c>
      <c r="C20" s="5" t="s">
        <v>19</v>
      </c>
      <c r="D20" s="5">
        <v>8.1702448110826525E-3</v>
      </c>
      <c r="E20" s="5">
        <v>6.9265891999701124E-2</v>
      </c>
      <c r="F20" s="5">
        <v>729.41855659148132</v>
      </c>
    </row>
    <row r="21" spans="1:6" x14ac:dyDescent="0.25">
      <c r="A21" s="5" t="s">
        <v>199</v>
      </c>
      <c r="B21" s="5" t="s">
        <v>9</v>
      </c>
      <c r="C21" s="5" t="s">
        <v>20</v>
      </c>
      <c r="D21" s="5">
        <v>5.3067510757593035E-4</v>
      </c>
      <c r="E21" s="5">
        <v>5.4948282735785376E-3</v>
      </c>
      <c r="F21" s="5">
        <v>3312.789656588538</v>
      </c>
    </row>
    <row r="22" spans="1:6" x14ac:dyDescent="0.25">
      <c r="A22" s="5" t="s">
        <v>200</v>
      </c>
      <c r="B22" s="5" t="s">
        <v>10</v>
      </c>
      <c r="C22" s="5" t="s">
        <v>11</v>
      </c>
      <c r="D22" s="5">
        <v>4.7257277882797729E-3</v>
      </c>
      <c r="E22" s="5">
        <v>3.5109432892249527E-2</v>
      </c>
      <c r="F22" s="5">
        <v>414.30655317047552</v>
      </c>
    </row>
    <row r="23" spans="1:6" x14ac:dyDescent="0.25">
      <c r="A23" s="5" t="s">
        <v>201</v>
      </c>
      <c r="B23" s="5" t="s">
        <v>10</v>
      </c>
      <c r="C23" s="5" t="s">
        <v>15</v>
      </c>
      <c r="D23" s="5">
        <v>7.4627637051039699E-3</v>
      </c>
      <c r="E23" s="5">
        <v>5.5986340264650283E-2</v>
      </c>
      <c r="F23" s="5">
        <v>414.30655317047552</v>
      </c>
    </row>
    <row r="24" spans="1:6" x14ac:dyDescent="0.25">
      <c r="A24" s="5" t="s">
        <v>202</v>
      </c>
      <c r="B24" s="5" t="s">
        <v>10</v>
      </c>
      <c r="C24" s="5" t="s">
        <v>18</v>
      </c>
      <c r="D24" s="5">
        <v>1.2867470699432891E-2</v>
      </c>
      <c r="E24" s="5">
        <v>9.8186177693761825E-2</v>
      </c>
      <c r="F24" s="5">
        <v>414.30655317047552</v>
      </c>
    </row>
    <row r="25" spans="1:6" x14ac:dyDescent="0.25">
      <c r="A25" s="5" t="s">
        <v>203</v>
      </c>
      <c r="B25" s="5" t="s">
        <v>11</v>
      </c>
      <c r="C25" s="5" t="s">
        <v>15</v>
      </c>
      <c r="D25" s="5">
        <v>2.2691567591254119E-3</v>
      </c>
      <c r="E25" s="5">
        <v>1.7550937022548532E-2</v>
      </c>
      <c r="F25" s="5">
        <v>1051.7012503558219</v>
      </c>
    </row>
    <row r="26" spans="1:6" x14ac:dyDescent="0.25">
      <c r="A26" s="5" t="s">
        <v>204</v>
      </c>
      <c r="B26" s="5" t="s">
        <v>11</v>
      </c>
      <c r="C26" s="5" t="s">
        <v>18</v>
      </c>
      <c r="D26" s="5">
        <v>1.244615500945179E-2</v>
      </c>
      <c r="E26" s="5">
        <v>7.3440839319470694E-2</v>
      </c>
      <c r="F26" s="5">
        <v>274.87646316118082</v>
      </c>
    </row>
    <row r="27" spans="1:6" x14ac:dyDescent="0.25">
      <c r="A27" s="5" t="s">
        <v>205</v>
      </c>
      <c r="B27" s="5" t="s">
        <v>11</v>
      </c>
      <c r="C27" s="5" t="s">
        <v>20</v>
      </c>
      <c r="D27" s="5">
        <v>2.0422864359928052E-3</v>
      </c>
      <c r="E27" s="5">
        <v>1.8773821542214301E-2</v>
      </c>
      <c r="F27" s="5">
        <v>1627.746707937079</v>
      </c>
    </row>
    <row r="28" spans="1:6" x14ac:dyDescent="0.25">
      <c r="A28" s="5" t="s">
        <v>206</v>
      </c>
      <c r="B28" s="5" t="s">
        <v>12</v>
      </c>
      <c r="C28" s="5" t="s">
        <v>13</v>
      </c>
      <c r="D28" s="5">
        <v>3.446098485410753E-4</v>
      </c>
      <c r="E28" s="5">
        <v>4.7985993730319931E-3</v>
      </c>
      <c r="F28" s="5">
        <v>6321.9854476264027</v>
      </c>
    </row>
    <row r="29" spans="1:6" x14ac:dyDescent="0.25">
      <c r="A29" s="5" t="s">
        <v>207</v>
      </c>
      <c r="B29" s="5" t="s">
        <v>13</v>
      </c>
      <c r="C29" s="5" t="s">
        <v>14</v>
      </c>
      <c r="D29" s="5">
        <v>2.6140868000000001E-3</v>
      </c>
      <c r="E29" s="5">
        <v>2.8987524800000001E-2</v>
      </c>
      <c r="F29" s="5">
        <v>2078.4609690826528</v>
      </c>
    </row>
    <row r="30" spans="1:6" x14ac:dyDescent="0.25">
      <c r="A30" s="5" t="s">
        <v>208</v>
      </c>
      <c r="B30" s="5" t="s">
        <v>14</v>
      </c>
      <c r="C30" s="5" t="s">
        <v>17</v>
      </c>
      <c r="D30" s="5">
        <v>1.0751999999999999E-3</v>
      </c>
      <c r="E30" s="5">
        <v>2.3923199999999999E-2</v>
      </c>
      <c r="F30" s="5">
        <v>1649.7783942093561</v>
      </c>
    </row>
    <row r="31" spans="1:6" x14ac:dyDescent="0.25">
      <c r="A31" s="5" t="s">
        <v>209</v>
      </c>
      <c r="B31" s="5" t="s">
        <v>17</v>
      </c>
      <c r="C31" s="5" t="s">
        <v>19</v>
      </c>
      <c r="D31" s="5">
        <v>1.305884247969807E-3</v>
      </c>
      <c r="E31" s="5">
        <v>1.407934656508677E-2</v>
      </c>
      <c r="F31" s="5">
        <v>2722.991715595183</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customHeight="1" x14ac:dyDescent="0.3">
      <c r="A1" s="1" t="s">
        <v>210</v>
      </c>
    </row>
    <row r="2" spans="1:7" x14ac:dyDescent="0.25">
      <c r="A2" s="2" t="s">
        <v>211</v>
      </c>
    </row>
    <row r="4" spans="1:7" x14ac:dyDescent="0.25">
      <c r="A4" s="3" t="s">
        <v>48</v>
      </c>
      <c r="B4" s="3" t="s">
        <v>178</v>
      </c>
      <c r="C4" s="3" t="s">
        <v>179</v>
      </c>
      <c r="D4" s="3" t="s">
        <v>180</v>
      </c>
      <c r="E4" s="3" t="s">
        <v>181</v>
      </c>
      <c r="F4" s="3" t="s">
        <v>109</v>
      </c>
      <c r="G4" s="3" t="s">
        <v>99</v>
      </c>
    </row>
    <row r="5" spans="1:7" x14ac:dyDescent="0.25">
      <c r="A5" s="4"/>
      <c r="B5" s="4" t="s">
        <v>182</v>
      </c>
      <c r="C5" s="4" t="s">
        <v>182</v>
      </c>
      <c r="D5" s="4" t="s">
        <v>183</v>
      </c>
      <c r="E5" s="4" t="s">
        <v>183</v>
      </c>
      <c r="F5" s="4" t="s">
        <v>21</v>
      </c>
      <c r="G5" s="4" t="s">
        <v>212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79998168889431442"/>
  </sheetPr>
  <dimension ref="A1:U81"/>
  <sheetViews>
    <sheetView zoomScaleNormal="100" workbookViewId="0">
      <selection activeCell="J6" sqref="J6"/>
    </sheetView>
  </sheetViews>
  <sheetFormatPr defaultRowHeight="15" x14ac:dyDescent="0.25"/>
  <cols>
    <col min="1" max="1" width="18.7109375" customWidth="1"/>
    <col min="2" max="2" width="8.42578125" customWidth="1"/>
    <col min="3" max="3" width="5.5703125" bestFit="1" customWidth="1"/>
    <col min="4" max="4" width="5.85546875" bestFit="1" customWidth="1"/>
    <col min="5" max="5" width="15.28515625" bestFit="1" customWidth="1"/>
    <col min="6" max="6" width="10.7109375" bestFit="1" customWidth="1"/>
    <col min="7" max="7" width="14.85546875" bestFit="1" customWidth="1"/>
    <col min="8" max="8" width="10.28515625" bestFit="1" customWidth="1"/>
    <col min="9" max="9" width="7" bestFit="1" customWidth="1"/>
    <col min="10" max="10" width="9.42578125" bestFit="1" customWidth="1"/>
    <col min="11" max="11" width="6.5703125" bestFit="1" customWidth="1"/>
    <col min="12" max="12" width="6.140625" bestFit="1" customWidth="1"/>
    <col min="13" max="13" width="7.7109375" bestFit="1" customWidth="1"/>
    <col min="14" max="14" width="8" bestFit="1" customWidth="1"/>
    <col min="15" max="15" width="13" customWidth="1"/>
    <col min="16" max="16" width="13.28515625" customWidth="1"/>
    <col min="17" max="17" width="12" bestFit="1" customWidth="1"/>
    <col min="18" max="18" width="7.5703125" bestFit="1" customWidth="1"/>
    <col min="19" max="19" width="13.28515625" customWidth="1"/>
    <col min="20" max="20" width="21.7109375" bestFit="1" customWidth="1"/>
    <col min="21" max="21" width="6.85546875" bestFit="1" customWidth="1"/>
    <col min="22" max="22" width="9.7109375" bestFit="1" customWidth="1"/>
  </cols>
  <sheetData>
    <row r="1" spans="1:21" ht="18.75" customHeight="1" x14ac:dyDescent="0.3">
      <c r="A1" s="1" t="s">
        <v>213</v>
      </c>
    </row>
    <row r="2" spans="1:21" x14ac:dyDescent="0.25">
      <c r="A2" s="2" t="s">
        <v>214</v>
      </c>
    </row>
    <row r="4" spans="1:21" ht="45" customHeight="1" x14ac:dyDescent="0.25">
      <c r="A4" s="3" t="s">
        <v>48</v>
      </c>
      <c r="B4" s="3" t="s">
        <v>182</v>
      </c>
      <c r="C4" s="3" t="s">
        <v>81</v>
      </c>
      <c r="D4" s="3" t="s">
        <v>83</v>
      </c>
      <c r="E4" s="18" t="s">
        <v>215</v>
      </c>
      <c r="F4" s="3" t="s">
        <v>54</v>
      </c>
      <c r="G4" s="18" t="s">
        <v>216</v>
      </c>
      <c r="H4" s="3" t="s">
        <v>57</v>
      </c>
      <c r="I4" s="3" t="s">
        <v>217</v>
      </c>
      <c r="J4" s="3" t="s">
        <v>218</v>
      </c>
      <c r="K4" s="3" t="s">
        <v>219</v>
      </c>
      <c r="L4" s="3" t="s">
        <v>62</v>
      </c>
      <c r="M4" s="3" t="s">
        <v>65</v>
      </c>
      <c r="N4" s="3" t="s">
        <v>67</v>
      </c>
      <c r="O4" s="18" t="s">
        <v>220</v>
      </c>
      <c r="P4" s="18" t="s">
        <v>221</v>
      </c>
      <c r="Q4" s="3" t="s">
        <v>69</v>
      </c>
      <c r="R4" s="3" t="s">
        <v>70</v>
      </c>
      <c r="S4" s="12" t="s">
        <v>74</v>
      </c>
      <c r="T4" s="12" t="s">
        <v>222</v>
      </c>
      <c r="U4" s="12" t="s">
        <v>223</v>
      </c>
    </row>
    <row r="5" spans="1:21" x14ac:dyDescent="0.25">
      <c r="A5" s="4"/>
      <c r="B5" s="4"/>
      <c r="C5" s="4" t="s">
        <v>21</v>
      </c>
      <c r="D5" s="4" t="s">
        <v>21</v>
      </c>
      <c r="E5" s="4" t="s">
        <v>226</v>
      </c>
      <c r="F5" s="4" t="s">
        <v>227</v>
      </c>
      <c r="G5" s="4" t="s">
        <v>226</v>
      </c>
      <c r="H5" s="4" t="s">
        <v>227</v>
      </c>
      <c r="I5" s="4" t="s">
        <v>228</v>
      </c>
      <c r="J5" s="4" t="s">
        <v>229</v>
      </c>
      <c r="K5" s="4" t="s">
        <v>230</v>
      </c>
      <c r="L5" s="4"/>
      <c r="M5" s="4" t="s">
        <v>231</v>
      </c>
      <c r="N5" s="4" t="s">
        <v>231</v>
      </c>
      <c r="O5" s="4" t="s">
        <v>21</v>
      </c>
      <c r="P5" s="4" t="s">
        <v>231</v>
      </c>
      <c r="Q5" s="4" t="s">
        <v>212</v>
      </c>
      <c r="R5" s="4" t="s">
        <v>212</v>
      </c>
      <c r="S5" s="4"/>
    </row>
    <row r="6" spans="1:21" x14ac:dyDescent="0.25">
      <c r="A6" s="6" t="s">
        <v>233</v>
      </c>
      <c r="B6" s="5" t="s">
        <v>3</v>
      </c>
      <c r="C6" s="5">
        <v>30</v>
      </c>
      <c r="D6" s="5">
        <v>97</v>
      </c>
      <c r="E6" s="5">
        <v>5</v>
      </c>
      <c r="F6" s="5">
        <v>300</v>
      </c>
      <c r="G6" s="5">
        <v>4.99</v>
      </c>
      <c r="H6" s="5">
        <v>299.39999999999998</v>
      </c>
      <c r="I6" s="10">
        <v>0</v>
      </c>
      <c r="J6" s="30">
        <v>279.62676521491937</v>
      </c>
      <c r="K6" s="10">
        <v>0</v>
      </c>
      <c r="L6" s="32">
        <v>0</v>
      </c>
      <c r="M6" s="5">
        <v>1</v>
      </c>
      <c r="N6" s="5">
        <v>0</v>
      </c>
      <c r="O6" s="5">
        <v>5</v>
      </c>
      <c r="P6" s="5">
        <v>0</v>
      </c>
      <c r="Q6" s="30">
        <v>0</v>
      </c>
      <c r="R6" s="10">
        <v>0</v>
      </c>
      <c r="S6" s="6" t="s">
        <v>234</v>
      </c>
      <c r="T6" s="6" t="s">
        <v>235</v>
      </c>
      <c r="U6" s="6" t="s">
        <v>236</v>
      </c>
    </row>
    <row r="7" spans="1:21" x14ac:dyDescent="0.25">
      <c r="A7" s="6" t="s">
        <v>237</v>
      </c>
      <c r="B7" s="5" t="s">
        <v>3</v>
      </c>
      <c r="C7" s="5">
        <v>40</v>
      </c>
      <c r="D7" s="5">
        <v>80</v>
      </c>
      <c r="E7" s="5">
        <v>5</v>
      </c>
      <c r="F7" s="5">
        <v>300</v>
      </c>
      <c r="G7" s="5">
        <v>5.07</v>
      </c>
      <c r="H7" s="5">
        <v>304.2</v>
      </c>
      <c r="I7" s="10">
        <v>0</v>
      </c>
      <c r="J7" s="30">
        <v>279.62676521491937</v>
      </c>
      <c r="K7" s="10">
        <v>0</v>
      </c>
      <c r="L7" s="32">
        <v>0</v>
      </c>
      <c r="M7" s="5">
        <v>6</v>
      </c>
      <c r="N7" s="5">
        <v>6</v>
      </c>
      <c r="O7" s="5">
        <v>5</v>
      </c>
      <c r="P7" s="5">
        <v>2</v>
      </c>
      <c r="Q7" s="30">
        <v>2796.267652149194</v>
      </c>
      <c r="R7" s="10">
        <v>0</v>
      </c>
      <c r="S7" s="6" t="s">
        <v>238</v>
      </c>
      <c r="T7" s="6" t="s">
        <v>235</v>
      </c>
      <c r="U7" s="6" t="s">
        <v>236</v>
      </c>
    </row>
    <row r="8" spans="1:21" x14ac:dyDescent="0.25">
      <c r="A8" s="6" t="s">
        <v>239</v>
      </c>
      <c r="B8" s="5" t="s">
        <v>3</v>
      </c>
      <c r="C8" s="5">
        <v>30</v>
      </c>
      <c r="D8" s="5">
        <v>77</v>
      </c>
      <c r="E8" s="5">
        <v>3.88</v>
      </c>
      <c r="F8" s="5">
        <v>232.8</v>
      </c>
      <c r="G8" s="5">
        <v>3.11</v>
      </c>
      <c r="H8" s="5">
        <v>186.6</v>
      </c>
      <c r="I8" s="10">
        <v>0</v>
      </c>
      <c r="J8" s="30">
        <v>279.62676521491937</v>
      </c>
      <c r="K8" s="10">
        <v>0</v>
      </c>
      <c r="L8" s="32">
        <v>0</v>
      </c>
      <c r="M8" s="5">
        <v>10</v>
      </c>
      <c r="N8" s="5">
        <v>8</v>
      </c>
      <c r="O8" s="5">
        <v>5</v>
      </c>
      <c r="P8" s="5">
        <v>4</v>
      </c>
      <c r="Q8" s="30">
        <v>5592.5353042983879</v>
      </c>
      <c r="R8" s="10">
        <v>0</v>
      </c>
      <c r="S8" s="6" t="s">
        <v>238</v>
      </c>
      <c r="T8" s="6" t="s">
        <v>235</v>
      </c>
      <c r="U8" s="6" t="s">
        <v>236</v>
      </c>
    </row>
    <row r="9" spans="1:21" x14ac:dyDescent="0.25">
      <c r="A9" s="6" t="s">
        <v>240</v>
      </c>
      <c r="B9" s="5" t="s">
        <v>3</v>
      </c>
      <c r="C9" s="5">
        <v>89</v>
      </c>
      <c r="D9" s="5">
        <v>110</v>
      </c>
      <c r="E9" s="5">
        <v>42.41</v>
      </c>
      <c r="F9" s="5">
        <v>2544.6</v>
      </c>
      <c r="G9" s="5">
        <v>41.41</v>
      </c>
      <c r="H9" s="5">
        <v>2484.6</v>
      </c>
      <c r="I9" s="10">
        <v>0</v>
      </c>
      <c r="J9" s="30">
        <v>387.15751277141868</v>
      </c>
      <c r="K9" s="10">
        <v>0</v>
      </c>
      <c r="L9" s="32">
        <v>0</v>
      </c>
      <c r="M9" s="5">
        <v>8</v>
      </c>
      <c r="N9" s="5">
        <v>1</v>
      </c>
      <c r="O9" s="5">
        <v>12</v>
      </c>
      <c r="P9" s="5">
        <v>2</v>
      </c>
      <c r="Q9" s="30">
        <v>9291.7803065140506</v>
      </c>
      <c r="R9" s="10">
        <v>0</v>
      </c>
      <c r="S9" s="6" t="s">
        <v>238</v>
      </c>
      <c r="T9" s="6" t="s">
        <v>241</v>
      </c>
      <c r="U9" s="6" t="s">
        <v>242</v>
      </c>
    </row>
    <row r="10" spans="1:21" x14ac:dyDescent="0.25">
      <c r="A10" s="6" t="s">
        <v>243</v>
      </c>
      <c r="B10" s="5" t="s">
        <v>3</v>
      </c>
      <c r="C10" s="5">
        <v>89</v>
      </c>
      <c r="D10" s="5">
        <v>110</v>
      </c>
      <c r="E10" s="5">
        <v>2.5</v>
      </c>
      <c r="F10" s="5">
        <v>150</v>
      </c>
      <c r="G10" s="5">
        <v>49.25</v>
      </c>
      <c r="H10" s="5">
        <v>2955</v>
      </c>
      <c r="I10" s="10">
        <v>0</v>
      </c>
      <c r="J10" s="30">
        <v>387.15751277141868</v>
      </c>
      <c r="K10" s="10">
        <v>0</v>
      </c>
      <c r="L10" s="32">
        <v>0</v>
      </c>
      <c r="M10" s="5">
        <v>8</v>
      </c>
      <c r="N10" s="5">
        <v>1</v>
      </c>
      <c r="O10" s="5">
        <v>12</v>
      </c>
      <c r="P10" s="5">
        <v>2</v>
      </c>
      <c r="Q10" s="30">
        <v>9291.7803065140506</v>
      </c>
      <c r="R10" s="10">
        <v>0</v>
      </c>
      <c r="S10" s="6" t="s">
        <v>238</v>
      </c>
      <c r="T10" s="6" t="s">
        <v>241</v>
      </c>
      <c r="U10" s="6" t="s">
        <v>242</v>
      </c>
    </row>
    <row r="11" spans="1:21" x14ac:dyDescent="0.25">
      <c r="A11" s="6" t="s">
        <v>244</v>
      </c>
      <c r="B11" s="5" t="s">
        <v>3</v>
      </c>
      <c r="C11" s="5">
        <v>42</v>
      </c>
      <c r="D11" s="5">
        <v>132</v>
      </c>
      <c r="E11" s="5">
        <v>5</v>
      </c>
      <c r="F11" s="5">
        <v>300</v>
      </c>
      <c r="G11" s="5">
        <v>12.7</v>
      </c>
      <c r="H11" s="5">
        <v>762</v>
      </c>
      <c r="I11" s="10">
        <v>0</v>
      </c>
      <c r="J11" s="30">
        <v>387.15751277141868</v>
      </c>
      <c r="K11" s="10">
        <v>0</v>
      </c>
      <c r="L11" s="32">
        <v>0</v>
      </c>
      <c r="M11" s="5">
        <v>8</v>
      </c>
      <c r="N11" s="5">
        <v>1</v>
      </c>
      <c r="O11" s="5">
        <v>12</v>
      </c>
      <c r="P11" s="5">
        <v>2</v>
      </c>
      <c r="Q11" s="30">
        <v>9291.7803065140506</v>
      </c>
      <c r="R11" s="10">
        <v>0</v>
      </c>
      <c r="S11" s="6" t="s">
        <v>238</v>
      </c>
      <c r="T11" s="6" t="s">
        <v>241</v>
      </c>
      <c r="U11" s="6" t="s">
        <v>242</v>
      </c>
    </row>
    <row r="12" spans="1:21" x14ac:dyDescent="0.25">
      <c r="A12" s="6" t="s">
        <v>245</v>
      </c>
      <c r="B12" s="5" t="s">
        <v>5</v>
      </c>
      <c r="C12" s="5">
        <v>33</v>
      </c>
      <c r="D12" s="5">
        <v>60</v>
      </c>
      <c r="E12" s="5">
        <v>0.94</v>
      </c>
      <c r="F12" s="5">
        <v>56.4</v>
      </c>
      <c r="G12" s="5">
        <v>0.94</v>
      </c>
      <c r="H12" s="5">
        <v>56.4</v>
      </c>
      <c r="I12" s="10">
        <v>0</v>
      </c>
      <c r="J12" s="30">
        <v>305.81256323001929</v>
      </c>
      <c r="K12" s="10">
        <v>0</v>
      </c>
      <c r="L12" s="32">
        <v>0</v>
      </c>
      <c r="M12" s="5">
        <v>48</v>
      </c>
      <c r="N12" s="5">
        <v>24</v>
      </c>
      <c r="O12" s="5">
        <v>5</v>
      </c>
      <c r="P12" s="5">
        <v>8</v>
      </c>
      <c r="Q12" s="30">
        <v>12232.50252920077</v>
      </c>
      <c r="R12" s="10">
        <v>0</v>
      </c>
      <c r="S12" s="6" t="s">
        <v>234</v>
      </c>
      <c r="T12" s="6" t="s">
        <v>245</v>
      </c>
      <c r="U12" s="6" t="s">
        <v>246</v>
      </c>
    </row>
    <row r="13" spans="1:21" x14ac:dyDescent="0.25">
      <c r="A13" s="6" t="s">
        <v>247</v>
      </c>
      <c r="B13" s="5" t="s">
        <v>5</v>
      </c>
      <c r="C13" s="5">
        <v>33</v>
      </c>
      <c r="D13" s="5">
        <v>60</v>
      </c>
      <c r="E13" s="5">
        <v>1.05</v>
      </c>
      <c r="F13" s="5">
        <v>63</v>
      </c>
      <c r="G13" s="5">
        <v>0.96</v>
      </c>
      <c r="H13" s="5">
        <v>57.599999999999987</v>
      </c>
      <c r="I13" s="10">
        <v>0</v>
      </c>
      <c r="J13" s="30">
        <v>292.11056578848348</v>
      </c>
      <c r="K13" s="10">
        <v>0</v>
      </c>
      <c r="L13" s="32">
        <v>0</v>
      </c>
      <c r="M13" s="5">
        <v>48</v>
      </c>
      <c r="N13" s="5">
        <v>24</v>
      </c>
      <c r="O13" s="5">
        <v>5</v>
      </c>
      <c r="P13" s="5">
        <v>8</v>
      </c>
      <c r="Q13" s="30">
        <v>11684.422631539341</v>
      </c>
      <c r="R13" s="10">
        <v>0</v>
      </c>
      <c r="S13" s="6" t="s">
        <v>234</v>
      </c>
      <c r="T13" s="6" t="s">
        <v>247</v>
      </c>
      <c r="U13" s="6" t="s">
        <v>248</v>
      </c>
    </row>
    <row r="14" spans="1:21" x14ac:dyDescent="0.25">
      <c r="A14" s="6" t="s">
        <v>249</v>
      </c>
      <c r="B14" s="5" t="s">
        <v>5</v>
      </c>
      <c r="C14" s="5">
        <v>45</v>
      </c>
      <c r="D14" s="5">
        <v>119</v>
      </c>
      <c r="E14" s="5">
        <v>2</v>
      </c>
      <c r="F14" s="5">
        <v>120</v>
      </c>
      <c r="G14" s="5">
        <v>0.5</v>
      </c>
      <c r="H14" s="5">
        <v>30</v>
      </c>
      <c r="I14" s="10">
        <v>0</v>
      </c>
      <c r="J14" s="30">
        <v>295.6946453405572</v>
      </c>
      <c r="K14" s="10">
        <v>0</v>
      </c>
      <c r="L14" s="32">
        <v>1</v>
      </c>
      <c r="M14" s="5">
        <v>8</v>
      </c>
      <c r="N14" s="5">
        <v>4</v>
      </c>
      <c r="O14" s="5">
        <v>5</v>
      </c>
      <c r="P14" s="5">
        <v>0.75</v>
      </c>
      <c r="Q14" s="30">
        <v>1108.85492002709</v>
      </c>
      <c r="R14" s="10">
        <v>0</v>
      </c>
      <c r="S14" s="6" t="s">
        <v>234</v>
      </c>
      <c r="T14" s="6" t="s">
        <v>250</v>
      </c>
      <c r="U14" s="6" t="s">
        <v>251</v>
      </c>
    </row>
    <row r="15" spans="1:21" x14ac:dyDescent="0.25">
      <c r="A15" s="6" t="s">
        <v>252</v>
      </c>
      <c r="B15" s="5" t="s">
        <v>5</v>
      </c>
      <c r="C15" s="5">
        <v>20</v>
      </c>
      <c r="D15" s="5">
        <v>46</v>
      </c>
      <c r="E15" s="5">
        <v>1.5</v>
      </c>
      <c r="F15" s="5">
        <v>90</v>
      </c>
      <c r="G15" s="5">
        <v>0.1</v>
      </c>
      <c r="H15" s="5">
        <v>6</v>
      </c>
      <c r="I15" s="10">
        <v>0</v>
      </c>
      <c r="J15" s="30">
        <v>295.6946453405572</v>
      </c>
      <c r="K15" s="10">
        <v>0</v>
      </c>
      <c r="L15" s="32">
        <v>1</v>
      </c>
      <c r="M15" s="5">
        <v>8</v>
      </c>
      <c r="N15" s="5">
        <v>4</v>
      </c>
      <c r="O15" s="5">
        <v>10</v>
      </c>
      <c r="P15" s="5">
        <v>0.75</v>
      </c>
      <c r="Q15" s="30">
        <v>2217.709840054179</v>
      </c>
      <c r="R15" s="10">
        <v>0</v>
      </c>
      <c r="S15" s="6" t="s">
        <v>234</v>
      </c>
      <c r="T15" s="6" t="s">
        <v>250</v>
      </c>
      <c r="U15" s="6" t="s">
        <v>251</v>
      </c>
    </row>
    <row r="16" spans="1:21" x14ac:dyDescent="0.25">
      <c r="A16" s="6" t="s">
        <v>253</v>
      </c>
      <c r="B16" s="5" t="s">
        <v>5</v>
      </c>
      <c r="C16" s="5">
        <v>80</v>
      </c>
      <c r="D16" s="5">
        <v>120</v>
      </c>
      <c r="E16" s="5">
        <v>2</v>
      </c>
      <c r="F16" s="5">
        <v>120</v>
      </c>
      <c r="G16" s="5">
        <v>0.4</v>
      </c>
      <c r="H16" s="5">
        <v>24</v>
      </c>
      <c r="I16" s="10">
        <v>0</v>
      </c>
      <c r="J16" s="30">
        <v>309.62963582295868</v>
      </c>
      <c r="K16" s="10">
        <v>0</v>
      </c>
      <c r="L16" s="32">
        <v>1</v>
      </c>
      <c r="M16" s="5">
        <v>16</v>
      </c>
      <c r="N16" s="5">
        <v>4</v>
      </c>
      <c r="O16" s="5">
        <v>5</v>
      </c>
      <c r="P16" s="5">
        <v>0.75</v>
      </c>
      <c r="Q16" s="30">
        <v>1161.1111343360949</v>
      </c>
      <c r="R16" s="10">
        <v>0</v>
      </c>
      <c r="S16" s="6" t="s">
        <v>234</v>
      </c>
      <c r="T16" s="6" t="s">
        <v>254</v>
      </c>
      <c r="U16" s="6" t="s">
        <v>255</v>
      </c>
    </row>
    <row r="17" spans="1:21" x14ac:dyDescent="0.25">
      <c r="A17" s="6" t="s">
        <v>256</v>
      </c>
      <c r="B17" s="5" t="s">
        <v>5</v>
      </c>
      <c r="C17" s="5">
        <v>60</v>
      </c>
      <c r="D17" s="5">
        <v>169</v>
      </c>
      <c r="E17" s="5">
        <v>2</v>
      </c>
      <c r="F17" s="5">
        <v>120</v>
      </c>
      <c r="G17" s="5">
        <v>0.77</v>
      </c>
      <c r="H17" s="5">
        <v>46.2</v>
      </c>
      <c r="I17" s="10">
        <v>0</v>
      </c>
      <c r="J17" s="30">
        <v>309.62963582295868</v>
      </c>
      <c r="K17" s="10">
        <v>0</v>
      </c>
      <c r="L17" s="32">
        <v>1</v>
      </c>
      <c r="M17" s="5">
        <v>16</v>
      </c>
      <c r="N17" s="5">
        <v>4</v>
      </c>
      <c r="O17" s="5">
        <v>5</v>
      </c>
      <c r="P17" s="5">
        <v>0.75</v>
      </c>
      <c r="Q17" s="30">
        <v>1161.1111343360949</v>
      </c>
      <c r="R17" s="10">
        <v>0</v>
      </c>
      <c r="S17" s="6" t="s">
        <v>234</v>
      </c>
      <c r="T17" s="6" t="s">
        <v>254</v>
      </c>
      <c r="U17" s="6" t="s">
        <v>255</v>
      </c>
    </row>
    <row r="18" spans="1:21" x14ac:dyDescent="0.25">
      <c r="A18" s="6" t="s">
        <v>257</v>
      </c>
      <c r="B18" s="5" t="s">
        <v>5</v>
      </c>
      <c r="C18" s="5">
        <v>40</v>
      </c>
      <c r="D18" s="5">
        <v>164</v>
      </c>
      <c r="E18" s="5">
        <v>0</v>
      </c>
      <c r="F18" s="5">
        <v>0</v>
      </c>
      <c r="G18" s="5">
        <v>0</v>
      </c>
      <c r="H18" s="5">
        <v>0</v>
      </c>
      <c r="I18" s="10">
        <v>0</v>
      </c>
      <c r="J18" s="30">
        <v>309.62963582295868</v>
      </c>
      <c r="K18" s="10">
        <v>0</v>
      </c>
      <c r="L18" s="32">
        <v>1</v>
      </c>
      <c r="M18" s="5">
        <v>16</v>
      </c>
      <c r="N18" s="5">
        <v>4</v>
      </c>
      <c r="O18" s="5">
        <v>5</v>
      </c>
      <c r="P18" s="5">
        <v>0.75</v>
      </c>
      <c r="Q18" s="30">
        <v>1161.1111343360949</v>
      </c>
      <c r="R18" s="10">
        <v>0</v>
      </c>
      <c r="S18" s="6" t="s">
        <v>234</v>
      </c>
      <c r="T18" s="6" t="s">
        <v>254</v>
      </c>
      <c r="U18" s="6" t="s">
        <v>255</v>
      </c>
    </row>
    <row r="19" spans="1:21" x14ac:dyDescent="0.25">
      <c r="A19" s="6" t="s">
        <v>258</v>
      </c>
      <c r="B19" s="5" t="s">
        <v>5</v>
      </c>
      <c r="C19" s="5">
        <v>50</v>
      </c>
      <c r="D19" s="5">
        <v>97</v>
      </c>
      <c r="E19" s="5">
        <v>4.17</v>
      </c>
      <c r="F19" s="5">
        <v>250.2</v>
      </c>
      <c r="G19" s="5">
        <v>4.07</v>
      </c>
      <c r="H19" s="5">
        <v>244.2</v>
      </c>
      <c r="I19" s="10">
        <v>0</v>
      </c>
      <c r="J19" s="30">
        <v>209.04492362231721</v>
      </c>
      <c r="K19" s="10">
        <v>0</v>
      </c>
      <c r="L19" s="32">
        <v>1</v>
      </c>
      <c r="M19" s="5">
        <v>8</v>
      </c>
      <c r="N19" s="5">
        <v>8</v>
      </c>
      <c r="O19" s="5">
        <v>10</v>
      </c>
      <c r="P19" s="5">
        <v>1</v>
      </c>
      <c r="Q19" s="30">
        <v>2090.4492362231722</v>
      </c>
      <c r="R19" s="10">
        <v>0</v>
      </c>
      <c r="S19" s="6" t="s">
        <v>234</v>
      </c>
      <c r="T19" s="6" t="s">
        <v>259</v>
      </c>
      <c r="U19" s="6" t="s">
        <v>260</v>
      </c>
    </row>
    <row r="20" spans="1:21" x14ac:dyDescent="0.25">
      <c r="A20" s="6" t="s">
        <v>261</v>
      </c>
      <c r="B20" s="5" t="s">
        <v>5</v>
      </c>
      <c r="C20" s="5">
        <v>50</v>
      </c>
      <c r="D20" s="5">
        <v>97</v>
      </c>
      <c r="E20" s="5">
        <v>4.18</v>
      </c>
      <c r="F20" s="5">
        <v>250.8</v>
      </c>
      <c r="G20" s="5">
        <v>4.07</v>
      </c>
      <c r="H20" s="5">
        <v>244.2</v>
      </c>
      <c r="I20" s="10">
        <v>0</v>
      </c>
      <c r="J20" s="30">
        <v>209.04492362231721</v>
      </c>
      <c r="K20" s="10">
        <v>0</v>
      </c>
      <c r="L20" s="32">
        <v>1</v>
      </c>
      <c r="M20" s="5">
        <v>8</v>
      </c>
      <c r="N20" s="5">
        <v>8</v>
      </c>
      <c r="O20" s="5">
        <v>10</v>
      </c>
      <c r="P20" s="5">
        <v>1</v>
      </c>
      <c r="Q20" s="30">
        <v>2090.4492362231722</v>
      </c>
      <c r="R20" s="10">
        <v>0</v>
      </c>
      <c r="S20" s="6" t="s">
        <v>234</v>
      </c>
      <c r="T20" s="6" t="s">
        <v>259</v>
      </c>
      <c r="U20" s="6" t="s">
        <v>260</v>
      </c>
    </row>
    <row r="21" spans="1:21" x14ac:dyDescent="0.25">
      <c r="A21" s="6" t="s">
        <v>262</v>
      </c>
      <c r="B21" s="5" t="s">
        <v>5</v>
      </c>
      <c r="C21" s="5">
        <v>50</v>
      </c>
      <c r="D21" s="5">
        <v>97</v>
      </c>
      <c r="E21" s="5">
        <v>4.16</v>
      </c>
      <c r="F21" s="5">
        <v>249.6</v>
      </c>
      <c r="G21" s="5">
        <v>4.1900000000000004</v>
      </c>
      <c r="H21" s="5">
        <v>251.4</v>
      </c>
      <c r="I21" s="10">
        <v>0</v>
      </c>
      <c r="J21" s="30">
        <v>209.04492362231721</v>
      </c>
      <c r="K21" s="10">
        <v>0</v>
      </c>
      <c r="L21" s="32">
        <v>1</v>
      </c>
      <c r="M21" s="5">
        <v>8</v>
      </c>
      <c r="N21" s="5">
        <v>8</v>
      </c>
      <c r="O21" s="5">
        <v>10</v>
      </c>
      <c r="P21" s="5">
        <v>1</v>
      </c>
      <c r="Q21" s="30">
        <v>2090.4492362231722</v>
      </c>
      <c r="R21" s="10">
        <v>0</v>
      </c>
      <c r="S21" s="6" t="s">
        <v>234</v>
      </c>
      <c r="T21" s="6" t="s">
        <v>259</v>
      </c>
      <c r="U21" s="6" t="s">
        <v>260</v>
      </c>
    </row>
    <row r="22" spans="1:21" x14ac:dyDescent="0.25">
      <c r="A22" s="6" t="s">
        <v>263</v>
      </c>
      <c r="B22" s="5" t="s">
        <v>5</v>
      </c>
      <c r="C22" s="5">
        <v>82.5</v>
      </c>
      <c r="D22" s="5">
        <v>166</v>
      </c>
      <c r="E22" s="5">
        <v>1.90625</v>
      </c>
      <c r="F22" s="5">
        <v>114.375</v>
      </c>
      <c r="G22" s="5">
        <v>1</v>
      </c>
      <c r="H22" s="5">
        <v>60</v>
      </c>
      <c r="I22" s="10">
        <v>0</v>
      </c>
      <c r="J22" s="30">
        <v>209.04492362231721</v>
      </c>
      <c r="K22" s="10">
        <v>0</v>
      </c>
      <c r="L22" s="32">
        <v>1</v>
      </c>
      <c r="M22" s="5">
        <v>72</v>
      </c>
      <c r="N22" s="5">
        <v>72</v>
      </c>
      <c r="O22" s="5">
        <v>3</v>
      </c>
      <c r="P22" s="5">
        <v>6</v>
      </c>
      <c r="Q22" s="30">
        <v>3762.8086252017092</v>
      </c>
      <c r="R22" s="10">
        <v>0</v>
      </c>
      <c r="S22" s="6" t="s">
        <v>234</v>
      </c>
      <c r="T22" s="6" t="s">
        <v>259</v>
      </c>
      <c r="U22" s="6" t="s">
        <v>260</v>
      </c>
    </row>
    <row r="23" spans="1:21" x14ac:dyDescent="0.25">
      <c r="A23" s="6" t="s">
        <v>264</v>
      </c>
      <c r="B23" s="5" t="s">
        <v>5</v>
      </c>
      <c r="C23" s="5">
        <v>50</v>
      </c>
      <c r="D23" s="5">
        <v>97</v>
      </c>
      <c r="E23" s="5">
        <v>4.17</v>
      </c>
      <c r="F23" s="5">
        <v>250.2</v>
      </c>
      <c r="G23" s="5">
        <v>4.26</v>
      </c>
      <c r="H23" s="5">
        <v>255.6</v>
      </c>
      <c r="I23" s="10">
        <v>0</v>
      </c>
      <c r="J23" s="30">
        <v>209.04492362231721</v>
      </c>
      <c r="K23" s="10">
        <v>0</v>
      </c>
      <c r="L23" s="32">
        <v>1</v>
      </c>
      <c r="M23" s="5">
        <v>8</v>
      </c>
      <c r="N23" s="5">
        <v>8</v>
      </c>
      <c r="O23" s="5">
        <v>10</v>
      </c>
      <c r="P23" s="5">
        <v>1</v>
      </c>
      <c r="Q23" s="30">
        <v>2090.4492362231722</v>
      </c>
      <c r="R23" s="10">
        <v>0</v>
      </c>
      <c r="S23" s="6" t="s">
        <v>234</v>
      </c>
      <c r="T23" s="6" t="s">
        <v>259</v>
      </c>
      <c r="U23" s="6" t="s">
        <v>260</v>
      </c>
    </row>
    <row r="24" spans="1:21" x14ac:dyDescent="0.25">
      <c r="A24" s="6" t="s">
        <v>265</v>
      </c>
      <c r="B24" s="5" t="s">
        <v>5</v>
      </c>
      <c r="C24" s="5">
        <v>50</v>
      </c>
      <c r="D24" s="5">
        <v>97</v>
      </c>
      <c r="E24" s="9">
        <v>4.32</v>
      </c>
      <c r="F24" s="5">
        <v>259.2</v>
      </c>
      <c r="G24" s="9">
        <v>4.53</v>
      </c>
      <c r="H24" s="5">
        <v>271.8</v>
      </c>
      <c r="I24" s="10">
        <v>0</v>
      </c>
      <c r="J24" s="30">
        <v>209.04492362231721</v>
      </c>
      <c r="K24" s="10">
        <v>0</v>
      </c>
      <c r="L24" s="32">
        <v>1</v>
      </c>
      <c r="M24" s="5">
        <v>8</v>
      </c>
      <c r="N24" s="5">
        <v>8</v>
      </c>
      <c r="O24" s="9">
        <v>10</v>
      </c>
      <c r="P24" s="9">
        <v>1</v>
      </c>
      <c r="Q24" s="30">
        <v>2090.4492362231722</v>
      </c>
      <c r="R24" s="10">
        <v>0</v>
      </c>
      <c r="S24" s="6" t="s">
        <v>234</v>
      </c>
      <c r="T24" s="6" t="s">
        <v>259</v>
      </c>
      <c r="U24" s="6" t="s">
        <v>260</v>
      </c>
    </row>
    <row r="25" spans="1:21" x14ac:dyDescent="0.25">
      <c r="A25" s="6" t="s">
        <v>266</v>
      </c>
      <c r="B25" s="5" t="s">
        <v>5</v>
      </c>
      <c r="C25" s="5">
        <v>82.5</v>
      </c>
      <c r="D25" s="5">
        <v>166</v>
      </c>
      <c r="E25" s="9">
        <v>1.90625</v>
      </c>
      <c r="F25" s="5">
        <v>114.375</v>
      </c>
      <c r="G25" s="9">
        <v>1.01</v>
      </c>
      <c r="H25" s="5">
        <v>60.6</v>
      </c>
      <c r="I25" s="10">
        <v>0</v>
      </c>
      <c r="J25" s="30">
        <v>209.04492362231721</v>
      </c>
      <c r="K25" s="10">
        <v>0</v>
      </c>
      <c r="L25" s="32">
        <v>1</v>
      </c>
      <c r="M25" s="5">
        <v>72</v>
      </c>
      <c r="N25" s="5">
        <v>72</v>
      </c>
      <c r="O25" s="9">
        <v>3</v>
      </c>
      <c r="P25" s="9">
        <v>6</v>
      </c>
      <c r="Q25" s="30">
        <v>3762.8086252017092</v>
      </c>
      <c r="R25" s="10">
        <v>0</v>
      </c>
      <c r="S25" s="6" t="s">
        <v>234</v>
      </c>
      <c r="T25" s="6" t="s">
        <v>259</v>
      </c>
      <c r="U25" s="6" t="s">
        <v>260</v>
      </c>
    </row>
    <row r="26" spans="1:21" x14ac:dyDescent="0.25">
      <c r="A26" s="6" t="s">
        <v>267</v>
      </c>
      <c r="B26" s="5" t="s">
        <v>6</v>
      </c>
      <c r="C26" s="5">
        <v>17</v>
      </c>
      <c r="D26" s="5">
        <v>36</v>
      </c>
      <c r="E26" s="9">
        <v>0.68</v>
      </c>
      <c r="F26" s="5">
        <v>40.799999999999997</v>
      </c>
      <c r="G26" s="9">
        <v>0.71</v>
      </c>
      <c r="H26" s="5">
        <v>42.599999999999987</v>
      </c>
      <c r="I26" s="10">
        <v>0</v>
      </c>
      <c r="J26" s="30">
        <v>90.782561195510695</v>
      </c>
      <c r="K26" s="10">
        <v>0</v>
      </c>
      <c r="L26" s="32">
        <v>1</v>
      </c>
      <c r="M26" s="5">
        <v>72</v>
      </c>
      <c r="N26" s="5">
        <v>9</v>
      </c>
      <c r="O26" s="9">
        <v>2</v>
      </c>
      <c r="P26" s="9">
        <v>13</v>
      </c>
      <c r="Q26" s="30">
        <v>2360.3465910832779</v>
      </c>
      <c r="R26" s="10">
        <v>0</v>
      </c>
      <c r="S26" s="6" t="s">
        <v>268</v>
      </c>
      <c r="T26" s="6" t="s">
        <v>267</v>
      </c>
      <c r="U26" s="6" t="s">
        <v>269</v>
      </c>
    </row>
    <row r="27" spans="1:21" x14ac:dyDescent="0.25">
      <c r="A27" s="6" t="s">
        <v>270</v>
      </c>
      <c r="B27" s="5" t="s">
        <v>6</v>
      </c>
      <c r="C27" s="5">
        <v>25</v>
      </c>
      <c r="D27" s="5">
        <v>63</v>
      </c>
      <c r="E27" s="9">
        <v>0.98</v>
      </c>
      <c r="F27" s="5">
        <v>58.8</v>
      </c>
      <c r="G27" s="9">
        <v>0.91</v>
      </c>
      <c r="H27" s="5">
        <v>54.6</v>
      </c>
      <c r="I27" s="10">
        <v>0</v>
      </c>
      <c r="J27" s="30">
        <v>83.874429013764981</v>
      </c>
      <c r="K27" s="10">
        <v>0</v>
      </c>
      <c r="L27" s="32">
        <v>1</v>
      </c>
      <c r="M27" s="5">
        <v>72</v>
      </c>
      <c r="N27" s="5">
        <v>9</v>
      </c>
      <c r="O27" s="9">
        <v>2</v>
      </c>
      <c r="P27" s="9">
        <v>13</v>
      </c>
      <c r="Q27" s="30">
        <v>2180.7351543578889</v>
      </c>
      <c r="R27" s="10">
        <v>0</v>
      </c>
      <c r="S27" s="6" t="s">
        <v>268</v>
      </c>
      <c r="T27" s="6" t="s">
        <v>270</v>
      </c>
      <c r="U27" s="6" t="s">
        <v>271</v>
      </c>
    </row>
    <row r="28" spans="1:21" x14ac:dyDescent="0.25">
      <c r="A28" s="6" t="s">
        <v>272</v>
      </c>
      <c r="B28" s="5" t="s">
        <v>6</v>
      </c>
      <c r="C28" s="5">
        <v>25</v>
      </c>
      <c r="D28" s="5">
        <v>64</v>
      </c>
      <c r="E28" s="9">
        <v>0.93</v>
      </c>
      <c r="F28" s="5">
        <v>55.8</v>
      </c>
      <c r="G28" s="9">
        <v>0.93</v>
      </c>
      <c r="H28" s="5">
        <v>55.8</v>
      </c>
      <c r="I28" s="10">
        <v>0</v>
      </c>
      <c r="J28" s="30">
        <v>87.057459539755129</v>
      </c>
      <c r="K28" s="10">
        <v>0</v>
      </c>
      <c r="L28" s="32">
        <v>1</v>
      </c>
      <c r="M28" s="5">
        <v>72</v>
      </c>
      <c r="N28" s="5">
        <v>9</v>
      </c>
      <c r="O28" s="9">
        <v>2</v>
      </c>
      <c r="P28" s="9">
        <v>13</v>
      </c>
      <c r="Q28" s="30">
        <v>2263.4939480336329</v>
      </c>
      <c r="R28" s="10">
        <v>0</v>
      </c>
      <c r="S28" s="6" t="s">
        <v>268</v>
      </c>
      <c r="T28" s="6" t="s">
        <v>272</v>
      </c>
      <c r="U28" s="6" t="s">
        <v>273</v>
      </c>
    </row>
    <row r="29" spans="1:21" x14ac:dyDescent="0.25">
      <c r="A29" s="6" t="s">
        <v>274</v>
      </c>
      <c r="B29" s="5" t="s">
        <v>6</v>
      </c>
      <c r="C29" s="5">
        <v>25</v>
      </c>
      <c r="D29" s="5">
        <v>63</v>
      </c>
      <c r="E29" s="9">
        <v>0.95</v>
      </c>
      <c r="F29" s="5">
        <v>57</v>
      </c>
      <c r="G29" s="9">
        <v>0.94</v>
      </c>
      <c r="H29" s="5">
        <v>56.4</v>
      </c>
      <c r="I29" s="10">
        <v>0</v>
      </c>
      <c r="J29" s="30">
        <v>81.96728621634351</v>
      </c>
      <c r="K29" s="10">
        <v>0</v>
      </c>
      <c r="L29" s="32">
        <v>0</v>
      </c>
      <c r="M29" s="5">
        <v>72</v>
      </c>
      <c r="N29" s="5">
        <v>9</v>
      </c>
      <c r="O29" s="9">
        <v>2</v>
      </c>
      <c r="P29" s="9">
        <v>13</v>
      </c>
      <c r="Q29" s="30">
        <v>2131.1494416249311</v>
      </c>
      <c r="R29" s="10">
        <v>0</v>
      </c>
      <c r="S29" s="6" t="s">
        <v>268</v>
      </c>
      <c r="T29" s="6" t="s">
        <v>274</v>
      </c>
      <c r="U29" s="6" t="s">
        <v>275</v>
      </c>
    </row>
    <row r="30" spans="1:21" x14ac:dyDescent="0.25">
      <c r="A30" s="6" t="s">
        <v>276</v>
      </c>
      <c r="B30" s="5" t="s">
        <v>7</v>
      </c>
      <c r="C30" s="5">
        <v>30</v>
      </c>
      <c r="D30" s="5">
        <v>52</v>
      </c>
      <c r="E30" s="9">
        <v>0.73</v>
      </c>
      <c r="F30" s="5">
        <v>43.8</v>
      </c>
      <c r="G30" s="9">
        <v>0.73</v>
      </c>
      <c r="H30" s="5">
        <v>43.8</v>
      </c>
      <c r="I30" s="10">
        <v>0</v>
      </c>
      <c r="J30" s="30">
        <v>390.1415516333202</v>
      </c>
      <c r="K30" s="10">
        <v>0</v>
      </c>
      <c r="L30" s="32">
        <v>0</v>
      </c>
      <c r="M30" s="5">
        <v>48</v>
      </c>
      <c r="N30" s="5">
        <v>18</v>
      </c>
      <c r="O30" s="9">
        <v>5</v>
      </c>
      <c r="P30" s="9">
        <v>16</v>
      </c>
      <c r="Q30" s="30">
        <v>31211.32413066562</v>
      </c>
      <c r="R30" s="10">
        <v>0</v>
      </c>
      <c r="S30" s="6" t="s">
        <v>277</v>
      </c>
      <c r="T30" s="6" t="s">
        <v>276</v>
      </c>
      <c r="U30" s="6" t="s">
        <v>278</v>
      </c>
    </row>
    <row r="31" spans="1:21" x14ac:dyDescent="0.25">
      <c r="A31" s="6" t="s">
        <v>279</v>
      </c>
      <c r="B31" s="5" t="s">
        <v>7</v>
      </c>
      <c r="C31" s="5">
        <v>30</v>
      </c>
      <c r="D31" s="5">
        <v>60</v>
      </c>
      <c r="E31" s="9">
        <v>0.75</v>
      </c>
      <c r="F31" s="5">
        <v>45</v>
      </c>
      <c r="G31" s="9">
        <v>0.75</v>
      </c>
      <c r="H31" s="5">
        <v>45</v>
      </c>
      <c r="I31" s="10">
        <v>0</v>
      </c>
      <c r="J31" s="30">
        <v>389.67974604873342</v>
      </c>
      <c r="K31" s="10">
        <v>0</v>
      </c>
      <c r="L31" s="32">
        <v>0</v>
      </c>
      <c r="M31" s="5">
        <v>72</v>
      </c>
      <c r="N31" s="5">
        <v>16</v>
      </c>
      <c r="O31" s="9">
        <v>5</v>
      </c>
      <c r="P31" s="9">
        <v>16</v>
      </c>
      <c r="Q31" s="30">
        <v>31174.379683898671</v>
      </c>
      <c r="R31" s="10">
        <v>0</v>
      </c>
      <c r="S31" s="6" t="s">
        <v>234</v>
      </c>
      <c r="T31" s="6" t="s">
        <v>279</v>
      </c>
      <c r="U31" s="6" t="s">
        <v>280</v>
      </c>
    </row>
    <row r="32" spans="1:21" x14ac:dyDescent="0.25">
      <c r="A32" s="6" t="s">
        <v>281</v>
      </c>
      <c r="B32" s="5" t="s">
        <v>7</v>
      </c>
      <c r="C32" s="5">
        <v>30</v>
      </c>
      <c r="D32" s="5">
        <v>66</v>
      </c>
      <c r="E32" s="5">
        <v>0</v>
      </c>
      <c r="F32" s="5">
        <v>0</v>
      </c>
      <c r="G32" s="5">
        <v>0</v>
      </c>
      <c r="H32" s="5">
        <v>0</v>
      </c>
      <c r="I32" s="10">
        <v>0</v>
      </c>
      <c r="J32" s="30">
        <v>407.835923848064</v>
      </c>
      <c r="K32" s="10">
        <v>0</v>
      </c>
      <c r="L32" s="32">
        <v>0</v>
      </c>
      <c r="M32" s="5">
        <v>72</v>
      </c>
      <c r="N32" s="5">
        <v>16</v>
      </c>
      <c r="O32" s="9">
        <v>5</v>
      </c>
      <c r="P32" s="9">
        <v>16</v>
      </c>
      <c r="Q32" s="30">
        <v>32626.873907845122</v>
      </c>
      <c r="R32" s="10">
        <v>0</v>
      </c>
      <c r="S32" s="6" t="s">
        <v>234</v>
      </c>
      <c r="T32" s="6" t="s">
        <v>281</v>
      </c>
      <c r="U32" s="6" t="s">
        <v>282</v>
      </c>
    </row>
    <row r="33" spans="1:21" x14ac:dyDescent="0.25">
      <c r="A33" s="6" t="s">
        <v>283</v>
      </c>
      <c r="B33" s="5" t="s">
        <v>7</v>
      </c>
      <c r="C33" s="5">
        <v>42</v>
      </c>
      <c r="D33" s="5">
        <v>45</v>
      </c>
      <c r="E33" s="9">
        <v>2.86</v>
      </c>
      <c r="F33" s="5">
        <v>171.6</v>
      </c>
      <c r="G33" s="9">
        <v>2.69</v>
      </c>
      <c r="H33" s="5">
        <v>161.4</v>
      </c>
      <c r="I33" s="10">
        <v>0</v>
      </c>
      <c r="J33" s="30">
        <v>251.26125598856211</v>
      </c>
      <c r="K33" s="10">
        <v>0</v>
      </c>
      <c r="L33" s="32">
        <v>0</v>
      </c>
      <c r="M33" s="5">
        <v>4</v>
      </c>
      <c r="N33" s="5">
        <v>4</v>
      </c>
      <c r="O33" s="9">
        <v>5</v>
      </c>
      <c r="P33" s="9">
        <v>1</v>
      </c>
      <c r="Q33" s="30">
        <v>1256.306279942811</v>
      </c>
      <c r="R33" s="10">
        <v>0</v>
      </c>
      <c r="S33" s="6" t="s">
        <v>234</v>
      </c>
      <c r="T33" s="6" t="s">
        <v>283</v>
      </c>
      <c r="U33" s="6" t="s">
        <v>284</v>
      </c>
    </row>
    <row r="34" spans="1:21" x14ac:dyDescent="0.25">
      <c r="A34" s="6" t="s">
        <v>285</v>
      </c>
      <c r="B34" s="5" t="s">
        <v>7</v>
      </c>
      <c r="C34" s="5">
        <v>42</v>
      </c>
      <c r="D34" s="5">
        <v>45</v>
      </c>
      <c r="E34" s="9">
        <v>2.89</v>
      </c>
      <c r="F34" s="5">
        <v>173.4</v>
      </c>
      <c r="G34" s="9">
        <v>3.26</v>
      </c>
      <c r="H34" s="5">
        <v>195.6</v>
      </c>
      <c r="I34" s="10">
        <v>0</v>
      </c>
      <c r="J34" s="30">
        <v>251.26125598856211</v>
      </c>
      <c r="K34" s="10">
        <v>0</v>
      </c>
      <c r="L34" s="32">
        <v>0</v>
      </c>
      <c r="M34" s="5">
        <v>4</v>
      </c>
      <c r="N34" s="5">
        <v>4</v>
      </c>
      <c r="O34" s="9">
        <v>5</v>
      </c>
      <c r="P34" s="9">
        <v>1</v>
      </c>
      <c r="Q34" s="30">
        <v>1256.306279942811</v>
      </c>
      <c r="R34" s="10">
        <v>0</v>
      </c>
      <c r="S34" s="6" t="s">
        <v>234</v>
      </c>
      <c r="T34" s="6" t="s">
        <v>285</v>
      </c>
      <c r="U34" s="6" t="s">
        <v>286</v>
      </c>
    </row>
    <row r="35" spans="1:21" x14ac:dyDescent="0.25">
      <c r="A35" s="6" t="s">
        <v>287</v>
      </c>
      <c r="B35" s="5" t="s">
        <v>7</v>
      </c>
      <c r="C35" s="5">
        <v>125</v>
      </c>
      <c r="D35" s="5">
        <v>179</v>
      </c>
      <c r="E35" s="9">
        <v>5</v>
      </c>
      <c r="F35" s="5">
        <v>300</v>
      </c>
      <c r="G35" s="9">
        <v>5.0999999999999996</v>
      </c>
      <c r="H35" s="5">
        <v>306</v>
      </c>
      <c r="I35" s="10">
        <v>0</v>
      </c>
      <c r="J35" s="30">
        <v>183.3465715742916</v>
      </c>
      <c r="K35" s="10">
        <v>0</v>
      </c>
      <c r="L35" s="32">
        <v>1</v>
      </c>
      <c r="M35" s="5">
        <v>36</v>
      </c>
      <c r="N35" s="5">
        <v>15</v>
      </c>
      <c r="O35" s="9">
        <v>5</v>
      </c>
      <c r="P35" s="9">
        <v>3</v>
      </c>
      <c r="Q35" s="30">
        <v>2750.1985736143738</v>
      </c>
      <c r="R35" s="10">
        <v>0</v>
      </c>
      <c r="S35" s="6" t="s">
        <v>234</v>
      </c>
      <c r="T35" s="6" t="s">
        <v>288</v>
      </c>
      <c r="U35" s="6" t="s">
        <v>289</v>
      </c>
    </row>
    <row r="36" spans="1:21" x14ac:dyDescent="0.25">
      <c r="A36" s="6" t="s">
        <v>290</v>
      </c>
      <c r="B36" s="5" t="s">
        <v>7</v>
      </c>
      <c r="C36" s="5">
        <v>125</v>
      </c>
      <c r="D36" s="5">
        <v>179</v>
      </c>
      <c r="E36" s="9">
        <v>5</v>
      </c>
      <c r="F36" s="5">
        <v>300</v>
      </c>
      <c r="G36" s="9">
        <v>5.0999999999999996</v>
      </c>
      <c r="H36" s="5">
        <v>306</v>
      </c>
      <c r="I36" s="10">
        <v>0</v>
      </c>
      <c r="J36" s="30">
        <v>183.3465715742916</v>
      </c>
      <c r="K36" s="10">
        <v>0</v>
      </c>
      <c r="L36" s="32">
        <v>1</v>
      </c>
      <c r="M36" s="5">
        <v>36</v>
      </c>
      <c r="N36" s="5">
        <v>15</v>
      </c>
      <c r="O36" s="9">
        <v>5</v>
      </c>
      <c r="P36" s="9">
        <v>3</v>
      </c>
      <c r="Q36" s="30">
        <v>2750.1985736143738</v>
      </c>
      <c r="R36" s="10">
        <v>0</v>
      </c>
      <c r="S36" s="6" t="s">
        <v>234</v>
      </c>
      <c r="T36" s="6" t="s">
        <v>288</v>
      </c>
      <c r="U36" s="6" t="s">
        <v>289</v>
      </c>
    </row>
    <row r="37" spans="1:21" x14ac:dyDescent="0.25">
      <c r="A37" s="6" t="s">
        <v>291</v>
      </c>
      <c r="B37" s="5" t="s">
        <v>7</v>
      </c>
      <c r="C37" s="5">
        <v>51</v>
      </c>
      <c r="D37" s="5">
        <v>197</v>
      </c>
      <c r="E37" s="9">
        <v>2.5</v>
      </c>
      <c r="F37" s="5">
        <v>150</v>
      </c>
      <c r="G37" s="9">
        <v>7.7</v>
      </c>
      <c r="H37" s="5">
        <v>462</v>
      </c>
      <c r="I37" s="10">
        <v>0</v>
      </c>
      <c r="J37" s="30">
        <v>183.3465715742916</v>
      </c>
      <c r="K37" s="10">
        <v>0</v>
      </c>
      <c r="L37" s="32">
        <v>1</v>
      </c>
      <c r="M37" s="5">
        <v>36</v>
      </c>
      <c r="N37" s="5">
        <v>15</v>
      </c>
      <c r="O37" s="9">
        <v>11.3</v>
      </c>
      <c r="P37" s="9">
        <v>3</v>
      </c>
      <c r="Q37" s="30">
        <v>6215.4487763684874</v>
      </c>
      <c r="R37" s="10">
        <v>0</v>
      </c>
      <c r="S37" s="6" t="s">
        <v>234</v>
      </c>
      <c r="T37" s="6" t="s">
        <v>288</v>
      </c>
      <c r="U37" s="6" t="s">
        <v>289</v>
      </c>
    </row>
    <row r="38" spans="1:21" x14ac:dyDescent="0.25">
      <c r="A38" s="6" t="s">
        <v>292</v>
      </c>
      <c r="B38" s="5" t="s">
        <v>7</v>
      </c>
      <c r="C38" s="5">
        <v>38</v>
      </c>
      <c r="D38" s="5">
        <v>50</v>
      </c>
      <c r="E38" s="9">
        <v>3.07</v>
      </c>
      <c r="F38" s="5">
        <v>184.2</v>
      </c>
      <c r="G38" s="9">
        <v>3.08</v>
      </c>
      <c r="H38" s="5">
        <v>184.8</v>
      </c>
      <c r="I38" s="10">
        <v>0</v>
      </c>
      <c r="J38" s="30">
        <v>245.25583249026641</v>
      </c>
      <c r="K38" s="10">
        <v>0</v>
      </c>
      <c r="L38" s="32">
        <v>0</v>
      </c>
      <c r="M38" s="5">
        <v>4</v>
      </c>
      <c r="N38" s="5">
        <v>1</v>
      </c>
      <c r="O38" s="9">
        <v>5</v>
      </c>
      <c r="P38" s="9">
        <v>2</v>
      </c>
      <c r="Q38" s="30">
        <v>2452.558324902664</v>
      </c>
      <c r="R38" s="10">
        <v>0</v>
      </c>
      <c r="S38" s="6" t="s">
        <v>293</v>
      </c>
      <c r="T38" s="6" t="s">
        <v>294</v>
      </c>
      <c r="U38" s="6" t="s">
        <v>295</v>
      </c>
    </row>
    <row r="39" spans="1:21" x14ac:dyDescent="0.25">
      <c r="A39" s="6" t="s">
        <v>296</v>
      </c>
      <c r="B39" s="5" t="s">
        <v>8</v>
      </c>
      <c r="C39" s="5">
        <v>18</v>
      </c>
      <c r="D39" s="5">
        <v>36</v>
      </c>
      <c r="E39" s="9">
        <v>0.25</v>
      </c>
      <c r="F39" s="5">
        <v>15</v>
      </c>
      <c r="G39" s="9">
        <v>0.48</v>
      </c>
      <c r="H39" s="5">
        <v>28.8</v>
      </c>
      <c r="I39" s="10">
        <v>0</v>
      </c>
      <c r="J39" s="30">
        <v>79.841921467967637</v>
      </c>
      <c r="K39" s="10">
        <v>0</v>
      </c>
      <c r="L39" s="32">
        <v>1</v>
      </c>
      <c r="M39" s="5">
        <v>24</v>
      </c>
      <c r="N39" s="5">
        <v>18</v>
      </c>
      <c r="O39" s="9">
        <v>3</v>
      </c>
      <c r="P39" s="9">
        <v>10</v>
      </c>
      <c r="Q39" s="30">
        <v>2395.2576440390289</v>
      </c>
      <c r="R39" s="10">
        <v>0</v>
      </c>
      <c r="S39" s="6" t="s">
        <v>268</v>
      </c>
      <c r="T39" s="6" t="s">
        <v>296</v>
      </c>
      <c r="U39" s="6" t="s">
        <v>297</v>
      </c>
    </row>
    <row r="40" spans="1:21" x14ac:dyDescent="0.25">
      <c r="A40" s="6" t="s">
        <v>298</v>
      </c>
      <c r="B40" s="5" t="s">
        <v>8</v>
      </c>
      <c r="C40" s="5">
        <v>35</v>
      </c>
      <c r="D40" s="5">
        <v>72</v>
      </c>
      <c r="E40" s="9">
        <v>0.49</v>
      </c>
      <c r="F40" s="5">
        <v>29.4</v>
      </c>
      <c r="G40" s="9">
        <v>0.97</v>
      </c>
      <c r="H40" s="5">
        <v>58.2</v>
      </c>
      <c r="I40" s="10">
        <v>0</v>
      </c>
      <c r="J40" s="30">
        <v>73.231719382735662</v>
      </c>
      <c r="K40" s="10">
        <v>0</v>
      </c>
      <c r="L40" s="32">
        <v>1</v>
      </c>
      <c r="M40" s="5">
        <v>24</v>
      </c>
      <c r="N40" s="5">
        <v>18</v>
      </c>
      <c r="O40" s="9">
        <v>4</v>
      </c>
      <c r="P40" s="9">
        <v>10</v>
      </c>
      <c r="Q40" s="30">
        <v>2929.268775309426</v>
      </c>
      <c r="R40" s="10">
        <v>0</v>
      </c>
      <c r="S40" s="6" t="s">
        <v>268</v>
      </c>
      <c r="T40" s="6" t="s">
        <v>298</v>
      </c>
      <c r="U40" s="6" t="s">
        <v>299</v>
      </c>
    </row>
    <row r="41" spans="1:21" x14ac:dyDescent="0.25">
      <c r="A41" s="6" t="s">
        <v>300</v>
      </c>
      <c r="B41" s="5" t="s">
        <v>8</v>
      </c>
      <c r="C41" s="5">
        <v>35</v>
      </c>
      <c r="D41" s="5">
        <v>70</v>
      </c>
      <c r="E41" s="9">
        <v>0.49</v>
      </c>
      <c r="F41" s="5">
        <v>29.4</v>
      </c>
      <c r="G41" s="9">
        <v>0.97</v>
      </c>
      <c r="H41" s="5">
        <v>58.2</v>
      </c>
      <c r="I41" s="10">
        <v>0</v>
      </c>
      <c r="J41" s="30">
        <v>76.331697365450694</v>
      </c>
      <c r="K41" s="10">
        <v>0</v>
      </c>
      <c r="L41" s="32">
        <v>1</v>
      </c>
      <c r="M41" s="5">
        <v>24</v>
      </c>
      <c r="N41" s="5">
        <v>18</v>
      </c>
      <c r="O41" s="9">
        <v>4</v>
      </c>
      <c r="P41" s="9">
        <v>10</v>
      </c>
      <c r="Q41" s="30">
        <v>3053.2678946180281</v>
      </c>
      <c r="R41" s="10">
        <v>0</v>
      </c>
      <c r="S41" s="6" t="s">
        <v>268</v>
      </c>
      <c r="T41" s="6" t="s">
        <v>300</v>
      </c>
      <c r="U41" s="6" t="s">
        <v>301</v>
      </c>
    </row>
    <row r="42" spans="1:21" x14ac:dyDescent="0.25">
      <c r="A42" s="6" t="s">
        <v>302</v>
      </c>
      <c r="B42" s="5" t="s">
        <v>8</v>
      </c>
      <c r="C42" s="5">
        <v>60</v>
      </c>
      <c r="D42" s="5">
        <v>165</v>
      </c>
      <c r="E42" s="9">
        <v>0.5</v>
      </c>
      <c r="F42" s="5">
        <v>30</v>
      </c>
      <c r="G42" s="9">
        <v>0.7</v>
      </c>
      <c r="H42" s="5">
        <v>42</v>
      </c>
      <c r="I42" s="10">
        <v>0</v>
      </c>
      <c r="J42" s="30">
        <v>66.597827813683594</v>
      </c>
      <c r="K42" s="10">
        <v>0</v>
      </c>
      <c r="L42" s="32">
        <v>1</v>
      </c>
      <c r="M42" s="5">
        <v>24</v>
      </c>
      <c r="N42" s="5">
        <v>1</v>
      </c>
      <c r="O42" s="9">
        <v>8</v>
      </c>
      <c r="P42" s="9">
        <v>9</v>
      </c>
      <c r="Q42" s="30">
        <v>4795.0436025852187</v>
      </c>
      <c r="R42" s="10">
        <v>0</v>
      </c>
      <c r="S42" s="6" t="s">
        <v>268</v>
      </c>
      <c r="T42" s="6" t="s">
        <v>302</v>
      </c>
      <c r="U42" s="6" t="s">
        <v>303</v>
      </c>
    </row>
    <row r="43" spans="1:21" x14ac:dyDescent="0.25">
      <c r="A43" s="6" t="s">
        <v>304</v>
      </c>
      <c r="B43" s="5" t="s">
        <v>8</v>
      </c>
      <c r="C43" s="5">
        <v>6</v>
      </c>
      <c r="D43" s="5">
        <v>8</v>
      </c>
      <c r="E43" s="9">
        <v>5</v>
      </c>
      <c r="F43" s="5">
        <v>300</v>
      </c>
      <c r="G43" s="9">
        <v>5</v>
      </c>
      <c r="H43" s="5">
        <v>300</v>
      </c>
      <c r="I43" s="10">
        <v>0</v>
      </c>
      <c r="J43" s="30">
        <v>23.43865399139932</v>
      </c>
      <c r="K43" s="10">
        <v>0</v>
      </c>
      <c r="L43" s="32">
        <v>1</v>
      </c>
      <c r="M43" s="5">
        <v>12</v>
      </c>
      <c r="N43" s="5">
        <v>2</v>
      </c>
      <c r="O43" s="9">
        <v>3</v>
      </c>
      <c r="P43" s="9">
        <v>0</v>
      </c>
      <c r="Q43" s="30">
        <v>0</v>
      </c>
      <c r="R43" s="10">
        <v>0</v>
      </c>
      <c r="S43" s="6" t="s">
        <v>234</v>
      </c>
      <c r="T43" s="6" t="s">
        <v>304</v>
      </c>
      <c r="U43" s="6" t="s">
        <v>305</v>
      </c>
    </row>
    <row r="44" spans="1:21" x14ac:dyDescent="0.25">
      <c r="A44" s="6" t="s">
        <v>306</v>
      </c>
      <c r="B44" s="5" t="s">
        <v>8</v>
      </c>
      <c r="C44" s="5">
        <v>22</v>
      </c>
      <c r="D44" s="5">
        <v>28</v>
      </c>
      <c r="E44" s="9">
        <v>7.5</v>
      </c>
      <c r="F44" s="5">
        <v>450</v>
      </c>
      <c r="G44" s="9">
        <v>7.5</v>
      </c>
      <c r="H44" s="5">
        <v>450</v>
      </c>
      <c r="I44" s="10">
        <v>0</v>
      </c>
      <c r="J44" s="30">
        <v>23.438659565395518</v>
      </c>
      <c r="K44" s="10">
        <v>0</v>
      </c>
      <c r="L44" s="32">
        <v>1</v>
      </c>
      <c r="M44" s="5">
        <v>12</v>
      </c>
      <c r="N44" s="5">
        <v>2</v>
      </c>
      <c r="O44" s="9">
        <v>2.8</v>
      </c>
      <c r="P44" s="9">
        <v>0</v>
      </c>
      <c r="Q44" s="30">
        <v>0</v>
      </c>
      <c r="R44" s="10">
        <v>0</v>
      </c>
      <c r="S44" s="6" t="s">
        <v>234</v>
      </c>
      <c r="T44" s="6" t="s">
        <v>306</v>
      </c>
      <c r="U44" s="6" t="s">
        <v>307</v>
      </c>
    </row>
    <row r="45" spans="1:21" x14ac:dyDescent="0.25">
      <c r="A45" s="6" t="s">
        <v>308</v>
      </c>
      <c r="B45" s="5" t="s">
        <v>8</v>
      </c>
      <c r="C45" s="5">
        <v>30</v>
      </c>
      <c r="D45" s="5">
        <v>50</v>
      </c>
      <c r="E45" s="9">
        <v>11.82</v>
      </c>
      <c r="F45" s="5">
        <v>709.2</v>
      </c>
      <c r="G45" s="9">
        <v>11.85</v>
      </c>
      <c r="H45" s="5">
        <v>711</v>
      </c>
      <c r="I45" s="10">
        <v>0</v>
      </c>
      <c r="J45" s="30">
        <v>23.438656778397419</v>
      </c>
      <c r="K45" s="10">
        <v>0</v>
      </c>
      <c r="L45" s="32">
        <v>0</v>
      </c>
      <c r="M45" s="5">
        <v>12</v>
      </c>
      <c r="N45" s="5">
        <v>2</v>
      </c>
      <c r="O45" s="9">
        <v>2</v>
      </c>
      <c r="P45" s="9">
        <v>0</v>
      </c>
      <c r="Q45" s="30">
        <v>0</v>
      </c>
      <c r="R45" s="10">
        <v>0</v>
      </c>
      <c r="S45" s="6" t="s">
        <v>234</v>
      </c>
      <c r="T45" s="6" t="s">
        <v>308</v>
      </c>
      <c r="U45" s="6" t="s">
        <v>309</v>
      </c>
    </row>
    <row r="46" spans="1:21" x14ac:dyDescent="0.25">
      <c r="A46" s="6" t="s">
        <v>310</v>
      </c>
      <c r="B46" s="5" t="s">
        <v>8</v>
      </c>
      <c r="C46" s="5">
        <v>30</v>
      </c>
      <c r="D46" s="5">
        <v>50</v>
      </c>
      <c r="E46" s="9">
        <v>10.130000000000001</v>
      </c>
      <c r="F46" s="5">
        <v>607.80000000000007</v>
      </c>
      <c r="G46" s="9">
        <v>10.42</v>
      </c>
      <c r="H46" s="5">
        <v>625.20000000000005</v>
      </c>
      <c r="I46" s="10">
        <v>0</v>
      </c>
      <c r="J46" s="30">
        <v>23.438665139391709</v>
      </c>
      <c r="K46" s="10">
        <v>0</v>
      </c>
      <c r="L46" s="32">
        <v>0</v>
      </c>
      <c r="M46" s="5">
        <v>12</v>
      </c>
      <c r="N46" s="5">
        <v>2</v>
      </c>
      <c r="O46" s="9">
        <v>2</v>
      </c>
      <c r="P46" s="9">
        <v>0</v>
      </c>
      <c r="Q46" s="30">
        <v>0</v>
      </c>
      <c r="R46" s="10">
        <v>0</v>
      </c>
      <c r="S46" s="6" t="s">
        <v>234</v>
      </c>
      <c r="T46" s="6" t="s">
        <v>310</v>
      </c>
      <c r="U46" s="6" t="s">
        <v>311</v>
      </c>
    </row>
    <row r="47" spans="1:21" x14ac:dyDescent="0.25">
      <c r="A47" s="6" t="s">
        <v>312</v>
      </c>
      <c r="B47" s="5" t="s">
        <v>8</v>
      </c>
      <c r="C47" s="5">
        <v>30</v>
      </c>
      <c r="D47" s="5">
        <v>50</v>
      </c>
      <c r="E47" s="9">
        <v>8.34</v>
      </c>
      <c r="F47" s="5">
        <v>500.4</v>
      </c>
      <c r="G47" s="9">
        <v>8.34</v>
      </c>
      <c r="H47" s="5">
        <v>500.4</v>
      </c>
      <c r="I47" s="10">
        <v>0</v>
      </c>
      <c r="J47" s="30">
        <v>23.43866235239361</v>
      </c>
      <c r="K47" s="10">
        <v>0</v>
      </c>
      <c r="L47" s="32">
        <v>0</v>
      </c>
      <c r="M47" s="5">
        <v>12</v>
      </c>
      <c r="N47" s="5">
        <v>2</v>
      </c>
      <c r="O47" s="9">
        <v>2</v>
      </c>
      <c r="P47" s="9">
        <v>0</v>
      </c>
      <c r="Q47" s="30">
        <v>0</v>
      </c>
      <c r="R47" s="10">
        <v>0</v>
      </c>
      <c r="S47" s="6" t="s">
        <v>234</v>
      </c>
      <c r="T47" s="6" t="s">
        <v>312</v>
      </c>
      <c r="U47" s="6" t="s">
        <v>313</v>
      </c>
    </row>
    <row r="48" spans="1:21" x14ac:dyDescent="0.25">
      <c r="A48" s="6" t="s">
        <v>314</v>
      </c>
      <c r="B48" s="5" t="s">
        <v>8</v>
      </c>
      <c r="C48" s="5">
        <v>17</v>
      </c>
      <c r="D48" s="5">
        <v>25</v>
      </c>
      <c r="E48" s="9">
        <v>0.22</v>
      </c>
      <c r="F48" s="5">
        <v>13.2</v>
      </c>
      <c r="G48" s="9">
        <v>0.3</v>
      </c>
      <c r="H48" s="5">
        <v>18</v>
      </c>
      <c r="I48" s="10">
        <v>0</v>
      </c>
      <c r="J48" s="30">
        <v>66.115955842802151</v>
      </c>
      <c r="K48" s="10">
        <v>0</v>
      </c>
      <c r="L48" s="32">
        <v>1</v>
      </c>
      <c r="M48" s="5">
        <v>24</v>
      </c>
      <c r="N48" s="5">
        <v>12</v>
      </c>
      <c r="O48" s="9">
        <v>4</v>
      </c>
      <c r="P48" s="9">
        <v>9</v>
      </c>
      <c r="Q48" s="30">
        <v>2380.1744103408769</v>
      </c>
      <c r="R48" s="10">
        <v>0</v>
      </c>
      <c r="S48" s="6" t="s">
        <v>315</v>
      </c>
      <c r="T48" s="6" t="s">
        <v>316</v>
      </c>
      <c r="U48" s="6" t="s">
        <v>317</v>
      </c>
    </row>
    <row r="49" spans="1:21" x14ac:dyDescent="0.25">
      <c r="A49" s="6" t="s">
        <v>318</v>
      </c>
      <c r="B49" s="5" t="s">
        <v>12</v>
      </c>
      <c r="C49" s="5">
        <v>90</v>
      </c>
      <c r="D49" s="5">
        <v>164</v>
      </c>
      <c r="E49" s="9">
        <v>1</v>
      </c>
      <c r="F49" s="5">
        <v>60</v>
      </c>
      <c r="G49" s="9">
        <v>0.56999999999999995</v>
      </c>
      <c r="H49" s="5">
        <v>34.200000000000003</v>
      </c>
      <c r="I49" s="10">
        <v>0</v>
      </c>
      <c r="J49" s="30">
        <v>70.928544155804332</v>
      </c>
      <c r="K49" s="10">
        <v>0</v>
      </c>
      <c r="L49" s="32">
        <v>1</v>
      </c>
      <c r="M49" s="5">
        <v>72</v>
      </c>
      <c r="N49" s="5">
        <v>72</v>
      </c>
      <c r="O49" s="9">
        <v>5.5</v>
      </c>
      <c r="P49" s="9">
        <v>10</v>
      </c>
      <c r="Q49" s="30">
        <v>3901.0699285692381</v>
      </c>
      <c r="R49" s="10">
        <v>0</v>
      </c>
      <c r="S49" s="6" t="s">
        <v>268</v>
      </c>
      <c r="T49" s="6" t="s">
        <v>318</v>
      </c>
      <c r="U49" s="6" t="s">
        <v>319</v>
      </c>
    </row>
    <row r="50" spans="1:21" x14ac:dyDescent="0.25">
      <c r="A50" s="6" t="s">
        <v>320</v>
      </c>
      <c r="B50" s="5" t="s">
        <v>12</v>
      </c>
      <c r="C50" s="5">
        <v>130</v>
      </c>
      <c r="D50" s="5">
        <v>270</v>
      </c>
      <c r="E50" s="9">
        <v>1</v>
      </c>
      <c r="F50" s="5">
        <v>60</v>
      </c>
      <c r="G50" s="9">
        <v>0.81</v>
      </c>
      <c r="H50" s="5">
        <v>48.6</v>
      </c>
      <c r="I50" s="10">
        <v>0</v>
      </c>
      <c r="J50" s="30">
        <v>72.276615135071864</v>
      </c>
      <c r="K50" s="10">
        <v>0</v>
      </c>
      <c r="L50" s="32">
        <v>1</v>
      </c>
      <c r="M50" s="5">
        <v>72</v>
      </c>
      <c r="N50" s="5">
        <v>72</v>
      </c>
      <c r="O50" s="9">
        <v>9</v>
      </c>
      <c r="P50" s="9">
        <v>10</v>
      </c>
      <c r="Q50" s="30">
        <v>6504.8953621564679</v>
      </c>
      <c r="R50" s="10">
        <v>0</v>
      </c>
      <c r="S50" s="6" t="s">
        <v>268</v>
      </c>
      <c r="T50" s="6" t="s">
        <v>320</v>
      </c>
      <c r="U50" s="6" t="s">
        <v>321</v>
      </c>
    </row>
    <row r="51" spans="1:21" x14ac:dyDescent="0.25">
      <c r="A51" s="6" t="s">
        <v>322</v>
      </c>
      <c r="B51" s="5" t="s">
        <v>13</v>
      </c>
      <c r="C51" s="5">
        <v>8</v>
      </c>
      <c r="D51" s="5">
        <v>19</v>
      </c>
      <c r="E51" s="9">
        <v>2.13</v>
      </c>
      <c r="F51" s="5">
        <v>127.8</v>
      </c>
      <c r="G51" s="9">
        <v>2.65</v>
      </c>
      <c r="H51" s="5">
        <v>159</v>
      </c>
      <c r="I51" s="10">
        <v>0</v>
      </c>
      <c r="J51" s="30">
        <v>323.35978194526888</v>
      </c>
      <c r="K51" s="10">
        <v>0</v>
      </c>
      <c r="L51" s="32">
        <v>0</v>
      </c>
      <c r="M51" s="5">
        <v>3</v>
      </c>
      <c r="N51" s="5">
        <v>1</v>
      </c>
      <c r="O51" s="9">
        <v>1.8</v>
      </c>
      <c r="P51" s="9">
        <v>6</v>
      </c>
      <c r="Q51" s="30">
        <v>3492.2856450089048</v>
      </c>
      <c r="R51" s="10">
        <v>0</v>
      </c>
      <c r="S51" s="6" t="s">
        <v>234</v>
      </c>
      <c r="T51" s="6" t="s">
        <v>323</v>
      </c>
      <c r="U51" s="6" t="s">
        <v>324</v>
      </c>
    </row>
    <row r="52" spans="1:21" x14ac:dyDescent="0.25">
      <c r="A52" s="6" t="s">
        <v>325</v>
      </c>
      <c r="B52" s="5" t="s">
        <v>13</v>
      </c>
      <c r="C52" s="5">
        <v>8</v>
      </c>
      <c r="D52" s="5">
        <v>19</v>
      </c>
      <c r="E52" s="9">
        <v>2.2200000000000002</v>
      </c>
      <c r="F52" s="5">
        <v>133.19999999999999</v>
      </c>
      <c r="G52" s="9">
        <v>2.68</v>
      </c>
      <c r="H52" s="5">
        <v>160.80000000000001</v>
      </c>
      <c r="I52" s="10">
        <v>0</v>
      </c>
      <c r="J52" s="30">
        <v>323.35978194526888</v>
      </c>
      <c r="K52" s="10">
        <v>0</v>
      </c>
      <c r="L52" s="32">
        <v>0</v>
      </c>
      <c r="M52" s="5">
        <v>3</v>
      </c>
      <c r="N52" s="5">
        <v>1</v>
      </c>
      <c r="O52" s="9">
        <v>1.8</v>
      </c>
      <c r="P52" s="9">
        <v>6</v>
      </c>
      <c r="Q52" s="30">
        <v>3492.2856450089048</v>
      </c>
      <c r="R52" s="10">
        <v>0</v>
      </c>
      <c r="S52" s="6" t="s">
        <v>234</v>
      </c>
      <c r="T52" s="6" t="s">
        <v>323</v>
      </c>
      <c r="U52" s="6" t="s">
        <v>324</v>
      </c>
    </row>
    <row r="53" spans="1:21" x14ac:dyDescent="0.25">
      <c r="A53" s="6" t="s">
        <v>326</v>
      </c>
      <c r="B53" s="5" t="s">
        <v>13</v>
      </c>
      <c r="C53" s="5">
        <v>8</v>
      </c>
      <c r="D53" s="5">
        <v>19</v>
      </c>
      <c r="E53" s="9">
        <v>2.2200000000000002</v>
      </c>
      <c r="F53" s="5">
        <v>133.19999999999999</v>
      </c>
      <c r="G53" s="9">
        <v>2.68</v>
      </c>
      <c r="H53" s="5">
        <v>160.80000000000001</v>
      </c>
      <c r="I53" s="10">
        <v>0</v>
      </c>
      <c r="J53" s="30">
        <v>323.35978194526888</v>
      </c>
      <c r="K53" s="10">
        <v>0</v>
      </c>
      <c r="L53" s="32">
        <v>0</v>
      </c>
      <c r="M53" s="5">
        <v>3</v>
      </c>
      <c r="N53" s="5">
        <v>1</v>
      </c>
      <c r="O53" s="9">
        <v>1.8</v>
      </c>
      <c r="P53" s="9">
        <v>6</v>
      </c>
      <c r="Q53" s="30">
        <v>3492.2856450089048</v>
      </c>
      <c r="R53" s="10">
        <v>0</v>
      </c>
      <c r="S53" s="6" t="s">
        <v>234</v>
      </c>
      <c r="T53" s="6" t="s">
        <v>323</v>
      </c>
      <c r="U53" s="6" t="s">
        <v>324</v>
      </c>
    </row>
    <row r="54" spans="1:21" x14ac:dyDescent="0.25">
      <c r="A54" s="6" t="s">
        <v>327</v>
      </c>
      <c r="B54" s="5" t="s">
        <v>13</v>
      </c>
      <c r="C54" s="5">
        <v>8</v>
      </c>
      <c r="D54" s="5">
        <v>19</v>
      </c>
      <c r="E54" s="9">
        <v>2.13</v>
      </c>
      <c r="F54" s="5">
        <v>127.8</v>
      </c>
      <c r="G54" s="9">
        <v>2.68</v>
      </c>
      <c r="H54" s="5">
        <v>160.80000000000001</v>
      </c>
      <c r="I54" s="10">
        <v>0</v>
      </c>
      <c r="J54" s="30">
        <v>323.35978194526888</v>
      </c>
      <c r="K54" s="10">
        <v>0</v>
      </c>
      <c r="L54" s="32">
        <v>0</v>
      </c>
      <c r="M54" s="5">
        <v>3</v>
      </c>
      <c r="N54" s="5">
        <v>1</v>
      </c>
      <c r="O54" s="9">
        <v>1.8</v>
      </c>
      <c r="P54" s="9">
        <v>6</v>
      </c>
      <c r="Q54" s="30">
        <v>3492.2856450089048</v>
      </c>
      <c r="R54" s="10">
        <v>0</v>
      </c>
      <c r="S54" s="6" t="s">
        <v>234</v>
      </c>
      <c r="T54" s="6" t="s">
        <v>323</v>
      </c>
      <c r="U54" s="6" t="s">
        <v>324</v>
      </c>
    </row>
    <row r="55" spans="1:21" x14ac:dyDescent="0.25">
      <c r="A55" s="6" t="s">
        <v>328</v>
      </c>
      <c r="B55" s="5" t="s">
        <v>13</v>
      </c>
      <c r="C55" s="5">
        <v>8</v>
      </c>
      <c r="D55" s="5">
        <v>19</v>
      </c>
      <c r="E55" s="9">
        <v>2.08</v>
      </c>
      <c r="F55" s="5">
        <v>124.8</v>
      </c>
      <c r="G55" s="9">
        <v>2.65</v>
      </c>
      <c r="H55" s="5">
        <v>159</v>
      </c>
      <c r="I55" s="10">
        <v>0</v>
      </c>
      <c r="J55" s="30">
        <v>323.35978194526888</v>
      </c>
      <c r="K55" s="10">
        <v>0</v>
      </c>
      <c r="L55" s="32">
        <v>0</v>
      </c>
      <c r="M55" s="5">
        <v>3</v>
      </c>
      <c r="N55" s="5">
        <v>1</v>
      </c>
      <c r="O55" s="9">
        <v>1.8</v>
      </c>
      <c r="P55" s="9">
        <v>6</v>
      </c>
      <c r="Q55" s="30">
        <v>3492.2856450089048</v>
      </c>
      <c r="R55" s="10">
        <v>0</v>
      </c>
      <c r="S55" s="6" t="s">
        <v>234</v>
      </c>
      <c r="T55" s="6" t="s">
        <v>323</v>
      </c>
      <c r="U55" s="6" t="s">
        <v>324</v>
      </c>
    </row>
    <row r="56" spans="1:21" x14ac:dyDescent="0.25">
      <c r="A56" s="6" t="s">
        <v>329</v>
      </c>
      <c r="B56" s="5" t="s">
        <v>13</v>
      </c>
      <c r="C56" s="5">
        <v>8</v>
      </c>
      <c r="D56" s="5">
        <v>19</v>
      </c>
      <c r="E56" s="9">
        <v>2.16</v>
      </c>
      <c r="F56" s="5">
        <v>129.6</v>
      </c>
      <c r="G56" s="9">
        <v>2.71</v>
      </c>
      <c r="H56" s="5">
        <v>162.6</v>
      </c>
      <c r="I56" s="10">
        <v>0</v>
      </c>
      <c r="J56" s="30">
        <v>323.35978194526888</v>
      </c>
      <c r="K56" s="10">
        <v>0</v>
      </c>
      <c r="L56" s="32">
        <v>0</v>
      </c>
      <c r="M56" s="5">
        <v>3</v>
      </c>
      <c r="N56" s="5">
        <v>1</v>
      </c>
      <c r="O56" s="9">
        <v>1.8</v>
      </c>
      <c r="P56" s="9">
        <v>6</v>
      </c>
      <c r="Q56" s="30">
        <v>3492.2856450089048</v>
      </c>
      <c r="R56" s="10">
        <v>0</v>
      </c>
      <c r="S56" s="6" t="s">
        <v>234</v>
      </c>
      <c r="T56" s="6" t="s">
        <v>323</v>
      </c>
      <c r="U56" s="6" t="s">
        <v>324</v>
      </c>
    </row>
    <row r="57" spans="1:21" x14ac:dyDescent="0.25">
      <c r="A57" s="6" t="s">
        <v>330</v>
      </c>
      <c r="B57" s="5" t="s">
        <v>13</v>
      </c>
      <c r="C57" s="5">
        <v>8</v>
      </c>
      <c r="D57" s="5">
        <v>19</v>
      </c>
      <c r="E57" s="9">
        <v>2.04</v>
      </c>
      <c r="F57" s="5">
        <v>122.4</v>
      </c>
      <c r="G57" s="9">
        <v>2.68</v>
      </c>
      <c r="H57" s="5">
        <v>160.80000000000001</v>
      </c>
      <c r="I57" s="10">
        <v>0</v>
      </c>
      <c r="J57" s="30">
        <v>323.35978194526888</v>
      </c>
      <c r="K57" s="10">
        <v>0</v>
      </c>
      <c r="L57" s="32">
        <v>0</v>
      </c>
      <c r="M57" s="5">
        <v>3</v>
      </c>
      <c r="N57" s="5">
        <v>1</v>
      </c>
      <c r="O57" s="9">
        <v>1.8</v>
      </c>
      <c r="P57" s="9">
        <v>6</v>
      </c>
      <c r="Q57" s="30">
        <v>3492.2856450089048</v>
      </c>
      <c r="R57" s="10">
        <v>0</v>
      </c>
      <c r="S57" s="6" t="s">
        <v>234</v>
      </c>
      <c r="T57" s="6" t="s">
        <v>323</v>
      </c>
      <c r="U57" s="6" t="s">
        <v>324</v>
      </c>
    </row>
    <row r="58" spans="1:21" x14ac:dyDescent="0.25">
      <c r="A58" s="6" t="s">
        <v>331</v>
      </c>
      <c r="B58" s="5" t="s">
        <v>13</v>
      </c>
      <c r="C58" s="5">
        <v>8</v>
      </c>
      <c r="D58" s="5">
        <v>19</v>
      </c>
      <c r="E58" s="9">
        <v>2.11</v>
      </c>
      <c r="F58" s="5">
        <v>126.6</v>
      </c>
      <c r="G58" s="9">
        <v>2.77</v>
      </c>
      <c r="H58" s="5">
        <v>166.2</v>
      </c>
      <c r="I58" s="10">
        <v>0</v>
      </c>
      <c r="J58" s="30">
        <v>323.35978194526888</v>
      </c>
      <c r="K58" s="10">
        <v>0</v>
      </c>
      <c r="L58" s="32">
        <v>0</v>
      </c>
      <c r="M58" s="5">
        <v>3</v>
      </c>
      <c r="N58" s="5">
        <v>1</v>
      </c>
      <c r="O58" s="9">
        <v>1.8</v>
      </c>
      <c r="P58" s="9">
        <v>6</v>
      </c>
      <c r="Q58" s="30">
        <v>3492.2856450089048</v>
      </c>
      <c r="R58" s="10">
        <v>0</v>
      </c>
      <c r="S58" s="6" t="s">
        <v>234</v>
      </c>
      <c r="T58" s="6" t="s">
        <v>323</v>
      </c>
      <c r="U58" s="6" t="s">
        <v>324</v>
      </c>
    </row>
    <row r="59" spans="1:21" x14ac:dyDescent="0.25">
      <c r="A59" s="6" t="s">
        <v>332</v>
      </c>
      <c r="B59" s="5" t="s">
        <v>13</v>
      </c>
      <c r="C59" s="5">
        <v>8</v>
      </c>
      <c r="D59" s="5">
        <v>19</v>
      </c>
      <c r="E59" s="9">
        <v>2.1</v>
      </c>
      <c r="F59" s="5">
        <v>126</v>
      </c>
      <c r="G59" s="9">
        <v>2.58</v>
      </c>
      <c r="H59" s="5">
        <v>154.80000000000001</v>
      </c>
      <c r="I59" s="10">
        <v>0</v>
      </c>
      <c r="J59" s="30">
        <v>323.35978194526888</v>
      </c>
      <c r="K59" s="10">
        <v>0</v>
      </c>
      <c r="L59" s="32">
        <v>0</v>
      </c>
      <c r="M59" s="5">
        <v>3</v>
      </c>
      <c r="N59" s="5">
        <v>1</v>
      </c>
      <c r="O59" s="9">
        <v>1.8</v>
      </c>
      <c r="P59" s="9">
        <v>6</v>
      </c>
      <c r="Q59" s="30">
        <v>3492.2856450089048</v>
      </c>
      <c r="R59" s="10">
        <v>0</v>
      </c>
      <c r="S59" s="6" t="s">
        <v>234</v>
      </c>
      <c r="T59" s="6" t="s">
        <v>323</v>
      </c>
      <c r="U59" s="6" t="s">
        <v>324</v>
      </c>
    </row>
    <row r="60" spans="1:21" x14ac:dyDescent="0.25">
      <c r="A60" s="6" t="s">
        <v>333</v>
      </c>
      <c r="B60" s="5" t="s">
        <v>13</v>
      </c>
      <c r="C60" s="5">
        <v>8</v>
      </c>
      <c r="D60" s="5">
        <v>19</v>
      </c>
      <c r="E60" s="9">
        <v>2.09</v>
      </c>
      <c r="F60" s="5">
        <v>125.4</v>
      </c>
      <c r="G60" s="9">
        <v>2.68</v>
      </c>
      <c r="H60" s="5">
        <v>160.80000000000001</v>
      </c>
      <c r="I60" s="10">
        <v>0</v>
      </c>
      <c r="J60" s="30">
        <v>323.35978194526888</v>
      </c>
      <c r="K60" s="10">
        <v>0</v>
      </c>
      <c r="L60" s="32">
        <v>0</v>
      </c>
      <c r="M60" s="5">
        <v>3</v>
      </c>
      <c r="N60" s="5">
        <v>1</v>
      </c>
      <c r="O60" s="9">
        <v>1.8</v>
      </c>
      <c r="P60" s="9">
        <v>6</v>
      </c>
      <c r="Q60" s="30">
        <v>3492.2856450089048</v>
      </c>
      <c r="R60" s="10">
        <v>0</v>
      </c>
      <c r="S60" s="6" t="s">
        <v>234</v>
      </c>
      <c r="T60" s="6" t="s">
        <v>323</v>
      </c>
      <c r="U60" s="6" t="s">
        <v>324</v>
      </c>
    </row>
    <row r="61" spans="1:21" x14ac:dyDescent="0.25">
      <c r="A61" s="6" t="s">
        <v>334</v>
      </c>
      <c r="B61" s="5" t="s">
        <v>13</v>
      </c>
      <c r="C61" s="5">
        <v>8</v>
      </c>
      <c r="D61" s="5">
        <v>19</v>
      </c>
      <c r="E61" s="9">
        <v>2.12</v>
      </c>
      <c r="F61" s="5">
        <v>127.2</v>
      </c>
      <c r="G61" s="9">
        <v>2.69</v>
      </c>
      <c r="H61" s="5">
        <v>161.4</v>
      </c>
      <c r="I61" s="10">
        <v>0</v>
      </c>
      <c r="J61" s="30">
        <v>323.35978194526888</v>
      </c>
      <c r="K61" s="10">
        <v>0</v>
      </c>
      <c r="L61" s="32">
        <v>0</v>
      </c>
      <c r="M61" s="5">
        <v>3</v>
      </c>
      <c r="N61" s="5">
        <v>1</v>
      </c>
      <c r="O61" s="9">
        <v>1.8</v>
      </c>
      <c r="P61" s="9">
        <v>6</v>
      </c>
      <c r="Q61" s="30">
        <v>3492.2856450089048</v>
      </c>
      <c r="R61" s="10">
        <v>0</v>
      </c>
      <c r="S61" s="6" t="s">
        <v>234</v>
      </c>
      <c r="T61" s="6" t="s">
        <v>323</v>
      </c>
      <c r="U61" s="6" t="s">
        <v>324</v>
      </c>
    </row>
    <row r="62" spans="1:21" x14ac:dyDescent="0.25">
      <c r="A62" s="6" t="s">
        <v>335</v>
      </c>
      <c r="B62" s="5" t="s">
        <v>9</v>
      </c>
      <c r="C62" s="5">
        <v>10</v>
      </c>
      <c r="D62" s="5">
        <v>47</v>
      </c>
      <c r="E62" s="9">
        <v>5.94</v>
      </c>
      <c r="F62" s="5">
        <v>356.4</v>
      </c>
      <c r="G62" s="9">
        <v>5.8</v>
      </c>
      <c r="H62" s="5">
        <v>348</v>
      </c>
      <c r="I62" s="10">
        <v>0</v>
      </c>
      <c r="J62" s="30">
        <v>751.15451396146693</v>
      </c>
      <c r="K62" s="10">
        <v>0</v>
      </c>
      <c r="L62" s="32">
        <v>0</v>
      </c>
      <c r="M62" s="5">
        <v>1</v>
      </c>
      <c r="N62" s="5">
        <v>1</v>
      </c>
      <c r="O62" s="9">
        <v>1.5</v>
      </c>
      <c r="P62" s="9">
        <v>0.25</v>
      </c>
      <c r="Q62" s="30">
        <v>281.68294273555011</v>
      </c>
      <c r="R62" s="10">
        <v>0</v>
      </c>
      <c r="S62" s="6" t="s">
        <v>238</v>
      </c>
      <c r="T62" s="6" t="s">
        <v>335</v>
      </c>
      <c r="U62" s="6" t="s">
        <v>336</v>
      </c>
    </row>
    <row r="63" spans="1:21" x14ac:dyDescent="0.25">
      <c r="A63" s="6" t="s">
        <v>337</v>
      </c>
      <c r="B63" s="5" t="s">
        <v>14</v>
      </c>
      <c r="C63" s="5">
        <v>72</v>
      </c>
      <c r="D63" s="5">
        <v>145</v>
      </c>
      <c r="E63" s="9">
        <v>2.23</v>
      </c>
      <c r="F63" s="5">
        <v>133.80000000000001</v>
      </c>
      <c r="G63" s="9">
        <v>2.82</v>
      </c>
      <c r="H63" s="5">
        <v>169.2</v>
      </c>
      <c r="I63" s="10">
        <v>0</v>
      </c>
      <c r="J63" s="30">
        <v>173.77379051250111</v>
      </c>
      <c r="K63" s="10">
        <v>0</v>
      </c>
      <c r="L63" s="32">
        <v>1</v>
      </c>
      <c r="M63" s="5">
        <v>24</v>
      </c>
      <c r="N63" s="5">
        <v>24</v>
      </c>
      <c r="O63" s="9">
        <v>10</v>
      </c>
      <c r="P63" s="9">
        <v>12</v>
      </c>
      <c r="Q63" s="30">
        <v>20852.854861500131</v>
      </c>
      <c r="R63" s="10">
        <v>0</v>
      </c>
      <c r="S63" s="6" t="s">
        <v>338</v>
      </c>
      <c r="T63" s="6" t="s">
        <v>337</v>
      </c>
      <c r="U63" s="6" t="s">
        <v>339</v>
      </c>
    </row>
    <row r="64" spans="1:21" x14ac:dyDescent="0.25">
      <c r="A64" s="6" t="s">
        <v>340</v>
      </c>
      <c r="B64" s="5" t="s">
        <v>14</v>
      </c>
      <c r="C64" s="5">
        <v>72</v>
      </c>
      <c r="D64" s="5">
        <v>130</v>
      </c>
      <c r="E64" s="9">
        <v>1.05</v>
      </c>
      <c r="F64" s="5">
        <v>63</v>
      </c>
      <c r="G64" s="9">
        <v>1.44</v>
      </c>
      <c r="H64" s="5">
        <v>86.399999999999991</v>
      </c>
      <c r="I64" s="10">
        <v>0</v>
      </c>
      <c r="J64" s="30">
        <v>208.64053019851789</v>
      </c>
      <c r="K64" s="10">
        <v>0</v>
      </c>
      <c r="L64" s="32">
        <v>1</v>
      </c>
      <c r="M64" s="5">
        <v>24</v>
      </c>
      <c r="N64" s="5">
        <v>24</v>
      </c>
      <c r="O64" s="9">
        <v>10</v>
      </c>
      <c r="P64" s="9">
        <v>12</v>
      </c>
      <c r="Q64" s="30">
        <v>25036.863623822141</v>
      </c>
      <c r="R64" s="10">
        <v>0</v>
      </c>
      <c r="S64" s="6" t="s">
        <v>338</v>
      </c>
      <c r="T64" s="6" t="s">
        <v>340</v>
      </c>
      <c r="U64" s="6" t="s">
        <v>341</v>
      </c>
    </row>
    <row r="65" spans="1:21" x14ac:dyDescent="0.25">
      <c r="A65" s="6" t="s">
        <v>342</v>
      </c>
      <c r="B65" s="5" t="s">
        <v>14</v>
      </c>
      <c r="C65" s="5">
        <v>5.2</v>
      </c>
      <c r="D65" s="5">
        <v>9</v>
      </c>
      <c r="E65" s="9">
        <v>0.06</v>
      </c>
      <c r="F65" s="5">
        <v>3.6</v>
      </c>
      <c r="G65" s="9">
        <v>0.06</v>
      </c>
      <c r="H65" s="5">
        <v>3.6</v>
      </c>
      <c r="I65" s="10">
        <v>0</v>
      </c>
      <c r="J65" s="30">
        <v>316.32428395051397</v>
      </c>
      <c r="K65" s="10">
        <v>0</v>
      </c>
      <c r="L65" s="32">
        <v>1</v>
      </c>
      <c r="M65" s="5">
        <v>4</v>
      </c>
      <c r="N65" s="5">
        <v>1</v>
      </c>
      <c r="O65" s="9">
        <v>2</v>
      </c>
      <c r="P65" s="9">
        <v>3</v>
      </c>
      <c r="Q65" s="30">
        <v>1897.9457037030841</v>
      </c>
      <c r="R65" s="10">
        <v>0</v>
      </c>
      <c r="S65" s="6" t="s">
        <v>238</v>
      </c>
      <c r="T65" s="6" t="s">
        <v>343</v>
      </c>
      <c r="U65" s="6" t="s">
        <v>344</v>
      </c>
    </row>
    <row r="66" spans="1:21" x14ac:dyDescent="0.25">
      <c r="A66" s="6" t="s">
        <v>345</v>
      </c>
      <c r="B66" s="5" t="s">
        <v>14</v>
      </c>
      <c r="C66" s="5">
        <v>5.2</v>
      </c>
      <c r="D66" s="5">
        <v>9</v>
      </c>
      <c r="E66" s="9">
        <v>0.06</v>
      </c>
      <c r="F66" s="5">
        <v>3.6</v>
      </c>
      <c r="G66" s="9">
        <v>0.06</v>
      </c>
      <c r="H66" s="5">
        <v>3.6</v>
      </c>
      <c r="I66" s="10">
        <v>0</v>
      </c>
      <c r="J66" s="30">
        <v>316.32428395051397</v>
      </c>
      <c r="K66" s="10">
        <v>0</v>
      </c>
      <c r="L66" s="32">
        <v>1</v>
      </c>
      <c r="M66" s="5">
        <v>4</v>
      </c>
      <c r="N66" s="5">
        <v>1</v>
      </c>
      <c r="O66" s="9">
        <v>2</v>
      </c>
      <c r="P66" s="9">
        <v>3</v>
      </c>
      <c r="Q66" s="30">
        <v>1897.9457037030841</v>
      </c>
      <c r="R66" s="10">
        <v>0</v>
      </c>
      <c r="S66" s="6" t="s">
        <v>238</v>
      </c>
      <c r="T66" s="6" t="s">
        <v>343</v>
      </c>
      <c r="U66" s="6" t="s">
        <v>344</v>
      </c>
    </row>
    <row r="67" spans="1:21" x14ac:dyDescent="0.25">
      <c r="A67" s="6" t="s">
        <v>346</v>
      </c>
      <c r="B67" s="5" t="s">
        <v>14</v>
      </c>
      <c r="C67" s="5">
        <v>5.2</v>
      </c>
      <c r="D67" s="5">
        <v>9</v>
      </c>
      <c r="E67" s="9">
        <v>0.06</v>
      </c>
      <c r="F67" s="5">
        <v>3.6</v>
      </c>
      <c r="G67" s="9">
        <v>0.06</v>
      </c>
      <c r="H67" s="5">
        <v>3.6</v>
      </c>
      <c r="I67" s="10">
        <v>0</v>
      </c>
      <c r="J67" s="30">
        <v>316.32428395051397</v>
      </c>
      <c r="K67" s="10">
        <v>0</v>
      </c>
      <c r="L67" s="32">
        <v>1</v>
      </c>
      <c r="M67" s="5">
        <v>4</v>
      </c>
      <c r="N67" s="5">
        <v>1</v>
      </c>
      <c r="O67" s="9">
        <v>2</v>
      </c>
      <c r="P67" s="9">
        <v>3</v>
      </c>
      <c r="Q67" s="30">
        <v>1897.9457037030841</v>
      </c>
      <c r="R67" s="10">
        <v>0</v>
      </c>
      <c r="S67" s="6" t="s">
        <v>238</v>
      </c>
      <c r="T67" s="6" t="s">
        <v>343</v>
      </c>
      <c r="U67" s="6" t="s">
        <v>344</v>
      </c>
    </row>
    <row r="68" spans="1:21" x14ac:dyDescent="0.25">
      <c r="A68" s="6" t="s">
        <v>347</v>
      </c>
      <c r="B68" s="5" t="s">
        <v>14</v>
      </c>
      <c r="C68" s="5">
        <v>5.2</v>
      </c>
      <c r="D68" s="5">
        <v>9</v>
      </c>
      <c r="E68" s="9">
        <v>0.06</v>
      </c>
      <c r="F68" s="5">
        <v>3.6</v>
      </c>
      <c r="G68" s="9">
        <v>0.06</v>
      </c>
      <c r="H68" s="5">
        <v>3.6</v>
      </c>
      <c r="I68" s="10">
        <v>0</v>
      </c>
      <c r="J68" s="30">
        <v>316.32428395051397</v>
      </c>
      <c r="K68" s="10">
        <v>0</v>
      </c>
      <c r="L68" s="32">
        <v>1</v>
      </c>
      <c r="M68" s="5">
        <v>4</v>
      </c>
      <c r="N68" s="5">
        <v>1</v>
      </c>
      <c r="O68" s="9">
        <v>2</v>
      </c>
      <c r="P68" s="9">
        <v>3</v>
      </c>
      <c r="Q68" s="30">
        <v>1897.9457037030841</v>
      </c>
      <c r="R68" s="10">
        <v>0</v>
      </c>
      <c r="S68" s="6" t="s">
        <v>238</v>
      </c>
      <c r="T68" s="6" t="s">
        <v>343</v>
      </c>
      <c r="U68" s="6" t="s">
        <v>344</v>
      </c>
    </row>
    <row r="69" spans="1:21" x14ac:dyDescent="0.25">
      <c r="A69" s="6" t="s">
        <v>348</v>
      </c>
      <c r="B69" s="5" t="s">
        <v>14</v>
      </c>
      <c r="C69" s="5">
        <v>5.2</v>
      </c>
      <c r="D69" s="5">
        <v>9</v>
      </c>
      <c r="E69" s="5">
        <v>0</v>
      </c>
      <c r="F69" s="5">
        <v>0</v>
      </c>
      <c r="G69" s="5">
        <v>0</v>
      </c>
      <c r="H69" s="5">
        <v>0</v>
      </c>
      <c r="I69" s="10">
        <v>0</v>
      </c>
      <c r="J69" s="30">
        <v>316.32428395051397</v>
      </c>
      <c r="K69" s="10">
        <v>0</v>
      </c>
      <c r="L69" s="32">
        <v>1</v>
      </c>
      <c r="M69" s="5">
        <v>4</v>
      </c>
      <c r="N69" s="5">
        <v>1</v>
      </c>
      <c r="O69" s="9">
        <v>2</v>
      </c>
      <c r="P69" s="9">
        <v>3</v>
      </c>
      <c r="Q69" s="30">
        <v>1897.9457037030841</v>
      </c>
      <c r="R69" s="10">
        <v>0</v>
      </c>
      <c r="S69" s="6" t="s">
        <v>238</v>
      </c>
      <c r="T69" s="6" t="s">
        <v>343</v>
      </c>
      <c r="U69" s="6" t="s">
        <v>344</v>
      </c>
    </row>
    <row r="70" spans="1:21" x14ac:dyDescent="0.25">
      <c r="A70" s="6" t="s">
        <v>349</v>
      </c>
      <c r="B70" s="5" t="s">
        <v>14</v>
      </c>
      <c r="C70" s="5">
        <v>5.2</v>
      </c>
      <c r="D70" s="5">
        <v>9</v>
      </c>
      <c r="E70" s="9">
        <v>0.06</v>
      </c>
      <c r="F70" s="5">
        <v>3.6</v>
      </c>
      <c r="G70" s="9">
        <v>0.06</v>
      </c>
      <c r="H70" s="5">
        <v>3.6</v>
      </c>
      <c r="I70" s="10">
        <v>0</v>
      </c>
      <c r="J70" s="30">
        <v>316.32428395051397</v>
      </c>
      <c r="K70" s="10">
        <v>0</v>
      </c>
      <c r="L70" s="32">
        <v>1</v>
      </c>
      <c r="M70" s="5">
        <v>4</v>
      </c>
      <c r="N70" s="5">
        <v>1</v>
      </c>
      <c r="O70" s="9">
        <v>2</v>
      </c>
      <c r="P70" s="9">
        <v>3</v>
      </c>
      <c r="Q70" s="30">
        <v>1897.9457037030841</v>
      </c>
      <c r="R70" s="10">
        <v>0</v>
      </c>
      <c r="S70" s="6" t="s">
        <v>238</v>
      </c>
      <c r="T70" s="6" t="s">
        <v>343</v>
      </c>
      <c r="U70" s="6" t="s">
        <v>344</v>
      </c>
    </row>
    <row r="71" spans="1:21" x14ac:dyDescent="0.25">
      <c r="A71" s="6" t="s">
        <v>350</v>
      </c>
      <c r="B71" s="5" t="s">
        <v>14</v>
      </c>
      <c r="C71" s="5">
        <v>5.2</v>
      </c>
      <c r="D71" s="5">
        <v>9</v>
      </c>
      <c r="E71" s="9">
        <v>0.06</v>
      </c>
      <c r="F71" s="5">
        <v>3.6</v>
      </c>
      <c r="G71" s="9">
        <v>0.06</v>
      </c>
      <c r="H71" s="5">
        <v>3.6</v>
      </c>
      <c r="I71" s="10">
        <v>0</v>
      </c>
      <c r="J71" s="30">
        <v>316.32428395051397</v>
      </c>
      <c r="K71" s="10">
        <v>0</v>
      </c>
      <c r="L71" s="32">
        <v>1</v>
      </c>
      <c r="M71" s="5">
        <v>4</v>
      </c>
      <c r="N71" s="5">
        <v>1</v>
      </c>
      <c r="O71" s="9">
        <v>2</v>
      </c>
      <c r="P71" s="9">
        <v>3</v>
      </c>
      <c r="Q71" s="30">
        <v>1897.9457037030841</v>
      </c>
      <c r="R71" s="10">
        <v>0</v>
      </c>
      <c r="S71" s="6" t="s">
        <v>238</v>
      </c>
      <c r="T71" s="6" t="s">
        <v>343</v>
      </c>
      <c r="U71" s="6" t="s">
        <v>344</v>
      </c>
    </row>
    <row r="72" spans="1:21" x14ac:dyDescent="0.25">
      <c r="A72" s="6" t="s">
        <v>351</v>
      </c>
      <c r="B72" s="5" t="s">
        <v>14</v>
      </c>
      <c r="C72" s="5">
        <v>5.2</v>
      </c>
      <c r="D72" s="5">
        <v>9</v>
      </c>
      <c r="E72" s="5">
        <v>0</v>
      </c>
      <c r="F72" s="5">
        <v>0</v>
      </c>
      <c r="G72" s="5">
        <v>0</v>
      </c>
      <c r="H72" s="5">
        <v>0</v>
      </c>
      <c r="I72" s="10">
        <v>0</v>
      </c>
      <c r="J72" s="30">
        <v>316.32428395051397</v>
      </c>
      <c r="K72" s="10">
        <v>0</v>
      </c>
      <c r="L72" s="32">
        <v>1</v>
      </c>
      <c r="M72" s="5">
        <v>4</v>
      </c>
      <c r="N72" s="5">
        <v>1</v>
      </c>
      <c r="O72" s="9">
        <v>2</v>
      </c>
      <c r="P72" s="9">
        <v>3</v>
      </c>
      <c r="Q72" s="30">
        <v>1897.9457037030841</v>
      </c>
      <c r="R72" s="10">
        <v>0</v>
      </c>
      <c r="S72" s="6" t="s">
        <v>238</v>
      </c>
      <c r="T72" s="6" t="s">
        <v>343</v>
      </c>
      <c r="U72" s="6" t="s">
        <v>344</v>
      </c>
    </row>
    <row r="73" spans="1:21" x14ac:dyDescent="0.25">
      <c r="A73" s="6" t="s">
        <v>352</v>
      </c>
      <c r="B73" s="5" t="s">
        <v>14</v>
      </c>
      <c r="C73" s="5">
        <v>5.2</v>
      </c>
      <c r="D73" s="5">
        <v>9</v>
      </c>
      <c r="E73" s="5">
        <v>0</v>
      </c>
      <c r="F73" s="5">
        <v>0</v>
      </c>
      <c r="G73" s="5">
        <v>0</v>
      </c>
      <c r="H73" s="5">
        <v>0</v>
      </c>
      <c r="I73" s="10">
        <v>0</v>
      </c>
      <c r="J73" s="30">
        <v>316.32428395051397</v>
      </c>
      <c r="K73" s="10">
        <v>0</v>
      </c>
      <c r="L73" s="32">
        <v>1</v>
      </c>
      <c r="M73" s="5">
        <v>4</v>
      </c>
      <c r="N73" s="5">
        <v>1</v>
      </c>
      <c r="O73" s="9">
        <v>2</v>
      </c>
      <c r="P73" s="9">
        <v>3</v>
      </c>
      <c r="Q73" s="30">
        <v>1897.9457037030841</v>
      </c>
      <c r="R73" s="10">
        <v>0</v>
      </c>
      <c r="S73" s="6" t="s">
        <v>238</v>
      </c>
      <c r="T73" s="6" t="s">
        <v>343</v>
      </c>
      <c r="U73" s="6" t="s">
        <v>344</v>
      </c>
    </row>
    <row r="74" spans="1:21" x14ac:dyDescent="0.25">
      <c r="A74" s="6" t="s">
        <v>353</v>
      </c>
      <c r="B74" s="5" t="s">
        <v>14</v>
      </c>
      <c r="C74" s="5">
        <v>5.2</v>
      </c>
      <c r="D74" s="5">
        <v>9</v>
      </c>
      <c r="E74" s="5">
        <v>0</v>
      </c>
      <c r="F74" s="5">
        <v>0</v>
      </c>
      <c r="G74" s="5">
        <v>0</v>
      </c>
      <c r="H74" s="5">
        <v>0</v>
      </c>
      <c r="I74" s="10">
        <v>0</v>
      </c>
      <c r="J74" s="30">
        <v>316.32428395051397</v>
      </c>
      <c r="K74" s="10">
        <v>0</v>
      </c>
      <c r="L74" s="32">
        <v>1</v>
      </c>
      <c r="M74" s="5">
        <v>4</v>
      </c>
      <c r="N74" s="5">
        <v>1</v>
      </c>
      <c r="O74" s="9">
        <v>2</v>
      </c>
      <c r="P74" s="9">
        <v>3</v>
      </c>
      <c r="Q74" s="30">
        <v>1897.9457037030841</v>
      </c>
      <c r="R74" s="10">
        <v>0</v>
      </c>
      <c r="S74" s="6" t="s">
        <v>238</v>
      </c>
      <c r="T74" s="6" t="s">
        <v>343</v>
      </c>
      <c r="U74" s="6" t="s">
        <v>344</v>
      </c>
    </row>
    <row r="75" spans="1:21" x14ac:dyDescent="0.25">
      <c r="A75" s="6" t="s">
        <v>354</v>
      </c>
      <c r="B75" s="5" t="s">
        <v>17</v>
      </c>
      <c r="C75" s="5">
        <v>68</v>
      </c>
      <c r="D75" s="5">
        <v>165</v>
      </c>
      <c r="E75" s="9">
        <v>4</v>
      </c>
      <c r="F75" s="5">
        <v>240</v>
      </c>
      <c r="G75" s="9">
        <v>4</v>
      </c>
      <c r="H75" s="5">
        <v>240</v>
      </c>
      <c r="I75" s="10">
        <v>0</v>
      </c>
      <c r="J75" s="30">
        <v>66.464330604862198</v>
      </c>
      <c r="K75" s="10">
        <v>0</v>
      </c>
      <c r="L75" s="32">
        <v>1</v>
      </c>
      <c r="M75" s="5">
        <v>72</v>
      </c>
      <c r="N75" s="5">
        <v>3</v>
      </c>
      <c r="O75" s="9">
        <v>8</v>
      </c>
      <c r="P75" s="9">
        <v>12</v>
      </c>
      <c r="Q75" s="30">
        <v>6380.575738066771</v>
      </c>
      <c r="R75" s="10">
        <v>0</v>
      </c>
      <c r="S75" s="6" t="s">
        <v>268</v>
      </c>
      <c r="T75" s="6" t="s">
        <v>354</v>
      </c>
      <c r="U75" s="6" t="s">
        <v>355</v>
      </c>
    </row>
    <row r="76" spans="1:21" x14ac:dyDescent="0.25">
      <c r="A76" s="6" t="s">
        <v>356</v>
      </c>
      <c r="B76" s="5" t="s">
        <v>17</v>
      </c>
      <c r="C76" s="5">
        <v>66</v>
      </c>
      <c r="D76" s="5">
        <v>170</v>
      </c>
      <c r="E76" s="9">
        <v>1.57</v>
      </c>
      <c r="F76" s="5">
        <v>94.2</v>
      </c>
      <c r="G76" s="9">
        <v>1.57</v>
      </c>
      <c r="H76" s="5">
        <v>94.2</v>
      </c>
      <c r="I76" s="10">
        <v>0</v>
      </c>
      <c r="J76" s="30">
        <v>61.169034221549623</v>
      </c>
      <c r="K76" s="10">
        <v>0</v>
      </c>
      <c r="L76" s="32">
        <v>1</v>
      </c>
      <c r="M76" s="5">
        <v>72</v>
      </c>
      <c r="N76" s="5">
        <v>8</v>
      </c>
      <c r="O76" s="9">
        <v>9</v>
      </c>
      <c r="P76" s="9">
        <v>10</v>
      </c>
      <c r="Q76" s="30">
        <v>5505.2130799394663</v>
      </c>
      <c r="R76" s="10">
        <v>0</v>
      </c>
      <c r="S76" s="6" t="s">
        <v>268</v>
      </c>
      <c r="T76" s="6" t="s">
        <v>356</v>
      </c>
      <c r="U76" s="6" t="s">
        <v>357</v>
      </c>
    </row>
    <row r="77" spans="1:21" x14ac:dyDescent="0.25">
      <c r="A77" s="6" t="s">
        <v>358</v>
      </c>
      <c r="B77" s="5" t="s">
        <v>19</v>
      </c>
      <c r="C77" s="5">
        <v>90</v>
      </c>
      <c r="D77" s="5">
        <v>164</v>
      </c>
      <c r="E77" s="9">
        <v>6.02</v>
      </c>
      <c r="F77" s="5">
        <v>361.2</v>
      </c>
      <c r="G77" s="9">
        <v>6.01</v>
      </c>
      <c r="H77" s="5">
        <v>360.6</v>
      </c>
      <c r="I77" s="10">
        <v>0</v>
      </c>
      <c r="J77" s="30">
        <v>344.99134637091038</v>
      </c>
      <c r="K77" s="10">
        <v>0</v>
      </c>
      <c r="L77" s="32">
        <v>0</v>
      </c>
      <c r="M77" s="5">
        <v>6</v>
      </c>
      <c r="N77" s="5">
        <v>2</v>
      </c>
      <c r="O77" s="9">
        <v>4.5</v>
      </c>
      <c r="P77" s="9">
        <v>0.4</v>
      </c>
      <c r="Q77" s="30">
        <v>620.98442346763875</v>
      </c>
      <c r="R77" s="10">
        <v>0</v>
      </c>
      <c r="S77" s="6" t="s">
        <v>234</v>
      </c>
      <c r="T77" s="6" t="s">
        <v>358</v>
      </c>
      <c r="U77" s="6" t="s">
        <v>359</v>
      </c>
    </row>
    <row r="78" spans="1:21" x14ac:dyDescent="0.25">
      <c r="A78" s="6" t="s">
        <v>360</v>
      </c>
      <c r="B78" s="5" t="s">
        <v>20</v>
      </c>
      <c r="C78" s="5">
        <v>80</v>
      </c>
      <c r="D78" s="5">
        <v>153</v>
      </c>
      <c r="E78" s="5">
        <v>0</v>
      </c>
      <c r="F78" s="5">
        <v>0</v>
      </c>
      <c r="G78" s="5">
        <v>0</v>
      </c>
      <c r="H78" s="5">
        <v>0</v>
      </c>
      <c r="I78" s="10">
        <v>0</v>
      </c>
      <c r="J78" s="30">
        <v>427.43994715851608</v>
      </c>
      <c r="K78" s="10">
        <v>0</v>
      </c>
      <c r="L78" s="32">
        <v>0</v>
      </c>
      <c r="M78" s="5">
        <v>2</v>
      </c>
      <c r="N78" s="5">
        <v>4</v>
      </c>
      <c r="O78" s="9">
        <v>4</v>
      </c>
      <c r="P78" s="9">
        <v>5</v>
      </c>
      <c r="Q78" s="30">
        <v>8548.7989431703209</v>
      </c>
      <c r="R78" s="10">
        <v>0</v>
      </c>
      <c r="S78" s="6" t="s">
        <v>234</v>
      </c>
      <c r="T78" s="6" t="s">
        <v>361</v>
      </c>
      <c r="U78" s="6" t="s">
        <v>362</v>
      </c>
    </row>
    <row r="79" spans="1:21" x14ac:dyDescent="0.25">
      <c r="A79" s="6" t="s">
        <v>363</v>
      </c>
      <c r="B79" s="5" t="s">
        <v>20</v>
      </c>
      <c r="C79" s="5">
        <v>20</v>
      </c>
      <c r="D79" s="5">
        <v>76</v>
      </c>
      <c r="E79" s="5">
        <v>0</v>
      </c>
      <c r="F79" s="5">
        <v>0</v>
      </c>
      <c r="G79" s="5">
        <v>0</v>
      </c>
      <c r="H79" s="5">
        <v>0</v>
      </c>
      <c r="I79" s="10">
        <v>0</v>
      </c>
      <c r="J79" s="30">
        <v>427.43994715851608</v>
      </c>
      <c r="K79" s="10">
        <v>0</v>
      </c>
      <c r="L79" s="32">
        <v>0</v>
      </c>
      <c r="M79" s="5">
        <v>2</v>
      </c>
      <c r="N79" s="5">
        <v>4</v>
      </c>
      <c r="O79" s="9">
        <v>4</v>
      </c>
      <c r="P79" s="9">
        <v>5</v>
      </c>
      <c r="Q79" s="30">
        <v>8548.7989431703209</v>
      </c>
      <c r="R79" s="10">
        <v>0</v>
      </c>
      <c r="S79" s="6" t="s">
        <v>234</v>
      </c>
      <c r="T79" s="6" t="s">
        <v>361</v>
      </c>
      <c r="U79" s="6" t="s">
        <v>362</v>
      </c>
    </row>
    <row r="80" spans="1:21" x14ac:dyDescent="0.25">
      <c r="A80" s="6" t="s">
        <v>364</v>
      </c>
      <c r="B80" s="5" t="s">
        <v>20</v>
      </c>
      <c r="C80" s="5">
        <v>65</v>
      </c>
      <c r="D80" s="5">
        <v>160</v>
      </c>
      <c r="E80" s="9">
        <v>1</v>
      </c>
      <c r="F80" s="5">
        <v>60</v>
      </c>
      <c r="G80" s="9">
        <v>4</v>
      </c>
      <c r="H80" s="5">
        <v>240</v>
      </c>
      <c r="I80" s="10">
        <v>0</v>
      </c>
      <c r="J80" s="30">
        <v>444.30295784107977</v>
      </c>
      <c r="K80" s="10">
        <v>0</v>
      </c>
      <c r="L80" s="32">
        <v>0</v>
      </c>
      <c r="M80" s="5">
        <v>10</v>
      </c>
      <c r="N80" s="5">
        <v>4</v>
      </c>
      <c r="O80" s="9">
        <v>4</v>
      </c>
      <c r="P80" s="9">
        <v>0.75</v>
      </c>
      <c r="Q80" s="30">
        <v>1332.908873523239</v>
      </c>
      <c r="R80" s="10">
        <v>0</v>
      </c>
      <c r="S80" s="6" t="s">
        <v>234</v>
      </c>
      <c r="T80" s="6" t="s">
        <v>365</v>
      </c>
      <c r="U80" s="6" t="s">
        <v>366</v>
      </c>
    </row>
    <row r="81" spans="1:21" x14ac:dyDescent="0.25">
      <c r="A81" s="6" t="s">
        <v>367</v>
      </c>
      <c r="B81" s="5" t="s">
        <v>20</v>
      </c>
      <c r="C81" s="5">
        <v>35</v>
      </c>
      <c r="D81" s="5">
        <v>74</v>
      </c>
      <c r="E81" s="9">
        <v>1</v>
      </c>
      <c r="F81" s="5">
        <v>60</v>
      </c>
      <c r="G81" s="9">
        <v>4</v>
      </c>
      <c r="H81" s="5">
        <v>240</v>
      </c>
      <c r="I81" s="10">
        <v>0</v>
      </c>
      <c r="J81" s="30">
        <v>444.30295784107977</v>
      </c>
      <c r="K81" s="10">
        <v>0</v>
      </c>
      <c r="L81" s="32">
        <v>0</v>
      </c>
      <c r="M81" s="5">
        <v>10</v>
      </c>
      <c r="N81" s="5">
        <v>4</v>
      </c>
      <c r="O81" s="9">
        <v>10</v>
      </c>
      <c r="P81" s="9">
        <v>0.75</v>
      </c>
      <c r="Q81" s="30">
        <v>3332.2721838080979</v>
      </c>
      <c r="R81" s="10">
        <v>0</v>
      </c>
      <c r="S81" s="6" t="s">
        <v>238</v>
      </c>
      <c r="T81" s="6" t="s">
        <v>365</v>
      </c>
      <c r="U81" s="6" t="s">
        <v>366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A1:Q40"/>
  <sheetViews>
    <sheetView workbookViewId="0">
      <selection activeCell="O11" sqref="O11"/>
    </sheetView>
  </sheetViews>
  <sheetFormatPr defaultRowHeight="15" x14ac:dyDescent="0.25"/>
  <cols>
    <col min="1" max="1" width="22.5703125" customWidth="1"/>
    <col min="2" max="2" width="9.7109375" customWidth="1"/>
    <col min="3" max="3" width="5.5703125" bestFit="1" customWidth="1"/>
    <col min="4" max="4" width="7.5703125" bestFit="1" customWidth="1"/>
    <col min="5" max="5" width="5.5703125" bestFit="1" customWidth="1"/>
    <col min="6" max="6" width="12" bestFit="1" customWidth="1"/>
    <col min="7" max="7" width="10.140625" bestFit="1" customWidth="1"/>
    <col min="8" max="9" width="7.5703125" bestFit="1" customWidth="1"/>
    <col min="10" max="10" width="9.140625" customWidth="1"/>
    <col min="11" max="11" width="7.5703125" bestFit="1" customWidth="1"/>
    <col min="12" max="13" width="7" bestFit="1" customWidth="1"/>
    <col min="14" max="14" width="14.7109375" bestFit="1" customWidth="1"/>
    <col min="15" max="15" width="19.5703125" bestFit="1" customWidth="1"/>
    <col min="16" max="16" width="23.85546875" customWidth="1"/>
    <col min="17" max="17" width="6.85546875" bestFit="1" customWidth="1"/>
  </cols>
  <sheetData>
    <row r="1" spans="1:17" ht="18.75" customHeight="1" x14ac:dyDescent="0.3">
      <c r="A1" s="1" t="s">
        <v>368</v>
      </c>
    </row>
    <row r="2" spans="1:17" x14ac:dyDescent="0.25">
      <c r="A2" s="2" t="s">
        <v>369</v>
      </c>
    </row>
    <row r="4" spans="1:17" x14ac:dyDescent="0.25">
      <c r="A4" s="3" t="s">
        <v>48</v>
      </c>
      <c r="B4" s="3" t="s">
        <v>182</v>
      </c>
      <c r="C4" s="3" t="s">
        <v>81</v>
      </c>
      <c r="D4" s="3" t="s">
        <v>83</v>
      </c>
      <c r="E4" s="3" t="s">
        <v>86</v>
      </c>
      <c r="F4" s="3" t="s">
        <v>88</v>
      </c>
      <c r="G4" s="3" t="s">
        <v>90</v>
      </c>
      <c r="H4" s="3" t="s">
        <v>92</v>
      </c>
      <c r="I4" s="3" t="s">
        <v>95</v>
      </c>
      <c r="J4" s="12" t="s">
        <v>370</v>
      </c>
      <c r="K4" s="3" t="s">
        <v>96</v>
      </c>
      <c r="L4" s="3" t="s">
        <v>98</v>
      </c>
      <c r="M4" s="3" t="s">
        <v>99</v>
      </c>
      <c r="N4" s="12" t="s">
        <v>100</v>
      </c>
      <c r="O4" s="12" t="s">
        <v>371</v>
      </c>
      <c r="P4" s="12" t="s">
        <v>222</v>
      </c>
      <c r="Q4" s="12" t="s">
        <v>223</v>
      </c>
    </row>
    <row r="5" spans="1:17" x14ac:dyDescent="0.25">
      <c r="A5" s="4" t="s">
        <v>372</v>
      </c>
      <c r="B5" s="4" t="s">
        <v>182</v>
      </c>
      <c r="C5" s="4" t="s">
        <v>21</v>
      </c>
      <c r="D5" s="4" t="s">
        <v>21</v>
      </c>
      <c r="E5" s="4" t="s">
        <v>373</v>
      </c>
      <c r="F5" s="4" t="s">
        <v>373</v>
      </c>
      <c r="G5" s="4" t="s">
        <v>374</v>
      </c>
      <c r="H5" s="4" t="s">
        <v>375</v>
      </c>
      <c r="I5" s="4" t="s">
        <v>376</v>
      </c>
      <c r="J5" s="4" t="s">
        <v>377</v>
      </c>
      <c r="K5" s="4" t="s">
        <v>375</v>
      </c>
      <c r="L5" s="16" t="s">
        <v>373</v>
      </c>
      <c r="M5" s="4" t="s">
        <v>378</v>
      </c>
      <c r="N5" s="4" t="s">
        <v>21</v>
      </c>
      <c r="O5" s="4"/>
      <c r="P5" s="4"/>
      <c r="Q5" s="4"/>
    </row>
    <row r="6" spans="1:17" x14ac:dyDescent="0.25">
      <c r="A6" s="6" t="s">
        <v>379</v>
      </c>
      <c r="B6" s="5" t="s">
        <v>6</v>
      </c>
      <c r="C6" s="5">
        <v>0</v>
      </c>
      <c r="D6" s="19">
        <v>1250</v>
      </c>
      <c r="E6" s="19">
        <v>0</v>
      </c>
      <c r="F6" s="19">
        <v>126.9589770153468</v>
      </c>
      <c r="G6" s="5">
        <v>9.8457000000000008</v>
      </c>
      <c r="H6" s="19">
        <v>18.47</v>
      </c>
      <c r="I6" s="19">
        <v>741.69</v>
      </c>
      <c r="J6" s="31">
        <v>0.96002599485633688</v>
      </c>
      <c r="K6" s="19">
        <v>712.78</v>
      </c>
      <c r="L6" s="23">
        <v>100</v>
      </c>
      <c r="M6" s="31">
        <v>25.320716592950561</v>
      </c>
      <c r="N6" s="5">
        <v>300</v>
      </c>
      <c r="O6" s="6" t="s">
        <v>380</v>
      </c>
      <c r="P6" s="6" t="s">
        <v>379</v>
      </c>
      <c r="Q6" s="6" t="s">
        <v>381</v>
      </c>
    </row>
    <row r="7" spans="1:17" x14ac:dyDescent="0.25">
      <c r="A7" s="6" t="s">
        <v>382</v>
      </c>
      <c r="B7" s="5" t="s">
        <v>3</v>
      </c>
      <c r="C7" s="5">
        <v>0</v>
      </c>
      <c r="D7" s="19">
        <v>1240</v>
      </c>
      <c r="E7" s="19">
        <v>0</v>
      </c>
      <c r="F7" s="19">
        <v>229.63813474573129</v>
      </c>
      <c r="G7" s="5">
        <v>5.3997999999999999</v>
      </c>
      <c r="H7" s="19">
        <v>13.98</v>
      </c>
      <c r="I7" s="19">
        <v>57.94</v>
      </c>
      <c r="J7" s="31">
        <v>0.38034576888080068</v>
      </c>
      <c r="K7" s="19">
        <v>30.7</v>
      </c>
      <c r="L7" s="23">
        <v>100</v>
      </c>
      <c r="M7" s="31">
        <v>207.77070809260641</v>
      </c>
      <c r="N7" s="5">
        <v>176</v>
      </c>
      <c r="O7" s="6" t="s">
        <v>380</v>
      </c>
      <c r="P7" s="6" t="s">
        <v>383</v>
      </c>
      <c r="Q7" s="6" t="s">
        <v>384</v>
      </c>
    </row>
    <row r="8" spans="1:17" x14ac:dyDescent="0.25">
      <c r="A8" s="6" t="s">
        <v>385</v>
      </c>
      <c r="B8" s="5" t="s">
        <v>3</v>
      </c>
      <c r="C8" s="5">
        <v>0</v>
      </c>
      <c r="D8" s="19">
        <v>1200</v>
      </c>
      <c r="E8" s="19">
        <v>0</v>
      </c>
      <c r="F8" s="19">
        <v>695.16857838025726</v>
      </c>
      <c r="G8" s="5">
        <v>1.7262</v>
      </c>
      <c r="H8" s="19">
        <v>1299</v>
      </c>
      <c r="I8" s="19">
        <v>1431</v>
      </c>
      <c r="J8" s="31">
        <v>0.50166666666666671</v>
      </c>
      <c r="K8" s="19">
        <v>1365.22</v>
      </c>
      <c r="L8" s="23">
        <v>100</v>
      </c>
      <c r="M8" s="31">
        <v>24.491581872249579</v>
      </c>
      <c r="N8" s="5">
        <v>616</v>
      </c>
      <c r="O8" s="6" t="s">
        <v>380</v>
      </c>
      <c r="P8" s="6" t="s">
        <v>385</v>
      </c>
      <c r="Q8" s="6" t="s">
        <v>386</v>
      </c>
    </row>
    <row r="9" spans="1:17" x14ac:dyDescent="0.25">
      <c r="A9" s="26" t="s">
        <v>387</v>
      </c>
      <c r="B9" s="5" t="s">
        <v>6</v>
      </c>
      <c r="C9" s="5">
        <v>0</v>
      </c>
      <c r="D9" s="19">
        <v>1000</v>
      </c>
      <c r="E9" s="19">
        <v>0</v>
      </c>
      <c r="F9" s="19">
        <v>143.1987742184927</v>
      </c>
      <c r="G9" s="5">
        <v>6.9832999999999998</v>
      </c>
      <c r="H9" s="19">
        <v>67.7</v>
      </c>
      <c r="I9" s="19">
        <v>528.48</v>
      </c>
      <c r="J9" s="31">
        <v>0.86798472155909545</v>
      </c>
      <c r="K9" s="19">
        <v>467.65</v>
      </c>
      <c r="L9" s="23">
        <v>100</v>
      </c>
      <c r="M9" s="31">
        <v>42.083671256852533</v>
      </c>
      <c r="N9" s="5">
        <v>80</v>
      </c>
      <c r="O9" s="6" t="s">
        <v>380</v>
      </c>
      <c r="P9" s="6" t="s">
        <v>388</v>
      </c>
      <c r="Q9" s="6" t="s">
        <v>389</v>
      </c>
    </row>
    <row r="10" spans="1:17" x14ac:dyDescent="0.25">
      <c r="A10" s="6" t="s">
        <v>390</v>
      </c>
      <c r="B10" s="5" t="s">
        <v>19</v>
      </c>
      <c r="C10" s="5">
        <v>0</v>
      </c>
      <c r="D10" s="19">
        <v>819</v>
      </c>
      <c r="E10" s="19">
        <v>0</v>
      </c>
      <c r="F10" s="19">
        <v>586.21430105217951</v>
      </c>
      <c r="G10" s="5">
        <v>1.3971</v>
      </c>
      <c r="H10" s="19">
        <v>555.84</v>
      </c>
      <c r="I10" s="19">
        <v>3206.49</v>
      </c>
      <c r="J10" s="31">
        <v>0.84208778978741061</v>
      </c>
      <c r="K10" s="19">
        <v>2787.92</v>
      </c>
      <c r="L10" s="23">
        <v>100</v>
      </c>
      <c r="M10" s="31">
        <v>197.7375149452773</v>
      </c>
      <c r="N10" s="5">
        <v>360</v>
      </c>
      <c r="O10" s="6" t="s">
        <v>380</v>
      </c>
      <c r="P10" s="6" t="s">
        <v>391</v>
      </c>
      <c r="Q10" s="6" t="s">
        <v>392</v>
      </c>
    </row>
    <row r="11" spans="1:17" x14ac:dyDescent="0.25">
      <c r="A11" s="6" t="s">
        <v>393</v>
      </c>
      <c r="B11" s="5" t="s">
        <v>3</v>
      </c>
      <c r="C11" s="5">
        <v>0</v>
      </c>
      <c r="D11" s="19">
        <v>700</v>
      </c>
      <c r="E11" s="19">
        <v>0</v>
      </c>
      <c r="F11" s="19">
        <v>228.7058516025746</v>
      </c>
      <c r="G11" s="5">
        <v>3.0607000000000002</v>
      </c>
      <c r="H11" s="19">
        <v>29.45</v>
      </c>
      <c r="I11" s="19">
        <v>161.28</v>
      </c>
      <c r="J11" s="31">
        <v>0.26116968823484787</v>
      </c>
      <c r="K11" s="19">
        <v>63.88000000000001</v>
      </c>
      <c r="L11" s="23">
        <v>100</v>
      </c>
      <c r="M11" s="31">
        <v>197.62603502141809</v>
      </c>
      <c r="N11" s="5">
        <v>500</v>
      </c>
      <c r="O11" s="6" t="s">
        <v>380</v>
      </c>
      <c r="P11" s="6" t="s">
        <v>393</v>
      </c>
      <c r="Q11" s="6" t="s">
        <v>394</v>
      </c>
    </row>
    <row r="12" spans="1:17" x14ac:dyDescent="0.25">
      <c r="A12" s="6" t="s">
        <v>395</v>
      </c>
      <c r="B12" s="5" t="s">
        <v>3</v>
      </c>
      <c r="C12" s="5">
        <v>0</v>
      </c>
      <c r="D12" s="19">
        <v>560</v>
      </c>
      <c r="E12" s="19">
        <v>0</v>
      </c>
      <c r="F12" s="19">
        <v>77.580593768615884</v>
      </c>
      <c r="G12" s="5">
        <v>7.2183000000000002</v>
      </c>
      <c r="H12" s="19">
        <v>77.84</v>
      </c>
      <c r="I12" s="19">
        <v>1120.02</v>
      </c>
      <c r="J12" s="31">
        <v>0.92000422191943809</v>
      </c>
      <c r="K12" s="19">
        <v>1036.6500000000001</v>
      </c>
      <c r="L12" s="23">
        <v>100</v>
      </c>
      <c r="M12" s="31">
        <v>197.5981650404533</v>
      </c>
      <c r="N12" s="5">
        <v>0</v>
      </c>
      <c r="O12" s="6" t="s">
        <v>380</v>
      </c>
      <c r="P12" s="6" t="s">
        <v>396</v>
      </c>
      <c r="Q12" s="6" t="s">
        <v>397</v>
      </c>
    </row>
    <row r="13" spans="1:17" x14ac:dyDescent="0.25">
      <c r="A13" s="6" t="s">
        <v>398</v>
      </c>
      <c r="B13" s="5" t="s">
        <v>15</v>
      </c>
      <c r="C13" s="5">
        <v>0</v>
      </c>
      <c r="D13" s="19">
        <v>540</v>
      </c>
      <c r="E13" s="19">
        <v>0</v>
      </c>
      <c r="F13" s="19">
        <v>916.03053435114498</v>
      </c>
      <c r="G13" s="5">
        <v>0.58950000000000002</v>
      </c>
      <c r="H13" s="19">
        <v>448.19</v>
      </c>
      <c r="I13" s="19">
        <v>1171.79</v>
      </c>
      <c r="J13" s="31">
        <v>0.77616086235489223</v>
      </c>
      <c r="K13" s="19">
        <v>1009.82</v>
      </c>
      <c r="L13" s="23">
        <v>100</v>
      </c>
      <c r="M13" s="31">
        <v>25.320713805952469</v>
      </c>
      <c r="N13" s="5">
        <v>180</v>
      </c>
      <c r="O13" s="6" t="s">
        <v>380</v>
      </c>
      <c r="P13" s="6" t="s">
        <v>398</v>
      </c>
      <c r="Q13" s="6" t="s">
        <v>399</v>
      </c>
    </row>
    <row r="14" spans="1:17" x14ac:dyDescent="0.25">
      <c r="A14" s="6" t="s">
        <v>400</v>
      </c>
      <c r="B14" s="5" t="s">
        <v>3</v>
      </c>
      <c r="C14" s="5">
        <v>0</v>
      </c>
      <c r="D14" s="19">
        <v>405</v>
      </c>
      <c r="E14" s="19">
        <v>0</v>
      </c>
      <c r="F14" s="19">
        <v>188.969764837626</v>
      </c>
      <c r="G14" s="5">
        <v>2.1432000000000002</v>
      </c>
      <c r="H14" s="19">
        <v>38.79</v>
      </c>
      <c r="I14" s="19">
        <v>124.67</v>
      </c>
      <c r="J14" s="31">
        <v>0.28039124359571488</v>
      </c>
      <c r="K14" s="19">
        <v>62.87</v>
      </c>
      <c r="L14" s="23">
        <v>100</v>
      </c>
      <c r="M14" s="31">
        <v>209.16420714084649</v>
      </c>
      <c r="N14" s="5">
        <v>225</v>
      </c>
      <c r="O14" s="6" t="s">
        <v>380</v>
      </c>
      <c r="P14" s="6" t="s">
        <v>400</v>
      </c>
      <c r="Q14" s="6" t="s">
        <v>401</v>
      </c>
    </row>
    <row r="15" spans="1:17" x14ac:dyDescent="0.25">
      <c r="A15" s="6" t="s">
        <v>402</v>
      </c>
      <c r="B15" s="5" t="s">
        <v>11</v>
      </c>
      <c r="C15" s="5">
        <v>0</v>
      </c>
      <c r="D15" s="19">
        <v>400</v>
      </c>
      <c r="E15" s="19">
        <v>0</v>
      </c>
      <c r="F15" s="19">
        <v>363.47114947751021</v>
      </c>
      <c r="G15" s="5">
        <v>1.1005</v>
      </c>
      <c r="H15" s="19">
        <v>453.72</v>
      </c>
      <c r="I15" s="19">
        <v>2742.14</v>
      </c>
      <c r="J15" s="31">
        <v>0.64587794198617388</v>
      </c>
      <c r="K15" s="19">
        <v>1931.76</v>
      </c>
      <c r="L15" s="23">
        <v>100</v>
      </c>
      <c r="M15" s="31">
        <v>178.36787817473919</v>
      </c>
      <c r="N15" s="5">
        <v>0</v>
      </c>
      <c r="O15" s="6" t="s">
        <v>380</v>
      </c>
      <c r="P15" s="6" t="s">
        <v>402</v>
      </c>
      <c r="Q15" s="6" t="s">
        <v>403</v>
      </c>
    </row>
    <row r="16" spans="1:17" x14ac:dyDescent="0.25">
      <c r="A16" s="6" t="s">
        <v>404</v>
      </c>
      <c r="B16" s="5" t="s">
        <v>9</v>
      </c>
      <c r="C16" s="5">
        <v>0</v>
      </c>
      <c r="D16" s="19">
        <v>396</v>
      </c>
      <c r="E16" s="19">
        <v>0</v>
      </c>
      <c r="F16" s="19">
        <v>191.55420113191121</v>
      </c>
      <c r="G16" s="5">
        <v>2.0672999999999999</v>
      </c>
      <c r="H16" s="19">
        <v>48.01</v>
      </c>
      <c r="I16" s="19">
        <v>489.8</v>
      </c>
      <c r="J16" s="31">
        <v>0.76602005477715662</v>
      </c>
      <c r="K16" s="19">
        <v>386.43</v>
      </c>
      <c r="L16" s="23">
        <v>100</v>
      </c>
      <c r="M16" s="31">
        <v>300.99579441987242</v>
      </c>
      <c r="N16" s="5">
        <v>60</v>
      </c>
      <c r="O16" s="6" t="s">
        <v>380</v>
      </c>
      <c r="P16" s="6" t="s">
        <v>405</v>
      </c>
      <c r="Q16" s="6" t="s">
        <v>406</v>
      </c>
    </row>
    <row r="17" spans="1:17" x14ac:dyDescent="0.25">
      <c r="A17" s="6" t="s">
        <v>407</v>
      </c>
      <c r="B17" s="5" t="s">
        <v>20</v>
      </c>
      <c r="C17" s="5">
        <v>0</v>
      </c>
      <c r="D17" s="19">
        <v>355</v>
      </c>
      <c r="E17" s="19">
        <v>0</v>
      </c>
      <c r="F17" s="19">
        <v>101.162658155705</v>
      </c>
      <c r="G17" s="5">
        <v>3.5091999999999999</v>
      </c>
      <c r="H17" s="19">
        <v>6.32</v>
      </c>
      <c r="I17" s="19">
        <v>38.380000000000003</v>
      </c>
      <c r="J17" s="31">
        <v>0.6428571428571429</v>
      </c>
      <c r="K17" s="19">
        <v>26.93</v>
      </c>
      <c r="L17" s="23">
        <v>100</v>
      </c>
      <c r="M17" s="31">
        <v>335.83327062587608</v>
      </c>
      <c r="N17" s="5">
        <v>90</v>
      </c>
      <c r="O17" s="6" t="s">
        <v>380</v>
      </c>
      <c r="P17" s="6" t="s">
        <v>407</v>
      </c>
      <c r="Q17" s="6" t="s">
        <v>408</v>
      </c>
    </row>
    <row r="18" spans="1:17" x14ac:dyDescent="0.25">
      <c r="A18" s="6" t="s">
        <v>409</v>
      </c>
      <c r="B18" s="5" t="s">
        <v>13</v>
      </c>
      <c r="C18" s="5">
        <v>0</v>
      </c>
      <c r="D18" s="19">
        <v>338</v>
      </c>
      <c r="E18" s="19">
        <v>0</v>
      </c>
      <c r="F18" s="19">
        <v>710.6812447434819</v>
      </c>
      <c r="G18" s="5">
        <v>0.47560000000000002</v>
      </c>
      <c r="H18" s="19">
        <v>354.01</v>
      </c>
      <c r="I18" s="19">
        <v>1418.17</v>
      </c>
      <c r="J18" s="31">
        <v>0.64770335287926628</v>
      </c>
      <c r="K18" s="19">
        <v>1043.27</v>
      </c>
      <c r="L18" s="23">
        <v>100</v>
      </c>
      <c r="M18" s="31">
        <v>198.43426446939739</v>
      </c>
      <c r="N18" s="5">
        <v>120</v>
      </c>
      <c r="O18" s="6" t="s">
        <v>380</v>
      </c>
      <c r="P18" s="6" t="s">
        <v>409</v>
      </c>
      <c r="Q18" s="6" t="s">
        <v>410</v>
      </c>
    </row>
    <row r="19" spans="1:17" x14ac:dyDescent="0.25">
      <c r="A19" s="6" t="s">
        <v>411</v>
      </c>
      <c r="B19" s="5" t="s">
        <v>20</v>
      </c>
      <c r="C19" s="5">
        <v>0</v>
      </c>
      <c r="D19" s="19">
        <v>315</v>
      </c>
      <c r="E19" s="19">
        <v>0</v>
      </c>
      <c r="F19" s="19">
        <v>365.81117175705492</v>
      </c>
      <c r="G19" s="5">
        <v>0.86109999999999998</v>
      </c>
      <c r="H19" s="19">
        <v>91.45</v>
      </c>
      <c r="I19" s="19">
        <v>807.22</v>
      </c>
      <c r="J19" s="31">
        <v>0.90181203459211756</v>
      </c>
      <c r="K19" s="19">
        <v>736.94</v>
      </c>
      <c r="L19" s="23">
        <v>100</v>
      </c>
      <c r="M19" s="31">
        <v>335.55457081622808</v>
      </c>
      <c r="N19" s="5">
        <v>90</v>
      </c>
      <c r="O19" s="6" t="s">
        <v>380</v>
      </c>
      <c r="P19" s="6" t="s">
        <v>411</v>
      </c>
      <c r="Q19" s="6" t="s">
        <v>412</v>
      </c>
    </row>
    <row r="20" spans="1:17" x14ac:dyDescent="0.25">
      <c r="A20" s="6" t="s">
        <v>413</v>
      </c>
      <c r="B20" s="5" t="s">
        <v>3</v>
      </c>
      <c r="C20" s="5">
        <v>0</v>
      </c>
      <c r="D20" s="19">
        <v>306</v>
      </c>
      <c r="E20" s="19">
        <v>0</v>
      </c>
      <c r="F20" s="19">
        <v>39.154969226241498</v>
      </c>
      <c r="G20" s="5">
        <v>7.8151000000000002</v>
      </c>
      <c r="H20" s="19">
        <v>47.64</v>
      </c>
      <c r="I20" s="19">
        <v>185.26</v>
      </c>
      <c r="J20" s="31">
        <v>0.70396744659206512</v>
      </c>
      <c r="K20" s="19">
        <v>144.52000000000001</v>
      </c>
      <c r="L20" s="23">
        <v>100</v>
      </c>
      <c r="M20" s="31">
        <v>249.43632963498689</v>
      </c>
      <c r="N20" s="5">
        <v>0</v>
      </c>
      <c r="O20" s="6" t="s">
        <v>380</v>
      </c>
      <c r="P20" s="6" t="s">
        <v>414</v>
      </c>
      <c r="Q20" s="6" t="s">
        <v>415</v>
      </c>
    </row>
    <row r="21" spans="1:17" x14ac:dyDescent="0.25">
      <c r="A21" s="6" t="s">
        <v>416</v>
      </c>
      <c r="B21" s="5" t="s">
        <v>3</v>
      </c>
      <c r="C21" s="5">
        <v>0</v>
      </c>
      <c r="D21" s="19">
        <v>207</v>
      </c>
      <c r="E21" s="19">
        <v>0</v>
      </c>
      <c r="F21" s="19">
        <v>119.61169536576909</v>
      </c>
      <c r="G21" s="5">
        <v>1.7305999999999999</v>
      </c>
      <c r="H21" s="19">
        <v>19.57</v>
      </c>
      <c r="I21" s="19">
        <v>67.59</v>
      </c>
      <c r="J21" s="31">
        <v>0.71470220741357771</v>
      </c>
      <c r="K21" s="19">
        <v>53.89</v>
      </c>
      <c r="L21" s="23">
        <v>100</v>
      </c>
      <c r="M21" s="31">
        <v>25.273337625310401</v>
      </c>
      <c r="N21" s="5">
        <v>147</v>
      </c>
      <c r="O21" s="6" t="s">
        <v>380</v>
      </c>
      <c r="P21" s="6" t="s">
        <v>416</v>
      </c>
      <c r="Q21" s="6" t="s">
        <v>417</v>
      </c>
    </row>
    <row r="22" spans="1:17" x14ac:dyDescent="0.25">
      <c r="A22" s="6" t="s">
        <v>418</v>
      </c>
      <c r="B22" s="5" t="s">
        <v>3</v>
      </c>
      <c r="C22" s="5">
        <v>0</v>
      </c>
      <c r="D22" s="19">
        <v>170</v>
      </c>
      <c r="E22" s="19">
        <v>0</v>
      </c>
      <c r="F22" s="19">
        <v>72.06137933957865</v>
      </c>
      <c r="G22" s="5">
        <v>2.3591000000000002</v>
      </c>
      <c r="H22" s="19">
        <v>16.86</v>
      </c>
      <c r="I22" s="19">
        <v>178.37</v>
      </c>
      <c r="J22" s="31">
        <v>0.84378676242957096</v>
      </c>
      <c r="K22" s="19">
        <v>153.13999999999999</v>
      </c>
      <c r="L22" s="23">
        <v>100</v>
      </c>
      <c r="M22" s="31">
        <v>207.91005799743041</v>
      </c>
      <c r="N22" s="5">
        <v>30</v>
      </c>
      <c r="O22" s="6" t="s">
        <v>380</v>
      </c>
      <c r="P22" s="6" t="s">
        <v>419</v>
      </c>
      <c r="Q22" s="6" t="s">
        <v>420</v>
      </c>
    </row>
    <row r="23" spans="1:17" x14ac:dyDescent="0.25">
      <c r="A23" s="6" t="s">
        <v>421</v>
      </c>
      <c r="B23" s="5" t="s">
        <v>20</v>
      </c>
      <c r="C23" s="5">
        <v>0</v>
      </c>
      <c r="D23" s="19">
        <v>132</v>
      </c>
      <c r="E23" s="19">
        <v>0</v>
      </c>
      <c r="F23" s="19">
        <v>66.784720465469263</v>
      </c>
      <c r="G23" s="5">
        <v>1.9764999999999999</v>
      </c>
      <c r="H23" s="19">
        <v>104.36</v>
      </c>
      <c r="I23" s="19">
        <v>529.29999999999995</v>
      </c>
      <c r="J23" s="31">
        <v>0.9643949734080105</v>
      </c>
      <c r="K23" s="19">
        <v>514.16999999999996</v>
      </c>
      <c r="L23" s="23">
        <v>100</v>
      </c>
      <c r="M23" s="31">
        <v>335.27587100658008</v>
      </c>
      <c r="N23" s="5">
        <v>64</v>
      </c>
      <c r="O23" s="6" t="s">
        <v>380</v>
      </c>
      <c r="P23" s="6" t="s">
        <v>421</v>
      </c>
      <c r="Q23" s="6" t="s">
        <v>422</v>
      </c>
    </row>
    <row r="24" spans="1:17" x14ac:dyDescent="0.25">
      <c r="A24" s="6" t="s">
        <v>423</v>
      </c>
      <c r="B24" s="5" t="s">
        <v>15</v>
      </c>
      <c r="C24" s="5">
        <v>0</v>
      </c>
      <c r="D24" s="19">
        <v>51</v>
      </c>
      <c r="E24" s="19">
        <v>0</v>
      </c>
      <c r="F24" s="19">
        <v>102.3479831426851</v>
      </c>
      <c r="G24" s="5">
        <v>0.49830000000000002</v>
      </c>
      <c r="H24" s="19">
        <v>327.82</v>
      </c>
      <c r="I24" s="19">
        <v>980.89</v>
      </c>
      <c r="J24" s="31">
        <v>0.67548654814950926</v>
      </c>
      <c r="K24" s="19">
        <v>768.96</v>
      </c>
      <c r="L24" s="23">
        <v>100</v>
      </c>
      <c r="M24" s="31">
        <v>306.569790612833</v>
      </c>
      <c r="N24" s="5">
        <v>3</v>
      </c>
      <c r="O24" s="6" t="s">
        <v>380</v>
      </c>
      <c r="P24" s="6" t="s">
        <v>423</v>
      </c>
      <c r="Q24" s="6" t="s">
        <v>424</v>
      </c>
    </row>
    <row r="25" spans="1:17" x14ac:dyDescent="0.25">
      <c r="A25" s="6" t="s">
        <v>425</v>
      </c>
      <c r="B25" s="5" t="s">
        <v>3</v>
      </c>
      <c r="C25" s="5">
        <v>0</v>
      </c>
      <c r="D25" s="19">
        <v>40</v>
      </c>
      <c r="E25" s="19">
        <v>0</v>
      </c>
      <c r="F25" s="19">
        <v>60.304537916478218</v>
      </c>
      <c r="G25" s="5">
        <v>0.6633</v>
      </c>
      <c r="H25" s="5">
        <v>8.4499999999999993</v>
      </c>
      <c r="I25" s="19">
        <v>27.65</v>
      </c>
      <c r="J25" s="31">
        <v>0.59687500000000004</v>
      </c>
      <c r="K25" s="19">
        <v>19.91</v>
      </c>
      <c r="L25" s="23">
        <v>100</v>
      </c>
      <c r="M25" s="31">
        <v>207.91005799743041</v>
      </c>
      <c r="N25" s="5">
        <v>1</v>
      </c>
      <c r="O25" s="6" t="s">
        <v>380</v>
      </c>
      <c r="P25" s="6" t="s">
        <v>425</v>
      </c>
      <c r="Q25" s="6" t="s">
        <v>426</v>
      </c>
    </row>
    <row r="26" spans="1:17" x14ac:dyDescent="0.25">
      <c r="A26" s="6" t="s">
        <v>427</v>
      </c>
      <c r="B26" s="5" t="s">
        <v>6</v>
      </c>
      <c r="C26" s="5">
        <v>0</v>
      </c>
      <c r="D26" s="19">
        <v>324</v>
      </c>
      <c r="E26" s="19">
        <v>0</v>
      </c>
      <c r="F26" s="19">
        <v>37.421172992076869</v>
      </c>
      <c r="G26" s="24">
        <v>8.6582000000000008</v>
      </c>
      <c r="H26" s="27">
        <v>10.32</v>
      </c>
      <c r="I26" s="23">
        <v>228.43</v>
      </c>
      <c r="J26" s="31">
        <v>0.62491403420292513</v>
      </c>
      <c r="K26" s="19">
        <v>146.62</v>
      </c>
      <c r="L26" s="19">
        <v>100</v>
      </c>
      <c r="M26" s="31">
        <v>181.15487627121951</v>
      </c>
      <c r="N26" s="5">
        <v>120</v>
      </c>
      <c r="O26" s="6" t="s">
        <v>380</v>
      </c>
      <c r="P26" s="6" t="s">
        <v>427</v>
      </c>
      <c r="Q26" s="6" t="s">
        <v>428</v>
      </c>
    </row>
    <row r="27" spans="1:17" x14ac:dyDescent="0.25">
      <c r="A27" s="6" t="s">
        <v>429</v>
      </c>
      <c r="B27" s="5" t="s">
        <v>6</v>
      </c>
      <c r="C27" s="5">
        <v>0</v>
      </c>
      <c r="D27" s="19">
        <v>276</v>
      </c>
      <c r="E27" s="19">
        <v>0</v>
      </c>
      <c r="F27" s="19">
        <v>37.436419125127173</v>
      </c>
      <c r="G27" s="24">
        <v>7.3724999999999996</v>
      </c>
      <c r="H27" s="19">
        <v>0</v>
      </c>
      <c r="I27" s="19">
        <v>0</v>
      </c>
      <c r="J27" s="31">
        <v>0</v>
      </c>
      <c r="K27" s="19">
        <v>0</v>
      </c>
      <c r="L27" s="19">
        <v>0</v>
      </c>
      <c r="M27" s="31">
        <v>181.15487627121951</v>
      </c>
      <c r="N27" s="5">
        <v>102</v>
      </c>
      <c r="O27" s="6" t="s">
        <v>380</v>
      </c>
      <c r="P27" s="6" t="s">
        <v>429</v>
      </c>
      <c r="Q27" s="6" t="s">
        <v>428</v>
      </c>
    </row>
    <row r="28" spans="1:17" x14ac:dyDescent="0.25">
      <c r="A28" s="6" t="s">
        <v>430</v>
      </c>
      <c r="B28" s="5" t="s">
        <v>3</v>
      </c>
      <c r="C28" s="5">
        <v>0</v>
      </c>
      <c r="D28" s="19">
        <v>270</v>
      </c>
      <c r="E28" s="19">
        <v>0</v>
      </c>
      <c r="F28" s="19">
        <v>58.498537536561592</v>
      </c>
      <c r="G28" s="5">
        <v>4.6154999999999999</v>
      </c>
      <c r="H28" s="19">
        <v>0</v>
      </c>
      <c r="I28" s="19">
        <v>0</v>
      </c>
      <c r="J28" s="31">
        <v>0</v>
      </c>
      <c r="K28" s="19">
        <v>0</v>
      </c>
      <c r="L28" s="19">
        <v>0</v>
      </c>
      <c r="M28" s="31">
        <v>207.91005799743041</v>
      </c>
      <c r="N28" s="5">
        <v>0</v>
      </c>
      <c r="O28" s="6" t="s">
        <v>380</v>
      </c>
      <c r="P28" s="6" t="s">
        <v>430</v>
      </c>
      <c r="Q28" s="6" t="s">
        <v>426</v>
      </c>
    </row>
    <row r="29" spans="1:17" x14ac:dyDescent="0.25">
      <c r="A29" s="6" t="s">
        <v>431</v>
      </c>
      <c r="B29" s="5" t="s">
        <v>3</v>
      </c>
      <c r="C29" s="5">
        <v>0</v>
      </c>
      <c r="D29" s="19">
        <v>202</v>
      </c>
      <c r="E29" s="19">
        <v>0</v>
      </c>
      <c r="F29" s="19">
        <v>55.337917431443991</v>
      </c>
      <c r="G29" s="5">
        <v>3.6503000000000001</v>
      </c>
      <c r="H29" s="19">
        <v>0</v>
      </c>
      <c r="I29" s="19">
        <v>0</v>
      </c>
      <c r="J29" s="31">
        <v>0</v>
      </c>
      <c r="K29" s="19">
        <v>0</v>
      </c>
      <c r="L29" s="19">
        <v>0</v>
      </c>
      <c r="M29" s="31">
        <v>207.91005799743041</v>
      </c>
      <c r="N29" s="5">
        <v>105</v>
      </c>
      <c r="O29" s="6" t="s">
        <v>380</v>
      </c>
      <c r="P29" s="6" t="s">
        <v>431</v>
      </c>
      <c r="Q29" s="6" t="s">
        <v>426</v>
      </c>
    </row>
    <row r="30" spans="1:17" x14ac:dyDescent="0.25">
      <c r="A30" s="6" t="s">
        <v>432</v>
      </c>
      <c r="B30" s="5" t="s">
        <v>6</v>
      </c>
      <c r="C30" s="5">
        <v>0</v>
      </c>
      <c r="D30" s="19">
        <v>150</v>
      </c>
      <c r="E30" s="19">
        <v>0</v>
      </c>
      <c r="F30" s="19">
        <v>18.818688211973701</v>
      </c>
      <c r="G30" s="5">
        <v>7.9707999999999997</v>
      </c>
      <c r="H30" s="19">
        <v>0</v>
      </c>
      <c r="I30" s="19">
        <v>0</v>
      </c>
      <c r="J30" s="31">
        <v>0</v>
      </c>
      <c r="K30" s="19">
        <v>0</v>
      </c>
      <c r="L30" s="19">
        <v>0</v>
      </c>
      <c r="M30" s="31">
        <v>25.320992505762121</v>
      </c>
      <c r="N30" s="5">
        <v>40</v>
      </c>
      <c r="O30" s="6" t="s">
        <v>433</v>
      </c>
      <c r="P30" s="6" t="s">
        <v>432</v>
      </c>
      <c r="Q30" s="6" t="s">
        <v>434</v>
      </c>
    </row>
    <row r="31" spans="1:17" x14ac:dyDescent="0.25">
      <c r="A31" s="6" t="s">
        <v>435</v>
      </c>
      <c r="B31" s="5" t="s">
        <v>9</v>
      </c>
      <c r="C31" s="5">
        <v>0</v>
      </c>
      <c r="D31" s="19">
        <v>135</v>
      </c>
      <c r="E31" s="19">
        <v>0</v>
      </c>
      <c r="F31" s="19">
        <v>85.545909638172489</v>
      </c>
      <c r="G31" s="5">
        <v>1.5781000000000001</v>
      </c>
      <c r="H31" s="19">
        <v>0</v>
      </c>
      <c r="I31" s="19">
        <v>0</v>
      </c>
      <c r="J31" s="31">
        <v>0</v>
      </c>
      <c r="K31" s="19">
        <v>0</v>
      </c>
      <c r="L31" s="19">
        <v>0</v>
      </c>
      <c r="M31" s="31">
        <v>25.273334838312309</v>
      </c>
      <c r="N31" s="5">
        <v>36</v>
      </c>
      <c r="O31" s="6" t="s">
        <v>433</v>
      </c>
      <c r="P31" s="6" t="s">
        <v>435</v>
      </c>
      <c r="Q31" s="6" t="s">
        <v>436</v>
      </c>
    </row>
    <row r="32" spans="1:17" x14ac:dyDescent="0.25">
      <c r="A32" s="6" t="s">
        <v>437</v>
      </c>
      <c r="B32" s="5" t="s">
        <v>15</v>
      </c>
      <c r="C32" s="5">
        <v>0</v>
      </c>
      <c r="D32" s="19">
        <v>80</v>
      </c>
      <c r="E32" s="19">
        <v>0</v>
      </c>
      <c r="F32" s="19">
        <v>16.479894528675011</v>
      </c>
      <c r="G32" s="5">
        <v>4.8544</v>
      </c>
      <c r="H32" s="19">
        <v>0</v>
      </c>
      <c r="I32" s="19">
        <v>0</v>
      </c>
      <c r="J32" s="31">
        <v>0</v>
      </c>
      <c r="K32" s="19">
        <v>0</v>
      </c>
      <c r="L32" s="19">
        <v>0</v>
      </c>
      <c r="M32" s="31">
        <v>24.968161333745812</v>
      </c>
      <c r="N32" s="5">
        <v>13.2</v>
      </c>
      <c r="O32" s="6" t="s">
        <v>433</v>
      </c>
      <c r="P32" s="6" t="s">
        <v>437</v>
      </c>
      <c r="Q32" s="6" t="s">
        <v>438</v>
      </c>
    </row>
    <row r="33" spans="1:17" x14ac:dyDescent="0.25">
      <c r="A33" s="6" t="s">
        <v>439</v>
      </c>
      <c r="B33" s="5" t="s">
        <v>3</v>
      </c>
      <c r="C33" s="5">
        <v>0</v>
      </c>
      <c r="D33" s="19">
        <v>78</v>
      </c>
      <c r="E33" s="19">
        <v>0</v>
      </c>
      <c r="F33" s="19">
        <v>64.741035856573703</v>
      </c>
      <c r="G33" s="5">
        <v>1.2048000000000001</v>
      </c>
      <c r="H33" s="19">
        <v>0</v>
      </c>
      <c r="I33" s="19">
        <v>0</v>
      </c>
      <c r="J33" s="31">
        <v>0</v>
      </c>
      <c r="K33" s="19">
        <v>0</v>
      </c>
      <c r="L33" s="19">
        <v>0</v>
      </c>
      <c r="M33" s="31">
        <v>22.295987558840501</v>
      </c>
      <c r="N33" s="5">
        <v>31.2</v>
      </c>
      <c r="O33" s="6" t="s">
        <v>440</v>
      </c>
      <c r="P33" s="6" t="s">
        <v>439</v>
      </c>
      <c r="Q33" s="6" t="s">
        <v>441</v>
      </c>
    </row>
    <row r="34" spans="1:17" x14ac:dyDescent="0.25">
      <c r="A34" s="6" t="s">
        <v>442</v>
      </c>
      <c r="B34" s="5" t="s">
        <v>20</v>
      </c>
      <c r="C34" s="5">
        <v>0</v>
      </c>
      <c r="D34" s="19">
        <v>72</v>
      </c>
      <c r="E34" s="19">
        <v>0</v>
      </c>
      <c r="F34" s="19">
        <v>121.930567315834</v>
      </c>
      <c r="G34" s="5">
        <v>0.59050000000000002</v>
      </c>
      <c r="H34" s="19">
        <v>0</v>
      </c>
      <c r="I34" s="19">
        <v>0</v>
      </c>
      <c r="J34" s="31">
        <v>0</v>
      </c>
      <c r="K34" s="19">
        <v>0</v>
      </c>
      <c r="L34" s="19">
        <v>0</v>
      </c>
      <c r="M34" s="31">
        <v>335.83327062587608</v>
      </c>
      <c r="N34" s="5">
        <v>8</v>
      </c>
      <c r="O34" s="6" t="s">
        <v>380</v>
      </c>
      <c r="P34" s="6" t="s">
        <v>442</v>
      </c>
      <c r="Q34" s="6" t="s">
        <v>408</v>
      </c>
    </row>
    <row r="35" spans="1:17" x14ac:dyDescent="0.25">
      <c r="A35" s="6" t="s">
        <v>443</v>
      </c>
      <c r="B35" s="5" t="s">
        <v>15</v>
      </c>
      <c r="C35" s="5">
        <v>0</v>
      </c>
      <c r="D35" s="19">
        <v>56</v>
      </c>
      <c r="E35" s="19">
        <v>0</v>
      </c>
      <c r="F35" s="19">
        <v>9.4155625798641456</v>
      </c>
      <c r="G35" s="5">
        <v>5.9476000000000004</v>
      </c>
      <c r="H35" s="19">
        <v>0</v>
      </c>
      <c r="I35" s="19">
        <v>0</v>
      </c>
      <c r="J35" s="31">
        <v>0</v>
      </c>
      <c r="K35" s="19">
        <v>0</v>
      </c>
      <c r="L35" s="19">
        <v>0</v>
      </c>
      <c r="M35" s="31">
        <v>26.721180349433819</v>
      </c>
      <c r="N35" s="5">
        <v>6</v>
      </c>
      <c r="O35" s="6" t="s">
        <v>433</v>
      </c>
      <c r="P35" s="6" t="s">
        <v>443</v>
      </c>
      <c r="Q35" s="6" t="s">
        <v>444</v>
      </c>
    </row>
    <row r="36" spans="1:17" x14ac:dyDescent="0.25">
      <c r="A36" s="6" t="s">
        <v>445</v>
      </c>
      <c r="B36" s="5" t="s">
        <v>3</v>
      </c>
      <c r="C36" s="5">
        <v>0</v>
      </c>
      <c r="D36" s="19">
        <v>55</v>
      </c>
      <c r="E36" s="19">
        <v>0</v>
      </c>
      <c r="F36" s="19">
        <v>34.310667498440417</v>
      </c>
      <c r="G36" s="5">
        <v>1.603</v>
      </c>
      <c r="H36" s="19">
        <v>0</v>
      </c>
      <c r="I36" s="19">
        <v>0</v>
      </c>
      <c r="J36" s="31">
        <v>0</v>
      </c>
      <c r="K36" s="19">
        <v>0</v>
      </c>
      <c r="L36" s="19">
        <v>0</v>
      </c>
      <c r="M36" s="31">
        <v>22.295984771842399</v>
      </c>
      <c r="N36" s="5">
        <v>24</v>
      </c>
      <c r="O36" s="6" t="s">
        <v>433</v>
      </c>
      <c r="P36" s="6" t="s">
        <v>445</v>
      </c>
      <c r="Q36" s="6" t="s">
        <v>446</v>
      </c>
    </row>
    <row r="37" spans="1:17" x14ac:dyDescent="0.25">
      <c r="A37" s="6" t="s">
        <v>447</v>
      </c>
      <c r="B37" s="5" t="s">
        <v>3</v>
      </c>
      <c r="C37" s="5">
        <v>0</v>
      </c>
      <c r="D37" s="19">
        <v>50</v>
      </c>
      <c r="E37" s="19">
        <v>0</v>
      </c>
      <c r="F37" s="19">
        <v>33.482890243085777</v>
      </c>
      <c r="G37" s="5">
        <v>1.4933000000000001</v>
      </c>
      <c r="H37" s="19">
        <v>0</v>
      </c>
      <c r="I37" s="19">
        <v>0</v>
      </c>
      <c r="J37" s="31">
        <v>0</v>
      </c>
      <c r="K37" s="19">
        <v>0</v>
      </c>
      <c r="L37" s="19">
        <v>0</v>
      </c>
      <c r="M37" s="31">
        <v>24.968158546747709</v>
      </c>
      <c r="N37" s="5">
        <v>18.899999999999999</v>
      </c>
      <c r="O37" s="6" t="s">
        <v>433</v>
      </c>
      <c r="P37" s="6" t="s">
        <v>447</v>
      </c>
      <c r="Q37" s="6" t="s">
        <v>448</v>
      </c>
    </row>
    <row r="38" spans="1:17" x14ac:dyDescent="0.25">
      <c r="A38" s="6" t="s">
        <v>449</v>
      </c>
      <c r="B38" s="5" t="s">
        <v>6</v>
      </c>
      <c r="C38" s="5">
        <v>0</v>
      </c>
      <c r="D38" s="19">
        <v>35</v>
      </c>
      <c r="E38" s="19">
        <v>0</v>
      </c>
      <c r="F38" s="19">
        <v>10.374673938819059</v>
      </c>
      <c r="G38" s="5">
        <v>3.3736000000000002</v>
      </c>
      <c r="H38" s="19">
        <v>0</v>
      </c>
      <c r="I38" s="19">
        <v>0</v>
      </c>
      <c r="J38" s="31">
        <v>0</v>
      </c>
      <c r="K38" s="19">
        <v>0</v>
      </c>
      <c r="L38" s="19">
        <v>0</v>
      </c>
      <c r="M38" s="31">
        <v>25.321271205571769</v>
      </c>
      <c r="N38" s="5">
        <v>5</v>
      </c>
      <c r="O38" s="6" t="s">
        <v>433</v>
      </c>
      <c r="P38" s="6" t="s">
        <v>449</v>
      </c>
      <c r="Q38" s="6" t="s">
        <v>450</v>
      </c>
    </row>
    <row r="39" spans="1:17" x14ac:dyDescent="0.25">
      <c r="A39" s="26" t="s">
        <v>451</v>
      </c>
      <c r="B39" s="5" t="s">
        <v>9</v>
      </c>
      <c r="C39" s="5">
        <v>0</v>
      </c>
      <c r="D39" s="19">
        <v>30</v>
      </c>
      <c r="E39" s="19">
        <v>0</v>
      </c>
      <c r="F39" s="19">
        <v>22.839741149600311</v>
      </c>
      <c r="G39" s="5">
        <v>1.3134999999999999</v>
      </c>
      <c r="H39" s="19">
        <v>0</v>
      </c>
      <c r="I39" s="19">
        <v>0</v>
      </c>
      <c r="J39" s="31">
        <v>0</v>
      </c>
      <c r="K39" s="19">
        <v>0</v>
      </c>
      <c r="L39" s="19">
        <v>0</v>
      </c>
      <c r="M39" s="31">
        <v>25.273340412308499</v>
      </c>
      <c r="N39" s="5">
        <v>0</v>
      </c>
      <c r="O39" s="6" t="s">
        <v>433</v>
      </c>
      <c r="P39" s="6" t="s">
        <v>387</v>
      </c>
      <c r="Q39" s="6" t="s">
        <v>452</v>
      </c>
    </row>
    <row r="40" spans="1:17" x14ac:dyDescent="0.25">
      <c r="A40" s="6" t="s">
        <v>453</v>
      </c>
      <c r="B40" s="5" t="s">
        <v>6</v>
      </c>
      <c r="C40" s="5">
        <v>0</v>
      </c>
      <c r="D40" s="19">
        <v>19</v>
      </c>
      <c r="E40" s="19">
        <v>0</v>
      </c>
      <c r="F40" s="19">
        <v>7.7063475968363413</v>
      </c>
      <c r="G40" s="5">
        <v>2.4655</v>
      </c>
      <c r="H40" s="19">
        <v>0</v>
      </c>
      <c r="I40" s="19">
        <v>0</v>
      </c>
      <c r="J40" s="31">
        <v>0</v>
      </c>
      <c r="K40" s="19">
        <v>0</v>
      </c>
      <c r="L40" s="19">
        <v>0</v>
      </c>
      <c r="M40" s="31">
        <v>24.491584659247678</v>
      </c>
      <c r="N40" s="5">
        <v>8.1999999999999993</v>
      </c>
      <c r="O40" s="6" t="s">
        <v>433</v>
      </c>
      <c r="P40" s="6" t="s">
        <v>453</v>
      </c>
      <c r="Q40" s="6" t="s">
        <v>454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79998168889431442"/>
  </sheetPr>
  <dimension ref="A1:V29"/>
  <sheetViews>
    <sheetView zoomScaleNormal="100" workbookViewId="0">
      <selection activeCell="K15" sqref="K15"/>
    </sheetView>
  </sheetViews>
  <sheetFormatPr defaultRowHeight="15" x14ac:dyDescent="0.25"/>
  <cols>
    <col min="1" max="1" width="8.42578125" customWidth="1"/>
    <col min="2" max="2" width="8.42578125" bestFit="1" customWidth="1"/>
    <col min="3" max="3" width="10.7109375" bestFit="1" customWidth="1"/>
    <col min="4" max="4" width="9.5703125" bestFit="1" customWidth="1"/>
    <col min="5" max="5" width="11.7109375" bestFit="1" customWidth="1"/>
    <col min="6" max="6" width="11.140625" bestFit="1" customWidth="1"/>
    <col min="7" max="7" width="9" bestFit="1" customWidth="1"/>
    <col min="8" max="8" width="6.85546875" bestFit="1" customWidth="1"/>
    <col min="9" max="9" width="8.7109375" bestFit="1" customWidth="1"/>
    <col min="10" max="10" width="8.42578125" bestFit="1" customWidth="1"/>
    <col min="11" max="11" width="11.140625" bestFit="1" customWidth="1"/>
    <col min="12" max="12" width="7.42578125" bestFit="1" customWidth="1"/>
    <col min="13" max="13" width="16.7109375" bestFit="1" customWidth="1"/>
    <col min="14" max="14" width="7" bestFit="1" customWidth="1"/>
    <col min="15" max="15" width="10.7109375" bestFit="1" customWidth="1"/>
    <col min="16" max="16" width="12.7109375" bestFit="1" customWidth="1"/>
    <col min="17" max="17" width="7.7109375" bestFit="1" customWidth="1"/>
    <col min="18" max="18" width="13.5703125" bestFit="1" customWidth="1"/>
    <col min="19" max="19" width="8" bestFit="1" customWidth="1"/>
    <col min="20" max="20" width="7.28515625" bestFit="1" customWidth="1"/>
    <col min="21" max="21" width="10.42578125" bestFit="1" customWidth="1"/>
    <col min="22" max="22" width="10.140625" bestFit="1" customWidth="1"/>
    <col min="23" max="23" width="8.85546875" bestFit="1" customWidth="1"/>
    <col min="24" max="24" width="14.42578125" bestFit="1" customWidth="1"/>
    <col min="25" max="25" width="14.5703125" bestFit="1" customWidth="1"/>
    <col min="26" max="26" width="24.28515625" bestFit="1" customWidth="1"/>
    <col min="27" max="27" width="15.42578125" bestFit="1" customWidth="1"/>
    <col min="28" max="28" width="21.7109375" bestFit="1" customWidth="1"/>
    <col min="29" max="29" width="14.5703125" bestFit="1" customWidth="1"/>
    <col min="30" max="30" width="16.7109375" bestFit="1" customWidth="1"/>
    <col min="31" max="31" width="10.140625" bestFit="1" customWidth="1"/>
    <col min="32" max="32" width="18.28515625" bestFit="1" customWidth="1"/>
    <col min="33" max="33" width="12.28515625" bestFit="1" customWidth="1"/>
    <col min="34" max="34" width="8.140625" bestFit="1" customWidth="1"/>
    <col min="35" max="35" width="11.7109375" bestFit="1" customWidth="1"/>
    <col min="36" max="36" width="8.42578125" bestFit="1" customWidth="1"/>
  </cols>
  <sheetData>
    <row r="1" spans="1:22" ht="18.75" customHeight="1" x14ac:dyDescent="0.3">
      <c r="A1" s="1" t="s">
        <v>455</v>
      </c>
    </row>
    <row r="2" spans="1:22" x14ac:dyDescent="0.25">
      <c r="A2" s="20" t="s">
        <v>456</v>
      </c>
    </row>
    <row r="4" spans="1:22" x14ac:dyDescent="0.25">
      <c r="A4" s="3" t="s">
        <v>2</v>
      </c>
      <c r="B4" s="3" t="s">
        <v>379</v>
      </c>
      <c r="C4" s="3" t="s">
        <v>382</v>
      </c>
      <c r="D4" s="3" t="s">
        <v>385</v>
      </c>
      <c r="E4" s="3" t="s">
        <v>387</v>
      </c>
      <c r="F4" s="3" t="s">
        <v>390</v>
      </c>
      <c r="G4" s="3" t="s">
        <v>393</v>
      </c>
      <c r="H4" s="3" t="s">
        <v>395</v>
      </c>
      <c r="I4" s="3" t="s">
        <v>398</v>
      </c>
      <c r="J4" s="3" t="s">
        <v>400</v>
      </c>
      <c r="K4" s="3" t="s">
        <v>402</v>
      </c>
      <c r="L4" s="3" t="s">
        <v>404</v>
      </c>
      <c r="M4" s="3" t="s">
        <v>407</v>
      </c>
      <c r="N4" s="3" t="s">
        <v>409</v>
      </c>
      <c r="O4" s="3" t="s">
        <v>411</v>
      </c>
      <c r="P4" s="3" t="s">
        <v>413</v>
      </c>
      <c r="Q4" s="3" t="s">
        <v>416</v>
      </c>
      <c r="R4" s="3" t="s">
        <v>418</v>
      </c>
      <c r="S4" s="3" t="s">
        <v>421</v>
      </c>
      <c r="T4" s="3" t="s">
        <v>423</v>
      </c>
      <c r="U4" s="3" t="s">
        <v>425</v>
      </c>
      <c r="V4" s="3" t="s">
        <v>427</v>
      </c>
    </row>
    <row r="5" spans="1:22" x14ac:dyDescent="0.25">
      <c r="A5" s="4"/>
      <c r="B5" s="16" t="s">
        <v>373</v>
      </c>
      <c r="C5" s="4" t="s">
        <v>373</v>
      </c>
      <c r="D5" s="4" t="s">
        <v>373</v>
      </c>
      <c r="E5" s="4" t="s">
        <v>373</v>
      </c>
      <c r="F5" s="4" t="s">
        <v>373</v>
      </c>
      <c r="G5" s="4" t="s">
        <v>373</v>
      </c>
      <c r="H5" s="4" t="s">
        <v>373</v>
      </c>
      <c r="I5" s="4" t="s">
        <v>373</v>
      </c>
      <c r="J5" s="4" t="s">
        <v>373</v>
      </c>
      <c r="K5" s="4" t="s">
        <v>373</v>
      </c>
      <c r="L5" s="4" t="s">
        <v>373</v>
      </c>
      <c r="M5" s="4" t="s">
        <v>373</v>
      </c>
      <c r="N5" s="4" t="s">
        <v>373</v>
      </c>
      <c r="O5" s="4" t="s">
        <v>373</v>
      </c>
      <c r="P5" s="4" t="s">
        <v>373</v>
      </c>
      <c r="Q5" s="4" t="s">
        <v>373</v>
      </c>
      <c r="R5" s="4" t="s">
        <v>373</v>
      </c>
      <c r="S5" s="4" t="s">
        <v>373</v>
      </c>
      <c r="T5" s="4" t="s">
        <v>373</v>
      </c>
      <c r="U5" s="4" t="s">
        <v>373</v>
      </c>
      <c r="V5" s="4" t="s">
        <v>373</v>
      </c>
    </row>
    <row r="6" spans="1:22" x14ac:dyDescent="0.25">
      <c r="A6" s="5">
        <v>1</v>
      </c>
      <c r="B6" s="5">
        <v>91.94</v>
      </c>
      <c r="C6" s="5">
        <v>17.920000000000002</v>
      </c>
      <c r="D6" s="5">
        <v>331.24</v>
      </c>
      <c r="E6" s="5">
        <v>150.63</v>
      </c>
      <c r="F6" s="5">
        <v>203.52</v>
      </c>
      <c r="G6" s="5">
        <v>12.17</v>
      </c>
      <c r="H6" s="5">
        <v>9.32</v>
      </c>
      <c r="I6" s="5">
        <v>199.58</v>
      </c>
      <c r="J6" s="5">
        <v>20.32</v>
      </c>
      <c r="K6" s="5">
        <v>336.37</v>
      </c>
      <c r="L6" s="5">
        <v>23.26</v>
      </c>
      <c r="M6" s="5">
        <v>17.43</v>
      </c>
      <c r="N6" s="5">
        <v>285.19</v>
      </c>
      <c r="O6" s="5">
        <v>65.290000000000006</v>
      </c>
      <c r="P6" s="5">
        <v>12.17</v>
      </c>
      <c r="Q6" s="5">
        <v>10.76</v>
      </c>
      <c r="R6" s="5">
        <v>19.100000000000001</v>
      </c>
      <c r="S6" s="5">
        <v>0.37</v>
      </c>
      <c r="T6" s="5">
        <v>9.6199999999999992</v>
      </c>
      <c r="U6" s="5">
        <v>21.71</v>
      </c>
      <c r="V6" s="5">
        <v>41.96</v>
      </c>
    </row>
    <row r="7" spans="1:22" x14ac:dyDescent="0.25">
      <c r="A7" s="5">
        <v>2</v>
      </c>
      <c r="B7" s="5">
        <v>91.94</v>
      </c>
      <c r="C7" s="5">
        <v>17.920000000000002</v>
      </c>
      <c r="D7" s="5">
        <v>331.24</v>
      </c>
      <c r="E7" s="5">
        <v>150.63</v>
      </c>
      <c r="F7" s="5">
        <v>203.52</v>
      </c>
      <c r="G7" s="5">
        <v>12.17</v>
      </c>
      <c r="H7" s="5">
        <v>9.32</v>
      </c>
      <c r="I7" s="5">
        <v>199.58</v>
      </c>
      <c r="J7" s="5">
        <v>20.32</v>
      </c>
      <c r="K7" s="5">
        <v>336.37</v>
      </c>
      <c r="L7" s="5">
        <v>23.26</v>
      </c>
      <c r="M7" s="5">
        <v>17.43</v>
      </c>
      <c r="N7" s="5">
        <v>285.19</v>
      </c>
      <c r="O7" s="5">
        <v>65.290000000000006</v>
      </c>
      <c r="P7" s="5">
        <v>12.17</v>
      </c>
      <c r="Q7" s="5">
        <v>10.76</v>
      </c>
      <c r="R7" s="5">
        <v>19.100000000000001</v>
      </c>
      <c r="S7" s="5">
        <v>0.37</v>
      </c>
      <c r="T7" s="5">
        <v>9.6199999999999992</v>
      </c>
      <c r="U7" s="5">
        <v>21.71</v>
      </c>
      <c r="V7" s="5">
        <v>41.96</v>
      </c>
    </row>
    <row r="8" spans="1:22" x14ac:dyDescent="0.25">
      <c r="A8" s="5">
        <v>3</v>
      </c>
      <c r="B8" s="5">
        <v>91.94</v>
      </c>
      <c r="C8" s="5">
        <v>17.920000000000002</v>
      </c>
      <c r="D8" s="5">
        <v>331.24</v>
      </c>
      <c r="E8" s="5">
        <v>150.63</v>
      </c>
      <c r="F8" s="5">
        <v>203.52</v>
      </c>
      <c r="G8" s="5">
        <v>12.17</v>
      </c>
      <c r="H8" s="5">
        <v>9.32</v>
      </c>
      <c r="I8" s="5">
        <v>199.58</v>
      </c>
      <c r="J8" s="5">
        <v>20.32</v>
      </c>
      <c r="K8" s="5">
        <v>336.37</v>
      </c>
      <c r="L8" s="5">
        <v>23.26</v>
      </c>
      <c r="M8" s="5">
        <v>17.43</v>
      </c>
      <c r="N8" s="5">
        <v>285.19</v>
      </c>
      <c r="O8" s="5">
        <v>65.290000000000006</v>
      </c>
      <c r="P8" s="5">
        <v>12.17</v>
      </c>
      <c r="Q8" s="5">
        <v>10.76</v>
      </c>
      <c r="R8" s="5">
        <v>19.100000000000001</v>
      </c>
      <c r="S8" s="5">
        <v>0.37</v>
      </c>
      <c r="T8" s="5">
        <v>9.6199999999999992</v>
      </c>
      <c r="U8" s="5">
        <v>21.71</v>
      </c>
      <c r="V8" s="5">
        <v>41.96</v>
      </c>
    </row>
    <row r="9" spans="1:22" x14ac:dyDescent="0.25">
      <c r="A9" s="5">
        <v>4</v>
      </c>
      <c r="B9" s="5">
        <v>91.94</v>
      </c>
      <c r="C9" s="5">
        <v>17.920000000000002</v>
      </c>
      <c r="D9" s="5">
        <v>331.24</v>
      </c>
      <c r="E9" s="5">
        <v>150.63</v>
      </c>
      <c r="F9" s="5">
        <v>203.52</v>
      </c>
      <c r="G9" s="5">
        <v>12.17</v>
      </c>
      <c r="H9" s="5">
        <v>9.32</v>
      </c>
      <c r="I9" s="5">
        <v>199.58</v>
      </c>
      <c r="J9" s="5">
        <v>20.32</v>
      </c>
      <c r="K9" s="5">
        <v>336.37</v>
      </c>
      <c r="L9" s="5">
        <v>23.26</v>
      </c>
      <c r="M9" s="5">
        <v>17.43</v>
      </c>
      <c r="N9" s="5">
        <v>285.19</v>
      </c>
      <c r="O9" s="5">
        <v>65.290000000000006</v>
      </c>
      <c r="P9" s="5">
        <v>12.17</v>
      </c>
      <c r="Q9" s="5">
        <v>10.76</v>
      </c>
      <c r="R9" s="5">
        <v>19.100000000000001</v>
      </c>
      <c r="S9" s="5">
        <v>0.37</v>
      </c>
      <c r="T9" s="5">
        <v>9.6199999999999992</v>
      </c>
      <c r="U9" s="5">
        <v>21.71</v>
      </c>
      <c r="V9" s="5">
        <v>41.96</v>
      </c>
    </row>
    <row r="10" spans="1:22" x14ac:dyDescent="0.25">
      <c r="A10" s="5">
        <v>5</v>
      </c>
      <c r="B10" s="5">
        <v>91.94</v>
      </c>
      <c r="C10" s="5">
        <v>17.920000000000002</v>
      </c>
      <c r="D10" s="5">
        <v>331.24</v>
      </c>
      <c r="E10" s="5">
        <v>150.63</v>
      </c>
      <c r="F10" s="5">
        <v>203.52</v>
      </c>
      <c r="G10" s="5">
        <v>12.17</v>
      </c>
      <c r="H10" s="5">
        <v>9.32</v>
      </c>
      <c r="I10" s="5">
        <v>199.58</v>
      </c>
      <c r="J10" s="5">
        <v>20.32</v>
      </c>
      <c r="K10" s="5">
        <v>336.37</v>
      </c>
      <c r="L10" s="5">
        <v>23.26</v>
      </c>
      <c r="M10" s="5">
        <v>17.43</v>
      </c>
      <c r="N10" s="5">
        <v>285.19</v>
      </c>
      <c r="O10" s="5">
        <v>65.290000000000006</v>
      </c>
      <c r="P10" s="5">
        <v>12.17</v>
      </c>
      <c r="Q10" s="5">
        <v>10.76</v>
      </c>
      <c r="R10" s="5">
        <v>19.100000000000001</v>
      </c>
      <c r="S10" s="5">
        <v>0.37</v>
      </c>
      <c r="T10" s="5">
        <v>9.6199999999999992</v>
      </c>
      <c r="U10" s="5">
        <v>21.71</v>
      </c>
      <c r="V10" s="5">
        <v>41.96</v>
      </c>
    </row>
    <row r="11" spans="1:22" x14ac:dyDescent="0.25">
      <c r="A11" s="5">
        <v>6</v>
      </c>
      <c r="B11" s="5">
        <v>91.94</v>
      </c>
      <c r="C11" s="5">
        <v>17.920000000000002</v>
      </c>
      <c r="D11" s="5">
        <v>331.24</v>
      </c>
      <c r="E11" s="5">
        <v>150.63</v>
      </c>
      <c r="F11" s="5">
        <v>203.52</v>
      </c>
      <c r="G11" s="5">
        <v>12.17</v>
      </c>
      <c r="H11" s="5">
        <v>9.32</v>
      </c>
      <c r="I11" s="5">
        <v>199.58</v>
      </c>
      <c r="J11" s="5">
        <v>20.32</v>
      </c>
      <c r="K11" s="5">
        <v>336.37</v>
      </c>
      <c r="L11" s="5">
        <v>23.26</v>
      </c>
      <c r="M11" s="5">
        <v>17.43</v>
      </c>
      <c r="N11" s="5">
        <v>285.19</v>
      </c>
      <c r="O11" s="5">
        <v>65.290000000000006</v>
      </c>
      <c r="P11" s="5">
        <v>12.17</v>
      </c>
      <c r="Q11" s="5">
        <v>10.76</v>
      </c>
      <c r="R11" s="5">
        <v>19.100000000000001</v>
      </c>
      <c r="S11" s="5">
        <v>0.37</v>
      </c>
      <c r="T11" s="5">
        <v>9.6199999999999992</v>
      </c>
      <c r="U11" s="5">
        <v>21.71</v>
      </c>
      <c r="V11" s="5">
        <v>41.96</v>
      </c>
    </row>
    <row r="12" spans="1:22" x14ac:dyDescent="0.25">
      <c r="A12" s="5">
        <v>7</v>
      </c>
      <c r="B12" s="5">
        <v>91.94</v>
      </c>
      <c r="C12" s="5">
        <v>17.920000000000002</v>
      </c>
      <c r="D12" s="5">
        <v>331.24</v>
      </c>
      <c r="E12" s="5">
        <v>150.63</v>
      </c>
      <c r="F12" s="5">
        <v>203.52</v>
      </c>
      <c r="G12" s="5">
        <v>12.17</v>
      </c>
      <c r="H12" s="5">
        <v>9.32</v>
      </c>
      <c r="I12" s="5">
        <v>199.58</v>
      </c>
      <c r="J12" s="5">
        <v>20.32</v>
      </c>
      <c r="K12" s="5">
        <v>336.37</v>
      </c>
      <c r="L12" s="5">
        <v>23.26</v>
      </c>
      <c r="M12" s="5">
        <v>17.43</v>
      </c>
      <c r="N12" s="5">
        <v>285.19</v>
      </c>
      <c r="O12" s="5">
        <v>65.290000000000006</v>
      </c>
      <c r="P12" s="5">
        <v>12.17</v>
      </c>
      <c r="Q12" s="5">
        <v>10.76</v>
      </c>
      <c r="R12" s="5">
        <v>19.100000000000001</v>
      </c>
      <c r="S12" s="5">
        <v>0.37</v>
      </c>
      <c r="T12" s="5">
        <v>9.6199999999999992</v>
      </c>
      <c r="U12" s="5">
        <v>21.71</v>
      </c>
      <c r="V12" s="5">
        <v>41.96</v>
      </c>
    </row>
    <row r="13" spans="1:22" x14ac:dyDescent="0.25">
      <c r="A13" s="5">
        <v>8</v>
      </c>
      <c r="B13" s="5">
        <v>91.94</v>
      </c>
      <c r="C13" s="5">
        <v>17.920000000000002</v>
      </c>
      <c r="D13" s="5">
        <v>331.24</v>
      </c>
      <c r="E13" s="5">
        <v>150.63</v>
      </c>
      <c r="F13" s="5">
        <v>203.52</v>
      </c>
      <c r="G13" s="5">
        <v>12.17</v>
      </c>
      <c r="H13" s="5">
        <v>9.32</v>
      </c>
      <c r="I13" s="5">
        <v>199.58</v>
      </c>
      <c r="J13" s="5">
        <v>20.32</v>
      </c>
      <c r="K13" s="5">
        <v>336.37</v>
      </c>
      <c r="L13" s="5">
        <v>23.26</v>
      </c>
      <c r="M13" s="5">
        <v>17.43</v>
      </c>
      <c r="N13" s="5">
        <v>285.19</v>
      </c>
      <c r="O13" s="5">
        <v>65.290000000000006</v>
      </c>
      <c r="P13" s="5">
        <v>12.17</v>
      </c>
      <c r="Q13" s="5">
        <v>10.76</v>
      </c>
      <c r="R13" s="5">
        <v>19.100000000000001</v>
      </c>
      <c r="S13" s="5">
        <v>0.37</v>
      </c>
      <c r="T13" s="5">
        <v>9.6199999999999992</v>
      </c>
      <c r="U13" s="5">
        <v>21.71</v>
      </c>
      <c r="V13" s="5">
        <v>41.96</v>
      </c>
    </row>
    <row r="14" spans="1:22" x14ac:dyDescent="0.25">
      <c r="A14" s="5">
        <v>9</v>
      </c>
      <c r="B14" s="5">
        <v>91.94</v>
      </c>
      <c r="C14" s="5">
        <v>17.920000000000002</v>
      </c>
      <c r="D14" s="5">
        <v>331.24</v>
      </c>
      <c r="E14" s="5">
        <v>150.63</v>
      </c>
      <c r="F14" s="5">
        <v>203.52</v>
      </c>
      <c r="G14" s="5">
        <v>12.17</v>
      </c>
      <c r="H14" s="5">
        <v>9.32</v>
      </c>
      <c r="I14" s="5">
        <v>199.58</v>
      </c>
      <c r="J14" s="5">
        <v>20.32</v>
      </c>
      <c r="K14" s="5">
        <v>336.37</v>
      </c>
      <c r="L14" s="5">
        <v>23.26</v>
      </c>
      <c r="M14" s="5">
        <v>17.43</v>
      </c>
      <c r="N14" s="5">
        <v>285.19</v>
      </c>
      <c r="O14" s="5">
        <v>65.290000000000006</v>
      </c>
      <c r="P14" s="5">
        <v>12.17</v>
      </c>
      <c r="Q14" s="5">
        <v>10.76</v>
      </c>
      <c r="R14" s="5">
        <v>19.100000000000001</v>
      </c>
      <c r="S14" s="5">
        <v>0.37</v>
      </c>
      <c r="T14" s="5">
        <v>9.6199999999999992</v>
      </c>
      <c r="U14" s="5">
        <v>21.71</v>
      </c>
      <c r="V14" s="5">
        <v>41.96</v>
      </c>
    </row>
    <row r="15" spans="1:22" x14ac:dyDescent="0.25">
      <c r="A15" s="5">
        <v>10</v>
      </c>
      <c r="B15" s="5">
        <v>91.94</v>
      </c>
      <c r="C15" s="5">
        <v>17.920000000000002</v>
      </c>
      <c r="D15" s="5">
        <v>331.24</v>
      </c>
      <c r="E15" s="5">
        <v>150.63</v>
      </c>
      <c r="F15" s="5">
        <v>203.52</v>
      </c>
      <c r="G15" s="5">
        <v>12.17</v>
      </c>
      <c r="H15" s="5">
        <v>9.32</v>
      </c>
      <c r="I15" s="5">
        <v>199.58</v>
      </c>
      <c r="J15" s="5">
        <v>20.32</v>
      </c>
      <c r="K15" s="5">
        <v>336.37</v>
      </c>
      <c r="L15" s="5">
        <v>23.26</v>
      </c>
      <c r="M15" s="5">
        <v>17.43</v>
      </c>
      <c r="N15" s="5">
        <v>285.19</v>
      </c>
      <c r="O15" s="5">
        <v>65.290000000000006</v>
      </c>
      <c r="P15" s="5">
        <v>12.17</v>
      </c>
      <c r="Q15" s="5">
        <v>10.76</v>
      </c>
      <c r="R15" s="5">
        <v>19.100000000000001</v>
      </c>
      <c r="S15" s="5">
        <v>0.37</v>
      </c>
      <c r="T15" s="5">
        <v>9.6199999999999992</v>
      </c>
      <c r="U15" s="5">
        <v>21.71</v>
      </c>
      <c r="V15" s="5">
        <v>41.96</v>
      </c>
    </row>
    <row r="16" spans="1:22" x14ac:dyDescent="0.25">
      <c r="A16" s="5">
        <v>11</v>
      </c>
      <c r="B16" s="5">
        <v>91.94</v>
      </c>
      <c r="C16" s="5">
        <v>17.920000000000002</v>
      </c>
      <c r="D16" s="5">
        <v>331.24</v>
      </c>
      <c r="E16" s="5">
        <v>150.63</v>
      </c>
      <c r="F16" s="5">
        <v>203.52</v>
      </c>
      <c r="G16" s="5">
        <v>12.17</v>
      </c>
      <c r="H16" s="5">
        <v>9.32</v>
      </c>
      <c r="I16" s="5">
        <v>199.58</v>
      </c>
      <c r="J16" s="5">
        <v>20.32</v>
      </c>
      <c r="K16" s="5">
        <v>336.37</v>
      </c>
      <c r="L16" s="5">
        <v>23.26</v>
      </c>
      <c r="M16" s="5">
        <v>17.43</v>
      </c>
      <c r="N16" s="5">
        <v>285.19</v>
      </c>
      <c r="O16" s="5">
        <v>65.290000000000006</v>
      </c>
      <c r="P16" s="5">
        <v>12.17</v>
      </c>
      <c r="Q16" s="5">
        <v>10.76</v>
      </c>
      <c r="R16" s="5">
        <v>19.100000000000001</v>
      </c>
      <c r="S16" s="5">
        <v>0.37</v>
      </c>
      <c r="T16" s="5">
        <v>9.6199999999999992</v>
      </c>
      <c r="U16" s="5">
        <v>21.71</v>
      </c>
      <c r="V16" s="5">
        <v>41.96</v>
      </c>
    </row>
    <row r="17" spans="1:22" x14ac:dyDescent="0.25">
      <c r="A17" s="5">
        <v>12</v>
      </c>
      <c r="B17" s="5">
        <v>91.94</v>
      </c>
      <c r="C17" s="5">
        <v>17.920000000000002</v>
      </c>
      <c r="D17" s="5">
        <v>331.24</v>
      </c>
      <c r="E17" s="5">
        <v>150.63</v>
      </c>
      <c r="F17" s="5">
        <v>203.52</v>
      </c>
      <c r="G17" s="5">
        <v>12.17</v>
      </c>
      <c r="H17" s="5">
        <v>9.32</v>
      </c>
      <c r="I17" s="5">
        <v>199.58</v>
      </c>
      <c r="J17" s="5">
        <v>20.32</v>
      </c>
      <c r="K17" s="5">
        <v>336.37</v>
      </c>
      <c r="L17" s="5">
        <v>23.26</v>
      </c>
      <c r="M17" s="5">
        <v>17.43</v>
      </c>
      <c r="N17" s="5">
        <v>285.19</v>
      </c>
      <c r="O17" s="5">
        <v>65.290000000000006</v>
      </c>
      <c r="P17" s="5">
        <v>12.17</v>
      </c>
      <c r="Q17" s="5">
        <v>10.76</v>
      </c>
      <c r="R17" s="5">
        <v>19.100000000000001</v>
      </c>
      <c r="S17" s="5">
        <v>0.37</v>
      </c>
      <c r="T17" s="5">
        <v>9.6199999999999992</v>
      </c>
      <c r="U17" s="5">
        <v>21.71</v>
      </c>
      <c r="V17" s="5">
        <v>41.96</v>
      </c>
    </row>
    <row r="18" spans="1:22" x14ac:dyDescent="0.25">
      <c r="A18" s="5">
        <v>13</v>
      </c>
      <c r="B18" s="5">
        <v>91.94</v>
      </c>
      <c r="C18" s="5">
        <v>17.920000000000002</v>
      </c>
      <c r="D18" s="5">
        <v>331.24</v>
      </c>
      <c r="E18" s="5">
        <v>150.63</v>
      </c>
      <c r="F18" s="5">
        <v>203.52</v>
      </c>
      <c r="G18" s="5">
        <v>12.17</v>
      </c>
      <c r="H18" s="5">
        <v>9.32</v>
      </c>
      <c r="I18" s="5">
        <v>199.58</v>
      </c>
      <c r="J18" s="5">
        <v>20.32</v>
      </c>
      <c r="K18" s="5">
        <v>336.37</v>
      </c>
      <c r="L18" s="5">
        <v>23.26</v>
      </c>
      <c r="M18" s="5">
        <v>17.43</v>
      </c>
      <c r="N18" s="5">
        <v>285.19</v>
      </c>
      <c r="O18" s="5">
        <v>65.290000000000006</v>
      </c>
      <c r="P18" s="5">
        <v>12.17</v>
      </c>
      <c r="Q18" s="5">
        <v>10.76</v>
      </c>
      <c r="R18" s="5">
        <v>19.100000000000001</v>
      </c>
      <c r="S18" s="5">
        <v>0.37</v>
      </c>
      <c r="T18" s="5">
        <v>9.6199999999999992</v>
      </c>
      <c r="U18" s="5">
        <v>21.71</v>
      </c>
      <c r="V18" s="5">
        <v>41.96</v>
      </c>
    </row>
    <row r="19" spans="1:22" x14ac:dyDescent="0.25">
      <c r="A19" s="5">
        <v>14</v>
      </c>
      <c r="B19" s="5">
        <v>91.94</v>
      </c>
      <c r="C19" s="5">
        <v>17.920000000000002</v>
      </c>
      <c r="D19" s="5">
        <v>331.24</v>
      </c>
      <c r="E19" s="5">
        <v>150.63</v>
      </c>
      <c r="F19" s="5">
        <v>203.52</v>
      </c>
      <c r="G19" s="5">
        <v>12.17</v>
      </c>
      <c r="H19" s="5">
        <v>9.32</v>
      </c>
      <c r="I19" s="5">
        <v>199.58</v>
      </c>
      <c r="J19" s="5">
        <v>20.32</v>
      </c>
      <c r="K19" s="5">
        <v>336.37</v>
      </c>
      <c r="L19" s="5">
        <v>23.26</v>
      </c>
      <c r="M19" s="5">
        <v>17.43</v>
      </c>
      <c r="N19" s="5">
        <v>285.19</v>
      </c>
      <c r="O19" s="5">
        <v>65.290000000000006</v>
      </c>
      <c r="P19" s="5">
        <v>12.17</v>
      </c>
      <c r="Q19" s="5">
        <v>10.76</v>
      </c>
      <c r="R19" s="5">
        <v>19.100000000000001</v>
      </c>
      <c r="S19" s="5">
        <v>0.37</v>
      </c>
      <c r="T19" s="5">
        <v>9.6199999999999992</v>
      </c>
      <c r="U19" s="5">
        <v>21.71</v>
      </c>
      <c r="V19" s="5">
        <v>41.96</v>
      </c>
    </row>
    <row r="20" spans="1:22" x14ac:dyDescent="0.25">
      <c r="A20" s="5">
        <v>15</v>
      </c>
      <c r="B20" s="5">
        <v>91.94</v>
      </c>
      <c r="C20" s="5">
        <v>17.920000000000002</v>
      </c>
      <c r="D20" s="5">
        <v>331.24</v>
      </c>
      <c r="E20" s="5">
        <v>150.63</v>
      </c>
      <c r="F20" s="5">
        <v>203.52</v>
      </c>
      <c r="G20" s="5">
        <v>12.17</v>
      </c>
      <c r="H20" s="5">
        <v>9.32</v>
      </c>
      <c r="I20" s="5">
        <v>199.58</v>
      </c>
      <c r="J20" s="5">
        <v>20.32</v>
      </c>
      <c r="K20" s="5">
        <v>336.37</v>
      </c>
      <c r="L20" s="5">
        <v>23.26</v>
      </c>
      <c r="M20" s="5">
        <v>17.43</v>
      </c>
      <c r="N20" s="5">
        <v>285.19</v>
      </c>
      <c r="O20" s="5">
        <v>65.290000000000006</v>
      </c>
      <c r="P20" s="5">
        <v>12.17</v>
      </c>
      <c r="Q20" s="5">
        <v>10.76</v>
      </c>
      <c r="R20" s="5">
        <v>19.100000000000001</v>
      </c>
      <c r="S20" s="5">
        <v>0.37</v>
      </c>
      <c r="T20" s="5">
        <v>9.6199999999999992</v>
      </c>
      <c r="U20" s="5">
        <v>21.71</v>
      </c>
      <c r="V20" s="5">
        <v>41.96</v>
      </c>
    </row>
    <row r="21" spans="1:22" x14ac:dyDescent="0.25">
      <c r="A21" s="5">
        <v>16</v>
      </c>
      <c r="B21" s="5">
        <v>91.94</v>
      </c>
      <c r="C21" s="5">
        <v>17.920000000000002</v>
      </c>
      <c r="D21" s="5">
        <v>331.24</v>
      </c>
      <c r="E21" s="5">
        <v>150.63</v>
      </c>
      <c r="F21" s="5">
        <v>203.52</v>
      </c>
      <c r="G21" s="5">
        <v>12.17</v>
      </c>
      <c r="H21" s="5">
        <v>9.32</v>
      </c>
      <c r="I21" s="5">
        <v>199.58</v>
      </c>
      <c r="J21" s="5">
        <v>20.32</v>
      </c>
      <c r="K21" s="5">
        <v>336.37</v>
      </c>
      <c r="L21" s="5">
        <v>23.26</v>
      </c>
      <c r="M21" s="5">
        <v>17.43</v>
      </c>
      <c r="N21" s="5">
        <v>285.19</v>
      </c>
      <c r="O21" s="5">
        <v>65.290000000000006</v>
      </c>
      <c r="P21" s="5">
        <v>12.17</v>
      </c>
      <c r="Q21" s="5">
        <v>10.76</v>
      </c>
      <c r="R21" s="5">
        <v>19.100000000000001</v>
      </c>
      <c r="S21" s="5">
        <v>0.37</v>
      </c>
      <c r="T21" s="5">
        <v>9.6199999999999992</v>
      </c>
      <c r="U21" s="5">
        <v>21.71</v>
      </c>
      <c r="V21" s="5">
        <v>41.96</v>
      </c>
    </row>
    <row r="22" spans="1:22" x14ac:dyDescent="0.25">
      <c r="A22" s="5">
        <v>17</v>
      </c>
      <c r="B22" s="5">
        <v>91.94</v>
      </c>
      <c r="C22" s="5">
        <v>17.920000000000002</v>
      </c>
      <c r="D22" s="5">
        <v>331.24</v>
      </c>
      <c r="E22" s="5">
        <v>150.63</v>
      </c>
      <c r="F22" s="5">
        <v>203.52</v>
      </c>
      <c r="G22" s="5">
        <v>12.17</v>
      </c>
      <c r="H22" s="5">
        <v>9.32</v>
      </c>
      <c r="I22" s="5">
        <v>199.58</v>
      </c>
      <c r="J22" s="5">
        <v>20.32</v>
      </c>
      <c r="K22" s="5">
        <v>336.37</v>
      </c>
      <c r="L22" s="5">
        <v>23.26</v>
      </c>
      <c r="M22" s="5">
        <v>17.43</v>
      </c>
      <c r="N22" s="5">
        <v>285.19</v>
      </c>
      <c r="O22" s="5">
        <v>65.290000000000006</v>
      </c>
      <c r="P22" s="5">
        <v>12.17</v>
      </c>
      <c r="Q22" s="5">
        <v>10.76</v>
      </c>
      <c r="R22" s="5">
        <v>19.100000000000001</v>
      </c>
      <c r="S22" s="5">
        <v>0.37</v>
      </c>
      <c r="T22" s="5">
        <v>9.6199999999999992</v>
      </c>
      <c r="U22" s="5">
        <v>21.71</v>
      </c>
      <c r="V22" s="5">
        <v>41.96</v>
      </c>
    </row>
    <row r="23" spans="1:22" x14ac:dyDescent="0.25">
      <c r="A23" s="5">
        <v>18</v>
      </c>
      <c r="B23" s="5">
        <v>91.94</v>
      </c>
      <c r="C23" s="5">
        <v>17.920000000000002</v>
      </c>
      <c r="D23" s="5">
        <v>331.24</v>
      </c>
      <c r="E23" s="5">
        <v>150.63</v>
      </c>
      <c r="F23" s="5">
        <v>203.52</v>
      </c>
      <c r="G23" s="5">
        <v>12.17</v>
      </c>
      <c r="H23" s="5">
        <v>9.32</v>
      </c>
      <c r="I23" s="5">
        <v>199.58</v>
      </c>
      <c r="J23" s="5">
        <v>20.32</v>
      </c>
      <c r="K23" s="5">
        <v>336.37</v>
      </c>
      <c r="L23" s="5">
        <v>23.26</v>
      </c>
      <c r="M23" s="5">
        <v>17.43</v>
      </c>
      <c r="N23" s="5">
        <v>285.19</v>
      </c>
      <c r="O23" s="5">
        <v>65.290000000000006</v>
      </c>
      <c r="P23" s="5">
        <v>12.17</v>
      </c>
      <c r="Q23" s="5">
        <v>10.76</v>
      </c>
      <c r="R23" s="5">
        <v>19.100000000000001</v>
      </c>
      <c r="S23" s="5">
        <v>0.37</v>
      </c>
      <c r="T23" s="5">
        <v>9.6199999999999992</v>
      </c>
      <c r="U23" s="5">
        <v>21.71</v>
      </c>
      <c r="V23" s="5">
        <v>41.96</v>
      </c>
    </row>
    <row r="24" spans="1:22" x14ac:dyDescent="0.25">
      <c r="A24" s="5">
        <v>19</v>
      </c>
      <c r="B24" s="5">
        <v>91.94</v>
      </c>
      <c r="C24" s="5">
        <v>17.920000000000002</v>
      </c>
      <c r="D24" s="5">
        <v>331.24</v>
      </c>
      <c r="E24" s="5">
        <v>150.63</v>
      </c>
      <c r="F24" s="5">
        <v>203.52</v>
      </c>
      <c r="G24" s="5">
        <v>12.17</v>
      </c>
      <c r="H24" s="5">
        <v>9.32</v>
      </c>
      <c r="I24" s="5">
        <v>199.58</v>
      </c>
      <c r="J24" s="5">
        <v>20.32</v>
      </c>
      <c r="K24" s="5">
        <v>336.37</v>
      </c>
      <c r="L24" s="5">
        <v>23.26</v>
      </c>
      <c r="M24" s="5">
        <v>17.43</v>
      </c>
      <c r="N24" s="5">
        <v>285.19</v>
      </c>
      <c r="O24" s="5">
        <v>65.290000000000006</v>
      </c>
      <c r="P24" s="5">
        <v>12.17</v>
      </c>
      <c r="Q24" s="5">
        <v>10.76</v>
      </c>
      <c r="R24" s="5">
        <v>19.100000000000001</v>
      </c>
      <c r="S24" s="5">
        <v>0.37</v>
      </c>
      <c r="T24" s="5">
        <v>9.6199999999999992</v>
      </c>
      <c r="U24" s="5">
        <v>21.71</v>
      </c>
      <c r="V24" s="5">
        <v>41.96</v>
      </c>
    </row>
    <row r="25" spans="1:22" x14ac:dyDescent="0.25">
      <c r="A25" s="5">
        <v>20</v>
      </c>
      <c r="B25" s="5">
        <v>91.94</v>
      </c>
      <c r="C25" s="5">
        <v>17.920000000000002</v>
      </c>
      <c r="D25" s="5">
        <v>331.24</v>
      </c>
      <c r="E25" s="5">
        <v>150.63</v>
      </c>
      <c r="F25" s="5">
        <v>203.52</v>
      </c>
      <c r="G25" s="5">
        <v>12.17</v>
      </c>
      <c r="H25" s="5">
        <v>9.32</v>
      </c>
      <c r="I25" s="5">
        <v>199.58</v>
      </c>
      <c r="J25" s="5">
        <v>20.32</v>
      </c>
      <c r="K25" s="5">
        <v>336.37</v>
      </c>
      <c r="L25" s="5">
        <v>23.26</v>
      </c>
      <c r="M25" s="5">
        <v>17.43</v>
      </c>
      <c r="N25" s="5">
        <v>285.19</v>
      </c>
      <c r="O25" s="5">
        <v>65.290000000000006</v>
      </c>
      <c r="P25" s="5">
        <v>12.17</v>
      </c>
      <c r="Q25" s="5">
        <v>10.76</v>
      </c>
      <c r="R25" s="5">
        <v>19.100000000000001</v>
      </c>
      <c r="S25" s="5">
        <v>0.37</v>
      </c>
      <c r="T25" s="5">
        <v>9.6199999999999992</v>
      </c>
      <c r="U25" s="5">
        <v>21.71</v>
      </c>
      <c r="V25" s="5">
        <v>41.96</v>
      </c>
    </row>
    <row r="26" spans="1:22" x14ac:dyDescent="0.25">
      <c r="A26" s="5">
        <v>21</v>
      </c>
      <c r="B26" s="5">
        <v>91.94</v>
      </c>
      <c r="C26" s="5">
        <v>17.920000000000002</v>
      </c>
      <c r="D26" s="5">
        <v>331.24</v>
      </c>
      <c r="E26" s="5">
        <v>150.63</v>
      </c>
      <c r="F26" s="5">
        <v>203.52</v>
      </c>
      <c r="G26" s="5">
        <v>12.17</v>
      </c>
      <c r="H26" s="5">
        <v>9.32</v>
      </c>
      <c r="I26" s="5">
        <v>199.58</v>
      </c>
      <c r="J26" s="5">
        <v>20.32</v>
      </c>
      <c r="K26" s="5">
        <v>336.37</v>
      </c>
      <c r="L26" s="5">
        <v>23.26</v>
      </c>
      <c r="M26" s="5">
        <v>17.43</v>
      </c>
      <c r="N26" s="5">
        <v>285.19</v>
      </c>
      <c r="O26" s="5">
        <v>65.290000000000006</v>
      </c>
      <c r="P26" s="5">
        <v>12.17</v>
      </c>
      <c r="Q26" s="5">
        <v>10.76</v>
      </c>
      <c r="R26" s="5">
        <v>19.100000000000001</v>
      </c>
      <c r="S26" s="5">
        <v>0.37</v>
      </c>
      <c r="T26" s="5">
        <v>9.6199999999999992</v>
      </c>
      <c r="U26" s="5">
        <v>21.71</v>
      </c>
      <c r="V26" s="5">
        <v>41.96</v>
      </c>
    </row>
    <row r="27" spans="1:22" x14ac:dyDescent="0.25">
      <c r="A27" s="5">
        <v>22</v>
      </c>
      <c r="B27" s="5">
        <v>91.94</v>
      </c>
      <c r="C27" s="5">
        <v>17.920000000000002</v>
      </c>
      <c r="D27" s="5">
        <v>331.24</v>
      </c>
      <c r="E27" s="5">
        <v>150.63</v>
      </c>
      <c r="F27" s="5">
        <v>203.52</v>
      </c>
      <c r="G27" s="5">
        <v>12.17</v>
      </c>
      <c r="H27" s="5">
        <v>9.32</v>
      </c>
      <c r="I27" s="5">
        <v>199.58</v>
      </c>
      <c r="J27" s="5">
        <v>20.32</v>
      </c>
      <c r="K27" s="5">
        <v>336.37</v>
      </c>
      <c r="L27" s="5">
        <v>23.26</v>
      </c>
      <c r="M27" s="5">
        <v>17.43</v>
      </c>
      <c r="N27" s="5">
        <v>285.19</v>
      </c>
      <c r="O27" s="5">
        <v>65.290000000000006</v>
      </c>
      <c r="P27" s="5">
        <v>12.17</v>
      </c>
      <c r="Q27" s="5">
        <v>10.76</v>
      </c>
      <c r="R27" s="5">
        <v>19.100000000000001</v>
      </c>
      <c r="S27" s="5">
        <v>0.37</v>
      </c>
      <c r="T27" s="5">
        <v>9.6199999999999992</v>
      </c>
      <c r="U27" s="5">
        <v>21.71</v>
      </c>
      <c r="V27" s="5">
        <v>41.96</v>
      </c>
    </row>
    <row r="28" spans="1:22" x14ac:dyDescent="0.25">
      <c r="A28" s="5">
        <v>23</v>
      </c>
      <c r="B28" s="5">
        <v>91.94</v>
      </c>
      <c r="C28" s="5">
        <v>17.920000000000002</v>
      </c>
      <c r="D28" s="5">
        <v>331.24</v>
      </c>
      <c r="E28" s="5">
        <v>150.63</v>
      </c>
      <c r="F28" s="5">
        <v>203.52</v>
      </c>
      <c r="G28" s="5">
        <v>12.17</v>
      </c>
      <c r="H28" s="5">
        <v>9.32</v>
      </c>
      <c r="I28" s="5">
        <v>199.58</v>
      </c>
      <c r="J28" s="5">
        <v>20.32</v>
      </c>
      <c r="K28" s="5">
        <v>336.37</v>
      </c>
      <c r="L28" s="5">
        <v>23.26</v>
      </c>
      <c r="M28" s="5">
        <v>17.43</v>
      </c>
      <c r="N28" s="5">
        <v>285.19</v>
      </c>
      <c r="O28" s="5">
        <v>65.290000000000006</v>
      </c>
      <c r="P28" s="5">
        <v>12.17</v>
      </c>
      <c r="Q28" s="5">
        <v>10.76</v>
      </c>
      <c r="R28" s="5">
        <v>19.100000000000001</v>
      </c>
      <c r="S28" s="5">
        <v>0.37</v>
      </c>
      <c r="T28" s="5">
        <v>9.6199999999999992</v>
      </c>
      <c r="U28" s="5">
        <v>21.71</v>
      </c>
      <c r="V28" s="5">
        <v>41.96</v>
      </c>
    </row>
    <row r="29" spans="1:22" x14ac:dyDescent="0.25">
      <c r="A29" s="5">
        <v>24</v>
      </c>
      <c r="B29" s="5">
        <v>91.94</v>
      </c>
      <c r="C29" s="5">
        <v>17.920000000000002</v>
      </c>
      <c r="D29" s="5">
        <v>331.24</v>
      </c>
      <c r="E29" s="5">
        <v>150.63</v>
      </c>
      <c r="F29" s="5">
        <v>203.52</v>
      </c>
      <c r="G29" s="5">
        <v>12.17</v>
      </c>
      <c r="H29" s="5">
        <v>9.32</v>
      </c>
      <c r="I29" s="5">
        <v>199.58</v>
      </c>
      <c r="J29" s="5">
        <v>20.32</v>
      </c>
      <c r="K29" s="5">
        <v>336.37</v>
      </c>
      <c r="L29" s="5">
        <v>23.26</v>
      </c>
      <c r="M29" s="5">
        <v>17.43</v>
      </c>
      <c r="N29" s="5">
        <v>285.19</v>
      </c>
      <c r="O29" s="5">
        <v>65.290000000000006</v>
      </c>
      <c r="P29" s="5">
        <v>12.17</v>
      </c>
      <c r="Q29" s="5">
        <v>10.76</v>
      </c>
      <c r="R29" s="5">
        <v>19.100000000000001</v>
      </c>
      <c r="S29" s="5">
        <v>0.37</v>
      </c>
      <c r="T29" s="5">
        <v>9.6199999999999992</v>
      </c>
      <c r="U29" s="5">
        <v>21.71</v>
      </c>
      <c r="V29" s="5">
        <v>41.96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79998168889431442"/>
  </sheetPr>
  <dimension ref="A1:G18"/>
  <sheetViews>
    <sheetView workbookViewId="0">
      <selection activeCell="D6" sqref="D6:D18"/>
    </sheetView>
  </sheetViews>
  <sheetFormatPr defaultRowHeight="15" x14ac:dyDescent="0.25"/>
  <cols>
    <col min="1" max="1" width="33.140625" customWidth="1"/>
    <col min="2" max="2" width="11.85546875" customWidth="1"/>
    <col min="3" max="4" width="16" customWidth="1"/>
  </cols>
  <sheetData>
    <row r="1" spans="1:7" ht="18.75" customHeight="1" x14ac:dyDescent="0.3">
      <c r="A1" s="1" t="s">
        <v>457</v>
      </c>
    </row>
    <row r="2" spans="1:7" x14ac:dyDescent="0.25">
      <c r="A2" s="2" t="s">
        <v>458</v>
      </c>
    </row>
    <row r="4" spans="1:7" x14ac:dyDescent="0.25">
      <c r="A4" s="3" t="s">
        <v>48</v>
      </c>
      <c r="B4" s="3" t="s">
        <v>182</v>
      </c>
      <c r="C4" s="3" t="s">
        <v>108</v>
      </c>
      <c r="D4" s="3" t="s">
        <v>109</v>
      </c>
      <c r="E4" s="12" t="s">
        <v>223</v>
      </c>
      <c r="F4" s="12" t="s">
        <v>224</v>
      </c>
      <c r="G4" s="12" t="s">
        <v>225</v>
      </c>
    </row>
    <row r="5" spans="1:7" x14ac:dyDescent="0.25">
      <c r="A5" s="4"/>
      <c r="B5" s="4"/>
      <c r="C5" s="4" t="s">
        <v>459</v>
      </c>
      <c r="D5" s="4" t="s">
        <v>21</v>
      </c>
      <c r="E5" s="4"/>
      <c r="F5" s="4" t="s">
        <v>232</v>
      </c>
      <c r="G5" s="4" t="s">
        <v>232</v>
      </c>
    </row>
    <row r="6" spans="1:7" x14ac:dyDescent="0.25">
      <c r="A6" s="6" t="s">
        <v>460</v>
      </c>
      <c r="B6" s="5" t="s">
        <v>3</v>
      </c>
      <c r="C6" s="5" t="s">
        <v>461</v>
      </c>
      <c r="D6" s="17">
        <v>102</v>
      </c>
      <c r="E6" s="17" t="s">
        <v>462</v>
      </c>
    </row>
    <row r="7" spans="1:7" x14ac:dyDescent="0.25">
      <c r="A7" s="6" t="s">
        <v>463</v>
      </c>
      <c r="B7" s="5" t="s">
        <v>5</v>
      </c>
      <c r="C7" s="5" t="s">
        <v>461</v>
      </c>
      <c r="D7" s="17">
        <v>50</v>
      </c>
      <c r="E7" s="17" t="s">
        <v>464</v>
      </c>
    </row>
    <row r="8" spans="1:7" x14ac:dyDescent="0.25">
      <c r="A8" s="6" t="s">
        <v>465</v>
      </c>
      <c r="B8" s="5" t="s">
        <v>5</v>
      </c>
      <c r="C8" s="5" t="s">
        <v>461</v>
      </c>
      <c r="D8" s="17">
        <v>370</v>
      </c>
      <c r="E8" s="17" t="s">
        <v>466</v>
      </c>
    </row>
    <row r="9" spans="1:7" x14ac:dyDescent="0.25">
      <c r="A9" s="6" t="s">
        <v>467</v>
      </c>
      <c r="B9" s="5" t="s">
        <v>5</v>
      </c>
      <c r="C9" s="5" t="s">
        <v>461</v>
      </c>
      <c r="D9" s="17">
        <v>200</v>
      </c>
      <c r="E9" s="17" t="s">
        <v>468</v>
      </c>
    </row>
    <row r="10" spans="1:7" x14ac:dyDescent="0.25">
      <c r="A10" s="6" t="s">
        <v>469</v>
      </c>
      <c r="B10" s="5" t="s">
        <v>13</v>
      </c>
      <c r="C10" s="5" t="s">
        <v>461</v>
      </c>
      <c r="D10" s="17">
        <v>100</v>
      </c>
      <c r="E10" s="17" t="s">
        <v>470</v>
      </c>
    </row>
    <row r="11" spans="1:7" x14ac:dyDescent="0.25">
      <c r="A11" s="6" t="s">
        <v>471</v>
      </c>
      <c r="B11" s="5" t="s">
        <v>9</v>
      </c>
      <c r="C11" s="5" t="s">
        <v>461</v>
      </c>
      <c r="D11" s="17">
        <v>300</v>
      </c>
      <c r="E11" s="17" t="s">
        <v>472</v>
      </c>
    </row>
    <row r="12" spans="1:7" x14ac:dyDescent="0.25">
      <c r="A12" s="6" t="s">
        <v>473</v>
      </c>
      <c r="B12" s="5" t="s">
        <v>9</v>
      </c>
      <c r="C12" s="5" t="s">
        <v>461</v>
      </c>
      <c r="D12" s="17">
        <v>83</v>
      </c>
      <c r="E12" s="17" t="s">
        <v>474</v>
      </c>
    </row>
    <row r="13" spans="1:7" x14ac:dyDescent="0.25">
      <c r="A13" s="6" t="s">
        <v>475</v>
      </c>
      <c r="B13" s="5" t="s">
        <v>14</v>
      </c>
      <c r="C13" s="5" t="s">
        <v>461</v>
      </c>
      <c r="D13" s="17">
        <v>68</v>
      </c>
      <c r="E13" s="17" t="s">
        <v>476</v>
      </c>
    </row>
    <row r="14" spans="1:7" x14ac:dyDescent="0.25">
      <c r="A14" s="6" t="s">
        <v>477</v>
      </c>
      <c r="B14" s="5" t="s">
        <v>14</v>
      </c>
      <c r="C14" s="5" t="s">
        <v>461</v>
      </c>
      <c r="D14" s="17">
        <v>100</v>
      </c>
      <c r="E14" s="17" t="s">
        <v>478</v>
      </c>
    </row>
    <row r="15" spans="1:7" x14ac:dyDescent="0.25">
      <c r="A15" s="6" t="s">
        <v>479</v>
      </c>
      <c r="B15" s="5" t="s">
        <v>14</v>
      </c>
      <c r="C15" s="5" t="s">
        <v>461</v>
      </c>
      <c r="D15" s="17">
        <v>150</v>
      </c>
      <c r="E15" s="17" t="s">
        <v>480</v>
      </c>
    </row>
    <row r="16" spans="1:7" x14ac:dyDescent="0.25">
      <c r="A16" s="6" t="s">
        <v>481</v>
      </c>
      <c r="B16" s="5" t="s">
        <v>15</v>
      </c>
      <c r="C16" s="5" t="s">
        <v>461</v>
      </c>
      <c r="D16" s="17">
        <v>160</v>
      </c>
      <c r="E16" s="17" t="s">
        <v>482</v>
      </c>
    </row>
    <row r="17" spans="1:5" x14ac:dyDescent="0.25">
      <c r="A17" s="6" t="s">
        <v>483</v>
      </c>
      <c r="B17" s="5" t="s">
        <v>17</v>
      </c>
      <c r="C17" s="5" t="s">
        <v>461</v>
      </c>
      <c r="D17" s="17">
        <v>80</v>
      </c>
      <c r="E17" s="17" t="s">
        <v>484</v>
      </c>
    </row>
    <row r="18" spans="1:5" x14ac:dyDescent="0.25">
      <c r="A18" s="6" t="s">
        <v>485</v>
      </c>
      <c r="B18" s="5" t="s">
        <v>17</v>
      </c>
      <c r="C18" s="5" t="s">
        <v>461</v>
      </c>
      <c r="D18" s="17">
        <v>35</v>
      </c>
      <c r="E18" s="17" t="s">
        <v>486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sheetPr>
  <dimension ref="A1:N29"/>
  <sheetViews>
    <sheetView topLeftCell="A2" workbookViewId="0">
      <selection activeCell="D27" sqref="D26:D27"/>
    </sheetView>
  </sheetViews>
  <sheetFormatPr defaultRowHeight="15" x14ac:dyDescent="0.25"/>
  <cols>
    <col min="1" max="1" width="5" bestFit="1" customWidth="1"/>
    <col min="2" max="2" width="12" bestFit="1" customWidth="1"/>
    <col min="3" max="3" width="10" bestFit="1" customWidth="1"/>
    <col min="4" max="4" width="12" bestFit="1" customWidth="1"/>
    <col min="5" max="5" width="11" bestFit="1" customWidth="1"/>
    <col min="6" max="6" width="10" bestFit="1" customWidth="1"/>
    <col min="7" max="9" width="12" bestFit="1" customWidth="1"/>
    <col min="10" max="10" width="10" bestFit="1" customWidth="1"/>
    <col min="11" max="14" width="12" bestFit="1" customWidth="1"/>
  </cols>
  <sheetData>
    <row r="1" spans="1:14" ht="18.75" customHeight="1" x14ac:dyDescent="0.3">
      <c r="A1" s="1" t="s">
        <v>487</v>
      </c>
    </row>
    <row r="2" spans="1:14" x14ac:dyDescent="0.25">
      <c r="A2" s="2" t="s">
        <v>488</v>
      </c>
    </row>
    <row r="4" spans="1:14" x14ac:dyDescent="0.25">
      <c r="A4" s="3" t="s">
        <v>2</v>
      </c>
      <c r="B4" s="3" t="s">
        <v>460</v>
      </c>
      <c r="C4" s="3" t="s">
        <v>463</v>
      </c>
      <c r="D4" s="3" t="s">
        <v>465</v>
      </c>
      <c r="E4" s="3" t="s">
        <v>467</v>
      </c>
      <c r="F4" s="3" t="s">
        <v>469</v>
      </c>
      <c r="G4" s="3" t="s">
        <v>471</v>
      </c>
      <c r="H4" s="3" t="s">
        <v>473</v>
      </c>
      <c r="I4" s="3" t="s">
        <v>475</v>
      </c>
      <c r="J4" s="3" t="s">
        <v>477</v>
      </c>
      <c r="K4" s="3" t="s">
        <v>479</v>
      </c>
      <c r="L4" s="3" t="s">
        <v>481</v>
      </c>
      <c r="M4" s="3" t="s">
        <v>483</v>
      </c>
      <c r="N4" s="3" t="s">
        <v>485</v>
      </c>
    </row>
    <row r="5" spans="1:14" x14ac:dyDescent="0.25">
      <c r="A5" s="4"/>
      <c r="B5" s="4" t="s">
        <v>489</v>
      </c>
      <c r="C5" s="4" t="s">
        <v>489</v>
      </c>
      <c r="D5" s="4" t="s">
        <v>489</v>
      </c>
      <c r="E5" s="4" t="s">
        <v>489</v>
      </c>
      <c r="F5" s="4" t="s">
        <v>489</v>
      </c>
      <c r="G5" s="4" t="s">
        <v>489</v>
      </c>
      <c r="H5" s="4" t="s">
        <v>489</v>
      </c>
      <c r="I5" s="4" t="s">
        <v>489</v>
      </c>
      <c r="J5" s="4" t="s">
        <v>489</v>
      </c>
      <c r="K5" s="4" t="s">
        <v>489</v>
      </c>
      <c r="L5" s="4" t="s">
        <v>489</v>
      </c>
      <c r="M5" s="4" t="s">
        <v>489</v>
      </c>
      <c r="N5" s="4" t="s">
        <v>489</v>
      </c>
    </row>
    <row r="6" spans="1:14" x14ac:dyDescent="0.25">
      <c r="A6" s="5">
        <v>1</v>
      </c>
      <c r="B6" s="32">
        <v>0</v>
      </c>
      <c r="C6" s="32">
        <v>0</v>
      </c>
      <c r="D6" s="32">
        <v>0</v>
      </c>
      <c r="E6" s="32">
        <v>0</v>
      </c>
      <c r="F6" s="32">
        <v>0</v>
      </c>
      <c r="G6" s="32">
        <v>0</v>
      </c>
      <c r="H6" s="32">
        <v>0</v>
      </c>
      <c r="I6" s="32">
        <v>0</v>
      </c>
      <c r="J6" s="32">
        <v>0</v>
      </c>
      <c r="K6" s="32">
        <v>0</v>
      </c>
      <c r="L6" s="32">
        <v>0</v>
      </c>
      <c r="M6" s="32">
        <v>0</v>
      </c>
      <c r="N6" s="32">
        <v>0</v>
      </c>
    </row>
    <row r="7" spans="1:14" x14ac:dyDescent="0.25">
      <c r="A7" s="5">
        <v>2</v>
      </c>
      <c r="B7" s="32">
        <v>0</v>
      </c>
      <c r="C7" s="32">
        <v>0</v>
      </c>
      <c r="D7" s="32">
        <v>0</v>
      </c>
      <c r="E7" s="32">
        <v>0</v>
      </c>
      <c r="F7" s="32">
        <v>0</v>
      </c>
      <c r="G7" s="32">
        <v>0</v>
      </c>
      <c r="H7" s="32">
        <v>0</v>
      </c>
      <c r="I7" s="32">
        <v>0</v>
      </c>
      <c r="J7" s="32">
        <v>0</v>
      </c>
      <c r="K7" s="32">
        <v>0</v>
      </c>
      <c r="L7" s="32">
        <v>0</v>
      </c>
      <c r="M7" s="32">
        <v>0</v>
      </c>
      <c r="N7" s="32">
        <v>0</v>
      </c>
    </row>
    <row r="8" spans="1:14" x14ac:dyDescent="0.25">
      <c r="A8" s="5">
        <v>3</v>
      </c>
      <c r="B8" s="32">
        <v>0</v>
      </c>
      <c r="C8" s="32">
        <v>0</v>
      </c>
      <c r="D8" s="32">
        <v>0</v>
      </c>
      <c r="E8" s="32">
        <v>0</v>
      </c>
      <c r="F8" s="32">
        <v>0</v>
      </c>
      <c r="G8" s="32">
        <v>0</v>
      </c>
      <c r="H8" s="32">
        <v>0</v>
      </c>
      <c r="I8" s="32">
        <v>0</v>
      </c>
      <c r="J8" s="32">
        <v>0</v>
      </c>
      <c r="K8" s="32">
        <v>0</v>
      </c>
      <c r="L8" s="32">
        <v>0</v>
      </c>
      <c r="M8" s="32">
        <v>0</v>
      </c>
      <c r="N8" s="32">
        <v>0</v>
      </c>
    </row>
    <row r="9" spans="1:14" x14ac:dyDescent="0.25">
      <c r="A9" s="5">
        <v>4</v>
      </c>
      <c r="B9" s="32">
        <v>0</v>
      </c>
      <c r="C9" s="32">
        <v>0</v>
      </c>
      <c r="D9" s="32">
        <v>0</v>
      </c>
      <c r="E9" s="32">
        <v>0</v>
      </c>
      <c r="F9" s="32">
        <v>0</v>
      </c>
      <c r="G9" s="32">
        <v>0</v>
      </c>
      <c r="H9" s="32">
        <v>0</v>
      </c>
      <c r="I9" s="32">
        <v>0</v>
      </c>
      <c r="J9" s="32">
        <v>0</v>
      </c>
      <c r="K9" s="32">
        <v>0</v>
      </c>
      <c r="L9" s="32">
        <v>0</v>
      </c>
      <c r="M9" s="32">
        <v>0</v>
      </c>
      <c r="N9" s="32">
        <v>0</v>
      </c>
    </row>
    <row r="10" spans="1:14" x14ac:dyDescent="0.25">
      <c r="A10" s="5">
        <v>5</v>
      </c>
      <c r="B10" s="32">
        <v>0</v>
      </c>
      <c r="C10" s="32">
        <v>0</v>
      </c>
      <c r="D10" s="32">
        <v>0</v>
      </c>
      <c r="E10" s="32">
        <v>0</v>
      </c>
      <c r="F10" s="32">
        <v>0</v>
      </c>
      <c r="G10" s="32">
        <v>0</v>
      </c>
      <c r="H10" s="32">
        <v>0</v>
      </c>
      <c r="I10" s="32">
        <v>0</v>
      </c>
      <c r="J10" s="32">
        <v>0</v>
      </c>
      <c r="K10" s="32">
        <v>0</v>
      </c>
      <c r="L10" s="32">
        <v>0</v>
      </c>
      <c r="M10" s="32">
        <v>0</v>
      </c>
      <c r="N10" s="32">
        <v>0</v>
      </c>
    </row>
    <row r="11" spans="1:14" x14ac:dyDescent="0.25">
      <c r="A11" s="5">
        <v>6</v>
      </c>
      <c r="B11" s="32">
        <v>0</v>
      </c>
      <c r="C11" s="32">
        <v>1.6770000000000001E-3</v>
      </c>
      <c r="D11" s="32">
        <v>3.4634999999999999E-4</v>
      </c>
      <c r="E11" s="32">
        <v>0</v>
      </c>
      <c r="F11" s="32">
        <v>0</v>
      </c>
      <c r="G11" s="32">
        <v>7.4670000000000002E-5</v>
      </c>
      <c r="H11" s="32">
        <v>0</v>
      </c>
      <c r="I11" s="32">
        <v>0</v>
      </c>
      <c r="J11" s="32">
        <v>1.2143E-3</v>
      </c>
      <c r="K11" s="32">
        <v>0</v>
      </c>
      <c r="L11" s="32">
        <v>0</v>
      </c>
      <c r="M11" s="32">
        <v>1.95875E-3</v>
      </c>
      <c r="N11" s="32">
        <v>1.3091400000000001E-3</v>
      </c>
    </row>
    <row r="12" spans="1:14" x14ac:dyDescent="0.25">
      <c r="A12" s="5">
        <v>7</v>
      </c>
      <c r="B12" s="32">
        <v>6.6564219999999993E-2</v>
      </c>
      <c r="C12" s="32">
        <v>0.106241</v>
      </c>
      <c r="D12" s="32">
        <v>0.18198897</v>
      </c>
      <c r="E12" s="32">
        <v>0.21246335</v>
      </c>
      <c r="F12" s="32">
        <v>6.9236900000000004E-2</v>
      </c>
      <c r="G12" s="32">
        <v>0.10841426999999999</v>
      </c>
      <c r="H12" s="32">
        <v>8.7826630000000003E-2</v>
      </c>
      <c r="I12" s="32">
        <v>0.24669956000000001</v>
      </c>
      <c r="J12" s="32">
        <v>0.173295</v>
      </c>
      <c r="K12" s="32">
        <v>0.1814914</v>
      </c>
      <c r="L12" s="32">
        <v>6.6298499999999996E-2</v>
      </c>
      <c r="M12" s="32">
        <v>0.12901038000000001</v>
      </c>
      <c r="N12" s="32">
        <v>6.5481999999999999E-2</v>
      </c>
    </row>
    <row r="13" spans="1:14" x14ac:dyDescent="0.25">
      <c r="A13" s="5">
        <v>8</v>
      </c>
      <c r="B13" s="32">
        <v>0.40781471000000002</v>
      </c>
      <c r="C13" s="32">
        <v>0.44771460000000002</v>
      </c>
      <c r="D13" s="32">
        <v>0.59903192000000005</v>
      </c>
      <c r="E13" s="32">
        <v>0.68548365</v>
      </c>
      <c r="F13" s="32">
        <v>0.4027501</v>
      </c>
      <c r="G13" s="32">
        <v>0.47204996999999999</v>
      </c>
      <c r="H13" s="32">
        <v>0.57562904000000004</v>
      </c>
      <c r="I13" s="32">
        <v>0.73659646999999995</v>
      </c>
      <c r="J13" s="32">
        <v>0.60426619999999998</v>
      </c>
      <c r="K13" s="32">
        <v>0.53158313000000001</v>
      </c>
      <c r="L13" s="32">
        <v>0.32302950000000002</v>
      </c>
      <c r="M13" s="32">
        <v>0.49297337000000002</v>
      </c>
      <c r="N13" s="32">
        <v>0.33301999999999998</v>
      </c>
    </row>
    <row r="14" spans="1:14" x14ac:dyDescent="0.25">
      <c r="A14" s="5">
        <v>9</v>
      </c>
      <c r="B14" s="32">
        <v>0.75284382000000005</v>
      </c>
      <c r="C14" s="32">
        <v>0.69655500000000004</v>
      </c>
      <c r="D14" s="32">
        <v>0.76106448999999998</v>
      </c>
      <c r="E14" s="32">
        <v>0.8895767</v>
      </c>
      <c r="F14" s="32">
        <v>0.50103589999999998</v>
      </c>
      <c r="G14" s="32">
        <v>0.67396012999999999</v>
      </c>
      <c r="H14" s="32">
        <v>0.89633107999999995</v>
      </c>
      <c r="I14" s="32">
        <v>0.86750190999999999</v>
      </c>
      <c r="J14" s="32">
        <v>0.7900239</v>
      </c>
      <c r="K14" s="32">
        <v>0.63546453000000003</v>
      </c>
      <c r="L14" s="32">
        <v>0.68427950000000004</v>
      </c>
      <c r="M14" s="32">
        <v>0.77333324999999997</v>
      </c>
      <c r="N14" s="32">
        <v>0.51444886000000001</v>
      </c>
    </row>
    <row r="15" spans="1:14" x14ac:dyDescent="0.25">
      <c r="A15" s="5">
        <v>10</v>
      </c>
      <c r="B15" s="32">
        <v>0.69979422000000002</v>
      </c>
      <c r="C15" s="32">
        <v>0.75456239999999997</v>
      </c>
      <c r="D15" s="32">
        <v>0.83507083999999998</v>
      </c>
      <c r="E15" s="32">
        <v>0.97508044999999999</v>
      </c>
      <c r="F15" s="32">
        <v>0.7752327</v>
      </c>
      <c r="G15" s="32">
        <v>0.64745017000000005</v>
      </c>
      <c r="H15" s="32">
        <v>0.62449372999999997</v>
      </c>
      <c r="I15" s="32">
        <v>0.91394779000000004</v>
      </c>
      <c r="J15" s="32">
        <v>0.80412989999999995</v>
      </c>
      <c r="K15" s="32">
        <v>0.67446753000000004</v>
      </c>
      <c r="L15" s="32">
        <v>0.79942650000000004</v>
      </c>
      <c r="M15" s="32">
        <v>0.83347512000000001</v>
      </c>
      <c r="N15" s="32">
        <v>0.71001371000000002</v>
      </c>
    </row>
    <row r="16" spans="1:14" x14ac:dyDescent="0.25">
      <c r="A16" s="5">
        <v>11</v>
      </c>
      <c r="B16" s="32">
        <v>0.78437891999999998</v>
      </c>
      <c r="C16" s="32">
        <v>0.78780059999999996</v>
      </c>
      <c r="D16" s="32">
        <v>0.86401318999999999</v>
      </c>
      <c r="E16" s="32">
        <v>0.99723720000000005</v>
      </c>
      <c r="F16" s="32">
        <v>0.84323709999999996</v>
      </c>
      <c r="G16" s="32">
        <v>0.73295376999999995</v>
      </c>
      <c r="H16" s="32">
        <v>0.71595083999999998</v>
      </c>
      <c r="I16" s="32">
        <v>0.90932221000000002</v>
      </c>
      <c r="J16" s="32">
        <v>0.8038883</v>
      </c>
      <c r="K16" s="32">
        <v>0.68856446999999998</v>
      </c>
      <c r="L16" s="32">
        <v>0.92887200000000003</v>
      </c>
      <c r="M16" s="32">
        <v>0.77931837999999998</v>
      </c>
      <c r="N16" s="32">
        <v>0.69465343000000002</v>
      </c>
    </row>
    <row r="17" spans="1:14" x14ac:dyDescent="0.25">
      <c r="A17" s="5">
        <v>12</v>
      </c>
      <c r="B17" s="32">
        <v>0.85078735000000005</v>
      </c>
      <c r="C17" s="32">
        <v>0.79657520000000004</v>
      </c>
      <c r="D17" s="32">
        <v>0.77952741000000003</v>
      </c>
      <c r="E17" s="32">
        <v>0.99788690000000002</v>
      </c>
      <c r="F17" s="32">
        <v>0.89026130000000003</v>
      </c>
      <c r="G17" s="32">
        <v>0.77581120000000003</v>
      </c>
      <c r="H17" s="32">
        <v>0.85429096000000004</v>
      </c>
      <c r="I17" s="32">
        <v>0.91376014999999999</v>
      </c>
      <c r="J17" s="32">
        <v>0.80404129999999996</v>
      </c>
      <c r="K17" s="32">
        <v>0.70152446999999996</v>
      </c>
      <c r="L17" s="32">
        <v>0.82591300000000001</v>
      </c>
      <c r="M17" s="32">
        <v>0.81890474999999996</v>
      </c>
      <c r="N17" s="32">
        <v>0.49644485999999999</v>
      </c>
    </row>
    <row r="18" spans="1:14" x14ac:dyDescent="0.25">
      <c r="A18" s="5">
        <v>13</v>
      </c>
      <c r="B18" s="32">
        <v>0.85202559</v>
      </c>
      <c r="C18" s="32">
        <v>0.80336479999999999</v>
      </c>
      <c r="D18" s="32">
        <v>0.72635103000000001</v>
      </c>
      <c r="E18" s="32">
        <v>0.99843755000000001</v>
      </c>
      <c r="F18" s="32">
        <v>0.91354729999999995</v>
      </c>
      <c r="G18" s="32">
        <v>0.72083187000000004</v>
      </c>
      <c r="H18" s="32">
        <v>0.94904686999999999</v>
      </c>
      <c r="I18" s="32">
        <v>0.92415190999999997</v>
      </c>
      <c r="J18" s="32">
        <v>0.74148029999999998</v>
      </c>
      <c r="K18" s="32">
        <v>0.69170200000000004</v>
      </c>
      <c r="L18" s="32">
        <v>0.94010687999999998</v>
      </c>
      <c r="M18" s="32">
        <v>0.87167437000000003</v>
      </c>
      <c r="N18" s="32">
        <v>0.47463970999999999</v>
      </c>
    </row>
    <row r="19" spans="1:14" x14ac:dyDescent="0.25">
      <c r="A19" s="5">
        <v>14</v>
      </c>
      <c r="B19" s="32">
        <v>0.83303430999999994</v>
      </c>
      <c r="C19" s="32">
        <v>0.80440560000000005</v>
      </c>
      <c r="D19" s="32">
        <v>0.75100429999999996</v>
      </c>
      <c r="E19" s="32">
        <v>0.96565774999999998</v>
      </c>
      <c r="F19" s="32">
        <v>0.66727479999999995</v>
      </c>
      <c r="G19" s="32">
        <v>0.79562946999999995</v>
      </c>
      <c r="H19" s="32">
        <v>0.93012096</v>
      </c>
      <c r="I19" s="32">
        <v>0.90694721</v>
      </c>
      <c r="J19" s="32">
        <v>0.72763560000000005</v>
      </c>
      <c r="K19" s="32">
        <v>0.67462827000000003</v>
      </c>
      <c r="L19" s="32">
        <v>0.86232569000000003</v>
      </c>
      <c r="M19" s="32">
        <v>0.56684449999999997</v>
      </c>
      <c r="N19" s="32">
        <v>0.39019399999999999</v>
      </c>
    </row>
    <row r="20" spans="1:14" x14ac:dyDescent="0.25">
      <c r="A20" s="5">
        <v>15</v>
      </c>
      <c r="B20" s="32">
        <v>0.68681559000000003</v>
      </c>
      <c r="C20" s="32">
        <v>0.78255319999999995</v>
      </c>
      <c r="D20" s="32">
        <v>0.72780102999999996</v>
      </c>
      <c r="E20" s="32">
        <v>0.83366125000000002</v>
      </c>
      <c r="F20" s="32">
        <v>0.96860579999999996</v>
      </c>
      <c r="G20" s="32">
        <v>0.86032127000000003</v>
      </c>
      <c r="H20" s="32">
        <v>0.69569517999999997</v>
      </c>
      <c r="I20" s="32">
        <v>0.73311397</v>
      </c>
      <c r="J20" s="32">
        <v>0.77155099999999999</v>
      </c>
      <c r="K20" s="32">
        <v>0.63691967000000005</v>
      </c>
      <c r="L20" s="32">
        <v>0.73262731000000003</v>
      </c>
      <c r="M20" s="32">
        <v>0.34639187999999999</v>
      </c>
      <c r="N20" s="32">
        <v>0.59438943</v>
      </c>
    </row>
    <row r="21" spans="1:14" x14ac:dyDescent="0.25">
      <c r="A21" s="5">
        <v>16</v>
      </c>
      <c r="B21" s="32">
        <v>0.45273373</v>
      </c>
      <c r="C21" s="32">
        <v>0.70250239999999997</v>
      </c>
      <c r="D21" s="32">
        <v>0.72092816000000004</v>
      </c>
      <c r="E21" s="32">
        <v>0.89809974999999997</v>
      </c>
      <c r="F21" s="32">
        <v>0.92632000000000003</v>
      </c>
      <c r="G21" s="32">
        <v>0.72352110000000003</v>
      </c>
      <c r="H21" s="32">
        <v>0.53091071999999995</v>
      </c>
      <c r="I21" s="32">
        <v>0.49639338</v>
      </c>
      <c r="J21" s="32">
        <v>0.77816689999999999</v>
      </c>
      <c r="K21" s="32">
        <v>0.58931732999999997</v>
      </c>
      <c r="L21" s="32">
        <v>0.56477681000000002</v>
      </c>
      <c r="M21" s="32">
        <v>0.50607225</v>
      </c>
      <c r="N21" s="32">
        <v>0.32194456999999999</v>
      </c>
    </row>
    <row r="22" spans="1:14" x14ac:dyDescent="0.25">
      <c r="A22" s="5">
        <v>17</v>
      </c>
      <c r="B22" s="32">
        <v>0.35245667000000003</v>
      </c>
      <c r="C22" s="32">
        <v>0.46604380000000001</v>
      </c>
      <c r="D22" s="32">
        <v>0.56043003000000002</v>
      </c>
      <c r="E22" s="32">
        <v>0.68720060000000005</v>
      </c>
      <c r="F22" s="32">
        <v>0.38880409999999999</v>
      </c>
      <c r="G22" s="32">
        <v>0.42886393</v>
      </c>
      <c r="H22" s="32">
        <v>0.35919806999999998</v>
      </c>
      <c r="I22" s="32">
        <v>0.21179000000000001</v>
      </c>
      <c r="J22" s="32">
        <v>0.58677179999999995</v>
      </c>
      <c r="K22" s="32">
        <v>0.46088833000000001</v>
      </c>
      <c r="L22" s="32">
        <v>0.30729800000000002</v>
      </c>
      <c r="M22" s="32">
        <v>0.29518074999999999</v>
      </c>
      <c r="N22" s="32">
        <v>0.24498313999999999</v>
      </c>
    </row>
    <row r="23" spans="1:14" x14ac:dyDescent="0.25">
      <c r="A23" s="5">
        <v>18</v>
      </c>
      <c r="B23" s="32">
        <v>9.3342649999999999E-2</v>
      </c>
      <c r="C23" s="32">
        <v>4.88262E-2</v>
      </c>
      <c r="D23" s="32">
        <v>0.20703991999999999</v>
      </c>
      <c r="E23" s="32">
        <v>0.22993459999999999</v>
      </c>
      <c r="F23" s="32">
        <v>8.7900099999999995E-2</v>
      </c>
      <c r="G23" s="32">
        <v>8.1467800000000007E-2</v>
      </c>
      <c r="H23" s="32">
        <v>0.11688554</v>
      </c>
      <c r="I23" s="32">
        <v>0.10684043999999999</v>
      </c>
      <c r="J23" s="32">
        <v>0.14139409999999999</v>
      </c>
      <c r="K23" s="32">
        <v>6.7221600000000006E-2</v>
      </c>
      <c r="L23" s="32">
        <v>4.698281E-2</v>
      </c>
      <c r="M23" s="32">
        <v>0.11800262</v>
      </c>
      <c r="N23" s="32">
        <v>3.7712860000000001E-2</v>
      </c>
    </row>
    <row r="24" spans="1:14" x14ac:dyDescent="0.25">
      <c r="A24" s="5">
        <v>19</v>
      </c>
      <c r="B24" s="32">
        <v>0</v>
      </c>
      <c r="C24" s="32">
        <v>2.6180000000000001E-3</v>
      </c>
      <c r="D24" s="32">
        <v>4.4331400000000003E-3</v>
      </c>
      <c r="E24" s="32">
        <v>3.5155E-3</v>
      </c>
      <c r="F24" s="32">
        <v>6.5012999999999998E-3</v>
      </c>
      <c r="G24" s="32">
        <v>0</v>
      </c>
      <c r="H24" s="32">
        <v>0</v>
      </c>
      <c r="I24" s="32">
        <v>0</v>
      </c>
      <c r="J24" s="32">
        <v>6.7628999999999996E-3</v>
      </c>
      <c r="K24" s="32">
        <v>0</v>
      </c>
      <c r="L24" s="32">
        <v>0</v>
      </c>
      <c r="M24" s="32">
        <v>2.0937500000000001E-3</v>
      </c>
      <c r="N24" s="32">
        <v>0</v>
      </c>
    </row>
    <row r="25" spans="1:14" x14ac:dyDescent="0.25">
      <c r="A25" s="5">
        <v>20</v>
      </c>
      <c r="B25" s="32">
        <v>0</v>
      </c>
      <c r="C25" s="32">
        <v>0</v>
      </c>
      <c r="D25" s="32">
        <v>0</v>
      </c>
      <c r="E25" s="32">
        <v>0</v>
      </c>
      <c r="F25" s="32">
        <v>0</v>
      </c>
      <c r="G25" s="32">
        <v>0</v>
      </c>
      <c r="H25" s="32">
        <v>0</v>
      </c>
      <c r="I25" s="32">
        <v>0</v>
      </c>
      <c r="J25" s="32">
        <v>0</v>
      </c>
      <c r="K25" s="32">
        <v>0</v>
      </c>
      <c r="L25" s="32">
        <v>0</v>
      </c>
      <c r="M25" s="32">
        <v>0</v>
      </c>
      <c r="N25" s="32">
        <v>0</v>
      </c>
    </row>
    <row r="26" spans="1:14" x14ac:dyDescent="0.25">
      <c r="A26" s="5">
        <v>21</v>
      </c>
      <c r="B26" s="32">
        <v>0</v>
      </c>
      <c r="C26" s="32">
        <v>0</v>
      </c>
      <c r="D26" s="32">
        <v>0</v>
      </c>
      <c r="E26" s="32">
        <v>0</v>
      </c>
      <c r="F26" s="32">
        <v>0</v>
      </c>
      <c r="G26" s="32">
        <v>0</v>
      </c>
      <c r="H26" s="32">
        <v>0</v>
      </c>
      <c r="I26" s="32">
        <v>0</v>
      </c>
      <c r="J26" s="32">
        <v>0</v>
      </c>
      <c r="K26" s="32">
        <v>0</v>
      </c>
      <c r="L26" s="32">
        <v>0</v>
      </c>
      <c r="M26" s="32">
        <v>0</v>
      </c>
      <c r="N26" s="32">
        <v>0</v>
      </c>
    </row>
    <row r="27" spans="1:14" x14ac:dyDescent="0.25">
      <c r="A27" s="5">
        <v>22</v>
      </c>
      <c r="B27" s="32">
        <v>0</v>
      </c>
      <c r="C27" s="32">
        <v>0</v>
      </c>
      <c r="D27" s="32">
        <v>0</v>
      </c>
      <c r="E27" s="32">
        <v>0</v>
      </c>
      <c r="F27" s="32">
        <v>0</v>
      </c>
      <c r="G27" s="32">
        <v>0</v>
      </c>
      <c r="H27" s="32">
        <v>0</v>
      </c>
      <c r="I27" s="32">
        <v>0</v>
      </c>
      <c r="J27" s="32">
        <v>0</v>
      </c>
      <c r="K27" s="32">
        <v>0</v>
      </c>
      <c r="L27" s="32">
        <v>0</v>
      </c>
      <c r="M27" s="32">
        <v>0</v>
      </c>
      <c r="N27" s="32">
        <v>0</v>
      </c>
    </row>
    <row r="28" spans="1:14" x14ac:dyDescent="0.25">
      <c r="A28" s="5">
        <v>23</v>
      </c>
      <c r="B28" s="32">
        <v>0</v>
      </c>
      <c r="C28" s="32">
        <v>0</v>
      </c>
      <c r="D28" s="32">
        <v>0</v>
      </c>
      <c r="E28" s="32">
        <v>0</v>
      </c>
      <c r="F28" s="32">
        <v>0</v>
      </c>
      <c r="G28" s="32">
        <v>0</v>
      </c>
      <c r="H28" s="32">
        <v>0</v>
      </c>
      <c r="I28" s="32">
        <v>0</v>
      </c>
      <c r="J28" s="32">
        <v>0</v>
      </c>
      <c r="K28" s="32">
        <v>0</v>
      </c>
      <c r="L28" s="32">
        <v>0</v>
      </c>
      <c r="M28" s="32">
        <v>0</v>
      </c>
      <c r="N28" s="32">
        <v>0</v>
      </c>
    </row>
    <row r="29" spans="1:14" x14ac:dyDescent="0.25">
      <c r="A29" s="5">
        <v>24</v>
      </c>
      <c r="B29" s="32">
        <v>0</v>
      </c>
      <c r="C29" s="32">
        <v>0</v>
      </c>
      <c r="D29" s="32">
        <v>0</v>
      </c>
      <c r="E29" s="32">
        <v>0</v>
      </c>
      <c r="F29" s="32">
        <v>0</v>
      </c>
      <c r="G29" s="32">
        <v>0</v>
      </c>
      <c r="H29" s="32">
        <v>0</v>
      </c>
      <c r="I29" s="32">
        <v>0</v>
      </c>
      <c r="J29" s="32">
        <v>0</v>
      </c>
      <c r="K29" s="32">
        <v>0</v>
      </c>
      <c r="L29" s="32">
        <v>0</v>
      </c>
      <c r="M29" s="32">
        <v>0</v>
      </c>
      <c r="N29" s="32">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29"/>
  <sheetViews>
    <sheetView workbookViewId="0">
      <selection activeCell="Q13" sqref="Q13"/>
    </sheetView>
  </sheetViews>
  <sheetFormatPr defaultRowHeight="15" x14ac:dyDescent="0.25"/>
  <cols>
    <col min="1" max="1" width="8.140625" customWidth="1"/>
    <col min="2" max="3" width="16" customWidth="1"/>
  </cols>
  <sheetData>
    <row r="1" spans="1:19" ht="18.75" customHeight="1" x14ac:dyDescent="0.3">
      <c r="A1" s="1" t="s">
        <v>0</v>
      </c>
    </row>
    <row r="2" spans="1:19" x14ac:dyDescent="0.25">
      <c r="A2" s="2" t="s">
        <v>1</v>
      </c>
    </row>
    <row r="4" spans="1:19"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row>
    <row r="5" spans="1:19" x14ac:dyDescent="0.25">
      <c r="A5" s="4"/>
      <c r="B5" s="4" t="s">
        <v>21</v>
      </c>
      <c r="C5" s="4" t="s">
        <v>21</v>
      </c>
      <c r="D5" s="4" t="s">
        <v>21</v>
      </c>
      <c r="E5" s="4" t="s">
        <v>21</v>
      </c>
      <c r="F5" s="4" t="s">
        <v>21</v>
      </c>
      <c r="G5" s="4" t="s">
        <v>21</v>
      </c>
      <c r="H5" s="4" t="s">
        <v>21</v>
      </c>
      <c r="I5" s="4" t="s">
        <v>21</v>
      </c>
      <c r="J5" s="4" t="s">
        <v>21</v>
      </c>
      <c r="K5" s="4" t="s">
        <v>21</v>
      </c>
      <c r="L5" s="4" t="s">
        <v>21</v>
      </c>
      <c r="M5" s="4" t="s">
        <v>21</v>
      </c>
      <c r="N5" s="4" t="s">
        <v>21</v>
      </c>
      <c r="O5" s="4" t="s">
        <v>21</v>
      </c>
      <c r="P5" s="4" t="s">
        <v>21</v>
      </c>
      <c r="Q5" s="4" t="s">
        <v>21</v>
      </c>
      <c r="R5" s="4" t="s">
        <v>21</v>
      </c>
      <c r="S5" s="4" t="s">
        <v>21</v>
      </c>
    </row>
    <row r="6" spans="1:19" x14ac:dyDescent="0.25">
      <c r="A6" s="5">
        <v>1</v>
      </c>
      <c r="B6" s="32">
        <v>1485.1834060000001</v>
      </c>
      <c r="C6" s="32">
        <v>40.245438999999998</v>
      </c>
      <c r="D6" s="32">
        <v>761.45354999999995</v>
      </c>
      <c r="E6" s="32">
        <v>1968.9839959999999</v>
      </c>
      <c r="F6" s="32">
        <v>484.61385000000001</v>
      </c>
      <c r="G6" s="32">
        <v>296.66878700000001</v>
      </c>
      <c r="H6" s="32">
        <v>416.90315700000002</v>
      </c>
      <c r="I6" s="32">
        <v>35.039704</v>
      </c>
      <c r="J6" s="32">
        <v>236.37287499999999</v>
      </c>
      <c r="K6" s="32">
        <v>0</v>
      </c>
      <c r="L6" s="32">
        <v>659.02007100000003</v>
      </c>
      <c r="M6" s="32">
        <v>1018.507151</v>
      </c>
      <c r="N6" s="32">
        <v>361.76243099999999</v>
      </c>
      <c r="O6" s="32">
        <v>238.86180100000001</v>
      </c>
      <c r="P6" s="32">
        <v>282.26652999999999</v>
      </c>
      <c r="Q6" s="32">
        <v>24.811250000000001</v>
      </c>
      <c r="R6" s="32">
        <v>420.648144</v>
      </c>
      <c r="S6" s="32">
        <v>969.80801799999995</v>
      </c>
    </row>
    <row r="7" spans="1:19" x14ac:dyDescent="0.25">
      <c r="A7" s="5">
        <v>2</v>
      </c>
      <c r="B7" s="32">
        <v>1445.37156</v>
      </c>
      <c r="C7" s="32">
        <v>39.166618999999997</v>
      </c>
      <c r="D7" s="32">
        <v>741.04201599999999</v>
      </c>
      <c r="E7" s="32">
        <v>1916.203385</v>
      </c>
      <c r="F7" s="32">
        <v>471.62328500000001</v>
      </c>
      <c r="G7" s="32">
        <v>288.71627999999998</v>
      </c>
      <c r="H7" s="32">
        <v>405.727645</v>
      </c>
      <c r="I7" s="32">
        <v>34.100430000000003</v>
      </c>
      <c r="J7" s="32">
        <v>230.03666100000001</v>
      </c>
      <c r="K7" s="32">
        <v>0</v>
      </c>
      <c r="L7" s="32">
        <v>641.35437100000001</v>
      </c>
      <c r="M7" s="32">
        <v>991.20503499999995</v>
      </c>
      <c r="N7" s="32">
        <v>352.065023</v>
      </c>
      <c r="O7" s="32">
        <v>232.45886899999999</v>
      </c>
      <c r="P7" s="32">
        <v>274.70008999999999</v>
      </c>
      <c r="Q7" s="32">
        <v>24.146159000000001</v>
      </c>
      <c r="R7" s="32">
        <v>409.37224500000002</v>
      </c>
      <c r="S7" s="32">
        <v>943.811331</v>
      </c>
    </row>
    <row r="8" spans="1:19" x14ac:dyDescent="0.25">
      <c r="A8" s="5">
        <v>3</v>
      </c>
      <c r="B8" s="32">
        <v>1404.2373829999999</v>
      </c>
      <c r="C8" s="32">
        <v>38.051966999999998</v>
      </c>
      <c r="D8" s="32">
        <v>719.95252400000004</v>
      </c>
      <c r="E8" s="32">
        <v>1861.6696919999999</v>
      </c>
      <c r="F8" s="32">
        <v>458.20124399999997</v>
      </c>
      <c r="G8" s="32">
        <v>280.49963400000001</v>
      </c>
      <c r="H8" s="32">
        <v>394.18094500000001</v>
      </c>
      <c r="I8" s="32">
        <v>33.129956999999997</v>
      </c>
      <c r="J8" s="32">
        <v>223.489992</v>
      </c>
      <c r="K8" s="32">
        <v>0</v>
      </c>
      <c r="L8" s="32">
        <v>623.10191299999997</v>
      </c>
      <c r="M8" s="32">
        <v>962.99609299999997</v>
      </c>
      <c r="N8" s="32">
        <v>342.04552000000001</v>
      </c>
      <c r="O8" s="32">
        <v>225.843266</v>
      </c>
      <c r="P8" s="32">
        <v>266.88233400000001</v>
      </c>
      <c r="Q8" s="32">
        <v>23.458977999999998</v>
      </c>
      <c r="R8" s="32">
        <v>397.72182199999997</v>
      </c>
      <c r="S8" s="32">
        <v>916.95117800000003</v>
      </c>
    </row>
    <row r="9" spans="1:19" x14ac:dyDescent="0.25">
      <c r="A9" s="5">
        <v>4</v>
      </c>
      <c r="B9" s="32">
        <v>1383.4094359999999</v>
      </c>
      <c r="C9" s="32">
        <v>37.487572</v>
      </c>
      <c r="D9" s="32">
        <v>709.27403500000003</v>
      </c>
      <c r="E9" s="32">
        <v>1834.057012</v>
      </c>
      <c r="F9" s="32">
        <v>451.40510599999999</v>
      </c>
      <c r="G9" s="32">
        <v>276.339204</v>
      </c>
      <c r="H9" s="32">
        <v>388.33436899999998</v>
      </c>
      <c r="I9" s="32">
        <v>32.638567000000002</v>
      </c>
      <c r="J9" s="32">
        <v>220.175141</v>
      </c>
      <c r="K9" s="32">
        <v>0</v>
      </c>
      <c r="L9" s="32">
        <v>613.85993299999996</v>
      </c>
      <c r="M9" s="32">
        <v>948.71272999999997</v>
      </c>
      <c r="N9" s="32">
        <v>336.97222799999997</v>
      </c>
      <c r="O9" s="32">
        <v>222.49351100000001</v>
      </c>
      <c r="P9" s="32">
        <v>262.923878</v>
      </c>
      <c r="Q9" s="32">
        <v>23.111028999999998</v>
      </c>
      <c r="R9" s="32">
        <v>391.82272699999999</v>
      </c>
      <c r="S9" s="32">
        <v>903.35076300000003</v>
      </c>
    </row>
    <row r="10" spans="1:19" x14ac:dyDescent="0.25">
      <c r="A10" s="5">
        <v>5</v>
      </c>
      <c r="B10" s="32">
        <v>1400.171556</v>
      </c>
      <c r="C10" s="32">
        <v>37.941791000000002</v>
      </c>
      <c r="D10" s="32">
        <v>717.867974</v>
      </c>
      <c r="E10" s="32">
        <v>1856.2794160000001</v>
      </c>
      <c r="F10" s="32">
        <v>456.87456900000001</v>
      </c>
      <c r="G10" s="32">
        <v>279.68747500000001</v>
      </c>
      <c r="H10" s="32">
        <v>393.03963399999998</v>
      </c>
      <c r="I10" s="32">
        <v>33.034033000000001</v>
      </c>
      <c r="J10" s="32">
        <v>222.84289899999999</v>
      </c>
      <c r="K10" s="32">
        <v>0</v>
      </c>
      <c r="L10" s="32">
        <v>621.29778399999998</v>
      </c>
      <c r="M10" s="32">
        <v>960.20783500000005</v>
      </c>
      <c r="N10" s="32">
        <v>341.055161</v>
      </c>
      <c r="O10" s="32">
        <v>225.18935999999999</v>
      </c>
      <c r="P10" s="32">
        <v>266.10960299999999</v>
      </c>
      <c r="Q10" s="32">
        <v>23.391054</v>
      </c>
      <c r="R10" s="32">
        <v>396.57025800000002</v>
      </c>
      <c r="S10" s="32">
        <v>914.29623800000002</v>
      </c>
    </row>
    <row r="11" spans="1:19" x14ac:dyDescent="0.25">
      <c r="A11" s="5">
        <v>6</v>
      </c>
      <c r="B11" s="32">
        <v>1438.9974990000001</v>
      </c>
      <c r="C11" s="32">
        <v>38.993895000000002</v>
      </c>
      <c r="D11" s="32">
        <v>737.77403600000002</v>
      </c>
      <c r="E11" s="32">
        <v>1907.7529649999999</v>
      </c>
      <c r="F11" s="32">
        <v>469.54343499999999</v>
      </c>
      <c r="G11" s="32">
        <v>287.44304599999998</v>
      </c>
      <c r="H11" s="32">
        <v>403.93839400000002</v>
      </c>
      <c r="I11" s="32">
        <v>33.950046999999998</v>
      </c>
      <c r="J11" s="32">
        <v>229.02220299999999</v>
      </c>
      <c r="K11" s="32">
        <v>0</v>
      </c>
      <c r="L11" s="32">
        <v>638.52601000000004</v>
      </c>
      <c r="M11" s="32">
        <v>986.83384000000001</v>
      </c>
      <c r="N11" s="32">
        <v>350.51242300000001</v>
      </c>
      <c r="O11" s="32">
        <v>231.43373</v>
      </c>
      <c r="P11" s="32">
        <v>273.48866800000002</v>
      </c>
      <c r="Q11" s="32">
        <v>24.039674999999999</v>
      </c>
      <c r="R11" s="32">
        <v>407.56692099999998</v>
      </c>
      <c r="S11" s="32">
        <v>939.64914199999998</v>
      </c>
    </row>
    <row r="12" spans="1:19" x14ac:dyDescent="0.25">
      <c r="A12" s="5">
        <v>7</v>
      </c>
      <c r="B12" s="32">
        <v>1456.915947</v>
      </c>
      <c r="C12" s="32">
        <v>39.479447999999998</v>
      </c>
      <c r="D12" s="32">
        <v>746.960824</v>
      </c>
      <c r="E12" s="32">
        <v>1931.508372</v>
      </c>
      <c r="F12" s="32">
        <v>475.39020699999998</v>
      </c>
      <c r="G12" s="32">
        <v>291.02229699999998</v>
      </c>
      <c r="H12" s="32">
        <v>408.96825000000001</v>
      </c>
      <c r="I12" s="32">
        <v>34.372795000000004</v>
      </c>
      <c r="J12" s="32">
        <v>231.87399600000001</v>
      </c>
      <c r="K12" s="32">
        <v>0</v>
      </c>
      <c r="L12" s="32">
        <v>646.47695899999997</v>
      </c>
      <c r="M12" s="32">
        <v>999.12193000000002</v>
      </c>
      <c r="N12" s="32">
        <v>354.87701600000003</v>
      </c>
      <c r="O12" s="32">
        <v>234.315551</v>
      </c>
      <c r="P12" s="32">
        <v>276.894158</v>
      </c>
      <c r="Q12" s="32">
        <v>24.339017999999999</v>
      </c>
      <c r="R12" s="32">
        <v>412.64195899999999</v>
      </c>
      <c r="S12" s="32">
        <v>951.34968600000002</v>
      </c>
    </row>
    <row r="13" spans="1:19" x14ac:dyDescent="0.25">
      <c r="A13" s="5">
        <v>8</v>
      </c>
      <c r="B13" s="32">
        <v>1525.7918830000001</v>
      </c>
      <c r="C13" s="32">
        <v>41.345846000000002</v>
      </c>
      <c r="D13" s="32">
        <v>782.27351699999997</v>
      </c>
      <c r="E13" s="32">
        <v>2022.8207420000001</v>
      </c>
      <c r="F13" s="32">
        <v>497.86435499999999</v>
      </c>
      <c r="G13" s="32">
        <v>304.78042299999998</v>
      </c>
      <c r="H13" s="32">
        <v>428.30229000000003</v>
      </c>
      <c r="I13" s="32">
        <v>35.997774</v>
      </c>
      <c r="J13" s="32">
        <v>242.83587700000001</v>
      </c>
      <c r="K13" s="32">
        <v>0</v>
      </c>
      <c r="L13" s="32">
        <v>677.03926100000001</v>
      </c>
      <c r="M13" s="32">
        <v>1046.3555799999999</v>
      </c>
      <c r="N13" s="32">
        <v>371.65388400000001</v>
      </c>
      <c r="O13" s="32">
        <v>245.39285599999999</v>
      </c>
      <c r="P13" s="32">
        <v>289.984374</v>
      </c>
      <c r="Q13" s="32">
        <v>25.489649</v>
      </c>
      <c r="R13" s="32">
        <v>432.149674</v>
      </c>
      <c r="S13" s="32">
        <v>996.32489499999997</v>
      </c>
    </row>
    <row r="14" spans="1:19" x14ac:dyDescent="0.25">
      <c r="A14" s="5">
        <v>9</v>
      </c>
      <c r="B14" s="32">
        <v>1603.7864239999999</v>
      </c>
      <c r="C14" s="32">
        <v>43.459338000000002</v>
      </c>
      <c r="D14" s="32">
        <v>822.26131999999996</v>
      </c>
      <c r="E14" s="32">
        <v>2126.222115</v>
      </c>
      <c r="F14" s="32">
        <v>523.313896</v>
      </c>
      <c r="G14" s="32">
        <v>320.36001199999998</v>
      </c>
      <c r="H14" s="32">
        <v>450.19599699999998</v>
      </c>
      <c r="I14" s="32">
        <v>37.837887000000002</v>
      </c>
      <c r="J14" s="32">
        <v>255.249019</v>
      </c>
      <c r="K14" s="32">
        <v>0</v>
      </c>
      <c r="L14" s="32">
        <v>711.64775999999995</v>
      </c>
      <c r="M14" s="32">
        <v>1099.8425749999999</v>
      </c>
      <c r="N14" s="32">
        <v>390.65187100000003</v>
      </c>
      <c r="O14" s="32">
        <v>257.93670500000002</v>
      </c>
      <c r="P14" s="32">
        <v>304.80762600000003</v>
      </c>
      <c r="Q14" s="32">
        <v>26.792614</v>
      </c>
      <c r="R14" s="32">
        <v>454.240049</v>
      </c>
      <c r="S14" s="32">
        <v>1047.254451</v>
      </c>
    </row>
    <row r="15" spans="1:19" x14ac:dyDescent="0.25">
      <c r="A15" s="5">
        <v>10</v>
      </c>
      <c r="B15" s="32">
        <v>1648.0772710000001</v>
      </c>
      <c r="C15" s="32">
        <v>44.659529999999997</v>
      </c>
      <c r="D15" s="32">
        <v>844.96923700000002</v>
      </c>
      <c r="E15" s="32">
        <v>2184.9407679999999</v>
      </c>
      <c r="F15" s="32">
        <v>537.76595399999997</v>
      </c>
      <c r="G15" s="32">
        <v>329.20720999999998</v>
      </c>
      <c r="H15" s="32">
        <v>462.62880000000001</v>
      </c>
      <c r="I15" s="32">
        <v>38.882835</v>
      </c>
      <c r="J15" s="32">
        <v>262.29808500000001</v>
      </c>
      <c r="K15" s="32">
        <v>0</v>
      </c>
      <c r="L15" s="32">
        <v>731.300927</v>
      </c>
      <c r="M15" s="32">
        <v>1130.2162949999999</v>
      </c>
      <c r="N15" s="32">
        <v>401.44027899999998</v>
      </c>
      <c r="O15" s="32">
        <v>265.05999500000001</v>
      </c>
      <c r="P15" s="32">
        <v>313.225323</v>
      </c>
      <c r="Q15" s="32">
        <v>27.532530000000001</v>
      </c>
      <c r="R15" s="32">
        <v>466.78453500000001</v>
      </c>
      <c r="S15" s="32">
        <v>1076.1758749999999</v>
      </c>
    </row>
    <row r="16" spans="1:19" x14ac:dyDescent="0.25">
      <c r="A16" s="5">
        <v>11</v>
      </c>
      <c r="B16" s="32">
        <v>1702.614233</v>
      </c>
      <c r="C16" s="32">
        <v>46.137369999999997</v>
      </c>
      <c r="D16" s="32">
        <v>872.93033800000001</v>
      </c>
      <c r="E16" s="32">
        <v>2257.2432220000001</v>
      </c>
      <c r="F16" s="32">
        <v>555.56131000000005</v>
      </c>
      <c r="G16" s="32">
        <v>340.10109299999999</v>
      </c>
      <c r="H16" s="32">
        <v>477.93777299999999</v>
      </c>
      <c r="I16" s="32">
        <v>40.169516999999999</v>
      </c>
      <c r="J16" s="32">
        <v>270.97786000000002</v>
      </c>
      <c r="K16" s="32">
        <v>0</v>
      </c>
      <c r="L16" s="32">
        <v>755.50059899999997</v>
      </c>
      <c r="M16" s="32">
        <v>1167.6165820000001</v>
      </c>
      <c r="N16" s="32">
        <v>414.724445</v>
      </c>
      <c r="O16" s="32">
        <v>273.831165</v>
      </c>
      <c r="P16" s="32">
        <v>323.59034500000001</v>
      </c>
      <c r="Q16" s="32">
        <v>28.443615999999999</v>
      </c>
      <c r="R16" s="32">
        <v>482.23102599999999</v>
      </c>
      <c r="S16" s="32">
        <v>1111.787896</v>
      </c>
    </row>
    <row r="17" spans="1:19" x14ac:dyDescent="0.25">
      <c r="A17" s="5">
        <v>12</v>
      </c>
      <c r="B17" s="32">
        <v>1751.9232119999999</v>
      </c>
      <c r="C17" s="32">
        <v>47.473542999999999</v>
      </c>
      <c r="D17" s="32">
        <v>898.211052</v>
      </c>
      <c r="E17" s="32">
        <v>2322.6146699999999</v>
      </c>
      <c r="F17" s="32">
        <v>571.65078000000005</v>
      </c>
      <c r="G17" s="32">
        <v>349.95067399999999</v>
      </c>
      <c r="H17" s="32">
        <v>491.77920699999999</v>
      </c>
      <c r="I17" s="32">
        <v>41.332856</v>
      </c>
      <c r="J17" s="32">
        <v>278.825581</v>
      </c>
      <c r="K17" s="32">
        <v>0</v>
      </c>
      <c r="L17" s="32">
        <v>777.38046099999997</v>
      </c>
      <c r="M17" s="32">
        <v>1201.43163</v>
      </c>
      <c r="N17" s="32">
        <v>426.73517500000003</v>
      </c>
      <c r="O17" s="32">
        <v>281.76152000000002</v>
      </c>
      <c r="P17" s="32">
        <v>332.96176300000002</v>
      </c>
      <c r="Q17" s="32">
        <v>29.267365000000002</v>
      </c>
      <c r="R17" s="32">
        <v>496.19679600000001</v>
      </c>
      <c r="S17" s="32">
        <v>1143.986103</v>
      </c>
    </row>
    <row r="18" spans="1:19" x14ac:dyDescent="0.25">
      <c r="A18" s="5">
        <v>13</v>
      </c>
      <c r="B18" s="32">
        <v>1757.7341730000001</v>
      </c>
      <c r="C18" s="32">
        <v>47.631008000000001</v>
      </c>
      <c r="D18" s="32">
        <v>901.19033200000001</v>
      </c>
      <c r="E18" s="32">
        <v>2330.3185600000002</v>
      </c>
      <c r="F18" s="32">
        <v>573.54689099999996</v>
      </c>
      <c r="G18" s="32">
        <v>351.11142699999999</v>
      </c>
      <c r="H18" s="32">
        <v>493.410392</v>
      </c>
      <c r="I18" s="32">
        <v>41.469952999999997</v>
      </c>
      <c r="J18" s="32">
        <v>279.75041900000002</v>
      </c>
      <c r="K18" s="32">
        <v>0</v>
      </c>
      <c r="L18" s="32">
        <v>779.95895700000005</v>
      </c>
      <c r="M18" s="32">
        <v>1205.416663</v>
      </c>
      <c r="N18" s="32">
        <v>428.15061400000002</v>
      </c>
      <c r="O18" s="32">
        <v>282.69609600000001</v>
      </c>
      <c r="P18" s="32">
        <v>334.06616600000001</v>
      </c>
      <c r="Q18" s="32">
        <v>29.364442</v>
      </c>
      <c r="R18" s="32">
        <v>497.84263299999998</v>
      </c>
      <c r="S18" s="32">
        <v>1147.7805949999999</v>
      </c>
    </row>
    <row r="19" spans="1:19" x14ac:dyDescent="0.25">
      <c r="A19" s="5">
        <v>14</v>
      </c>
      <c r="B19" s="32">
        <v>1782.960695</v>
      </c>
      <c r="C19" s="32">
        <v>48.314594999999997</v>
      </c>
      <c r="D19" s="32">
        <v>914.12396999999999</v>
      </c>
      <c r="E19" s="32">
        <v>2363.7626570000002</v>
      </c>
      <c r="F19" s="32">
        <v>581.77828</v>
      </c>
      <c r="G19" s="32">
        <v>356.15048300000001</v>
      </c>
      <c r="H19" s="32">
        <v>500.49168300000002</v>
      </c>
      <c r="I19" s="32">
        <v>42.065117999999998</v>
      </c>
      <c r="J19" s="32">
        <v>283.76532099999997</v>
      </c>
      <c r="K19" s="32">
        <v>0</v>
      </c>
      <c r="L19" s="32">
        <v>791.15271499999994</v>
      </c>
      <c r="M19" s="32">
        <v>1222.7164740000001</v>
      </c>
      <c r="N19" s="32">
        <v>434.29531500000002</v>
      </c>
      <c r="O19" s="32">
        <v>286.75327299999998</v>
      </c>
      <c r="P19" s="32">
        <v>338.860592</v>
      </c>
      <c r="Q19" s="32">
        <v>29.785872000000001</v>
      </c>
      <c r="R19" s="32">
        <v>504.98753499999998</v>
      </c>
      <c r="S19" s="32">
        <v>1164.25323</v>
      </c>
    </row>
    <row r="20" spans="1:19" x14ac:dyDescent="0.25">
      <c r="A20" s="5">
        <v>15</v>
      </c>
      <c r="B20" s="32">
        <v>1825.331643</v>
      </c>
      <c r="C20" s="32">
        <v>49.462761999999998</v>
      </c>
      <c r="D20" s="32">
        <v>935.84755600000005</v>
      </c>
      <c r="E20" s="32">
        <v>2419.9360019999999</v>
      </c>
      <c r="F20" s="32">
        <v>595.60387700000001</v>
      </c>
      <c r="G20" s="32">
        <v>364.61417699999998</v>
      </c>
      <c r="H20" s="32">
        <v>512.38555599999995</v>
      </c>
      <c r="I20" s="32">
        <v>43.064770000000003</v>
      </c>
      <c r="J20" s="32">
        <v>290.508827</v>
      </c>
      <c r="K20" s="32">
        <v>0</v>
      </c>
      <c r="L20" s="32">
        <v>809.95396600000004</v>
      </c>
      <c r="M20" s="32">
        <v>1251.773569</v>
      </c>
      <c r="N20" s="32">
        <v>444.61607299999997</v>
      </c>
      <c r="O20" s="32">
        <v>293.56778600000001</v>
      </c>
      <c r="P20" s="32">
        <v>346.91340300000002</v>
      </c>
      <c r="Q20" s="32">
        <v>30.493715000000002</v>
      </c>
      <c r="R20" s="32">
        <v>516.988249</v>
      </c>
      <c r="S20" s="32">
        <v>1191.920981</v>
      </c>
    </row>
    <row r="21" spans="1:19" x14ac:dyDescent="0.25">
      <c r="A21" s="5">
        <v>16</v>
      </c>
      <c r="B21" s="32">
        <v>1829.10419</v>
      </c>
      <c r="C21" s="32">
        <v>49.564990000000002</v>
      </c>
      <c r="D21" s="32">
        <v>937.78174100000001</v>
      </c>
      <c r="E21" s="32">
        <v>2424.9374600000001</v>
      </c>
      <c r="F21" s="32">
        <v>596.83485599999995</v>
      </c>
      <c r="G21" s="32">
        <v>365.367751</v>
      </c>
      <c r="H21" s="32">
        <v>513.44453999999996</v>
      </c>
      <c r="I21" s="32">
        <v>43.153775000000003</v>
      </c>
      <c r="J21" s="32">
        <v>291.10924199999999</v>
      </c>
      <c r="K21" s="32">
        <v>0</v>
      </c>
      <c r="L21" s="32">
        <v>811.62795700000004</v>
      </c>
      <c r="M21" s="32">
        <v>1254.3607</v>
      </c>
      <c r="N21" s="32">
        <v>445.53499299999999</v>
      </c>
      <c r="O21" s="32">
        <v>294.17452400000002</v>
      </c>
      <c r="P21" s="32">
        <v>347.63039400000002</v>
      </c>
      <c r="Q21" s="32">
        <v>30.556737999999999</v>
      </c>
      <c r="R21" s="32">
        <v>518.05674599999998</v>
      </c>
      <c r="S21" s="32">
        <v>1194.3844120000001</v>
      </c>
    </row>
    <row r="22" spans="1:19" x14ac:dyDescent="0.25">
      <c r="A22" s="5">
        <v>17</v>
      </c>
      <c r="B22" s="32">
        <v>1806.011937</v>
      </c>
      <c r="C22" s="32">
        <v>48.939236999999999</v>
      </c>
      <c r="D22" s="32">
        <v>925.94234200000005</v>
      </c>
      <c r="E22" s="32">
        <v>2394.322874</v>
      </c>
      <c r="F22" s="32">
        <v>589.29987700000004</v>
      </c>
      <c r="G22" s="32">
        <v>360.755021</v>
      </c>
      <c r="H22" s="32">
        <v>506.962356</v>
      </c>
      <c r="I22" s="32">
        <v>42.608963000000003</v>
      </c>
      <c r="J22" s="32">
        <v>287.43401799999998</v>
      </c>
      <c r="K22" s="32">
        <v>0</v>
      </c>
      <c r="L22" s="32">
        <v>801.38123700000006</v>
      </c>
      <c r="M22" s="32">
        <v>1238.524525</v>
      </c>
      <c r="N22" s="32">
        <v>439.91016000000002</v>
      </c>
      <c r="O22" s="32">
        <v>290.460601</v>
      </c>
      <c r="P22" s="32">
        <v>343.24159600000002</v>
      </c>
      <c r="Q22" s="32">
        <v>30.170963</v>
      </c>
      <c r="R22" s="32">
        <v>511.51633299999997</v>
      </c>
      <c r="S22" s="32">
        <v>1179.305431</v>
      </c>
    </row>
    <row r="23" spans="1:19" x14ac:dyDescent="0.25">
      <c r="A23" s="5">
        <v>18</v>
      </c>
      <c r="B23" s="32">
        <v>1765.5565570000001</v>
      </c>
      <c r="C23" s="32">
        <v>47.842979</v>
      </c>
      <c r="D23" s="32">
        <v>905.20086900000001</v>
      </c>
      <c r="E23" s="32">
        <v>2340.6890969999999</v>
      </c>
      <c r="F23" s="32">
        <v>576.09932700000002</v>
      </c>
      <c r="G23" s="32">
        <v>352.67396600000001</v>
      </c>
      <c r="H23" s="32">
        <v>495.606199</v>
      </c>
      <c r="I23" s="32">
        <v>41.654505</v>
      </c>
      <c r="J23" s="32">
        <v>280.995383</v>
      </c>
      <c r="K23" s="32">
        <v>0</v>
      </c>
      <c r="L23" s="32">
        <v>783.429982</v>
      </c>
      <c r="M23" s="32">
        <v>1210.781088</v>
      </c>
      <c r="N23" s="32">
        <v>430.05599899999999</v>
      </c>
      <c r="O23" s="32">
        <v>283.95416899999998</v>
      </c>
      <c r="P23" s="32">
        <v>335.55284899999998</v>
      </c>
      <c r="Q23" s="32">
        <v>29.495121000000001</v>
      </c>
      <c r="R23" s="32">
        <v>500.05816600000003</v>
      </c>
      <c r="S23" s="32">
        <v>1152.888524</v>
      </c>
    </row>
    <row r="24" spans="1:19" x14ac:dyDescent="0.25">
      <c r="A24" s="5">
        <v>19</v>
      </c>
      <c r="B24" s="32">
        <v>1822.9330660000001</v>
      </c>
      <c r="C24" s="32">
        <v>49.397765</v>
      </c>
      <c r="D24" s="32">
        <v>934.61780499999998</v>
      </c>
      <c r="E24" s="32">
        <v>2416.7560840000001</v>
      </c>
      <c r="F24" s="32">
        <v>594.82122400000003</v>
      </c>
      <c r="G24" s="32">
        <v>364.13505500000002</v>
      </c>
      <c r="H24" s="32">
        <v>511.71225500000003</v>
      </c>
      <c r="I24" s="32">
        <v>43.008180000000003</v>
      </c>
      <c r="J24" s="32">
        <v>290.12708300000003</v>
      </c>
      <c r="K24" s="32">
        <v>0</v>
      </c>
      <c r="L24" s="32">
        <v>808.88964599999997</v>
      </c>
      <c r="M24" s="32">
        <v>1250.1286749999999</v>
      </c>
      <c r="N24" s="32">
        <v>444.03182500000003</v>
      </c>
      <c r="O24" s="32">
        <v>293.18202300000002</v>
      </c>
      <c r="P24" s="32">
        <v>346.45754099999999</v>
      </c>
      <c r="Q24" s="32">
        <v>30.453644000000001</v>
      </c>
      <c r="R24" s="32">
        <v>516.30889999999999</v>
      </c>
      <c r="S24" s="32">
        <v>1190.3547370000001</v>
      </c>
    </row>
    <row r="25" spans="1:19" x14ac:dyDescent="0.25">
      <c r="A25" s="5">
        <v>20</v>
      </c>
      <c r="B25" s="32">
        <v>1867.98982</v>
      </c>
      <c r="C25" s="32">
        <v>50.618710999999998</v>
      </c>
      <c r="D25" s="32">
        <v>957.71840399999996</v>
      </c>
      <c r="E25" s="32">
        <v>2476.490139</v>
      </c>
      <c r="F25" s="32">
        <v>609.52319799999998</v>
      </c>
      <c r="G25" s="32">
        <v>373.135245</v>
      </c>
      <c r="H25" s="32">
        <v>524.36005599999999</v>
      </c>
      <c r="I25" s="32">
        <v>44.071198000000003</v>
      </c>
      <c r="J25" s="32">
        <v>297.298046</v>
      </c>
      <c r="K25" s="32">
        <v>0</v>
      </c>
      <c r="L25" s="32">
        <v>828.88266799999997</v>
      </c>
      <c r="M25" s="32">
        <v>1281.0276369999999</v>
      </c>
      <c r="N25" s="32">
        <v>455.00679300000002</v>
      </c>
      <c r="O25" s="32">
        <v>300.428494</v>
      </c>
      <c r="P25" s="32">
        <v>355.020802</v>
      </c>
      <c r="Q25" s="32">
        <v>31.206356</v>
      </c>
      <c r="R25" s="32">
        <v>529.07031400000005</v>
      </c>
      <c r="S25" s="32">
        <v>1219.77629</v>
      </c>
    </row>
    <row r="26" spans="1:19" x14ac:dyDescent="0.25">
      <c r="A26" s="5">
        <v>21</v>
      </c>
      <c r="B26" s="32">
        <v>1827.1007030000001</v>
      </c>
      <c r="C26" s="32">
        <v>49.510699000000002</v>
      </c>
      <c r="D26" s="32">
        <v>936.75455299999999</v>
      </c>
      <c r="E26" s="32">
        <v>2422.281336</v>
      </c>
      <c r="F26" s="32">
        <v>596.18111999999996</v>
      </c>
      <c r="G26" s="32">
        <v>364.96755000000002</v>
      </c>
      <c r="H26" s="32">
        <v>512.88214500000004</v>
      </c>
      <c r="I26" s="32">
        <v>43.106507000000001</v>
      </c>
      <c r="J26" s="32">
        <v>290.79038000000003</v>
      </c>
      <c r="K26" s="32">
        <v>0</v>
      </c>
      <c r="L26" s="32">
        <v>810.73895100000004</v>
      </c>
      <c r="M26" s="32">
        <v>1252.986752</v>
      </c>
      <c r="N26" s="32">
        <v>445.04698200000001</v>
      </c>
      <c r="O26" s="32">
        <v>293.852304</v>
      </c>
      <c r="P26" s="32">
        <v>347.24962099999999</v>
      </c>
      <c r="Q26" s="32">
        <v>30.523268000000002</v>
      </c>
      <c r="R26" s="32">
        <v>517.48929999999996</v>
      </c>
      <c r="S26" s="32">
        <v>1193.0761580000001</v>
      </c>
    </row>
    <row r="27" spans="1:19" x14ac:dyDescent="0.25">
      <c r="A27" s="5">
        <v>22</v>
      </c>
      <c r="B27" s="32">
        <v>1760.145649</v>
      </c>
      <c r="C27" s="32">
        <v>47.696353999999999</v>
      </c>
      <c r="D27" s="32">
        <v>902.42669599999999</v>
      </c>
      <c r="E27" s="32">
        <v>2333.5155770000001</v>
      </c>
      <c r="F27" s="32">
        <v>574.333753</v>
      </c>
      <c r="G27" s="32">
        <v>351.59312499999999</v>
      </c>
      <c r="H27" s="32">
        <v>494.08731299999999</v>
      </c>
      <c r="I27" s="32">
        <v>41.526846999999997</v>
      </c>
      <c r="J27" s="32">
        <v>280.13421499999998</v>
      </c>
      <c r="K27" s="32">
        <v>0</v>
      </c>
      <c r="L27" s="32">
        <v>781.029</v>
      </c>
      <c r="M27" s="32">
        <v>1207.0704020000001</v>
      </c>
      <c r="N27" s="32">
        <v>428.73800399999999</v>
      </c>
      <c r="O27" s="32">
        <v>283.083933</v>
      </c>
      <c r="P27" s="32">
        <v>334.52447899999999</v>
      </c>
      <c r="Q27" s="32">
        <v>29.404727000000001</v>
      </c>
      <c r="R27" s="32">
        <v>498.52563500000002</v>
      </c>
      <c r="S27" s="32">
        <v>1149.355262</v>
      </c>
    </row>
    <row r="28" spans="1:19" x14ac:dyDescent="0.25">
      <c r="A28" s="5">
        <v>23</v>
      </c>
      <c r="B28" s="32">
        <v>1663.6380140000001</v>
      </c>
      <c r="C28" s="32">
        <v>45.081194000000004</v>
      </c>
      <c r="D28" s="32">
        <v>852.94722999999999</v>
      </c>
      <c r="E28" s="32">
        <v>2205.5704449999998</v>
      </c>
      <c r="F28" s="32">
        <v>542.84340899999995</v>
      </c>
      <c r="G28" s="32">
        <v>332.31550399999998</v>
      </c>
      <c r="H28" s="32">
        <v>466.99682799999999</v>
      </c>
      <c r="I28" s="32">
        <v>39.249957000000002</v>
      </c>
      <c r="J28" s="32">
        <v>264.77463899999998</v>
      </c>
      <c r="K28" s="32">
        <v>0</v>
      </c>
      <c r="L28" s="32">
        <v>738.205691</v>
      </c>
      <c r="M28" s="32">
        <v>1140.8875210000001</v>
      </c>
      <c r="N28" s="32">
        <v>405.23057999999997</v>
      </c>
      <c r="O28" s="32">
        <v>267.56262600000002</v>
      </c>
      <c r="P28" s="32">
        <v>316.18272000000002</v>
      </c>
      <c r="Q28" s="32">
        <v>27.792484999999999</v>
      </c>
      <c r="R28" s="32">
        <v>471.191801</v>
      </c>
      <c r="S28" s="32">
        <v>1086.336865</v>
      </c>
    </row>
    <row r="29" spans="1:19" x14ac:dyDescent="0.25">
      <c r="A29" s="5">
        <v>24</v>
      </c>
      <c r="B29" s="32">
        <v>1569.3127629999999</v>
      </c>
      <c r="C29" s="32">
        <v>42.525173000000002</v>
      </c>
      <c r="D29" s="32">
        <v>804.58667300000002</v>
      </c>
      <c r="E29" s="32">
        <v>2080.5186100000001</v>
      </c>
      <c r="F29" s="32">
        <v>512.06517499999995</v>
      </c>
      <c r="G29" s="32">
        <v>313.47381899999999</v>
      </c>
      <c r="H29" s="32">
        <v>440.518957</v>
      </c>
      <c r="I29" s="32">
        <v>37.024555999999997</v>
      </c>
      <c r="J29" s="32">
        <v>249.76239899999999</v>
      </c>
      <c r="K29" s="32">
        <v>0</v>
      </c>
      <c r="L29" s="32">
        <v>696.35077100000001</v>
      </c>
      <c r="M29" s="32">
        <v>1076.2012729999999</v>
      </c>
      <c r="N29" s="32">
        <v>382.25474300000002</v>
      </c>
      <c r="O29" s="32">
        <v>252.392312</v>
      </c>
      <c r="P29" s="32">
        <v>298.25573500000002</v>
      </c>
      <c r="Q29" s="32">
        <v>26.216702000000002</v>
      </c>
      <c r="R29" s="32">
        <v>444.47608200000002</v>
      </c>
      <c r="S29" s="32">
        <v>1024.7435390000001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3"/>
  <sheetViews>
    <sheetView workbookViewId="0">
      <selection activeCell="G20" sqref="G20"/>
    </sheetView>
  </sheetViews>
  <sheetFormatPr defaultRowHeight="15" x14ac:dyDescent="0.25"/>
  <cols>
    <col min="1" max="9" width="16" customWidth="1"/>
  </cols>
  <sheetData>
    <row r="1" spans="1:9" ht="18.75" customHeight="1" x14ac:dyDescent="0.3">
      <c r="A1" s="1" t="s">
        <v>490</v>
      </c>
    </row>
    <row r="2" spans="1:9" x14ac:dyDescent="0.25">
      <c r="A2" s="2" t="s">
        <v>491</v>
      </c>
    </row>
    <row r="4" spans="1:9" x14ac:dyDescent="0.25">
      <c r="A4" s="3" t="s">
        <v>182</v>
      </c>
      <c r="B4" s="3" t="s">
        <v>492</v>
      </c>
      <c r="C4" s="3" t="s">
        <v>493</v>
      </c>
      <c r="D4" s="3" t="s">
        <v>494</v>
      </c>
      <c r="E4" s="3" t="s">
        <v>495</v>
      </c>
      <c r="F4" s="3" t="s">
        <v>496</v>
      </c>
      <c r="G4" s="3" t="s">
        <v>497</v>
      </c>
      <c r="H4" s="3" t="s">
        <v>498</v>
      </c>
      <c r="I4" s="3" t="s">
        <v>499</v>
      </c>
    </row>
    <row r="5" spans="1:9" x14ac:dyDescent="0.25">
      <c r="A5" s="4"/>
      <c r="B5" s="4" t="s">
        <v>212</v>
      </c>
      <c r="C5" s="4" t="s">
        <v>500</v>
      </c>
      <c r="D5" s="4" t="s">
        <v>501</v>
      </c>
      <c r="E5" s="4" t="s">
        <v>502</v>
      </c>
      <c r="F5" s="4" t="s">
        <v>502</v>
      </c>
      <c r="G5" s="4" t="s">
        <v>502</v>
      </c>
      <c r="H5" s="4" t="s">
        <v>489</v>
      </c>
      <c r="I5" s="4" t="s">
        <v>231</v>
      </c>
    </row>
    <row r="6" spans="1:9" x14ac:dyDescent="0.25">
      <c r="A6" s="5" t="s">
        <v>3</v>
      </c>
      <c r="B6" s="5">
        <v>0</v>
      </c>
      <c r="C6" s="33">
        <v>372000</v>
      </c>
      <c r="D6" s="33">
        <v>241000</v>
      </c>
      <c r="E6" s="19">
        <f>SQRT(0.85)</f>
        <v>0.92195444572928875</v>
      </c>
      <c r="F6" s="19">
        <f>SQRT(0.85)</f>
        <v>0.92195444572928875</v>
      </c>
      <c r="G6" s="5">
        <v>1.25E-4</v>
      </c>
      <c r="H6" s="5">
        <v>0.3</v>
      </c>
      <c r="I6" s="5">
        <v>4</v>
      </c>
    </row>
    <row r="7" spans="1:9" x14ac:dyDescent="0.25">
      <c r="A7" s="5" t="s">
        <v>4</v>
      </c>
      <c r="B7" s="5">
        <v>0</v>
      </c>
      <c r="C7" s="33">
        <v>372000</v>
      </c>
      <c r="D7" s="33">
        <v>241000</v>
      </c>
      <c r="E7" s="19">
        <f t="shared" ref="E7:F23" si="0">SQRT(0.85)</f>
        <v>0.92195444572928875</v>
      </c>
      <c r="F7" s="19">
        <f t="shared" si="0"/>
        <v>0.92195444572928875</v>
      </c>
      <c r="G7" s="5">
        <v>1.25E-4</v>
      </c>
      <c r="H7" s="5">
        <v>0.3</v>
      </c>
      <c r="I7" s="5">
        <v>4</v>
      </c>
    </row>
    <row r="8" spans="1:9" x14ac:dyDescent="0.25">
      <c r="A8" s="5" t="s">
        <v>5</v>
      </c>
      <c r="B8" s="5">
        <v>0</v>
      </c>
      <c r="C8" s="33">
        <v>372000</v>
      </c>
      <c r="D8" s="33">
        <v>241000</v>
      </c>
      <c r="E8" s="19">
        <f t="shared" si="0"/>
        <v>0.92195444572928875</v>
      </c>
      <c r="F8" s="19">
        <f t="shared" si="0"/>
        <v>0.92195444572928875</v>
      </c>
      <c r="G8" s="5">
        <v>1.25E-4</v>
      </c>
      <c r="H8" s="5">
        <v>0.3</v>
      </c>
      <c r="I8" s="5">
        <v>4</v>
      </c>
    </row>
    <row r="9" spans="1:9" x14ac:dyDescent="0.25">
      <c r="A9" s="5" t="s">
        <v>6</v>
      </c>
      <c r="B9" s="5">
        <v>0</v>
      </c>
      <c r="C9" s="33">
        <v>372000</v>
      </c>
      <c r="D9" s="33">
        <v>241000</v>
      </c>
      <c r="E9" s="19">
        <f t="shared" si="0"/>
        <v>0.92195444572928875</v>
      </c>
      <c r="F9" s="19">
        <f t="shared" si="0"/>
        <v>0.92195444572928875</v>
      </c>
      <c r="G9" s="5">
        <v>1.25E-4</v>
      </c>
      <c r="H9" s="5">
        <v>0.3</v>
      </c>
      <c r="I9" s="5">
        <v>4</v>
      </c>
    </row>
    <row r="10" spans="1:9" x14ac:dyDescent="0.25">
      <c r="A10" s="5" t="s">
        <v>7</v>
      </c>
      <c r="B10" s="5">
        <v>0</v>
      </c>
      <c r="C10" s="33">
        <v>372000</v>
      </c>
      <c r="D10" s="33">
        <v>241000</v>
      </c>
      <c r="E10" s="19">
        <f t="shared" si="0"/>
        <v>0.92195444572928875</v>
      </c>
      <c r="F10" s="19">
        <f t="shared" si="0"/>
        <v>0.92195444572928875</v>
      </c>
      <c r="G10" s="5">
        <v>1.25E-4</v>
      </c>
      <c r="H10" s="5">
        <v>0.3</v>
      </c>
      <c r="I10" s="5">
        <v>4</v>
      </c>
    </row>
    <row r="11" spans="1:9" x14ac:dyDescent="0.25">
      <c r="A11" s="5" t="s">
        <v>8</v>
      </c>
      <c r="B11" s="5">
        <v>0</v>
      </c>
      <c r="C11" s="33">
        <v>372000</v>
      </c>
      <c r="D11" s="33">
        <v>241000</v>
      </c>
      <c r="E11" s="19">
        <f t="shared" si="0"/>
        <v>0.92195444572928875</v>
      </c>
      <c r="F11" s="19">
        <f t="shared" si="0"/>
        <v>0.92195444572928875</v>
      </c>
      <c r="G11" s="5">
        <v>1.25E-4</v>
      </c>
      <c r="H11" s="5">
        <v>0.3</v>
      </c>
      <c r="I11" s="5">
        <v>4</v>
      </c>
    </row>
    <row r="12" spans="1:9" x14ac:dyDescent="0.25">
      <c r="A12" s="5" t="s">
        <v>9</v>
      </c>
      <c r="B12" s="5">
        <v>0</v>
      </c>
      <c r="C12" s="33">
        <v>372000</v>
      </c>
      <c r="D12" s="33">
        <v>241000</v>
      </c>
      <c r="E12" s="19">
        <f t="shared" si="0"/>
        <v>0.92195444572928875</v>
      </c>
      <c r="F12" s="19">
        <f t="shared" si="0"/>
        <v>0.92195444572928875</v>
      </c>
      <c r="G12" s="5">
        <v>1.25E-4</v>
      </c>
      <c r="H12" s="5">
        <v>0.3</v>
      </c>
      <c r="I12" s="5">
        <v>4</v>
      </c>
    </row>
    <row r="13" spans="1:9" x14ac:dyDescent="0.25">
      <c r="A13" s="5" t="s">
        <v>10</v>
      </c>
      <c r="B13" s="5">
        <v>0</v>
      </c>
      <c r="C13" s="33">
        <v>372000</v>
      </c>
      <c r="D13" s="33">
        <v>241000</v>
      </c>
      <c r="E13" s="19">
        <f t="shared" si="0"/>
        <v>0.92195444572928875</v>
      </c>
      <c r="F13" s="19">
        <f t="shared" si="0"/>
        <v>0.92195444572928875</v>
      </c>
      <c r="G13" s="5">
        <v>1.25E-4</v>
      </c>
      <c r="H13" s="5">
        <v>0.3</v>
      </c>
      <c r="I13" s="5">
        <v>4</v>
      </c>
    </row>
    <row r="14" spans="1:9" x14ac:dyDescent="0.25">
      <c r="A14" s="5" t="s">
        <v>11</v>
      </c>
      <c r="B14" s="5">
        <v>0</v>
      </c>
      <c r="C14" s="33">
        <v>372000</v>
      </c>
      <c r="D14" s="33">
        <v>241000</v>
      </c>
      <c r="E14" s="19">
        <f t="shared" si="0"/>
        <v>0.92195444572928875</v>
      </c>
      <c r="F14" s="19">
        <f t="shared" si="0"/>
        <v>0.92195444572928875</v>
      </c>
      <c r="G14" s="5">
        <v>1.25E-4</v>
      </c>
      <c r="H14" s="5">
        <v>0.3</v>
      </c>
      <c r="I14" s="5">
        <v>4</v>
      </c>
    </row>
    <row r="15" spans="1:9" x14ac:dyDescent="0.25">
      <c r="A15" s="5" t="s">
        <v>12</v>
      </c>
      <c r="B15" s="5">
        <v>0</v>
      </c>
      <c r="C15" s="33">
        <v>372000</v>
      </c>
      <c r="D15" s="33">
        <v>241000</v>
      </c>
      <c r="E15" s="19">
        <f t="shared" si="0"/>
        <v>0.92195444572928875</v>
      </c>
      <c r="F15" s="19">
        <f t="shared" si="0"/>
        <v>0.92195444572928875</v>
      </c>
      <c r="G15" s="5">
        <v>1.25E-4</v>
      </c>
      <c r="H15" s="5">
        <v>0.3</v>
      </c>
      <c r="I15" s="5">
        <v>4</v>
      </c>
    </row>
    <row r="16" spans="1:9" x14ac:dyDescent="0.25">
      <c r="A16" s="5" t="s">
        <v>13</v>
      </c>
      <c r="B16" s="5">
        <v>0</v>
      </c>
      <c r="C16" s="33">
        <v>372000</v>
      </c>
      <c r="D16" s="33">
        <v>241000</v>
      </c>
      <c r="E16" s="19">
        <f t="shared" si="0"/>
        <v>0.92195444572928875</v>
      </c>
      <c r="F16" s="19">
        <f t="shared" si="0"/>
        <v>0.92195444572928875</v>
      </c>
      <c r="G16" s="5">
        <v>1.25E-4</v>
      </c>
      <c r="H16" s="5">
        <v>0.3</v>
      </c>
      <c r="I16" s="5">
        <v>4</v>
      </c>
    </row>
    <row r="17" spans="1:9" x14ac:dyDescent="0.25">
      <c r="A17" s="5" t="s">
        <v>14</v>
      </c>
      <c r="B17" s="5">
        <v>0</v>
      </c>
      <c r="C17" s="33">
        <v>372000</v>
      </c>
      <c r="D17" s="33">
        <v>241000</v>
      </c>
      <c r="E17" s="19">
        <f t="shared" si="0"/>
        <v>0.92195444572928875</v>
      </c>
      <c r="F17" s="19">
        <f t="shared" si="0"/>
        <v>0.92195444572928875</v>
      </c>
      <c r="G17" s="5">
        <v>1.25E-4</v>
      </c>
      <c r="H17" s="5">
        <v>0.3</v>
      </c>
      <c r="I17" s="5">
        <v>4</v>
      </c>
    </row>
    <row r="18" spans="1:9" x14ac:dyDescent="0.25">
      <c r="A18" s="5" t="s">
        <v>15</v>
      </c>
      <c r="B18" s="5">
        <v>0</v>
      </c>
      <c r="C18" s="33">
        <v>372000</v>
      </c>
      <c r="D18" s="33">
        <v>241000</v>
      </c>
      <c r="E18" s="19">
        <f t="shared" si="0"/>
        <v>0.92195444572928875</v>
      </c>
      <c r="F18" s="19">
        <f t="shared" si="0"/>
        <v>0.92195444572928875</v>
      </c>
      <c r="G18" s="5">
        <v>1.25E-4</v>
      </c>
      <c r="H18" s="5">
        <v>0.3</v>
      </c>
      <c r="I18" s="5">
        <v>4</v>
      </c>
    </row>
    <row r="19" spans="1:9" x14ac:dyDescent="0.25">
      <c r="A19" s="5" t="s">
        <v>16</v>
      </c>
      <c r="B19" s="5">
        <v>0</v>
      </c>
      <c r="C19" s="33">
        <v>372000</v>
      </c>
      <c r="D19" s="33">
        <v>241000</v>
      </c>
      <c r="E19" s="19">
        <f t="shared" si="0"/>
        <v>0.92195444572928875</v>
      </c>
      <c r="F19" s="19">
        <f t="shared" si="0"/>
        <v>0.92195444572928875</v>
      </c>
      <c r="G19" s="5">
        <v>1.25E-4</v>
      </c>
      <c r="H19" s="5">
        <v>0.3</v>
      </c>
      <c r="I19" s="5">
        <v>4</v>
      </c>
    </row>
    <row r="20" spans="1:9" x14ac:dyDescent="0.25">
      <c r="A20" s="5" t="s">
        <v>17</v>
      </c>
      <c r="B20" s="5">
        <v>0</v>
      </c>
      <c r="C20" s="33">
        <v>372000</v>
      </c>
      <c r="D20" s="33">
        <v>241000</v>
      </c>
      <c r="E20" s="19">
        <f t="shared" si="0"/>
        <v>0.92195444572928875</v>
      </c>
      <c r="F20" s="19">
        <f t="shared" si="0"/>
        <v>0.92195444572928875</v>
      </c>
      <c r="G20" s="5">
        <v>1.25E-4</v>
      </c>
      <c r="H20" s="5">
        <v>0.3</v>
      </c>
      <c r="I20" s="5">
        <v>4</v>
      </c>
    </row>
    <row r="21" spans="1:9" x14ac:dyDescent="0.25">
      <c r="A21" s="5" t="s">
        <v>18</v>
      </c>
      <c r="B21" s="5">
        <v>0</v>
      </c>
      <c r="C21" s="33">
        <v>372000</v>
      </c>
      <c r="D21" s="33">
        <v>241000</v>
      </c>
      <c r="E21" s="19">
        <f t="shared" si="0"/>
        <v>0.92195444572928875</v>
      </c>
      <c r="F21" s="19">
        <f t="shared" si="0"/>
        <v>0.92195444572928875</v>
      </c>
      <c r="G21" s="5">
        <v>1.25E-4</v>
      </c>
      <c r="H21" s="5">
        <v>0.3</v>
      </c>
      <c r="I21" s="5">
        <v>4</v>
      </c>
    </row>
    <row r="22" spans="1:9" x14ac:dyDescent="0.25">
      <c r="A22" s="5" t="s">
        <v>19</v>
      </c>
      <c r="B22" s="5">
        <v>0</v>
      </c>
      <c r="C22" s="33">
        <v>372000</v>
      </c>
      <c r="D22" s="33">
        <v>241000</v>
      </c>
      <c r="E22" s="19">
        <f t="shared" si="0"/>
        <v>0.92195444572928875</v>
      </c>
      <c r="F22" s="19">
        <f t="shared" si="0"/>
        <v>0.92195444572928875</v>
      </c>
      <c r="G22" s="5">
        <v>1.25E-4</v>
      </c>
      <c r="H22" s="5">
        <v>0.3</v>
      </c>
      <c r="I22" s="5">
        <v>4</v>
      </c>
    </row>
    <row r="23" spans="1:9" x14ac:dyDescent="0.25">
      <c r="A23" s="5" t="s">
        <v>20</v>
      </c>
      <c r="B23" s="5">
        <v>0</v>
      </c>
      <c r="C23" s="33">
        <v>372000</v>
      </c>
      <c r="D23" s="33">
        <v>241000</v>
      </c>
      <c r="E23" s="19">
        <f t="shared" si="0"/>
        <v>0.92195444572928875</v>
      </c>
      <c r="F23" s="19">
        <f t="shared" si="0"/>
        <v>0.92195444572928875</v>
      </c>
      <c r="G23" s="5">
        <v>1.25E-4</v>
      </c>
      <c r="H23" s="5">
        <v>0.3</v>
      </c>
      <c r="I23" s="5">
        <v>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1"/>
  <sheetViews>
    <sheetView workbookViewId="0">
      <selection activeCell="B9" sqref="B9"/>
    </sheetView>
  </sheetViews>
  <sheetFormatPr defaultRowHeight="15" x14ac:dyDescent="0.25"/>
  <cols>
    <col min="1" max="2" width="16" customWidth="1"/>
  </cols>
  <sheetData>
    <row r="1" spans="1:2" ht="18.75" customHeight="1" x14ac:dyDescent="0.3">
      <c r="A1" s="1" t="s">
        <v>503</v>
      </c>
    </row>
    <row r="2" spans="1:2" x14ac:dyDescent="0.25">
      <c r="A2" s="2" t="s">
        <v>504</v>
      </c>
    </row>
    <row r="4" spans="1:2" x14ac:dyDescent="0.25">
      <c r="A4" s="3" t="s">
        <v>505</v>
      </c>
      <c r="B4" s="3" t="s">
        <v>506</v>
      </c>
    </row>
    <row r="5" spans="1:2" x14ac:dyDescent="0.25">
      <c r="A5" s="4"/>
      <c r="B5" s="4"/>
    </row>
    <row r="6" spans="1:2" x14ac:dyDescent="0.25">
      <c r="A6" s="5" t="s">
        <v>184</v>
      </c>
      <c r="B6" s="5">
        <v>1</v>
      </c>
    </row>
    <row r="7" spans="1:2" x14ac:dyDescent="0.25">
      <c r="A7" s="5" t="s">
        <v>185</v>
      </c>
      <c r="B7" s="5">
        <v>1</v>
      </c>
    </row>
    <row r="8" spans="1:2" x14ac:dyDescent="0.25">
      <c r="A8" s="5" t="s">
        <v>186</v>
      </c>
      <c r="B8" s="5">
        <v>1</v>
      </c>
    </row>
    <row r="9" spans="1:2" x14ac:dyDescent="0.25">
      <c r="A9" s="5" t="s">
        <v>187</v>
      </c>
      <c r="B9" s="5">
        <v>1</v>
      </c>
    </row>
    <row r="10" spans="1:2" x14ac:dyDescent="0.25">
      <c r="A10" s="5" t="s">
        <v>188</v>
      </c>
      <c r="B10" s="5">
        <v>1</v>
      </c>
    </row>
    <row r="11" spans="1:2" x14ac:dyDescent="0.25">
      <c r="A11" s="5" t="s">
        <v>189</v>
      </c>
      <c r="B11" s="5">
        <v>1</v>
      </c>
    </row>
    <row r="12" spans="1:2" x14ac:dyDescent="0.25">
      <c r="A12" s="5" t="s">
        <v>190</v>
      </c>
      <c r="B12" s="5">
        <v>1</v>
      </c>
    </row>
    <row r="13" spans="1:2" x14ac:dyDescent="0.25">
      <c r="A13" s="5" t="s">
        <v>191</v>
      </c>
      <c r="B13" s="5">
        <v>1</v>
      </c>
    </row>
    <row r="14" spans="1:2" x14ac:dyDescent="0.25">
      <c r="A14" s="5" t="s">
        <v>192</v>
      </c>
      <c r="B14" s="5">
        <v>1</v>
      </c>
    </row>
    <row r="15" spans="1:2" x14ac:dyDescent="0.25">
      <c r="A15" s="5" t="s">
        <v>193</v>
      </c>
      <c r="B15" s="5">
        <v>1</v>
      </c>
    </row>
    <row r="16" spans="1:2" x14ac:dyDescent="0.25">
      <c r="A16" s="5" t="s">
        <v>194</v>
      </c>
      <c r="B16" s="5">
        <v>1</v>
      </c>
    </row>
    <row r="17" spans="1:2" x14ac:dyDescent="0.25">
      <c r="A17" s="5" t="s">
        <v>195</v>
      </c>
      <c r="B17" s="5">
        <v>1</v>
      </c>
    </row>
    <row r="18" spans="1:2" x14ac:dyDescent="0.25">
      <c r="A18" s="5" t="s">
        <v>196</v>
      </c>
      <c r="B18" s="5">
        <v>1</v>
      </c>
    </row>
    <row r="19" spans="1:2" x14ac:dyDescent="0.25">
      <c r="A19" s="5" t="s">
        <v>197</v>
      </c>
      <c r="B19" s="5">
        <v>1</v>
      </c>
    </row>
    <row r="20" spans="1:2" x14ac:dyDescent="0.25">
      <c r="A20" s="5" t="s">
        <v>198</v>
      </c>
      <c r="B20" s="5">
        <v>1</v>
      </c>
    </row>
    <row r="21" spans="1:2" x14ac:dyDescent="0.25">
      <c r="A21" s="5" t="s">
        <v>199</v>
      </c>
      <c r="B21" s="5">
        <v>1</v>
      </c>
    </row>
    <row r="22" spans="1:2" x14ac:dyDescent="0.25">
      <c r="A22" s="5" t="s">
        <v>200</v>
      </c>
      <c r="B22" s="5">
        <v>1</v>
      </c>
    </row>
    <row r="23" spans="1:2" x14ac:dyDescent="0.25">
      <c r="A23" s="5" t="s">
        <v>201</v>
      </c>
      <c r="B23" s="5">
        <v>1</v>
      </c>
    </row>
    <row r="24" spans="1:2" x14ac:dyDescent="0.25">
      <c r="A24" s="5" t="s">
        <v>202</v>
      </c>
      <c r="B24" s="5">
        <v>1</v>
      </c>
    </row>
    <row r="25" spans="1:2" x14ac:dyDescent="0.25">
      <c r="A25" s="5" t="s">
        <v>203</v>
      </c>
      <c r="B25" s="5">
        <v>1</v>
      </c>
    </row>
    <row r="26" spans="1:2" x14ac:dyDescent="0.25">
      <c r="A26" s="5" t="s">
        <v>204</v>
      </c>
      <c r="B26" s="5">
        <v>1</v>
      </c>
    </row>
    <row r="27" spans="1:2" x14ac:dyDescent="0.25">
      <c r="A27" s="5" t="s">
        <v>205</v>
      </c>
      <c r="B27" s="5">
        <v>1</v>
      </c>
    </row>
    <row r="28" spans="1:2" x14ac:dyDescent="0.25">
      <c r="A28" s="5" t="s">
        <v>206</v>
      </c>
      <c r="B28" s="5">
        <v>1</v>
      </c>
    </row>
    <row r="29" spans="1:2" x14ac:dyDescent="0.25">
      <c r="A29" s="5" t="s">
        <v>207</v>
      </c>
      <c r="B29" s="5">
        <v>1</v>
      </c>
    </row>
    <row r="30" spans="1:2" x14ac:dyDescent="0.25">
      <c r="A30" s="5" t="s">
        <v>208</v>
      </c>
      <c r="B30" s="5">
        <v>1</v>
      </c>
    </row>
    <row r="31" spans="1:2" x14ac:dyDescent="0.25">
      <c r="A31" s="5" t="s">
        <v>209</v>
      </c>
      <c r="B31" s="5">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INSTRUCCIONES</vt:lpstr>
      <vt:lpstr>Config</vt:lpstr>
      <vt:lpstr>Nodos</vt:lpstr>
      <vt:lpstr>Lineas</vt:lpstr>
      <vt:lpstr>Lineas_Cand</vt:lpstr>
      <vt:lpstr>Generadores</vt:lpstr>
      <vt:lpstr>Hidraulicos</vt:lpstr>
      <vt:lpstr>Aportes</vt:lpstr>
      <vt:lpstr>Renovables</vt:lpstr>
      <vt:lpstr>Renov_Perfil</vt:lpstr>
      <vt:lpstr>Demanda</vt:lpstr>
      <vt:lpstr>BESS_Cand</vt:lpstr>
      <vt:lpstr>FACTS_Cand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2026-08-30T15:10:03Z</dcterms:modified>
</cp:coreProperties>
</file>