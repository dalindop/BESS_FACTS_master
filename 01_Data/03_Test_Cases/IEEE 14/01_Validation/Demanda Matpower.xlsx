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01_Excel\IEEE14\01_Validation\"/>
    </mc:Choice>
  </mc:AlternateContent>
  <xr:revisionPtr revIDLastSave="0" documentId="13_ncr:1_{0F3CF758-C73B-4FE6-9117-4753CB40EED3}" xr6:coauthVersionLast="47" xr6:coauthVersionMax="47" xr10:uidLastSave="{00000000-0000-0000-0000-000000000000}"/>
  <bookViews>
    <workbookView xWindow="-120" yWindow="-120" windowWidth="29040" windowHeight="15720" xr2:uid="{CAD003FA-C317-442B-85EC-503855FF3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1" l="1"/>
  <c r="A12" i="1"/>
  <c r="A11" i="1"/>
  <c r="A25" i="1"/>
  <c r="A24" i="1"/>
  <c r="A22" i="1"/>
  <c r="A21" i="1"/>
  <c r="A20" i="1"/>
  <c r="A19" i="1"/>
  <c r="A18" i="1"/>
  <c r="A17" i="1"/>
  <c r="A16" i="1"/>
  <c r="A15" i="1"/>
  <c r="A14" i="1"/>
  <c r="A13" i="1"/>
  <c r="A10" i="1"/>
  <c r="A9" i="1"/>
  <c r="A8" i="1"/>
  <c r="A7" i="1"/>
  <c r="A6" i="1"/>
  <c r="C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<sst xmlns="http://schemas.openxmlformats.org/spreadsheetml/2006/main" count="10" uniqueCount="6">
  <si>
    <t>capacidad</t>
  </si>
  <si>
    <t>MW</t>
  </si>
  <si>
    <t>runopf</t>
  </si>
  <si>
    <t>rundcpf</t>
  </si>
  <si>
    <t>runpf</t>
  </si>
  <si>
    <t>Matpower no tiene capacidad de las lineas, por lo que se toma el flujo de lineas real arrojado por Matpower y se estima 110% aprox la capacidad de la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</si>
</sst>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8A86-3FAE-41C2-8E0A-6C458648D065}">
  <dimension ref="A1:E29"/>
  <sheetViews>
    <sheetView tabSelected="1" workbookViewId="0">
      <selection activeCell="A4" sqref="A4:A25"/>
    </sheetView>
  </sheetViews>
  <sheetFormatPr defaultRowHeight="15" x14ac:dyDescent="0.25"/>
  <sheetData>
    <row r="1" spans="1:5" x14ac:dyDescent="0.25">
      <c r="C1">
        <v>1.2</v>
      </c>
      <c r="D1">
        <v>1</v>
      </c>
      <c r="E1">
        <v>1</v>
      </c>
    </row>
    <row r="3" spans="1:5" x14ac:dyDescent="0.25">
      <c r="A3" t="s">
        <v>3</v>
      </c>
      <c r="B3" t="s">
        <v>4</v>
      </c>
      <c r="C3" t="s">
        <v>2</v>
      </c>
    </row>
    <row r="4" spans="1:5" x14ac:dyDescent="0.25">
      <c r="A4" s="1" t="s">
        <v>0</v>
      </c>
      <c r="B4" s="1" t="s">
        <v>0</v>
      </c>
      <c r="C4" s="1" t="s">
        <v>0</v>
      </c>
    </row>
    <row r="5" spans="1:5" x14ac:dyDescent="0.25">
      <c r="A5" s="2" t="s">
        <v>1</v>
      </c>
      <c r="B5" s="2" t="s">
        <v>1</v>
      </c>
      <c r="C5" s="2" t="s">
        <v>1</v>
      </c>
    </row>
    <row r="6" spans="1:5" x14ac:dyDescent="0.25">
      <c r="A6" s="3">
        <f>147.84*C1</f>
        <v>177.40799999999999</v>
      </c>
      <c r="B6" s="3">
        <v>156.88</v>
      </c>
      <c r="C6" s="3">
        <f>129.67*E1</f>
        <v>129.66999999999999</v>
      </c>
    </row>
    <row r="7" spans="1:5" x14ac:dyDescent="0.25">
      <c r="A7" s="3">
        <f>C1*71.16</f>
        <v>85.391999999999996</v>
      </c>
      <c r="B7" s="3">
        <v>75.510000000000005</v>
      </c>
      <c r="C7" s="3">
        <f>64.66*D1</f>
        <v>64.66</v>
      </c>
    </row>
    <row r="8" spans="1:5" x14ac:dyDescent="0.25">
      <c r="A8" s="3">
        <f>C1*70.01</f>
        <v>84.012</v>
      </c>
      <c r="B8" s="3">
        <v>73.239999999999995</v>
      </c>
      <c r="C8" s="3">
        <f>55.59*D1</f>
        <v>55.59</v>
      </c>
    </row>
    <row r="9" spans="1:5" x14ac:dyDescent="0.25">
      <c r="A9" s="3">
        <f>C1*55.15</f>
        <v>66.179999999999993</v>
      </c>
      <c r="B9" s="3">
        <v>56.13</v>
      </c>
      <c r="C9" s="3">
        <f>48.92*D1</f>
        <v>48.92</v>
      </c>
    </row>
    <row r="10" spans="1:5" x14ac:dyDescent="0.25">
      <c r="A10" s="3">
        <f>C1*40.97</f>
        <v>49.163999999999994</v>
      </c>
      <c r="B10" s="3">
        <v>41.52</v>
      </c>
      <c r="C10" s="3">
        <f>37.28*D1</f>
        <v>37.28</v>
      </c>
    </row>
    <row r="11" spans="1:5" x14ac:dyDescent="0.25">
      <c r="A11" s="3">
        <f>ABS(C1*-24.19)</f>
        <v>29.027999999999999</v>
      </c>
      <c r="B11" s="3">
        <v>-23.29</v>
      </c>
      <c r="C11" s="3">
        <f>ABS(-11.21*D1)</f>
        <v>11.21</v>
      </c>
    </row>
    <row r="12" spans="1:5" x14ac:dyDescent="0.25">
      <c r="A12" s="3">
        <f>ABS(C1*-61.75)</f>
        <v>74.099999999999994</v>
      </c>
      <c r="B12" s="3">
        <v>-61.16</v>
      </c>
      <c r="C12" s="3">
        <f>ABS(-49.17*D1)</f>
        <v>49.17</v>
      </c>
    </row>
    <row r="13" spans="1:5" x14ac:dyDescent="0.25">
      <c r="A13" s="3">
        <f>C1*28.36</f>
        <v>34.031999999999996</v>
      </c>
      <c r="B13" s="3">
        <v>28.07</v>
      </c>
      <c r="C13" s="3">
        <f>22.85*D1</f>
        <v>22.85</v>
      </c>
    </row>
    <row r="14" spans="1:5" x14ac:dyDescent="0.25">
      <c r="A14" s="3">
        <f>C1*16.55</f>
        <v>19.86</v>
      </c>
      <c r="B14" s="3">
        <v>16.079999999999998</v>
      </c>
      <c r="C14" s="3">
        <f>14.84*D1</f>
        <v>14.84</v>
      </c>
    </row>
    <row r="15" spans="1:5" x14ac:dyDescent="0.25">
      <c r="A15" s="3">
        <f>C1*42.79</f>
        <v>51.347999999999999</v>
      </c>
      <c r="B15" s="3">
        <v>44.09</v>
      </c>
      <c r="C15" s="3">
        <f>42.06*D1</f>
        <v>42.06</v>
      </c>
    </row>
    <row r="16" spans="1:5" x14ac:dyDescent="0.25">
      <c r="A16" s="3">
        <f>C1*6.73</f>
        <v>8.0760000000000005</v>
      </c>
      <c r="B16" s="3">
        <v>7.35</v>
      </c>
      <c r="C16" s="3">
        <f>6.09*D1</f>
        <v>6.09</v>
      </c>
    </row>
    <row r="17" spans="1:3" x14ac:dyDescent="0.25">
      <c r="A17" s="3">
        <f>C1*7.61</f>
        <v>9.1319999999999997</v>
      </c>
      <c r="B17" s="3">
        <v>7.79</v>
      </c>
      <c r="C17" s="3">
        <f>7.65*D1</f>
        <v>7.65</v>
      </c>
    </row>
    <row r="18" spans="1:3" x14ac:dyDescent="0.25">
      <c r="A18" s="3">
        <f>C1*17.25</f>
        <v>20.7</v>
      </c>
      <c r="B18" s="3">
        <v>17.75</v>
      </c>
      <c r="C18" s="3">
        <f>17.12*D1</f>
        <v>17.12</v>
      </c>
    </row>
    <row r="19" spans="1:3" x14ac:dyDescent="0.25">
      <c r="A19" s="3">
        <f>C1*0</f>
        <v>0</v>
      </c>
      <c r="B19" s="3">
        <v>0</v>
      </c>
      <c r="C19" s="3">
        <f>ABS(-8.49*D1)</f>
        <v>8.49</v>
      </c>
    </row>
    <row r="20" spans="1:3" x14ac:dyDescent="0.25">
      <c r="A20" s="3">
        <f>C1*28.36</f>
        <v>34.031999999999996</v>
      </c>
      <c r="B20" s="3">
        <v>28.07</v>
      </c>
      <c r="C20" s="3">
        <f>31.34*D1</f>
        <v>31.34</v>
      </c>
    </row>
    <row r="21" spans="1:3" x14ac:dyDescent="0.25">
      <c r="A21" s="3">
        <f>C1*5.77</f>
        <v>6.9239999999999995</v>
      </c>
      <c r="B21" s="3">
        <v>5.23</v>
      </c>
      <c r="C21" s="3">
        <f>6.49*D1</f>
        <v>6.49</v>
      </c>
    </row>
    <row r="22" spans="1:3" x14ac:dyDescent="0.25">
      <c r="A22" s="3">
        <f>C1*9.64</f>
        <v>11.568</v>
      </c>
      <c r="B22" s="3">
        <v>9.43</v>
      </c>
      <c r="C22" s="3">
        <f>10.2*D1</f>
        <v>10.199999999999999</v>
      </c>
    </row>
    <row r="23" spans="1:3" x14ac:dyDescent="0.25">
      <c r="A23" s="3">
        <f>ABS(C1*-3.23)</f>
        <v>3.8759999999999999</v>
      </c>
      <c r="B23" s="3">
        <v>-3.79</v>
      </c>
      <c r="C23" s="3">
        <f>ABS(-2.53*D1)</f>
        <v>2.5299999999999998</v>
      </c>
    </row>
    <row r="24" spans="1:3" x14ac:dyDescent="0.25">
      <c r="A24" s="3">
        <f>C1*1.51</f>
        <v>1.8119999999999998</v>
      </c>
      <c r="B24" s="3">
        <v>1.61</v>
      </c>
      <c r="C24" s="3">
        <f>1.48*D1</f>
        <v>1.48</v>
      </c>
    </row>
    <row r="25" spans="1:3" x14ac:dyDescent="0.25">
      <c r="A25" s="3">
        <f>C1*5.26</f>
        <v>6.3119999999999994</v>
      </c>
      <c r="B25" s="3">
        <v>5.64</v>
      </c>
      <c r="C25" s="3">
        <f>4.88*D1</f>
        <v>4.88</v>
      </c>
    </row>
    <row r="29" spans="1:3" x14ac:dyDescent="0.25">
      <c r="A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Lindo</dc:creator>
  <cp:lastModifiedBy>Daniel Lindo</cp:lastModifiedBy>
  <dcterms:created xsi:type="dcterms:W3CDTF">2026-08-01T21:48:05Z</dcterms:created>
  <dcterms:modified xsi:type="dcterms:W3CDTF">2026-08-02T03:04:48Z</dcterms:modified>
</cp:coreProperties>
</file>