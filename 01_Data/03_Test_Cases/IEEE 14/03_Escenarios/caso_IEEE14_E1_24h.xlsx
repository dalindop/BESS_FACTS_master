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3702D05C-543C-479E-828C-BBED2ADFF538}" xr6:coauthVersionLast="47" xr6:coauthVersionMax="47" xr10:uidLastSave="{00000000-0000-0000-0000-000000000000}"/>
  <bookViews>
    <workbookView xWindow="-120" yWindow="-120" windowWidth="29040" windowHeight="15720" firstSheet="1" activeTab="8"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9" l="1"/>
  <c r="E19" i="9"/>
  <c r="F18" i="9"/>
  <c r="E18" i="9"/>
  <c r="F17" i="9"/>
  <c r="E17" i="9"/>
  <c r="F16" i="9"/>
  <c r="E16" i="9"/>
  <c r="F15" i="9"/>
  <c r="E15" i="9"/>
  <c r="F14" i="9"/>
  <c r="E14" i="9"/>
  <c r="F13" i="9"/>
  <c r="E13" i="9"/>
  <c r="F12" i="9"/>
  <c r="E12" i="9"/>
  <c r="F11" i="9"/>
  <c r="E11" i="9"/>
  <c r="F10" i="9"/>
  <c r="E10" i="9"/>
  <c r="F9" i="9"/>
  <c r="E9" i="9"/>
  <c r="F8" i="9"/>
  <c r="E8" i="9"/>
  <c r="F7" i="9"/>
  <c r="E7" i="9"/>
  <c r="F6" i="9"/>
  <c r="E6" i="9"/>
  <c r="E7" i="6"/>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<sst xmlns="http://schemas.openxmlformats.org/spreadsheetml/2006/main" count="295" uniqueCount="163">
  <si>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</si>
  <si>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</si>
  <si>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</si>
  <si>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</si>
  <si>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</si>
  <si>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</si>
  <si>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</si>
  <si>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</si>
  <si>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</si>
  <si>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</si>
  <si>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</si>
  <si>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</si>
  <si>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</si>
  <si>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</si>
  <si>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</si>
  <si>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</si>
  <si>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</si>
  <si>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</si>
  <si>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</si>
  <si>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</si>
  <si>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</si>
  <si>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</si>
  <si>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</si>
  <si>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</si>
  <si>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</si>
  <si>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</si>
  <si>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</si>
  <si>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</si>
  <si>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</si>
  <si>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</si>
  <si>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</si>
  <si>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</si>
  <si>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</si>
  <si>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</si>
  <si>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</si>
  <si>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</si>
  <si>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</si>
  <si>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</si>
  <si>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</si>
  <si>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</si>
  <si>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</si>
  <si>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</si>
  <si>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</si>
  <si>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</si>
  <si>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</si>
  <si>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</si>
  <si>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</si>
  <si>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</si>
  <si>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</si>
  <si>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</si>
  <si>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</si>
  <si>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</si>
  <si>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</si>
  <si>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</si>
  <si>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</si>
  <si>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</si>
  <si>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</si>
  <si>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</si>
  <si>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</si>
  <si>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</si>
  <si>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</si>
  <si>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</si>
  <si>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</si>
  <si>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</si>
  <si>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</si>
  <si>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</si>
  <si>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</si>
  <si>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</si>
  <si>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</si>
  <si>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</si>
  <si>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</si>
  <si>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</si>
  <si>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</si>
  <si>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</si>
  <si>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</si>
  <si>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</si>
  <si>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</si>
  <si>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</si>
  <si>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</si>
  <si>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</si>
  <si>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</si>
  <si>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</si>
  <si>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</si>
  <si>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</si>
  <si>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</si>
  <si>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</si>
  <si>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</si>
  <si>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</si>
  <si>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</si>
  <si>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</si>
  <si>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</si>
  <si>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</si>
  <si>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</si>
  <si>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</si>
  <si>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</si>
  <si>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</si>
  <si>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</si>
  <si>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</si>
  <si>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</si>
  <si>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</si>
  <si>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</si>
  <si>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</si>
  <si>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</si>
  <si>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</si>
  <si>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</si>
  <si>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</si>
  <si>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</si>
  <si>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</si>
  <si>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</si>
  <si>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</si>
  <si>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</si>
  <si>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</si>
  <si>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</si>
  <si>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</si>
  <si>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</si>
  <si>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</si>
  <si>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</si>
  <si>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</si>
  <si>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</si>
  <si>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</si>
  <si>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</si>
  <si>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</si>
  <si>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</si>
  <si>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</si>
  <si>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</si>
  <si>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</si>
  <si>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</si>
  <si>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</si>
  <si>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</si>
  <si>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</si>
  <si>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</si>
  <si>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</si>
  <si>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</si>
  <si>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</si>
  <si>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</si>
  <si>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</si>
  <si>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</si>
  <si>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</si>
  <si>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</si>
  <si>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</si>
  <si>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</si>
  <si>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</si>
  <si>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</si>
  <si>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</si>
  <si>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</si>
  <si>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</si>
  <si>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</si>
  <si>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</si>
  <si>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</si>
  <si>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</si>
  <si>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</si>
  <si>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</si>
  <si>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</si>
  <si>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</si>
  <si>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</si>
  <si>
    <t>habilitada</t>
  </si>
  <si>
    <t>sigma_niveles</t>
  </si>
  <si>
    <t>[USD/MVAr]</t>
  </si>
  <si>
    <t>c_tcsc</t>
  </si>
  <si>
    <t>theta_max_grados</t>
  </si>
  <si>
    <t>solver</t>
  </si>
  <si>
    <t>gurobi</t>
  </si>
  <si>
    <t>0.15,0.30,0.45,0.60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</si>
</sst>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2" fontId="6" fillId="3" borderId="1" xfId="1" applyNumberFormat="1" applyBorder="1" applyAlignment="1">
      <alignment horizontal="center" vertical="center"/>
    </xf>
    <xf numFmtId="43" fontId="5" fillId="0" borderId="1" xfId="2" applyFont="1" applyBorder="1" applyAlignment="1">
      <alignment horizontal="center" vertical="center"/>
    </xf>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103</v>
      </c>
    </row>
    <row r="22" spans="1:1" x14ac:dyDescent="0.25">
      <c r="A22" s="2"/>
    </row>
    <row r="23" spans="1:1" x14ac:dyDescent="0.25">
      <c r="A23" s="2" t="s">
        <v>16</v>
      </c>
    </row>
    <row r="24" spans="1:1" x14ac:dyDescent="0.25">
      <c r="A24" s="2" t="s">
        <v>104</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B18" sqref="B18"/>
    </sheetView>
  </sheetViews>
  <sheetFormatPr defaultRowHeight="15" x14ac:dyDescent="0.25"/>
  <cols>
    <col min="1" max="1" width="44.42578125" bestFit="1" customWidth="1"/>
    <col min="2" max="2" width="21.8554687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105</v>
      </c>
      <c r="B12" s="7">
        <v>15</v>
      </c>
      <c r="C12" s="8" t="s">
        <v>108</v>
      </c>
    </row>
    <row r="13" spans="1:3" x14ac:dyDescent="0.25">
      <c r="A13" s="8" t="s">
        <v>106</v>
      </c>
      <c r="B13" s="7">
        <v>20</v>
      </c>
      <c r="C13" s="8" t="s">
        <v>107</v>
      </c>
    </row>
    <row r="14" spans="1:3" x14ac:dyDescent="0.25">
      <c r="A14" s="10" t="s">
        <v>126</v>
      </c>
      <c r="B14" s="11">
        <v>1</v>
      </c>
      <c r="C14" s="10" t="s">
        <v>127</v>
      </c>
    </row>
    <row r="15" spans="1:3" x14ac:dyDescent="0.25">
      <c r="A15" s="10" t="s">
        <v>153</v>
      </c>
      <c r="B15" s="11">
        <v>0.115</v>
      </c>
      <c r="C15" s="10" t="s">
        <v>154</v>
      </c>
    </row>
    <row r="16" spans="1:3" x14ac:dyDescent="0.25">
      <c r="A16" s="10" t="s">
        <v>158</v>
      </c>
      <c r="B16" s="11">
        <v>135000</v>
      </c>
      <c r="C16" s="10" t="s">
        <v>157</v>
      </c>
    </row>
    <row r="17" spans="1:2" x14ac:dyDescent="0.25">
      <c r="A17" s="10" t="s">
        <v>156</v>
      </c>
      <c r="B17" s="11" t="s">
        <v>162</v>
      </c>
    </row>
    <row r="18" spans="1:2" x14ac:dyDescent="0.25">
      <c r="A18" s="10" t="s">
        <v>159</v>
      </c>
      <c r="B18" s="11">
        <v>20</v>
      </c>
    </row>
    <row r="19" spans="1:2" x14ac:dyDescent="0.25">
      <c r="A19" s="10" t="s">
        <v>160</v>
      </c>
      <c r="B19" s="11" t="s">
        <v>161</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C28" sqref="C2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109</v>
      </c>
      <c r="B6" s="5" t="s">
        <v>128</v>
      </c>
      <c r="C6" s="5">
        <v>0</v>
      </c>
    </row>
    <row r="7" spans="1:3" x14ac:dyDescent="0.25">
      <c r="A7" s="5" t="s">
        <v>110</v>
      </c>
      <c r="B7" s="5" t="s">
        <v>129</v>
      </c>
      <c r="C7" s="5">
        <v>21.7</v>
      </c>
    </row>
    <row r="8" spans="1:3" x14ac:dyDescent="0.25">
      <c r="A8" s="5" t="s">
        <v>111</v>
      </c>
      <c r="B8" s="5" t="s">
        <v>130</v>
      </c>
      <c r="C8" s="5">
        <v>94.2</v>
      </c>
    </row>
    <row r="9" spans="1:3" x14ac:dyDescent="0.25">
      <c r="A9" s="5" t="s">
        <v>41</v>
      </c>
      <c r="B9" s="5" t="s">
        <v>131</v>
      </c>
      <c r="C9" s="5">
        <v>47.8</v>
      </c>
    </row>
    <row r="10" spans="1:3" x14ac:dyDescent="0.25">
      <c r="A10" s="5" t="s">
        <v>42</v>
      </c>
      <c r="B10" s="5" t="s">
        <v>131</v>
      </c>
      <c r="C10" s="5">
        <v>7.6</v>
      </c>
    </row>
    <row r="11" spans="1:3" x14ac:dyDescent="0.25">
      <c r="A11" s="5" t="s">
        <v>43</v>
      </c>
      <c r="B11" s="5" t="s">
        <v>130</v>
      </c>
      <c r="C11" s="5">
        <v>11.2</v>
      </c>
    </row>
    <row r="12" spans="1:3" x14ac:dyDescent="0.25">
      <c r="A12" s="5" t="s">
        <v>132</v>
      </c>
      <c r="B12" s="5" t="s">
        <v>131</v>
      </c>
      <c r="C12" s="5">
        <v>0</v>
      </c>
    </row>
    <row r="13" spans="1:3" x14ac:dyDescent="0.25">
      <c r="A13" s="5" t="s">
        <v>133</v>
      </c>
      <c r="B13" s="5" t="s">
        <v>130</v>
      </c>
      <c r="C13" s="5">
        <v>0</v>
      </c>
    </row>
    <row r="14" spans="1:3" x14ac:dyDescent="0.25">
      <c r="A14" s="5" t="s">
        <v>134</v>
      </c>
      <c r="B14" s="5" t="s">
        <v>131</v>
      </c>
      <c r="C14" s="5">
        <v>29.5</v>
      </c>
    </row>
    <row r="15" spans="1:3" x14ac:dyDescent="0.25">
      <c r="A15" s="5" t="s">
        <v>135</v>
      </c>
      <c r="B15" s="5" t="s">
        <v>131</v>
      </c>
      <c r="C15" s="5">
        <v>9</v>
      </c>
    </row>
    <row r="16" spans="1:3" x14ac:dyDescent="0.25">
      <c r="A16" s="5" t="s">
        <v>136</v>
      </c>
      <c r="B16" s="5" t="s">
        <v>131</v>
      </c>
      <c r="C16" s="5">
        <v>3.5</v>
      </c>
    </row>
    <row r="17" spans="1:3" x14ac:dyDescent="0.25">
      <c r="A17" s="5" t="s">
        <v>137</v>
      </c>
      <c r="B17" s="5" t="s">
        <v>131</v>
      </c>
      <c r="C17" s="5">
        <v>6.1</v>
      </c>
    </row>
    <row r="18" spans="1:3" x14ac:dyDescent="0.25">
      <c r="A18" s="5" t="s">
        <v>138</v>
      </c>
      <c r="B18" s="5" t="s">
        <v>131</v>
      </c>
      <c r="C18" s="5">
        <v>13.5</v>
      </c>
    </row>
    <row r="19" spans="1:3" x14ac:dyDescent="0.25">
      <c r="A19" s="5" t="s">
        <v>139</v>
      </c>
      <c r="B19" s="5" t="s">
        <v>131</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A6" sqref="A6:A25"/>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112</v>
      </c>
      <c r="B6" s="5" t="s">
        <v>109</v>
      </c>
      <c r="C6" s="5" t="s">
        <v>110</v>
      </c>
      <c r="D6" s="5">
        <v>1.9380000000000001E-2</v>
      </c>
      <c r="E6" s="5">
        <v>5.917E-2</v>
      </c>
      <c r="F6" s="14">
        <v>155.60399999999998</v>
      </c>
    </row>
    <row r="7" spans="1:6" x14ac:dyDescent="0.25">
      <c r="A7" s="5" t="s">
        <v>113</v>
      </c>
      <c r="B7" s="5" t="s">
        <v>109</v>
      </c>
      <c r="C7" s="5" t="s">
        <v>42</v>
      </c>
      <c r="D7" s="5">
        <v>5.4030000000000002E-2</v>
      </c>
      <c r="E7" s="5">
        <v>0.22303999999999999</v>
      </c>
      <c r="F7" s="14">
        <v>77.591999999999999</v>
      </c>
    </row>
    <row r="8" spans="1:6" x14ac:dyDescent="0.25">
      <c r="A8" s="5" t="s">
        <v>114</v>
      </c>
      <c r="B8" s="5" t="s">
        <v>110</v>
      </c>
      <c r="C8" s="5" t="s">
        <v>111</v>
      </c>
      <c r="D8" s="5">
        <v>4.6989999999999997E-2</v>
      </c>
      <c r="E8" s="5">
        <v>0.19797000000000001</v>
      </c>
      <c r="F8" s="14">
        <v>66.707999999999998</v>
      </c>
    </row>
    <row r="9" spans="1:6" x14ac:dyDescent="0.25">
      <c r="A9" s="5" t="s">
        <v>115</v>
      </c>
      <c r="B9" s="5" t="s">
        <v>110</v>
      </c>
      <c r="C9" s="5" t="s">
        <v>41</v>
      </c>
      <c r="D9" s="5">
        <v>5.8110000000000002E-2</v>
      </c>
      <c r="E9" s="5">
        <v>0.17632</v>
      </c>
      <c r="F9" s="14">
        <v>58.704000000000001</v>
      </c>
    </row>
    <row r="10" spans="1:6" x14ac:dyDescent="0.25">
      <c r="A10" s="5" t="s">
        <v>116</v>
      </c>
      <c r="B10" s="5" t="s">
        <v>110</v>
      </c>
      <c r="C10" s="5" t="s">
        <v>42</v>
      </c>
      <c r="D10" s="5">
        <v>5.6950000000000001E-2</v>
      </c>
      <c r="E10" s="5">
        <v>0.17388000000000001</v>
      </c>
      <c r="F10" s="14">
        <v>44.735999999999997</v>
      </c>
    </row>
    <row r="11" spans="1:6" x14ac:dyDescent="0.25">
      <c r="A11" s="5" t="s">
        <v>117</v>
      </c>
      <c r="B11" s="5" t="s">
        <v>111</v>
      </c>
      <c r="C11" s="5" t="s">
        <v>41</v>
      </c>
      <c r="D11" s="5">
        <v>6.701E-2</v>
      </c>
      <c r="E11" s="5">
        <v>0.17102999999999999</v>
      </c>
      <c r="F11" s="14">
        <v>13.452</v>
      </c>
    </row>
    <row r="12" spans="1:6" x14ac:dyDescent="0.25">
      <c r="A12" s="5" t="s">
        <v>118</v>
      </c>
      <c r="B12" s="5" t="s">
        <v>41</v>
      </c>
      <c r="C12" s="5" t="s">
        <v>42</v>
      </c>
      <c r="D12" s="5">
        <v>1.3350000000000001E-2</v>
      </c>
      <c r="E12" s="5">
        <v>4.2110000000000002E-2</v>
      </c>
      <c r="F12" s="14">
        <v>59.003999999999998</v>
      </c>
    </row>
    <row r="13" spans="1:6" x14ac:dyDescent="0.25">
      <c r="A13" s="5" t="s">
        <v>119</v>
      </c>
      <c r="B13" s="5" t="s">
        <v>41</v>
      </c>
      <c r="C13" s="5" t="s">
        <v>132</v>
      </c>
      <c r="D13" s="5">
        <v>0</v>
      </c>
      <c r="E13" s="5">
        <v>0.20912</v>
      </c>
      <c r="F13" s="14">
        <v>27.42</v>
      </c>
    </row>
    <row r="14" spans="1:6" x14ac:dyDescent="0.25">
      <c r="A14" s="5" t="s">
        <v>120</v>
      </c>
      <c r="B14" s="5" t="s">
        <v>41</v>
      </c>
      <c r="C14" s="5" t="s">
        <v>134</v>
      </c>
      <c r="D14" s="5">
        <v>0</v>
      </c>
      <c r="E14" s="5">
        <v>0.55618000000000001</v>
      </c>
      <c r="F14" s="14">
        <v>17.808</v>
      </c>
    </row>
    <row r="15" spans="1:6" x14ac:dyDescent="0.25">
      <c r="A15" s="5" t="s">
        <v>121</v>
      </c>
      <c r="B15" s="5" t="s">
        <v>42</v>
      </c>
      <c r="C15" s="5" t="s">
        <v>43</v>
      </c>
      <c r="D15" s="5">
        <v>0</v>
      </c>
      <c r="E15" s="5">
        <v>0.25202000000000002</v>
      </c>
      <c r="F15" s="14">
        <v>50.472000000000001</v>
      </c>
    </row>
    <row r="16" spans="1:6" x14ac:dyDescent="0.25">
      <c r="A16" s="5" t="s">
        <v>122</v>
      </c>
      <c r="B16" s="5" t="s">
        <v>43</v>
      </c>
      <c r="C16" s="5" t="s">
        <v>136</v>
      </c>
      <c r="D16" s="5">
        <v>9.4979999999999995E-2</v>
      </c>
      <c r="E16" s="5">
        <v>0.19889999999999999</v>
      </c>
      <c r="F16" s="14">
        <v>7.3079999999999998</v>
      </c>
    </row>
    <row r="17" spans="1:6" x14ac:dyDescent="0.25">
      <c r="A17" s="5" t="s">
        <v>140</v>
      </c>
      <c r="B17" s="5" t="s">
        <v>43</v>
      </c>
      <c r="C17" s="5" t="s">
        <v>137</v>
      </c>
      <c r="D17" s="5">
        <v>0.12291000000000001</v>
      </c>
      <c r="E17" s="5">
        <v>0.25580999999999998</v>
      </c>
      <c r="F17" s="14">
        <v>9.18</v>
      </c>
    </row>
    <row r="18" spans="1:6" x14ac:dyDescent="0.25">
      <c r="A18" s="5" t="s">
        <v>141</v>
      </c>
      <c r="B18" s="5" t="s">
        <v>43</v>
      </c>
      <c r="C18" s="5" t="s">
        <v>138</v>
      </c>
      <c r="D18" s="5">
        <v>6.615E-2</v>
      </c>
      <c r="E18" s="5">
        <v>0.13027</v>
      </c>
      <c r="F18" s="14">
        <v>20.544</v>
      </c>
    </row>
    <row r="19" spans="1:6" x14ac:dyDescent="0.25">
      <c r="A19" s="5" t="s">
        <v>142</v>
      </c>
      <c r="B19" s="5" t="s">
        <v>132</v>
      </c>
      <c r="C19" s="5" t="s">
        <v>133</v>
      </c>
      <c r="D19" s="5">
        <v>0</v>
      </c>
      <c r="E19" s="5">
        <v>0.17615</v>
      </c>
      <c r="F19" s="14">
        <v>10.188000000000001</v>
      </c>
    </row>
    <row r="20" spans="1:6" x14ac:dyDescent="0.25">
      <c r="A20" s="5" t="s">
        <v>143</v>
      </c>
      <c r="B20" s="5" t="s">
        <v>132</v>
      </c>
      <c r="C20" s="5" t="s">
        <v>134</v>
      </c>
      <c r="D20" s="5">
        <v>0</v>
      </c>
      <c r="E20" s="5">
        <v>0.11001</v>
      </c>
      <c r="F20" s="14">
        <v>37.607999999999997</v>
      </c>
    </row>
    <row r="21" spans="1:6" x14ac:dyDescent="0.25">
      <c r="A21" s="5" t="s">
        <v>144</v>
      </c>
      <c r="B21" s="5" t="s">
        <v>134</v>
      </c>
      <c r="C21" s="5" t="s">
        <v>135</v>
      </c>
      <c r="D21" s="5">
        <v>3.1809999999999998E-2</v>
      </c>
      <c r="E21" s="5">
        <v>8.4500000000000006E-2</v>
      </c>
      <c r="F21" s="14">
        <v>7.7880000000000003</v>
      </c>
    </row>
    <row r="22" spans="1:6" x14ac:dyDescent="0.25">
      <c r="A22" s="5" t="s">
        <v>145</v>
      </c>
      <c r="B22" s="5" t="s">
        <v>134</v>
      </c>
      <c r="C22" s="5" t="s">
        <v>139</v>
      </c>
      <c r="D22" s="5">
        <v>0.12711</v>
      </c>
      <c r="E22" s="5">
        <v>0.27038000000000001</v>
      </c>
      <c r="F22" s="14">
        <v>12.239999999999998</v>
      </c>
    </row>
    <row r="23" spans="1:6" x14ac:dyDescent="0.25">
      <c r="A23" s="5" t="s">
        <v>146</v>
      </c>
      <c r="B23" s="5" t="s">
        <v>135</v>
      </c>
      <c r="C23" s="5" t="s">
        <v>136</v>
      </c>
      <c r="D23" s="5">
        <v>8.2049999999999998E-2</v>
      </c>
      <c r="E23" s="5">
        <v>0.19206999999999999</v>
      </c>
      <c r="F23" s="14">
        <v>3.0359999999999996</v>
      </c>
    </row>
    <row r="24" spans="1:6" x14ac:dyDescent="0.25">
      <c r="A24" s="5" t="s">
        <v>147</v>
      </c>
      <c r="B24" s="5" t="s">
        <v>137</v>
      </c>
      <c r="C24" s="5" t="s">
        <v>138</v>
      </c>
      <c r="D24" s="5">
        <v>0.22092000000000001</v>
      </c>
      <c r="E24" s="5">
        <v>0.19988</v>
      </c>
      <c r="F24" s="14">
        <v>1.776</v>
      </c>
    </row>
    <row r="25" spans="1:6" x14ac:dyDescent="0.25">
      <c r="A25" s="5" t="s">
        <v>148</v>
      </c>
      <c r="B25" s="5" t="s">
        <v>138</v>
      </c>
      <c r="C25" s="5" t="s">
        <v>139</v>
      </c>
      <c r="D25" s="5">
        <v>0.17093</v>
      </c>
      <c r="E25" s="5">
        <v>0.34802</v>
      </c>
      <c r="F25" s="14">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F27" sqref="F27"/>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152</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123</v>
      </c>
      <c r="B6" s="5" t="s">
        <v>109</v>
      </c>
      <c r="C6" s="5">
        <v>0</v>
      </c>
      <c r="D6" s="5">
        <v>332.4</v>
      </c>
      <c r="E6" s="9">
        <f>D6/2</f>
        <v>166.2</v>
      </c>
      <c r="F6" s="12">
        <v>4.3029259899999998E-2</v>
      </c>
      <c r="G6" s="5">
        <v>20</v>
      </c>
      <c r="H6" s="5">
        <v>0</v>
      </c>
      <c r="I6" s="9">
        <v>1</v>
      </c>
      <c r="J6" s="9">
        <v>8</v>
      </c>
      <c r="K6" s="9">
        <v>8</v>
      </c>
      <c r="L6" s="9">
        <v>2000</v>
      </c>
      <c r="M6" s="9">
        <f>L6/2</f>
        <v>1000</v>
      </c>
    </row>
    <row r="7" spans="1:13" x14ac:dyDescent="0.25">
      <c r="A7" s="5" t="s">
        <v>124</v>
      </c>
      <c r="B7" s="5" t="s">
        <v>110</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125</v>
      </c>
      <c r="B8" s="5" t="s">
        <v>111</v>
      </c>
      <c r="C8" s="5">
        <v>0</v>
      </c>
      <c r="D8" s="5">
        <v>100</v>
      </c>
      <c r="E8" s="9">
        <f t="shared" si="0"/>
        <v>50</v>
      </c>
      <c r="F8" s="5">
        <v>0.01</v>
      </c>
      <c r="G8" s="5">
        <v>40</v>
      </c>
      <c r="H8" s="5">
        <v>0</v>
      </c>
      <c r="I8" s="9">
        <v>0</v>
      </c>
      <c r="J8" s="9">
        <v>3</v>
      </c>
      <c r="K8" s="9">
        <v>2</v>
      </c>
      <c r="L8" s="9">
        <v>100</v>
      </c>
      <c r="M8" s="9">
        <v>50</v>
      </c>
    </row>
    <row r="9" spans="1:13" x14ac:dyDescent="0.25">
      <c r="A9" s="5" t="s">
        <v>149</v>
      </c>
      <c r="B9" s="5" t="s">
        <v>43</v>
      </c>
      <c r="C9" s="5">
        <v>0</v>
      </c>
      <c r="D9" s="5">
        <v>100</v>
      </c>
      <c r="E9" s="9">
        <f t="shared" si="0"/>
        <v>50</v>
      </c>
      <c r="F9" s="5">
        <v>0.01</v>
      </c>
      <c r="G9" s="5">
        <v>40</v>
      </c>
      <c r="H9" s="5">
        <v>0</v>
      </c>
      <c r="I9" s="9">
        <v>0</v>
      </c>
      <c r="J9" s="9">
        <v>3</v>
      </c>
      <c r="K9" s="9">
        <v>2</v>
      </c>
      <c r="L9" s="9">
        <v>100</v>
      </c>
      <c r="M9" s="9">
        <v>50</v>
      </c>
    </row>
    <row r="10" spans="1:13" x14ac:dyDescent="0.25">
      <c r="A10" s="5" t="s">
        <v>150</v>
      </c>
      <c r="B10" s="5" t="s">
        <v>133</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9"/>
  <sheetViews>
    <sheetView tabSelected="1" workbookViewId="0">
      <selection activeCell="D12" sqref="D12"/>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6" spans="1:9" x14ac:dyDescent="0.25">
      <c r="A6" s="5" t="s">
        <v>109</v>
      </c>
      <c r="B6" s="5">
        <v>0</v>
      </c>
      <c r="C6" s="15">
        <v>372000</v>
      </c>
      <c r="D6" s="15">
        <v>241000</v>
      </c>
      <c r="E6" s="13">
        <f>SQRT(0.85)</f>
        <v>0.92195444572928875</v>
      </c>
      <c r="F6" s="13">
        <f>SQRT(0.85)</f>
        <v>0.92195444572928875</v>
      </c>
      <c r="G6" s="5">
        <v>1.25E-4</v>
      </c>
      <c r="H6" s="5">
        <v>0.3</v>
      </c>
      <c r="I6" s="5">
        <v>4</v>
      </c>
    </row>
    <row r="7" spans="1:9" x14ac:dyDescent="0.25">
      <c r="A7" s="5" t="s">
        <v>110</v>
      </c>
      <c r="B7" s="5">
        <v>0</v>
      </c>
      <c r="C7" s="15">
        <v>372000</v>
      </c>
      <c r="D7" s="15">
        <v>241000</v>
      </c>
      <c r="E7" s="13">
        <f t="shared" ref="E7:F19" si="0">SQRT(0.85)</f>
        <v>0.92195444572928875</v>
      </c>
      <c r="F7" s="13">
        <f t="shared" si="0"/>
        <v>0.92195444572928875</v>
      </c>
      <c r="G7" s="5">
        <v>1.25E-4</v>
      </c>
      <c r="H7" s="5">
        <v>0.3</v>
      </c>
      <c r="I7" s="5">
        <v>4</v>
      </c>
    </row>
    <row r="8" spans="1:9" x14ac:dyDescent="0.25">
      <c r="A8" s="5" t="s">
        <v>111</v>
      </c>
      <c r="B8" s="5">
        <v>0</v>
      </c>
      <c r="C8" s="15">
        <v>372000</v>
      </c>
      <c r="D8" s="15">
        <v>241000</v>
      </c>
      <c r="E8" s="13">
        <f t="shared" si="0"/>
        <v>0.92195444572928875</v>
      </c>
      <c r="F8" s="13">
        <f t="shared" si="0"/>
        <v>0.92195444572928875</v>
      </c>
      <c r="G8" s="5">
        <v>1.25E-4</v>
      </c>
      <c r="H8" s="5">
        <v>0.3</v>
      </c>
      <c r="I8" s="5">
        <v>4</v>
      </c>
    </row>
    <row r="9" spans="1:9" x14ac:dyDescent="0.25">
      <c r="A9" s="5" t="s">
        <v>41</v>
      </c>
      <c r="B9" s="5">
        <v>0</v>
      </c>
      <c r="C9" s="15">
        <v>372000</v>
      </c>
      <c r="D9" s="15">
        <v>241000</v>
      </c>
      <c r="E9" s="13">
        <f t="shared" si="0"/>
        <v>0.92195444572928875</v>
      </c>
      <c r="F9" s="13">
        <f t="shared" si="0"/>
        <v>0.92195444572928875</v>
      </c>
      <c r="G9" s="5">
        <v>1.25E-4</v>
      </c>
      <c r="H9" s="5">
        <v>0.3</v>
      </c>
      <c r="I9" s="5">
        <v>4</v>
      </c>
    </row>
    <row r="10" spans="1:9" x14ac:dyDescent="0.25">
      <c r="A10" s="5" t="s">
        <v>42</v>
      </c>
      <c r="B10" s="5">
        <v>0</v>
      </c>
      <c r="C10" s="15">
        <v>372000</v>
      </c>
      <c r="D10" s="15">
        <v>241000</v>
      </c>
      <c r="E10" s="13">
        <f t="shared" si="0"/>
        <v>0.92195444572928875</v>
      </c>
      <c r="F10" s="13">
        <f t="shared" si="0"/>
        <v>0.92195444572928875</v>
      </c>
      <c r="G10" s="5">
        <v>1.25E-4</v>
      </c>
      <c r="H10" s="5">
        <v>0.3</v>
      </c>
      <c r="I10" s="5">
        <v>4</v>
      </c>
    </row>
    <row r="11" spans="1:9" x14ac:dyDescent="0.25">
      <c r="A11" s="5" t="s">
        <v>43</v>
      </c>
      <c r="B11" s="5">
        <v>0</v>
      </c>
      <c r="C11" s="15">
        <v>372000</v>
      </c>
      <c r="D11" s="15">
        <v>241000</v>
      </c>
      <c r="E11" s="13">
        <f t="shared" si="0"/>
        <v>0.92195444572928875</v>
      </c>
      <c r="F11" s="13">
        <f t="shared" si="0"/>
        <v>0.92195444572928875</v>
      </c>
      <c r="G11" s="5">
        <v>1.25E-4</v>
      </c>
      <c r="H11" s="5">
        <v>0.3</v>
      </c>
      <c r="I11" s="5">
        <v>4</v>
      </c>
    </row>
    <row r="12" spans="1:9" x14ac:dyDescent="0.25">
      <c r="A12" s="5" t="s">
        <v>132</v>
      </c>
      <c r="B12" s="5">
        <v>0</v>
      </c>
      <c r="C12" s="15">
        <v>372000</v>
      </c>
      <c r="D12" s="15">
        <v>241000</v>
      </c>
      <c r="E12" s="13">
        <f t="shared" si="0"/>
        <v>0.92195444572928875</v>
      </c>
      <c r="F12" s="13">
        <f t="shared" si="0"/>
        <v>0.92195444572928875</v>
      </c>
      <c r="G12" s="5">
        <v>1.25E-4</v>
      </c>
      <c r="H12" s="5">
        <v>0.3</v>
      </c>
      <c r="I12" s="5">
        <v>4</v>
      </c>
    </row>
    <row r="13" spans="1:9" x14ac:dyDescent="0.25">
      <c r="A13" s="5" t="s">
        <v>133</v>
      </c>
      <c r="B13" s="5">
        <v>0</v>
      </c>
      <c r="C13" s="15">
        <v>372000</v>
      </c>
      <c r="D13" s="15">
        <v>241000</v>
      </c>
      <c r="E13" s="13">
        <f t="shared" si="0"/>
        <v>0.92195444572928875</v>
      </c>
      <c r="F13" s="13">
        <f t="shared" si="0"/>
        <v>0.92195444572928875</v>
      </c>
      <c r="G13" s="5">
        <v>1.25E-4</v>
      </c>
      <c r="H13" s="5">
        <v>0.3</v>
      </c>
      <c r="I13" s="5">
        <v>4</v>
      </c>
    </row>
    <row r="14" spans="1:9" x14ac:dyDescent="0.25">
      <c r="A14" s="5" t="s">
        <v>134</v>
      </c>
      <c r="B14" s="5">
        <v>0</v>
      </c>
      <c r="C14" s="15">
        <v>372000</v>
      </c>
      <c r="D14" s="15">
        <v>241000</v>
      </c>
      <c r="E14" s="13">
        <f t="shared" si="0"/>
        <v>0.92195444572928875</v>
      </c>
      <c r="F14" s="13">
        <f t="shared" si="0"/>
        <v>0.92195444572928875</v>
      </c>
      <c r="G14" s="5">
        <v>1.25E-4</v>
      </c>
      <c r="H14" s="5">
        <v>0.3</v>
      </c>
      <c r="I14" s="5">
        <v>4</v>
      </c>
    </row>
    <row r="15" spans="1:9" x14ac:dyDescent="0.25">
      <c r="A15" s="5" t="s">
        <v>135</v>
      </c>
      <c r="B15" s="5">
        <v>0</v>
      </c>
      <c r="C15" s="15">
        <v>372000</v>
      </c>
      <c r="D15" s="15">
        <v>241000</v>
      </c>
      <c r="E15" s="13">
        <f t="shared" si="0"/>
        <v>0.92195444572928875</v>
      </c>
      <c r="F15" s="13">
        <f t="shared" si="0"/>
        <v>0.92195444572928875</v>
      </c>
      <c r="G15" s="5">
        <v>1.25E-4</v>
      </c>
      <c r="H15" s="5">
        <v>0.3</v>
      </c>
      <c r="I15" s="5">
        <v>4</v>
      </c>
    </row>
    <row r="16" spans="1:9" x14ac:dyDescent="0.25">
      <c r="A16" s="5" t="s">
        <v>136</v>
      </c>
      <c r="B16" s="5">
        <v>0</v>
      </c>
      <c r="C16" s="15">
        <v>372000</v>
      </c>
      <c r="D16" s="15">
        <v>241000</v>
      </c>
      <c r="E16" s="13">
        <f t="shared" si="0"/>
        <v>0.92195444572928875</v>
      </c>
      <c r="F16" s="13">
        <f t="shared" si="0"/>
        <v>0.92195444572928875</v>
      </c>
      <c r="G16" s="5">
        <v>1.25E-4</v>
      </c>
      <c r="H16" s="5">
        <v>0.3</v>
      </c>
      <c r="I16" s="5">
        <v>4</v>
      </c>
    </row>
    <row r="17" spans="1:9" x14ac:dyDescent="0.25">
      <c r="A17" s="5" t="s">
        <v>137</v>
      </c>
      <c r="B17" s="5">
        <v>0</v>
      </c>
      <c r="C17" s="15">
        <v>372000</v>
      </c>
      <c r="D17" s="15">
        <v>241000</v>
      </c>
      <c r="E17" s="13">
        <f t="shared" si="0"/>
        <v>0.92195444572928875</v>
      </c>
      <c r="F17" s="13">
        <f t="shared" si="0"/>
        <v>0.92195444572928875</v>
      </c>
      <c r="G17" s="5">
        <v>1.25E-4</v>
      </c>
      <c r="H17" s="5">
        <v>0.3</v>
      </c>
      <c r="I17" s="5">
        <v>4</v>
      </c>
    </row>
    <row r="18" spans="1:9" x14ac:dyDescent="0.25">
      <c r="A18" s="5" t="s">
        <v>138</v>
      </c>
      <c r="B18" s="5">
        <v>0</v>
      </c>
      <c r="C18" s="15">
        <v>372000</v>
      </c>
      <c r="D18" s="15">
        <v>241000</v>
      </c>
      <c r="E18" s="13">
        <f t="shared" si="0"/>
        <v>0.92195444572928875</v>
      </c>
      <c r="F18" s="13">
        <f t="shared" si="0"/>
        <v>0.92195444572928875</v>
      </c>
      <c r="G18" s="5">
        <v>1.25E-4</v>
      </c>
      <c r="H18" s="5">
        <v>0.3</v>
      </c>
      <c r="I18" s="5">
        <v>4</v>
      </c>
    </row>
    <row r="19" spans="1:9" x14ac:dyDescent="0.25">
      <c r="A19" s="5" t="s">
        <v>139</v>
      </c>
      <c r="B19" s="5">
        <v>0</v>
      </c>
      <c r="C19" s="15">
        <v>372000</v>
      </c>
      <c r="D19" s="15">
        <v>241000</v>
      </c>
      <c r="E19" s="13">
        <f t="shared" si="0"/>
        <v>0.92195444572928875</v>
      </c>
      <c r="F19" s="13">
        <f t="shared" si="0"/>
        <v>0.92195444572928875</v>
      </c>
      <c r="G19" s="5">
        <v>1.25E-4</v>
      </c>
      <c r="H19" s="5">
        <v>0.3</v>
      </c>
      <c r="I19" s="5">
        <v>4</v>
      </c>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workbookViewId="0">
      <selection activeCell="E23" sqref="E23:E24"/>
    </sheetView>
  </sheetViews>
  <sheetFormatPr defaultRowHeight="15" x14ac:dyDescent="0.25"/>
  <cols>
    <col min="1" max="2" width="16" customWidth="1"/>
  </cols>
  <sheetData>
    <row r="1" spans="1:2" ht="18.75" x14ac:dyDescent="0.3">
      <c r="A1" s="1" t="s">
        <v>98</v>
      </c>
    </row>
    <row r="2" spans="1:2" x14ac:dyDescent="0.25">
      <c r="A2" s="2" t="s">
        <v>99</v>
      </c>
    </row>
    <row r="4" spans="1:2" x14ac:dyDescent="0.25">
      <c r="A4" s="3" t="s">
        <v>100</v>
      </c>
      <c r="B4" s="3" t="s">
        <v>155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I13" sqref="I13"/>
    </sheetView>
  </sheetViews>
  <sheetFormatPr defaultRowHeight="15" x14ac:dyDescent="0.25"/>
  <cols>
    <col min="1" max="3" width="16" customWidth="1"/>
  </cols>
  <sheetData>
    <row r="1" spans="1:12" ht="18.75" x14ac:dyDescent="0.3">
      <c r="A1" s="1" t="s">
        <v>101</v>
      </c>
    </row>
    <row r="2" spans="1:12" x14ac:dyDescent="0.25">
      <c r="A2" s="2" t="s">
        <v>102</v>
      </c>
    </row>
    <row r="4" spans="1:12" x14ac:dyDescent="0.25">
      <c r="A4" s="3" t="s">
        <v>151</v>
      </c>
      <c r="B4" s="3" t="s">
        <v>110</v>
      </c>
      <c r="C4" s="3" t="s">
        <v>111</v>
      </c>
      <c r="D4" s="3" t="s">
        <v>41</v>
      </c>
      <c r="E4" s="3" t="s">
        <v>42</v>
      </c>
      <c r="F4" s="3" t="s">
        <v>43</v>
      </c>
      <c r="G4" s="3" t="s">
        <v>134</v>
      </c>
      <c r="H4" s="3" t="s">
        <v>135</v>
      </c>
      <c r="I4" s="3" t="s">
        <v>136</v>
      </c>
      <c r="J4" s="3" t="s">
        <v>137</v>
      </c>
      <c r="K4" s="3" t="s">
        <v>138</v>
      </c>
      <c r="L4" s="3" t="s">
        <v>139</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2026-08-17T17:04:48Z</dcterms:modified>
</cp:coreProperties>
</file>