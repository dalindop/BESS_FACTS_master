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:\My Drive\2. Universidad Nacional de Colombia\2. Postgraduate\1_SEMESTER\TESIS DE MAESTRIA\2nd Search\04_TESIS_DANIEL\03_CODIGO_TRABAJO_DANIEL\BESS_FACTS_master\01_Data\03_Test_Cases\"/>
    </mc:Choice>
  </mc:AlternateContent>
  <xr:revisionPtr revIDLastSave="0" documentId="13_ncr:1_{8249018A-8C36-48FA-A867-B542394C0FF6}" xr6:coauthVersionLast="47" xr6:coauthVersionMax="47" xr10:uidLastSave="{00000000-0000-0000-0000-000000000000}"/>
  <bookViews>
    <workbookView xWindow="-120" yWindow="-120" windowWidth="29040" windowHeight="15720" activeTab="8" xr2:uid="{00000000-000D-0000-FFFF-FFFF00000000}"/>
  </bookViews>
  <sheets>
    <sheet name="INSTRUCCIONES" sheetId="1" r:id="rId1"/>
    <sheet name="Config" sheetId="2" r:id="rId2"/>
    <sheet name="Nodos" sheetId="3" r:id="rId3"/>
    <sheet name="Lineas" sheetId="4" r:id="rId4"/>
    <sheet name="Lineas_Cand" sheetId="5" state="hidden" r:id="rId5"/>
    <sheet name="Generadores" sheetId="6" r:id="rId6"/>
    <sheet name="Hidraulicos" sheetId="7" r:id="rId7"/>
    <sheet name="Aportes" sheetId="15" r:id="rId8"/>
    <sheet name="Renovables" sheetId="8" r:id="rId9"/>
    <sheet name="Renov_Perfil" sheetId="14" r:id="rId10"/>
    <sheet name="Demanda" sheetId="11" r:id="rId11"/>
    <sheet name="BESS_Cand" sheetId="9" r:id="rId12"/>
    <sheet name="FACTS_Cand" sheetId="10" r:id="rId13"/>
    <sheet name="Nodos_Correspondencia" sheetId="12" r:id="rId14"/>
  </sheets>
  <externalReferences>
    <externalReference r:id="rId15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7" i="7" l="1"/>
  <c r="J8" i="7"/>
  <c r="J9" i="7"/>
  <c r="J10" i="7"/>
  <c r="J11" i="7"/>
  <c r="J12" i="7"/>
  <c r="J13" i="7"/>
  <c r="J14" i="7"/>
  <c r="J15" i="7"/>
  <c r="J16" i="7"/>
  <c r="J17" i="7"/>
  <c r="J18" i="7"/>
  <c r="J19" i="7"/>
  <c r="J20" i="7"/>
  <c r="J21" i="7"/>
  <c r="J22" i="7"/>
  <c r="J23" i="7"/>
  <c r="J24" i="7"/>
  <c r="J25" i="7"/>
  <c r="J26" i="7"/>
  <c r="J27" i="7"/>
  <c r="J28" i="7"/>
  <c r="J29" i="7"/>
  <c r="J30" i="7"/>
  <c r="J31" i="7"/>
  <c r="J32" i="7"/>
  <c r="J33" i="7"/>
  <c r="J34" i="7"/>
  <c r="J35" i="7"/>
  <c r="J36" i="7"/>
  <c r="J37" i="7"/>
  <c r="J38" i="7"/>
  <c r="J39" i="7"/>
  <c r="J40" i="7"/>
  <c r="J41" i="7"/>
  <c r="J42" i="7"/>
  <c r="J43" i="7"/>
  <c r="J44" i="7"/>
  <c r="J45" i="7"/>
  <c r="J46" i="7"/>
  <c r="J47" i="7"/>
  <c r="J48" i="7"/>
  <c r="J49" i="7"/>
  <c r="J50" i="7"/>
  <c r="J51" i="7"/>
  <c r="J52" i="7"/>
  <c r="J53" i="7"/>
  <c r="J54" i="7"/>
  <c r="J55" i="7"/>
  <c r="J56" i="7"/>
  <c r="J57" i="7"/>
  <c r="J58" i="7"/>
  <c r="J59" i="7"/>
  <c r="J60" i="7"/>
  <c r="J61" i="7"/>
  <c r="J62" i="7"/>
  <c r="J63" i="7"/>
  <c r="J64" i="7"/>
  <c r="J65" i="7"/>
  <c r="J66" i="7"/>
  <c r="J67" i="7"/>
  <c r="J68" i="7"/>
  <c r="J69" i="7"/>
  <c r="J70" i="7"/>
  <c r="J71" i="7"/>
  <c r="J72" i="7"/>
  <c r="J73" i="7"/>
  <c r="J74" i="7"/>
  <c r="J75" i="7"/>
  <c r="J76" i="7"/>
  <c r="J77" i="7"/>
  <c r="J78" i="7"/>
  <c r="J79" i="7"/>
  <c r="J80" i="7"/>
  <c r="J81" i="7"/>
  <c r="J82" i="7"/>
  <c r="J83" i="7"/>
  <c r="J84" i="7"/>
  <c r="J85" i="7"/>
  <c r="J86" i="7"/>
  <c r="J87" i="7"/>
  <c r="J88" i="7"/>
  <c r="J89" i="7"/>
  <c r="J90" i="7"/>
  <c r="J91" i="7"/>
  <c r="J92" i="7"/>
  <c r="J93" i="7"/>
  <c r="J94" i="7"/>
  <c r="J95" i="7"/>
  <c r="J96" i="7"/>
  <c r="J97" i="7"/>
  <c r="J98" i="7"/>
  <c r="J99" i="7"/>
  <c r="J100" i="7"/>
  <c r="J101" i="7"/>
  <c r="J102" i="7"/>
  <c r="J103" i="7"/>
  <c r="J104" i="7"/>
  <c r="J105" i="7"/>
  <c r="J106" i="7"/>
  <c r="J107" i="7"/>
  <c r="J108" i="7"/>
  <c r="J109" i="7"/>
  <c r="J110" i="7"/>
  <c r="J111" i="7"/>
  <c r="J112" i="7"/>
  <c r="J113" i="7"/>
  <c r="J114" i="7"/>
  <c r="J115" i="7"/>
  <c r="J116" i="7"/>
  <c r="J117" i="7"/>
  <c r="J118" i="7"/>
  <c r="J119" i="7"/>
  <c r="J120" i="7"/>
  <c r="J121" i="7"/>
  <c r="J122" i="7"/>
  <c r="J123" i="7"/>
  <c r="J124" i="7"/>
  <c r="J6" i="7"/>
  <c r="F7" i="7"/>
  <c r="F8" i="7"/>
  <c r="F9" i="7"/>
  <c r="F10" i="7"/>
  <c r="F11" i="7"/>
  <c r="F12" i="7"/>
  <c r="F13" i="7"/>
  <c r="F14" i="7"/>
  <c r="F15" i="7"/>
  <c r="F16" i="7"/>
  <c r="F17" i="7"/>
  <c r="F18" i="7"/>
  <c r="F19" i="7"/>
  <c r="F20" i="7"/>
  <c r="F21" i="7"/>
  <c r="F22" i="7"/>
  <c r="F23" i="7"/>
  <c r="F24" i="7"/>
  <c r="F25" i="7"/>
  <c r="F26" i="7"/>
  <c r="F27" i="7"/>
  <c r="F28" i="7"/>
  <c r="F29" i="7"/>
  <c r="F30" i="7"/>
  <c r="F31" i="7"/>
  <c r="F32" i="7"/>
  <c r="F33" i="7"/>
  <c r="F34" i="7"/>
  <c r="F35" i="7"/>
  <c r="F36" i="7"/>
  <c r="F37" i="7"/>
  <c r="F38" i="7"/>
  <c r="F39" i="7"/>
  <c r="F40" i="7"/>
  <c r="F41" i="7"/>
  <c r="F42" i="7"/>
  <c r="F43" i="7"/>
  <c r="F44" i="7"/>
  <c r="F45" i="7"/>
  <c r="F46" i="7"/>
  <c r="F47" i="7"/>
  <c r="F48" i="7"/>
  <c r="F49" i="7"/>
  <c r="F50" i="7"/>
  <c r="F51" i="7"/>
  <c r="F52" i="7"/>
  <c r="F53" i="7"/>
  <c r="F54" i="7"/>
  <c r="F55" i="7"/>
  <c r="F56" i="7"/>
  <c r="F57" i="7"/>
  <c r="F58" i="7"/>
  <c r="F59" i="7"/>
  <c r="F60" i="7"/>
  <c r="F61" i="7"/>
  <c r="F62" i="7"/>
  <c r="F63" i="7"/>
  <c r="F64" i="7"/>
  <c r="F65" i="7"/>
  <c r="F66" i="7"/>
  <c r="F67" i="7"/>
  <c r="F68" i="7"/>
  <c r="F69" i="7"/>
  <c r="F70" i="7"/>
  <c r="F71" i="7"/>
  <c r="F72" i="7"/>
  <c r="F73" i="7"/>
  <c r="F74" i="7"/>
  <c r="F75" i="7"/>
  <c r="F76" i="7"/>
  <c r="F77" i="7"/>
  <c r="F78" i="7"/>
  <c r="F79" i="7"/>
  <c r="F80" i="7"/>
  <c r="F81" i="7"/>
  <c r="F82" i="7"/>
  <c r="F83" i="7"/>
  <c r="F84" i="7"/>
  <c r="F85" i="7"/>
  <c r="F86" i="7"/>
  <c r="F87" i="7"/>
  <c r="F88" i="7"/>
  <c r="F89" i="7"/>
  <c r="F90" i="7"/>
  <c r="F91" i="7"/>
  <c r="F92" i="7"/>
  <c r="F93" i="7"/>
  <c r="F94" i="7"/>
  <c r="F95" i="7"/>
  <c r="F96" i="7"/>
  <c r="F97" i="7"/>
  <c r="F98" i="7"/>
  <c r="F99" i="7"/>
  <c r="F100" i="7"/>
  <c r="F101" i="7"/>
  <c r="F102" i="7"/>
  <c r="F103" i="7"/>
  <c r="F104" i="7"/>
  <c r="F105" i="7"/>
  <c r="F106" i="7"/>
  <c r="F107" i="7"/>
  <c r="F108" i="7"/>
  <c r="F109" i="7"/>
  <c r="F110" i="7"/>
  <c r="F111" i="7"/>
  <c r="F112" i="7"/>
  <c r="F113" i="7"/>
  <c r="F114" i="7"/>
  <c r="F115" i="7"/>
  <c r="F116" i="7"/>
  <c r="F117" i="7"/>
  <c r="F118" i="7"/>
  <c r="F119" i="7"/>
  <c r="F120" i="7"/>
  <c r="F121" i="7"/>
  <c r="F122" i="7"/>
  <c r="F123" i="7"/>
  <c r="F124" i="7"/>
  <c r="F6" i="7"/>
  <c r="E6" i="7"/>
  <c r="Q7" i="6"/>
  <c r="Q8" i="6"/>
  <c r="Q9" i="6"/>
  <c r="Q10" i="6"/>
  <c r="Q11" i="6"/>
  <c r="Q12" i="6"/>
  <c r="Q13" i="6"/>
  <c r="Q14" i="6"/>
  <c r="Q15" i="6"/>
  <c r="Q16" i="6"/>
  <c r="Q17" i="6"/>
  <c r="Q18" i="6"/>
  <c r="Q19" i="6"/>
  <c r="Q20" i="6"/>
  <c r="Q21" i="6"/>
  <c r="Q22" i="6"/>
  <c r="Q23" i="6"/>
  <c r="Q24" i="6"/>
  <c r="Q25" i="6"/>
  <c r="Q26" i="6"/>
  <c r="Q27" i="6"/>
  <c r="Q28" i="6"/>
  <c r="Q29" i="6"/>
  <c r="Q30" i="6"/>
  <c r="Q31" i="6"/>
  <c r="Q32" i="6"/>
  <c r="Q33" i="6"/>
  <c r="Q34" i="6"/>
  <c r="Q35" i="6"/>
  <c r="Q36" i="6"/>
  <c r="Q37" i="6"/>
  <c r="Q38" i="6"/>
  <c r="Q39" i="6"/>
  <c r="Q40" i="6"/>
  <c r="Q41" i="6"/>
  <c r="Q42" i="6"/>
  <c r="Q43" i="6"/>
  <c r="Q44" i="6"/>
  <c r="Q45" i="6"/>
  <c r="Q46" i="6"/>
  <c r="Q47" i="6"/>
  <c r="Q48" i="6"/>
  <c r="Q49" i="6"/>
  <c r="Q50" i="6"/>
  <c r="Q51" i="6"/>
  <c r="Q52" i="6"/>
  <c r="Q53" i="6"/>
  <c r="Q54" i="6"/>
  <c r="Q55" i="6"/>
  <c r="Q56" i="6"/>
  <c r="Q57" i="6"/>
  <c r="Q58" i="6"/>
  <c r="Q59" i="6"/>
  <c r="Q60" i="6"/>
  <c r="Q61" i="6"/>
  <c r="Q62" i="6"/>
  <c r="Q63" i="6"/>
  <c r="Q64" i="6"/>
  <c r="Q65" i="6"/>
  <c r="Q66" i="6"/>
  <c r="Q67" i="6"/>
  <c r="Q68" i="6"/>
  <c r="Q69" i="6"/>
  <c r="Q70" i="6"/>
  <c r="Q71" i="6"/>
  <c r="Q72" i="6"/>
  <c r="Q73" i="6"/>
  <c r="Q74" i="6"/>
  <c r="Q75" i="6"/>
  <c r="Q76" i="6"/>
  <c r="Q77" i="6"/>
  <c r="Q78" i="6"/>
  <c r="Q79" i="6"/>
  <c r="Q80" i="6"/>
  <c r="Q81" i="6"/>
  <c r="Q6" i="6"/>
  <c r="H7" i="6"/>
  <c r="H8" i="6"/>
  <c r="H9" i="6"/>
  <c r="H10" i="6"/>
  <c r="H11" i="6"/>
  <c r="H12" i="6"/>
  <c r="H13" i="6"/>
  <c r="H14" i="6"/>
  <c r="H15" i="6"/>
  <c r="H16" i="6"/>
  <c r="H17" i="6"/>
  <c r="H18" i="6"/>
  <c r="H19" i="6"/>
  <c r="H20" i="6"/>
  <c r="H21" i="6"/>
  <c r="H22" i="6"/>
  <c r="H23" i="6"/>
  <c r="H24" i="6"/>
  <c r="H25" i="6"/>
  <c r="H26" i="6"/>
  <c r="H27" i="6"/>
  <c r="H28" i="6"/>
  <c r="H29" i="6"/>
  <c r="H30" i="6"/>
  <c r="H31" i="6"/>
  <c r="H32" i="6"/>
  <c r="H33" i="6"/>
  <c r="H34" i="6"/>
  <c r="H35" i="6"/>
  <c r="H36" i="6"/>
  <c r="H37" i="6"/>
  <c r="H38" i="6"/>
  <c r="H39" i="6"/>
  <c r="H40" i="6"/>
  <c r="H41" i="6"/>
  <c r="H42" i="6"/>
  <c r="H43" i="6"/>
  <c r="H44" i="6"/>
  <c r="H45" i="6"/>
  <c r="H46" i="6"/>
  <c r="H47" i="6"/>
  <c r="H48" i="6"/>
  <c r="H49" i="6"/>
  <c r="H50" i="6"/>
  <c r="H51" i="6"/>
  <c r="H52" i="6"/>
  <c r="H53" i="6"/>
  <c r="H54" i="6"/>
  <c r="H55" i="6"/>
  <c r="H56" i="6"/>
  <c r="H57" i="6"/>
  <c r="H58" i="6"/>
  <c r="H59" i="6"/>
  <c r="H60" i="6"/>
  <c r="H61" i="6"/>
  <c r="H62" i="6"/>
  <c r="H63" i="6"/>
  <c r="H64" i="6"/>
  <c r="H65" i="6"/>
  <c r="H66" i="6"/>
  <c r="H67" i="6"/>
  <c r="H68" i="6"/>
  <c r="H69" i="6"/>
  <c r="H70" i="6"/>
  <c r="H71" i="6"/>
  <c r="H72" i="6"/>
  <c r="H73" i="6"/>
  <c r="H74" i="6"/>
  <c r="H75" i="6"/>
  <c r="H76" i="6"/>
  <c r="H77" i="6"/>
  <c r="H78" i="6"/>
  <c r="H79" i="6"/>
  <c r="H80" i="6"/>
  <c r="H81" i="6"/>
  <c r="H6" i="6"/>
  <c r="F7" i="6"/>
  <c r="F8" i="6"/>
  <c r="F9" i="6"/>
  <c r="F10" i="6"/>
  <c r="F11" i="6"/>
  <c r="F12" i="6"/>
  <c r="F13" i="6"/>
  <c r="F14" i="6"/>
  <c r="F15" i="6"/>
  <c r="F16" i="6"/>
  <c r="F17" i="6"/>
  <c r="F18" i="6"/>
  <c r="F19" i="6"/>
  <c r="F20" i="6"/>
  <c r="F21" i="6"/>
  <c r="F22" i="6"/>
  <c r="F23" i="6"/>
  <c r="F24" i="6"/>
  <c r="F25" i="6"/>
  <c r="F26" i="6"/>
  <c r="F27" i="6"/>
  <c r="F28" i="6"/>
  <c r="F29" i="6"/>
  <c r="F30" i="6"/>
  <c r="F31" i="6"/>
  <c r="F32" i="6"/>
  <c r="F33" i="6"/>
  <c r="F34" i="6"/>
  <c r="F35" i="6"/>
  <c r="F36" i="6"/>
  <c r="F37" i="6"/>
  <c r="F38" i="6"/>
  <c r="F39" i="6"/>
  <c r="F40" i="6"/>
  <c r="F41" i="6"/>
  <c r="F42" i="6"/>
  <c r="F43" i="6"/>
  <c r="F44" i="6"/>
  <c r="F45" i="6"/>
  <c r="F46" i="6"/>
  <c r="F47" i="6"/>
  <c r="F48" i="6"/>
  <c r="F49" i="6"/>
  <c r="F50" i="6"/>
  <c r="F51" i="6"/>
  <c r="F52" i="6"/>
  <c r="F53" i="6"/>
  <c r="F54" i="6"/>
  <c r="F55" i="6"/>
  <c r="F56" i="6"/>
  <c r="F57" i="6"/>
  <c r="F58" i="6"/>
  <c r="F59" i="6"/>
  <c r="F60" i="6"/>
  <c r="F61" i="6"/>
  <c r="F62" i="6"/>
  <c r="F63" i="6"/>
  <c r="F64" i="6"/>
  <c r="F65" i="6"/>
  <c r="F66" i="6"/>
  <c r="F67" i="6"/>
  <c r="F68" i="6"/>
  <c r="F69" i="6"/>
  <c r="F70" i="6"/>
  <c r="F71" i="6"/>
  <c r="F72" i="6"/>
  <c r="F73" i="6"/>
  <c r="F74" i="6"/>
  <c r="F75" i="6"/>
  <c r="F76" i="6"/>
  <c r="F77" i="6"/>
  <c r="F78" i="6"/>
  <c r="F79" i="6"/>
  <c r="F80" i="6"/>
  <c r="F81" i="6"/>
  <c r="F6" i="6"/>
  <c r="U81" i="6"/>
  <c r="U80" i="6"/>
  <c r="U79" i="6"/>
  <c r="U78" i="6"/>
  <c r="U77" i="6"/>
  <c r="U76" i="6"/>
  <c r="U75" i="6"/>
  <c r="U74" i="6"/>
  <c r="U73" i="6"/>
  <c r="U72" i="6"/>
  <c r="U71" i="6"/>
  <c r="U70" i="6"/>
  <c r="U69" i="6"/>
  <c r="U68" i="6"/>
  <c r="U67" i="6"/>
  <c r="U66" i="6"/>
  <c r="U65" i="6"/>
  <c r="U64" i="6"/>
  <c r="U63" i="6"/>
  <c r="U62" i="6"/>
  <c r="U61" i="6"/>
  <c r="U60" i="6"/>
  <c r="U59" i="6"/>
  <c r="U58" i="6"/>
  <c r="U57" i="6"/>
  <c r="U56" i="6"/>
  <c r="U55" i="6"/>
  <c r="U54" i="6"/>
  <c r="U53" i="6"/>
  <c r="U52" i="6"/>
  <c r="U51" i="6"/>
  <c r="U50" i="6"/>
  <c r="U49" i="6"/>
  <c r="U48" i="6"/>
  <c r="U47" i="6"/>
  <c r="U46" i="6"/>
  <c r="U45" i="6"/>
  <c r="U44" i="6"/>
  <c r="U43" i="6"/>
  <c r="U42" i="6"/>
  <c r="U41" i="6"/>
  <c r="U40" i="6"/>
  <c r="U39" i="6"/>
  <c r="U38" i="6"/>
  <c r="U37" i="6"/>
  <c r="U36" i="6"/>
  <c r="U35" i="6"/>
  <c r="U34" i="6"/>
  <c r="U33" i="6"/>
  <c r="U32" i="6"/>
  <c r="U31" i="6"/>
  <c r="U30" i="6"/>
  <c r="U29" i="6"/>
  <c r="U28" i="6"/>
  <c r="U27" i="6"/>
  <c r="U26" i="6"/>
  <c r="U25" i="6"/>
  <c r="U24" i="6"/>
  <c r="U23" i="6"/>
  <c r="U22" i="6"/>
  <c r="U21" i="6"/>
  <c r="U20" i="6"/>
  <c r="U19" i="6"/>
  <c r="U18" i="6"/>
  <c r="U17" i="6"/>
  <c r="U16" i="6"/>
  <c r="U15" i="6"/>
  <c r="U14" i="6"/>
  <c r="U13" i="6"/>
  <c r="U12" i="6"/>
  <c r="U11" i="6"/>
  <c r="U10" i="6"/>
  <c r="U9" i="6"/>
  <c r="U8" i="6"/>
  <c r="U7" i="6"/>
  <c r="U6" i="6"/>
  <c r="E17" i="8"/>
  <c r="E16" i="8"/>
  <c r="E15" i="8"/>
  <c r="E14" i="8"/>
  <c r="E13" i="8"/>
  <c r="E12" i="8"/>
  <c r="E11" i="8"/>
  <c r="E10" i="8"/>
  <c r="E9" i="8"/>
  <c r="E8" i="8"/>
  <c r="E7" i="8"/>
  <c r="E6" i="8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tc={B724A91F-041A-4828-AFE4-51B44276F97E}</author>
  </authors>
  <commentList>
    <comment ref="C10" authorId="0" shapeId="0" xr:uid="{B724A91F-041A-4828-AFE4-51B44276F97E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acepta una solución dentro del 1% del óptimo 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tc={A0E88886-9E41-4316-B74C-BA376C08C276}</author>
  </authors>
  <commentList>
    <comment ref="J4" authorId="0" shapeId="0" xr:uid="{A0E88886-9E41-4316-B74C-BA376C08C276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XM publica un solo número por planta y por día: el precio de oferta de despacho, en COP/MWh. No publica una curva de costos. 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tc={C82A736B-0C0E-43A1-B887-0DECE67682D4}</author>
    <author>tc={1B87D5D4-D18E-43B4-A8BF-57FC5C4F43F2}</author>
    <author>tc={966F0630-6DD3-4D54-B1B8-192F0D163718}</author>
    <author>tc={8B625FC6-E8EC-4593-9C4A-04C0D40D5716}</author>
    <author>tc={F4D77674-0D65-4F3F-A2FD-45DB17A8B711}</author>
  </authors>
  <commentList>
    <comment ref="E4" authorId="0" shapeId="0" xr:uid="{C82A736B-0C0E-43A1-B887-0DECE67682D4}">
      <text>
        <t>[Threaded comment]
Your version of Excel allows you to read this threaded comment; however, any edits to it will get removed if the file is opened in a newer version of Excel. Learn more: https://go.microsoft.com/fwlink/?linkid=870924
Comment:
     q = Pmin / eta</t>
      </text>
    </comment>
    <comment ref="F4" authorId="1" shapeId="0" xr:uid="{1B87D5D4-D18E-43B4-A8BF-57FC5C4F43F2}">
      <text>
        <t>[Threaded comment]
Your version of Excel allows you to read this threaded comment; however, any edits to it will get removed if the file is opened in a newer version of Excel. Learn more: https://go.microsoft.com/fwlink/?linkid=870924
Comment:
     q = Pmax / eta</t>
      </text>
    </comment>
    <comment ref="G4" authorId="2" shapeId="0" xr:uid="{966F0630-6DD3-4D54-B1B8-192F0D163718}">
      <text>
        <t>[Threaded comment]
Your version of Excel allows you to read this threaded comment; however, any edits to it will get removed if the file is opened in a newer version of Excel. Learn more: https://go.microsoft.com/fwlink/?linkid=870924
Comment:
    η  = eficiencia</t>
      </text>
    </comment>
    <comment ref="I4" authorId="3" shapeId="0" xr:uid="{8B625FC6-E8EC-4593-9C4A-04C0D40D5716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0 = filo de agua
Unidades en PARATEC en Mm3 =hm3
1 hm3=(100 m)3=100×100×100=1000000 m3=1 Mm3 </t>
      </text>
    </comment>
    <comment ref="J4" authorId="4" shapeId="0" xr:uid="{F4D77674-0D65-4F3F-A2FD-45DB17A8B71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Vinit=Vmin+%llenado​×(Vmax−Vmin) 
%llenado​=CapaUtilDiarMasaVoluUtilDiarMasa​ </t>
      </text>
    </comment>
  </commentList>
</comments>
</file>

<file path=xl/sharedStrings.xml><?xml version="1.0" encoding="utf-8"?>
<sst xmlns="http://schemas.openxmlformats.org/spreadsheetml/2006/main" count="1414" uniqueCount="618">
  <si>
    <t>Plantilla de datos - Modelo TEP con BESS y FACTS</t>
  </si>
  <si>
    <t>Esta plantilla define un CASO de estudio. Un archivo = un caso.</t>
  </si>
  <si>
    <t>Cada hoja corresponde a un tipo de dato. Llene solo las que aplican;</t>
  </si>
  <si>
    <t>las hojas vacias se interpretan como 'ese componente no existe'.</t>
  </si>
  <si>
    <t>HOJAS:</t>
  </si>
  <si>
    <t xml:space="preserve">  Config          -&gt; parametros globales (S_base, horizonte, etc.)</t>
  </si>
  <si>
    <t xml:space="preserve">  Nodos           -&gt; buses del sistema (id, tipo, demanda base)</t>
  </si>
  <si>
    <t xml:space="preserve">  Lineas          -&gt; lineas existentes (R, X, capacidad)</t>
  </si>
  <si>
    <t xml:space="preserve">  Generadores     -&gt; unidades termicas (limites, costos, rampas)</t>
  </si>
  <si>
    <t xml:space="preserve">  Hidraulicos     -&gt; unidades hidraulicas y embalses (opcional)</t>
  </si>
  <si>
    <t xml:space="preserve">  Renovables      -&gt; solar/eolica (opcional)</t>
  </si>
  <si>
    <t xml:space="preserve">  BESS_Cand       -&gt; nodos candidatos a instalar BESS</t>
  </si>
  <si>
    <t xml:space="preserve">  FACTS_Cand      -&gt; lineas candidatas a instalar TCSC</t>
  </si>
  <si>
    <t xml:space="preserve">  Demanda         -&gt; perfil horario {hora x nodo} (como XM/Alvaro)</t>
  </si>
  <si>
    <t>CONVENCION DE COLOR:</t>
  </si>
  <si>
    <t>NODO SLACK: en la hoja Nodos, marque tipo=slack en un unico nodo.</t>
  </si>
  <si>
    <t>Config - Parametros globales del caso</t>
  </si>
  <si>
    <t>Parametros generales que aplican a todo el sistema.</t>
  </si>
  <si>
    <t>parametro</t>
  </si>
  <si>
    <t>valor</t>
  </si>
  <si>
    <t>descripcion</t>
  </si>
  <si>
    <t>S_base</t>
  </si>
  <si>
    <t>Potencia base del sistema (MVA)</t>
  </si>
  <si>
    <t>horizonte</t>
  </si>
  <si>
    <t>Numero de horas a simular</t>
  </si>
  <si>
    <t>n_seg_costo</t>
  </si>
  <si>
    <t>Segmentos linealizacion costo termico</t>
  </si>
  <si>
    <t>n_seg_perdidas</t>
  </si>
  <si>
    <t>Segmentos linealizacion perdidas</t>
  </si>
  <si>
    <t>mip_gap</t>
  </si>
  <si>
    <t>Tolerancia de optimalidad del solver</t>
  </si>
  <si>
    <t>time_limit</t>
  </si>
  <si>
    <t>Limite de tiempo del solver (s)</t>
  </si>
  <si>
    <t>Nodos - Buses del sistema</t>
  </si>
  <si>
    <t>tipo: 'slack' (referencia, UNO solo), 'pv' (con gen), 'pq' (carga).</t>
  </si>
  <si>
    <t>id</t>
  </si>
  <si>
    <t>tipo</t>
  </si>
  <si>
    <t>slack/pv/pq</t>
  </si>
  <si>
    <t>MW</t>
  </si>
  <si>
    <t>Lineas - Lineas de transmision existentes</t>
  </si>
  <si>
    <t>R y X en por unidad. La susceptancia se calcula como 1/X.</t>
  </si>
  <si>
    <t>desde</t>
  </si>
  <si>
    <t>hasta</t>
  </si>
  <si>
    <t>R</t>
  </si>
  <si>
    <t>X</t>
  </si>
  <si>
    <t>capacidad</t>
  </si>
  <si>
    <t>nodo</t>
  </si>
  <si>
    <t>p.u.</t>
  </si>
  <si>
    <t>Lineas_Cand - Lineas candidatas a construir (TEP)</t>
  </si>
  <si>
    <t>Vacia si no hay candidatas. 'costo' = costo de construccion.</t>
  </si>
  <si>
    <t>costo</t>
  </si>
  <si>
    <t>USD</t>
  </si>
  <si>
    <t>Generadores - Unidades termicas</t>
  </si>
  <si>
    <t>Costo cuadratico c2*P^2+c1*P+c0. min_on/off y cost_su/sd para UC.</t>
  </si>
  <si>
    <t>Pmin</t>
  </si>
  <si>
    <t>Pmax</t>
  </si>
  <si>
    <t>c2</t>
  </si>
  <si>
    <t>c1</t>
  </si>
  <si>
    <t>c0</t>
  </si>
  <si>
    <t>min_on</t>
  </si>
  <si>
    <t>min_off</t>
  </si>
  <si>
    <t>cost_su</t>
  </si>
  <si>
    <t>cost_sd</t>
  </si>
  <si>
    <t>MW/h</t>
  </si>
  <si>
    <t>$/MW2</t>
  </si>
  <si>
    <t>$/MW</t>
  </si>
  <si>
    <t>$</t>
  </si>
  <si>
    <t>h</t>
  </si>
  <si>
    <t>Vacia si el sistema no tiene hidraulica. Embalse: vol_min/max/ini.</t>
  </si>
  <si>
    <t>$/MWh</t>
  </si>
  <si>
    <t>hm3</t>
  </si>
  <si>
    <t>La disponibilidad horaria va en la hoja Demanda o un perfil aparte.</t>
  </si>
  <si>
    <t>solar/eolica</t>
  </si>
  <si>
    <t>BESS_Cand - Nodos candidatos a instalar BESS</t>
  </si>
  <si>
    <t>Vacia si no se consideran BESS. duracion = relacion energia/potencia.</t>
  </si>
  <si>
    <t>costo_inst</t>
  </si>
  <si>
    <t>costo_pot</t>
  </si>
  <si>
    <t>costo_ene</t>
  </si>
  <si>
    <t>eff_ch</t>
  </si>
  <si>
    <t>eff_dis</t>
  </si>
  <si>
    <t>self_dis</t>
  </si>
  <si>
    <t>soc_ini</t>
  </si>
  <si>
    <t>duracion</t>
  </si>
  <si>
    <t>USD/MW</t>
  </si>
  <si>
    <t>USD/MWh</t>
  </si>
  <si>
    <t>0-1</t>
  </si>
  <si>
    <t>frac</t>
  </si>
  <si>
    <t>FACTS_Cand - Lineas candidatas a instalar TCSC</t>
  </si>
  <si>
    <t>Vacia si no se consideran FACTS. 'linea' debe existir en Lineas.</t>
  </si>
  <si>
    <t>linea</t>
  </si>
  <si>
    <t>Demanda - Perfil horario de demanda por nodo</t>
  </si>
  <si>
    <t>Estructura {hora x nodo}, igual a la hoja 'load' de XM/Alvaro. Solo columnas de nodos con carga. Filas = horas del horizonte.</t>
  </si>
  <si>
    <t>UNIDADES: indicadas en la fila bajo cada encabezado. (No borrarlas ni modificarlas)</t>
  </si>
  <si>
    <t>vida_bess</t>
  </si>
  <si>
    <t>vida_facts</t>
  </si>
  <si>
    <t>años</t>
  </si>
  <si>
    <t>años NREL</t>
  </si>
  <si>
    <t>l1</t>
  </si>
  <si>
    <t>l2</t>
  </si>
  <si>
    <t>l3</t>
  </si>
  <si>
    <t>l4</t>
  </si>
  <si>
    <t>l5</t>
  </si>
  <si>
    <t>l6</t>
  </si>
  <si>
    <t>l7</t>
  </si>
  <si>
    <t>l8</t>
  </si>
  <si>
    <t>l9</t>
  </si>
  <si>
    <t>l10</t>
  </si>
  <si>
    <t>l11</t>
  </si>
  <si>
    <t>incluir_perdidas</t>
  </si>
  <si>
    <t xml:space="preserve">0 (sin pérdidas - validación DC); 1(con pérdidas) </t>
  </si>
  <si>
    <t>l12</t>
  </si>
  <si>
    <t>l13</t>
  </si>
  <si>
    <t>l14</t>
  </si>
  <si>
    <t>l15</t>
  </si>
  <si>
    <t>l16</t>
  </si>
  <si>
    <t>l17</t>
  </si>
  <si>
    <t>l18</t>
  </si>
  <si>
    <t>l19</t>
  </si>
  <si>
    <t>l20</t>
  </si>
  <si>
    <t>hora</t>
  </si>
  <si>
    <t>u_init</t>
  </si>
  <si>
    <t>tasa_descuento</t>
  </si>
  <si>
    <t>CREG</t>
  </si>
  <si>
    <t>habilitada</t>
  </si>
  <si>
    <t>sigma_niveles</t>
  </si>
  <si>
    <t>[USD/MVAr]</t>
  </si>
  <si>
    <t>c_tcsc</t>
  </si>
  <si>
    <t>theta_max_grados</t>
  </si>
  <si>
    <t>solver</t>
  </si>
  <si>
    <t>gurobi</t>
  </si>
  <si>
    <t xml:space="preserve">	0.15,0.30,0.45,0.60</t>
  </si>
  <si>
    <t>l21</t>
  </si>
  <si>
    <t>l22</t>
  </si>
  <si>
    <t>l23</t>
  </si>
  <si>
    <t>l24</t>
  </si>
  <si>
    <t>l25</t>
  </si>
  <si>
    <t>l26</t>
  </si>
  <si>
    <t>Solo compensacion capacitiva</t>
  </si>
  <si>
    <t>slack</t>
  </si>
  <si>
    <t>ANT</t>
  </si>
  <si>
    <t>ATL</t>
  </si>
  <si>
    <t>BOG</t>
  </si>
  <si>
    <t>BOL</t>
  </si>
  <si>
    <t>BYC</t>
  </si>
  <si>
    <t>CQR</t>
  </si>
  <si>
    <t>CAN</t>
  </si>
  <si>
    <t>CER</t>
  </si>
  <si>
    <t>CSU</t>
  </si>
  <si>
    <t>GCM</t>
  </si>
  <si>
    <t>HTO</t>
  </si>
  <si>
    <t>NDS</t>
  </si>
  <si>
    <t>SAN</t>
  </si>
  <si>
    <t>VAL</t>
  </si>
  <si>
    <t>ARA</t>
  </si>
  <si>
    <t>MET</t>
  </si>
  <si>
    <t>CAQ</t>
  </si>
  <si>
    <t>PUT</t>
  </si>
  <si>
    <t>solar</t>
  </si>
  <si>
    <t>Correspondencia id corto &lt;-&gt; subarea operativa</t>
  </si>
  <si>
    <t>Hoja auxiliar. data_loader no la lee.</t>
  </si>
  <si>
    <t>subarea_completa</t>
  </si>
  <si>
    <t>demanda_media_MW</t>
  </si>
  <si>
    <t>n_generadores</t>
  </si>
  <si>
    <t>n_renovables</t>
  </si>
  <si>
    <t>n_lineas</t>
  </si>
  <si>
    <t>SubArea Antioquia</t>
  </si>
  <si>
    <t>SubArea Arauca</t>
  </si>
  <si>
    <t>SubArea Atlantico</t>
  </si>
  <si>
    <t>SubArea Bogota</t>
  </si>
  <si>
    <t>SubArea Bolivar</t>
  </si>
  <si>
    <t>SubArea Boyaca-Casanare</t>
  </si>
  <si>
    <t>SubArea CQR</t>
  </si>
  <si>
    <t>SubArea Caqueta</t>
  </si>
  <si>
    <t>SubArea Cauca-Narino</t>
  </si>
  <si>
    <t>SubArea Cerromatoso</t>
  </si>
  <si>
    <t>SubArea Cordoba_Sucre</t>
  </si>
  <si>
    <t>SubArea GCM</t>
  </si>
  <si>
    <t>SubArea Huila-Tolima</t>
  </si>
  <si>
    <t>SubArea Meta</t>
  </si>
  <si>
    <t>SubArea Norte de Santander</t>
  </si>
  <si>
    <t>SubArea Putumayo</t>
  </si>
  <si>
    <t>SubArea Santander</t>
  </si>
  <si>
    <t>SubArea Valle</t>
  </si>
  <si>
    <t>dato</t>
  </si>
  <si>
    <t>archivo_de_origen</t>
  </si>
  <si>
    <t>01_Data/02_Processed/demanda_18nodos.xlsx :: Demanda_Horaria</t>
  </si>
  <si>
    <t>Generadores</t>
  </si>
  <si>
    <t>no disponible en la fuente</t>
  </si>
  <si>
    <t>Fijado en 0 para todos: PARATEC/XM no entregan el estado inicial. Deja que el solver elija el arranque sin imponer una condicion inventada.</t>
  </si>
  <si>
    <t>Hidraulicos</t>
  </si>
  <si>
    <t>-</t>
  </si>
  <si>
    <t>Renovables</t>
  </si>
  <si>
    <t>01_Data/02_Processed/generadores_18nodos.xlsx :: Renovables</t>
  </si>
  <si>
    <t>Filtro estado == 'Operacion' Y tiene_oferta == True -&gt; 13 de 352 plantas. capacidad = pmax_mw.</t>
  </si>
  <si>
    <t>Renovables disponibilidad</t>
  </si>
  <si>
    <t>NO DISPONIBLE</t>
  </si>
  <si>
    <t>No hay perfil horario solar/eolico en las fuentes. La plantilla no tiene columna para disponibilidad y data_loader nunca puebla data.disponibilidad_renov, por lo que model.disp_renov toma su default = 0. CONSECUENCIA: estas 13 plantas entran al modelo con disponibilidad 0 MW, no 1.0. Requiere modificar data_loader.py para lograr disponibilidad constante 1.0.</t>
  </si>
  <si>
    <t>Demanda</t>
  </si>
  <si>
    <t>24 horas x 18 subareas del 2026-07-06. Copia directa; las columnas se renombran al id corto del nodo.</t>
  </si>
  <si>
    <t>Config</t>
  </si>
  <si>
    <t>usuario + plantilla IEEE14</t>
  </si>
  <si>
    <t>S_base=100, theta_max_grados=20, sigma_niveles=0.15/0.30/0.45/0.60, c_tcsc=135000, vida_facts=20, tasa_descuento=0.115, solver=gurobi. El resto conserva el valor de la plantilla IEEE14 E0.</t>
  </si>
  <si>
    <t>Lineas_Cand / BESS_Cand / FACTS_Cand</t>
  </si>
  <si>
    <t>Vacias por definicion del escenario E0 (solo operacion, sin expansion).</t>
  </si>
  <si>
    <t>Renov_Perfil - Disponibilidad horaria de generacion renovable</t>
  </si>
  <si>
    <t>Estructura {hora x recurso}. Fraccion de la capacidad instalada (0-1).</t>
  </si>
  <si>
    <t>Renovables - Generacion solar y eolica</t>
  </si>
  <si>
    <t>Hidraulicos - Unidades hidraulicas y embalses</t>
  </si>
  <si>
    <t>qmin</t>
  </si>
  <si>
    <t>qmax</t>
  </si>
  <si>
    <t>eta</t>
  </si>
  <si>
    <t>Smax</t>
  </si>
  <si>
    <t>m3/s</t>
  </si>
  <si>
    <t>MW/(m3/s)</t>
  </si>
  <si>
    <t>tol_volumen_final</t>
  </si>
  <si>
    <t>Banda del cierre de volumen: |V_T - V_init| &lt;= tol*(Vmax-Vmin)</t>
  </si>
  <si>
    <t>costo_vertimiento</t>
  </si>
  <si>
    <t>Regularizacion del vertimiento [USD por m3/s y hora]. No es un costo real.</t>
  </si>
  <si>
    <t>tol_volumen_inf</t>
  </si>
  <si>
    <t>Banda inferior del cierre de volumen: Vinit - tol*(Vmax-Vmin)</t>
  </si>
  <si>
    <t>tol_volumen_sup</t>
  </si>
  <si>
    <t>Banda superior del cierre de volumen: Vinit + tol*(Vmax-Vmin)</t>
  </si>
  <si>
    <t>Vmin</t>
  </si>
  <si>
    <t>Vmax</t>
  </si>
  <si>
    <t>Vinit</t>
  </si>
  <si>
    <t>Pmin_PARATEC</t>
  </si>
  <si>
    <t>Fuentes y trazabilidad</t>
  </si>
  <si>
    <t>transformacion</t>
  </si>
  <si>
    <t>Aportes - Aporte natural I(h,t)</t>
  </si>
  <si>
    <t>hm3/h.</t>
  </si>
  <si>
    <t>BETANIA</t>
  </si>
  <si>
    <t>CALIMA</t>
  </si>
  <si>
    <t>EL QUIMBO</t>
  </si>
  <si>
    <t>ESMERALDA</t>
  </si>
  <si>
    <t>GUAVIO</t>
  </si>
  <si>
    <t>ITUANGO</t>
  </si>
  <si>
    <t>PLAYAS</t>
  </si>
  <si>
    <t>PRADO</t>
  </si>
  <si>
    <t>SALVAJINA</t>
  </si>
  <si>
    <t>URRA</t>
  </si>
  <si>
    <t>latitud</t>
  </si>
  <si>
    <t>longitud</t>
  </si>
  <si>
    <t>nombre</t>
  </si>
  <si>
    <t xml:space="preserve">  Aportes      -&gt; xxxx</t>
  </si>
  <si>
    <t xml:space="preserve">  Renov_Perfil      -&gt; xxxxx</t>
  </si>
  <si>
    <r>
      <t xml:space="preserve">  Texto </t>
    </r>
    <r>
      <rPr>
        <i/>
        <sz val="10"/>
        <color rgb="FF0000FF"/>
        <rFont val="Calibri"/>
        <family val="2"/>
      </rPr>
      <t xml:space="preserve">azul </t>
    </r>
    <r>
      <rPr>
        <i/>
        <sz val="10"/>
        <color rgb="FF808080"/>
        <rFont val="Calibri"/>
        <family val="2"/>
      </rPr>
      <t>= dato de entrada (lo edita el usuario).</t>
    </r>
  </si>
  <si>
    <r>
      <t xml:space="preserve">  Encabezado </t>
    </r>
    <r>
      <rPr>
        <i/>
        <sz val="10"/>
        <color theme="5" tint="-0.249977111117893"/>
        <rFont val="Calibri"/>
        <family val="2"/>
      </rPr>
      <t>fondo rojo</t>
    </r>
    <r>
      <rPr>
        <i/>
        <sz val="10"/>
        <color rgb="FF808080"/>
        <rFont val="Calibri"/>
        <family val="2"/>
      </rPr>
      <t xml:space="preserve"> y letras blancas = dato no leído por el código</t>
    </r>
  </si>
  <si>
    <r>
      <t xml:space="preserve">  Encabezado </t>
    </r>
    <r>
      <rPr>
        <i/>
        <sz val="10"/>
        <color rgb="FF1F4E78"/>
        <rFont val="Calibri"/>
        <family val="2"/>
      </rPr>
      <t xml:space="preserve">fondo azul </t>
    </r>
    <r>
      <rPr>
        <i/>
        <sz val="10"/>
        <color theme="0" tint="-0.499984740745262"/>
        <rFont val="Calibri"/>
        <family val="2"/>
      </rPr>
      <t>y letras blancas = dato leí</t>
    </r>
    <r>
      <rPr>
        <i/>
        <sz val="10"/>
        <color rgb="FF808080"/>
        <rFont val="Calibri"/>
        <family val="2"/>
      </rPr>
      <t>do por el código</t>
    </r>
  </si>
  <si>
    <t>\01_Data\02_Processed\Datos_hojas_excel_COL\18_nodos\01_Nodos_Lineas</t>
  </si>
  <si>
    <t>Antioquia</t>
  </si>
  <si>
    <t>Arauca</t>
  </si>
  <si>
    <t>Bolivar</t>
  </si>
  <si>
    <t>Cordoba_Sucre</t>
  </si>
  <si>
    <t>Huila-Tolima</t>
  </si>
  <si>
    <t>Meta</t>
  </si>
  <si>
    <t>Putumayo</t>
  </si>
  <si>
    <t>Santander</t>
  </si>
  <si>
    <t>Boyaca-Casanare</t>
  </si>
  <si>
    <t>Cauca-Nariño</t>
  </si>
  <si>
    <t>Bogotá</t>
  </si>
  <si>
    <t>Atlántico</t>
  </si>
  <si>
    <t>Caquetá</t>
  </si>
  <si>
    <t>Cerromatoso</t>
  </si>
  <si>
    <t>Norte de Santander</t>
  </si>
  <si>
    <t>Valle del Cauca</t>
  </si>
  <si>
    <t>Nodos / Lineas</t>
  </si>
  <si>
    <t>\01_Data\02_Processed\Datos_hojas_excel_COL\18_nodos\02_Generadores</t>
  </si>
  <si>
    <t xml:space="preserve"> costo</t>
  </si>
  <si>
    <t>Pmin/Pmax</t>
  </si>
  <si>
    <t>combustible</t>
  </si>
  <si>
    <t>PARATEC_Utérmica.xlsx -&gt; InfoCombustible</t>
  </si>
  <si>
    <t>nodos</t>
  </si>
  <si>
    <t>Por qué unidad y no planta -- borrar el archivo planta</t>
  </si>
  <si>
    <t>PARATEC_Ptérmica.xlsx</t>
  </si>
  <si>
    <r>
      <t>Filtros de Modo de operación "</t>
    </r>
    <r>
      <rPr>
        <sz val="11"/>
        <color rgb="FFFF0000"/>
        <rFont val="Calibri"/>
        <family val="2"/>
      </rPr>
      <t>Demanda centralizada</t>
    </r>
    <r>
      <rPr>
        <sz val="11"/>
        <color theme="0" tint="-0.499984740745262"/>
        <rFont val="Calibri"/>
        <family val="2"/>
      </rPr>
      <t>" y Estado "Operación"</t>
    </r>
  </si>
  <si>
    <t>PARATEC_Utérmica.xlsx -&gt; VelCarga-Descarga</t>
  </si>
  <si>
    <t>rampa_sub</t>
  </si>
  <si>
    <t>rampa_baj</t>
  </si>
  <si>
    <t>PrecOferDesp_Jul26.xlsx</t>
  </si>
  <si>
    <t>Aportes</t>
  </si>
  <si>
    <t>\01_Data\02_Processed\Datos_hojas_excel_COL\18_nodos\03_Hidraulicos</t>
  </si>
  <si>
    <t>PARATEC_Uhidráulica.xlsx</t>
  </si>
  <si>
    <t>PARATEC_Phidráulica.xlsx</t>
  </si>
  <si>
    <t>Pmáx / eta</t>
  </si>
  <si>
    <t>m3/h</t>
  </si>
  <si>
    <t>A. SAN LORENZO</t>
  </si>
  <si>
    <t>ALTOANCHICAYA</t>
  </si>
  <si>
    <t>AMOYA</t>
  </si>
  <si>
    <t>BATA</t>
  </si>
  <si>
    <t>BETANIA CP</t>
  </si>
  <si>
    <t>BLANCO</t>
  </si>
  <si>
    <t>BOGOTA N.R.</t>
  </si>
  <si>
    <t>CAMPOALEGRE</t>
  </si>
  <si>
    <t>CARLOS LLERAS</t>
  </si>
  <si>
    <t>CAUCA SALVAJINA</t>
  </si>
  <si>
    <t>CHINCHINA</t>
  </si>
  <si>
    <t>CHUZA</t>
  </si>
  <si>
    <t>CONCEPCION</t>
  </si>
  <si>
    <t>CUCUANA</t>
  </si>
  <si>
    <t>DESV. BATATAS</t>
  </si>
  <si>
    <t>DESV. CHIVOR</t>
  </si>
  <si>
    <t>DESV. EEPPM (NEC,PAJ,DOL)</t>
  </si>
  <si>
    <t>DESV. GUARINO</t>
  </si>
  <si>
    <t>DESV. MANSO</t>
  </si>
  <si>
    <t>DESV. SAN MARCOS</t>
  </si>
  <si>
    <t>DIGUA</t>
  </si>
  <si>
    <t>ESCUELA DE MINAS</t>
  </si>
  <si>
    <t>ESTRELLA</t>
  </si>
  <si>
    <t>GRANDE</t>
  </si>
  <si>
    <t>GUADALUPE</t>
  </si>
  <si>
    <t>GUATAPE</t>
  </si>
  <si>
    <t>MIEL I</t>
  </si>
  <si>
    <t>NARE CP</t>
  </si>
  <si>
    <t>PORCE III</t>
  </si>
  <si>
    <t>PORCE2 CP</t>
  </si>
  <si>
    <t>SAN CARLOS</t>
  </si>
  <si>
    <t>SAN EUGENIO</t>
  </si>
  <si>
    <t>SAN FRANCISCO</t>
  </si>
  <si>
    <t>SAN MIGUEL</t>
  </si>
  <si>
    <t>SINU URRA</t>
  </si>
  <si>
    <t>SOGAMOSO</t>
  </si>
  <si>
    <t>TENCHE</t>
  </si>
  <si>
    <t>Fecha</t>
  </si>
  <si>
    <t>\01_Data\02_Processed\Datos_hojas_excel_COL\18_nodos\03_Hidraulicos -&gt; AporCaudal_Jul26.xlsx</t>
  </si>
  <si>
    <t>VoluUtilDiarMasa_Jul26.xlsx/CapaUtilDiarMasa_Jul26.xlsx</t>
  </si>
  <si>
    <t>Fijado en 0 para todos los embalses que no estén en PARATEC_Detalle_Embalse.xlsx</t>
  </si>
  <si>
    <t>PARATEC_Detalle_Embalse.xlsx</t>
  </si>
  <si>
    <t>codigo</t>
  </si>
  <si>
    <t xml:space="preserve"> Latitud</t>
  </si>
  <si>
    <t>Longitud</t>
  </si>
  <si>
    <t>°</t>
  </si>
  <si>
    <t>CARACOLI I</t>
  </si>
  <si>
    <t>GUAYEPO</t>
  </si>
  <si>
    <t>GUAYEPO III</t>
  </si>
  <si>
    <t>PARQUE SOLAR LA UNION</t>
  </si>
  <si>
    <t>PARQUE SOLAR PUERTA DE ORO</t>
  </si>
  <si>
    <t>PARQUE SOLAR TEPUY</t>
  </si>
  <si>
    <t>EL PASO</t>
  </si>
  <si>
    <t>FUNDACION</t>
  </si>
  <si>
    <t>LATAM SOLAR LA LOMA</t>
  </si>
  <si>
    <t>SHANGRI LA</t>
  </si>
  <si>
    <t>LA MATA</t>
  </si>
  <si>
    <t>SUNNORTE</t>
  </si>
  <si>
    <t>3INX</t>
  </si>
  <si>
    <t>GYPO</t>
  </si>
  <si>
    <t>GYP3</t>
  </si>
  <si>
    <t>3IZ6</t>
  </si>
  <si>
    <t>PORO</t>
  </si>
  <si>
    <t>TPUY</t>
  </si>
  <si>
    <t>EPFV</t>
  </si>
  <si>
    <t>3HF5</t>
  </si>
  <si>
    <t>3DDT</t>
  </si>
  <si>
    <t>4YCF</t>
  </si>
  <si>
    <t>MATA</t>
  </si>
  <si>
    <t>3IQA</t>
  </si>
  <si>
    <t>rampa_sub_min</t>
  </si>
  <si>
    <t>rampa_baj_min</t>
  </si>
  <si>
    <t>Carga_sincronizante_frío</t>
  </si>
  <si>
    <t>Tiempo_calentamiento_frío</t>
  </si>
  <si>
    <t>Planta</t>
  </si>
  <si>
    <t>MW/min</t>
  </si>
  <si>
    <t>TERMOCENTRO 1</t>
  </si>
  <si>
    <t>Gas</t>
  </si>
  <si>
    <t>TERMOCENTRO CC</t>
  </si>
  <si>
    <t>TERMOCENTRO 2</t>
  </si>
  <si>
    <t>ACPM</t>
  </si>
  <si>
    <t>TERMOCENTRO 3</t>
  </si>
  <si>
    <t>TERMOSIERRA 1</t>
  </si>
  <si>
    <t>TERMOSIERRA CC</t>
  </si>
  <si>
    <t>TERMOSIERRA 2</t>
  </si>
  <si>
    <t>TERMOSIERRA 3</t>
  </si>
  <si>
    <t>BARRANQUILLA 3</t>
  </si>
  <si>
    <t>BARRANQUILLA 4</t>
  </si>
  <si>
    <t>FLORES 1 GAS</t>
  </si>
  <si>
    <t>FLORES I CC</t>
  </si>
  <si>
    <t>FLORES 1 VAPOR</t>
  </si>
  <si>
    <t>FLORES 2</t>
  </si>
  <si>
    <t>FLORES 4 CC</t>
  </si>
  <si>
    <t>FLORES 3</t>
  </si>
  <si>
    <t>FLORES 4</t>
  </si>
  <si>
    <t>TEBSA 11</t>
  </si>
  <si>
    <t>TEBSAB CC</t>
  </si>
  <si>
    <t>TEBSA 12</t>
  </si>
  <si>
    <t>TEBSA 13</t>
  </si>
  <si>
    <t>TEBSA 14</t>
  </si>
  <si>
    <t>TEBSA 21</t>
  </si>
  <si>
    <t>TEBSA 22</t>
  </si>
  <si>
    <t>TEBSA 24</t>
  </si>
  <si>
    <t>ZIPAEMG 2</t>
  </si>
  <si>
    <t>Carbón</t>
  </si>
  <si>
    <t>ZIPAEMG 3</t>
  </si>
  <si>
    <t>ZIPAEMG 4</t>
  </si>
  <si>
    <t>ZIPAEMG 5</t>
  </si>
  <si>
    <t>CARTAGENA 1</t>
  </si>
  <si>
    <t>Combustóleo</t>
  </si>
  <si>
    <t>CARTAGENA 2</t>
  </si>
  <si>
    <t>CARTAGENA 3</t>
  </si>
  <si>
    <t>PROELECTRICA 1</t>
  </si>
  <si>
    <t>PROELECTRICA 2</t>
  </si>
  <si>
    <t>TERMOCANDELARIA CC 1</t>
  </si>
  <si>
    <t>TERMOCANDELARIA CC</t>
  </si>
  <si>
    <t>TERMOCANDELARIA CC 2</t>
  </si>
  <si>
    <t>TERMOCANDELARIA CC 3</t>
  </si>
  <si>
    <t>TERMOCARIBE III 1</t>
  </si>
  <si>
    <t>GLP</t>
  </si>
  <si>
    <t>TERMOCARIBE III</t>
  </si>
  <si>
    <t>PAIPA 1</t>
  </si>
  <si>
    <t>PAIPA 2</t>
  </si>
  <si>
    <t>PAIPA 3</t>
  </si>
  <si>
    <t>PAIPA 4</t>
  </si>
  <si>
    <t>TERMOYOPAL 1</t>
  </si>
  <si>
    <t>TERMOYOPAL 2</t>
  </si>
  <si>
    <t>TERMOYOPAL G3</t>
  </si>
  <si>
    <t>TERMOYOPAL G4</t>
  </si>
  <si>
    <t>TERMOYOPAL G5</t>
  </si>
  <si>
    <t>VILLANUEVA 1</t>
  </si>
  <si>
    <t>Biomasa</t>
  </si>
  <si>
    <t>VILLANUEVA</t>
  </si>
  <si>
    <t>GECELCA 3</t>
  </si>
  <si>
    <t>GECELCA 32</t>
  </si>
  <si>
    <t>TESORITO 1</t>
  </si>
  <si>
    <t>TESORITO</t>
  </si>
  <si>
    <t>TESORITO 10</t>
  </si>
  <si>
    <t>TESORITO 11</t>
  </si>
  <si>
    <t>TESORITO 2</t>
  </si>
  <si>
    <t>TESORITO 3</t>
  </si>
  <si>
    <t>TESORITO 4</t>
  </si>
  <si>
    <t>TESORITO 5</t>
  </si>
  <si>
    <t>TESORITO 6</t>
  </si>
  <si>
    <t>TESORITO 7</t>
  </si>
  <si>
    <t>TESORITO 8</t>
  </si>
  <si>
    <t>TESORITO 9</t>
  </si>
  <si>
    <t>TERMODORADA 1</t>
  </si>
  <si>
    <t>GUAJIRA 1</t>
  </si>
  <si>
    <t>Mezcla Gas - Carbón</t>
  </si>
  <si>
    <t>GUAJIRA 2</t>
  </si>
  <si>
    <t>TERMONORTE 1</t>
  </si>
  <si>
    <t>TERMONORTE</t>
  </si>
  <si>
    <t>TERMONORTE 10</t>
  </si>
  <si>
    <t>TERMONORTE 2</t>
  </si>
  <si>
    <t>TERMONORTE 3</t>
  </si>
  <si>
    <t>TERMONORTE 4</t>
  </si>
  <si>
    <t>TERMONORTE 5</t>
  </si>
  <si>
    <t>TERMONORTE 6</t>
  </si>
  <si>
    <t>TERMONORTE 7</t>
  </si>
  <si>
    <t>TERMONORTE 8</t>
  </si>
  <si>
    <t>TERMONORTE 9</t>
  </si>
  <si>
    <t>TASAJERO 1</t>
  </si>
  <si>
    <t>TASAJERO 2</t>
  </si>
  <si>
    <t>MERILECTRICA 1</t>
  </si>
  <si>
    <t>TERMOEMCALI 1 GAS</t>
  </si>
  <si>
    <t>TERMOEMCALI CC</t>
  </si>
  <si>
    <t>TERMOEMCALI 1 VAPOR</t>
  </si>
  <si>
    <t>TERMOVALLE 1 GAS</t>
  </si>
  <si>
    <t>TERMOVALLE CC</t>
  </si>
  <si>
    <t>TERMOVALLE 1 VAPOR</t>
  </si>
  <si>
    <t>CARLOS LLERAS 1</t>
  </si>
  <si>
    <t>CLL1</t>
  </si>
  <si>
    <t>CARLOS LLERAS 2</t>
  </si>
  <si>
    <t>ESCUELA DE MINAS 1</t>
  </si>
  <si>
    <t>HMIN</t>
  </si>
  <si>
    <t>ESCUELA DE MINAS 2</t>
  </si>
  <si>
    <t>ESCUELA DE MINAS 3</t>
  </si>
  <si>
    <t>GUADALUPE 31</t>
  </si>
  <si>
    <t>GUADALUPE III</t>
  </si>
  <si>
    <t>GUADALUPE 32</t>
  </si>
  <si>
    <t>GUADALUPE 33</t>
  </si>
  <si>
    <t>GUADALUPE 34</t>
  </si>
  <si>
    <t>GUADALUPE 35</t>
  </si>
  <si>
    <t>GUADALUPE 36</t>
  </si>
  <si>
    <t>GUADALUPE 41</t>
  </si>
  <si>
    <t>GUADALUPE IV</t>
  </si>
  <si>
    <t>GUADALUPE 42</t>
  </si>
  <si>
    <t>GUADALUPE 43</t>
  </si>
  <si>
    <t>GUATAPE 1</t>
  </si>
  <si>
    <t>GTPE</t>
  </si>
  <si>
    <t>GUATAPE 2</t>
  </si>
  <si>
    <t>GUATAPE 3</t>
  </si>
  <si>
    <t>GUATAPE 4</t>
  </si>
  <si>
    <t>GUATAPE 5</t>
  </si>
  <si>
    <t>GUATAPE 6</t>
  </si>
  <si>
    <t>GUATAPE 7</t>
  </si>
  <si>
    <t>GUATAPE 8</t>
  </si>
  <si>
    <t>ITUANGO 1</t>
  </si>
  <si>
    <t>PES1</t>
  </si>
  <si>
    <t>ITUANGO 2</t>
  </si>
  <si>
    <t>ITUANGO 3</t>
  </si>
  <si>
    <t>ITUANGO 4</t>
  </si>
  <si>
    <t>JAGUAS 1</t>
  </si>
  <si>
    <t>JAGUAS</t>
  </si>
  <si>
    <t>JAGS</t>
  </si>
  <si>
    <t>JAGUAS 2</t>
  </si>
  <si>
    <t>LA TASAJERA 1</t>
  </si>
  <si>
    <t>LA TASAJERA</t>
  </si>
  <si>
    <t>LTSJ</t>
  </si>
  <si>
    <t>LA TASAJERA 2</t>
  </si>
  <si>
    <t>LA TASAJERA 3</t>
  </si>
  <si>
    <t>PLAYAS 1</t>
  </si>
  <si>
    <t>PLYS</t>
  </si>
  <si>
    <t>PLAYAS 2</t>
  </si>
  <si>
    <t>PLAYAS 3</t>
  </si>
  <si>
    <t>PORCE II 1</t>
  </si>
  <si>
    <t>PORCE II</t>
  </si>
  <si>
    <t>PRC2</t>
  </si>
  <si>
    <t>PORCE II 2</t>
  </si>
  <si>
    <t>PORCE II 3</t>
  </si>
  <si>
    <t>PORCE III 1</t>
  </si>
  <si>
    <t>PRC3</t>
  </si>
  <si>
    <t>PORCE III 2</t>
  </si>
  <si>
    <t>PORCE III 3</t>
  </si>
  <si>
    <t>PORCE III 4</t>
  </si>
  <si>
    <t>SAN CARLOS 1</t>
  </si>
  <si>
    <t>SNCR</t>
  </si>
  <si>
    <t>SAN CARLOS 2</t>
  </si>
  <si>
    <t>SAN CARLOS 3</t>
  </si>
  <si>
    <t>SAN CARLOS 4</t>
  </si>
  <si>
    <t>SAN CARLOS 5</t>
  </si>
  <si>
    <t>SAN CARLOS 6</t>
  </si>
  <si>
    <t>SAN CARLOS 7</t>
  </si>
  <si>
    <t>SAN CARLOS 8</t>
  </si>
  <si>
    <t>SAN MIGUEL 1</t>
  </si>
  <si>
    <t>SMI1</t>
  </si>
  <si>
    <t>SAN MIGUEL 2</t>
  </si>
  <si>
    <t>TRONERAS 1</t>
  </si>
  <si>
    <t>TRONERAS</t>
  </si>
  <si>
    <t>TRONERAS 2</t>
  </si>
  <si>
    <t>CHIVOR 1</t>
  </si>
  <si>
    <t>CHIVOR</t>
  </si>
  <si>
    <t>CHVR</t>
  </si>
  <si>
    <t>CHIVOR 2</t>
  </si>
  <si>
    <t>CHIVOR 3</t>
  </si>
  <si>
    <t>CHIVOR 4</t>
  </si>
  <si>
    <t>CHIVOR 5</t>
  </si>
  <si>
    <t>CHIVOR 6</t>
  </si>
  <si>
    <t>CHIVOR 7</t>
  </si>
  <si>
    <t>CHIVOR 8</t>
  </si>
  <si>
    <t>DARIO VALENCIA SAMPER 1</t>
  </si>
  <si>
    <t>DARIO VALENCIA SAMPER</t>
  </si>
  <si>
    <t>DVS1</t>
  </si>
  <si>
    <t>DARIO VALENCIA SAMPER 2</t>
  </si>
  <si>
    <t>DARIO VALENCIA SAMPER 5</t>
  </si>
  <si>
    <t>GUAVIO 1</t>
  </si>
  <si>
    <t>GVIO</t>
  </si>
  <si>
    <t>GUAVIO 2</t>
  </si>
  <si>
    <t>GUAVIO 3</t>
  </si>
  <si>
    <t>GUAVIO 4</t>
  </si>
  <si>
    <t>GUAVIO 5</t>
  </si>
  <si>
    <t>LA GUACA 1</t>
  </si>
  <si>
    <t>LA GUACA</t>
  </si>
  <si>
    <t>LA GUACA 2</t>
  </si>
  <si>
    <t>LA GUACA 3</t>
  </si>
  <si>
    <t>PARAISO 1</t>
  </si>
  <si>
    <t>PARAISO</t>
  </si>
  <si>
    <t>PARAISO 2</t>
  </si>
  <si>
    <t>PARAISO 3</t>
  </si>
  <si>
    <t>SALTO II 2</t>
  </si>
  <si>
    <t>SALTO II</t>
  </si>
  <si>
    <t>2QEK</t>
  </si>
  <si>
    <t>TUNJITA 1</t>
  </si>
  <si>
    <t>TUNJITA</t>
  </si>
  <si>
    <t>TUJ1</t>
  </si>
  <si>
    <t>TUNJITA 2</t>
  </si>
  <si>
    <t>EL QUIMBO 1</t>
  </si>
  <si>
    <t>QUI1</t>
  </si>
  <si>
    <t>EL QUIMBO 2</t>
  </si>
  <si>
    <t>URRA 1</t>
  </si>
  <si>
    <t>URA1</t>
  </si>
  <si>
    <t>URRA 2</t>
  </si>
  <si>
    <t>URRA 3</t>
  </si>
  <si>
    <t>URRA 4</t>
  </si>
  <si>
    <t>ESMERALDA 1</t>
  </si>
  <si>
    <t>ESMR</t>
  </si>
  <si>
    <t>ESMERALDA 2</t>
  </si>
  <si>
    <t>MIEL I 1</t>
  </si>
  <si>
    <t>HMLG</t>
  </si>
  <si>
    <t>MIEL I 2</t>
  </si>
  <si>
    <t>MIEL I 3</t>
  </si>
  <si>
    <t>SAN FRANCISCO 1</t>
  </si>
  <si>
    <t>SNFR</t>
  </si>
  <si>
    <t>SAN FRANCISCO 2</t>
  </si>
  <si>
    <t>SAN FRANCISCO 3</t>
  </si>
  <si>
    <t>AMOYA LA ESPERANZA 1</t>
  </si>
  <si>
    <t>AMOYA LA ESPERANZA</t>
  </si>
  <si>
    <t>MOY1</t>
  </si>
  <si>
    <t>AMOYA LA ESPERANZA 2</t>
  </si>
  <si>
    <t>BETANIA 1</t>
  </si>
  <si>
    <t>CHBG</t>
  </si>
  <si>
    <t>BETANIA 2</t>
  </si>
  <si>
    <t>BETANIA 3</t>
  </si>
  <si>
    <t>CUCUANA 1</t>
  </si>
  <si>
    <t>CUC1</t>
  </si>
  <si>
    <t>CUCUANA 2</t>
  </si>
  <si>
    <t>PRADO 1</t>
  </si>
  <si>
    <t>PRDO</t>
  </si>
  <si>
    <t>PRADO 2</t>
  </si>
  <si>
    <t>PRADO 3</t>
  </si>
  <si>
    <t>SOGAMOSO 1</t>
  </si>
  <si>
    <t>SOG1</t>
  </si>
  <si>
    <t>SOGAMOSO 2</t>
  </si>
  <si>
    <t>SOGAMOSO 3</t>
  </si>
  <si>
    <t>ALTO ANCHICAYA 1</t>
  </si>
  <si>
    <t>ALTO ANCHICAYA</t>
  </si>
  <si>
    <t>ALTO ANCHICAYA 2</t>
  </si>
  <si>
    <t>ALTO ANCHICAYA 3</t>
  </si>
  <si>
    <t>BAJO ANCHICAYA 1</t>
  </si>
  <si>
    <t>BAJO ANCHICAYA</t>
  </si>
  <si>
    <t>BAJO ANCHICAYA 2</t>
  </si>
  <si>
    <t>BAJO ANCHICAYA 3</t>
  </si>
  <si>
    <t>BAJO ANCHICAYA 4</t>
  </si>
  <si>
    <t>CALIMA 1</t>
  </si>
  <si>
    <t>CLMG</t>
  </si>
  <si>
    <t>CALIMA 2</t>
  </si>
  <si>
    <t>CALIMA 3</t>
  </si>
  <si>
    <t>CALIMA 4</t>
  </si>
  <si>
    <t>SALVAJINA 1</t>
  </si>
  <si>
    <t>SLVJ</t>
  </si>
  <si>
    <t>SALVAJINA 2</t>
  </si>
  <si>
    <t>SALVAJINA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</si>
</sst>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$&quot;\ * #,##0.00_-;\-&quot;$&quot;\ * #,##0.00_-;_-&quot;$&quot;\ * &quot;-&quot;??_-;_-@_-"/>
    <numFmt numFmtId="43" formatCode="_-* #,##0.00_-;\-* #,##0.00_-;_-* &quot;-&quot;??_-;_-@_-"/>
  </numFmts>
  <fonts count="18" x14ac:knownFonts="1">
    <font>
      <sz val="11"/>
      <color theme="1"/>
      <name val="Calibri"/>
      <family val="2"/>
      <scheme val="minor"/>
    </font>
    <font>
      <b/>
      <sz val="14"/>
      <color rgb="FF1F4E78"/>
      <name val="Calibri"/>
      <family val="2"/>
    </font>
    <font>
      <i/>
      <sz val="10"/>
      <color rgb="FF808080"/>
      <name val="Calibri"/>
      <family val="2"/>
    </font>
    <font>
      <b/>
      <sz val="11"/>
      <color rgb="FFFFFFFF"/>
      <name val="Calibri"/>
      <family val="2"/>
    </font>
    <font>
      <i/>
      <sz val="9"/>
      <color rgb="FF808080"/>
      <name val="Calibri"/>
      <family val="2"/>
    </font>
    <font>
      <sz val="11"/>
      <color rgb="FF0000FF"/>
      <name val="Calibri"/>
      <family val="2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</font>
    <font>
      <sz val="11"/>
      <color theme="0" tint="-0.499984740745262"/>
      <name val="Calibri"/>
      <family val="2"/>
    </font>
    <font>
      <i/>
      <sz val="10"/>
      <color rgb="FF0000FF"/>
      <name val="Calibri"/>
      <family val="2"/>
    </font>
    <font>
      <i/>
      <sz val="10"/>
      <color theme="5" tint="-0.249977111117893"/>
      <name val="Calibri"/>
      <family val="2"/>
    </font>
    <font>
      <i/>
      <sz val="10"/>
      <color rgb="FF1F4E78"/>
      <name val="Calibri"/>
      <family val="2"/>
    </font>
    <font>
      <i/>
      <sz val="10"/>
      <color theme="0" tint="-0.499984740745262"/>
      <name val="Calibri"/>
      <family val="2"/>
    </font>
    <font>
      <i/>
      <sz val="9"/>
      <color rgb="FFFF0000"/>
      <name val="Calibri"/>
      <family val="2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9"/>
      <color indexed="81"/>
      <name val="Tahoma"/>
      <family val="2"/>
    </font>
  </fonts>
  <fills count="6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C7CE"/>
      </patternFill>
    </fill>
    <fill>
      <patternFill patternType="solid">
        <fgColor rgb="FFFFEB9C"/>
      </patternFill>
    </fill>
  </fills>
  <borders count="4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/>
      <diagonal/>
    </border>
    <border>
      <left style="thin">
        <color rgb="FFCCCCCC"/>
      </left>
      <right/>
      <top/>
      <bottom/>
      <diagonal/>
    </border>
  </borders>
  <cellStyleXfs count="5">
    <xf numFmtId="0" fontId="0" fillId="0" borderId="0"/>
    <xf numFmtId="43" fontId="7" fillId="0" borderId="0" applyFont="0" applyFill="0" applyBorder="0" applyAlignment="0" applyProtection="0"/>
    <xf numFmtId="44" fontId="7" fillId="0" borderId="0" applyFont="0" applyFill="0" applyBorder="0" applyAlignment="0" applyProtection="0"/>
    <xf numFmtId="0" fontId="15" fillId="4" borderId="0" applyNumberFormat="0" applyBorder="0" applyAlignment="0" applyProtection="0"/>
    <xf numFmtId="0" fontId="16" fillId="5" borderId="0" applyNumberFormat="0" applyBorder="0" applyAlignment="0" applyProtection="0"/>
  </cellStyleXfs>
  <cellXfs count="28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left" vertical="center"/>
    </xf>
    <xf numFmtId="0" fontId="5" fillId="0" borderId="0" xfId="0" applyFont="1" applyAlignment="1">
      <alignment horizontal="left"/>
    </xf>
    <xf numFmtId="0" fontId="5" fillId="0" borderId="0" xfId="0" applyFont="1" applyAlignment="1">
      <alignment horizontal="left" vertical="center"/>
    </xf>
    <xf numFmtId="0" fontId="5" fillId="0" borderId="0" xfId="0" applyFont="1" applyAlignment="1">
      <alignment horizontal="center" vertical="center"/>
    </xf>
    <xf numFmtId="44" fontId="5" fillId="0" borderId="1" xfId="2" applyFont="1" applyBorder="1" applyAlignment="1">
      <alignment horizontal="center" vertical="center"/>
    </xf>
    <xf numFmtId="0" fontId="9" fillId="0" borderId="1" xfId="0" applyFont="1" applyBorder="1" applyAlignment="1">
      <alignment horizontal="left" vertical="center"/>
    </xf>
    <xf numFmtId="0" fontId="3" fillId="3" borderId="1" xfId="0" applyFont="1" applyFill="1" applyBorder="1" applyAlignment="1">
      <alignment horizontal="center" vertical="center"/>
    </xf>
    <xf numFmtId="0" fontId="9" fillId="0" borderId="1" xfId="0" applyFont="1" applyBorder="1" applyAlignment="1">
      <alignment horizontal="left" vertical="center" indent="3"/>
    </xf>
    <xf numFmtId="0" fontId="9" fillId="0" borderId="2" xfId="0" applyFont="1" applyBorder="1" applyAlignment="1">
      <alignment horizontal="left" vertical="center" indent="3"/>
    </xf>
    <xf numFmtId="0" fontId="8" fillId="0" borderId="1" xfId="0" applyFont="1" applyBorder="1" applyAlignment="1">
      <alignment horizontal="left" vertical="center"/>
    </xf>
    <xf numFmtId="0" fontId="9" fillId="0" borderId="3" xfId="0" applyFont="1" applyBorder="1" applyAlignment="1">
      <alignment horizontal="left" vertical="center"/>
    </xf>
    <xf numFmtId="0" fontId="14" fillId="0" borderId="0" xfId="0" applyFont="1" applyAlignment="1">
      <alignment horizontal="center" vertical="center"/>
    </xf>
    <xf numFmtId="14" fontId="5" fillId="0" borderId="1" xfId="0" applyNumberFormat="1" applyFont="1" applyBorder="1" applyAlignment="1">
      <alignment horizontal="center" vertical="center"/>
    </xf>
    <xf numFmtId="0" fontId="9" fillId="0" borderId="3" xfId="0" applyFont="1" applyFill="1" applyBorder="1" applyAlignment="1">
      <alignment horizontal="left" vertical="center"/>
    </xf>
    <xf numFmtId="0" fontId="5" fillId="0" borderId="1" xfId="1" applyNumberFormat="1" applyFont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 wrapText="1"/>
    </xf>
    <xf numFmtId="44" fontId="16" fillId="5" borderId="1" xfId="4" applyNumberFormat="1" applyBorder="1" applyAlignment="1">
      <alignment horizontal="center" vertical="center"/>
    </xf>
    <xf numFmtId="2" fontId="5" fillId="0" borderId="1" xfId="0" applyNumberFormat="1" applyFont="1" applyBorder="1" applyAlignment="1">
      <alignment horizontal="center" vertical="center"/>
    </xf>
    <xf numFmtId="0" fontId="5" fillId="0" borderId="1" xfId="0" applyNumberFormat="1" applyFont="1" applyBorder="1" applyAlignment="1">
      <alignment horizontal="center" vertical="center"/>
    </xf>
    <xf numFmtId="3" fontId="5" fillId="0" borderId="1" xfId="0" applyNumberFormat="1" applyFont="1" applyBorder="1" applyAlignment="1">
      <alignment horizontal="center" vertical="center"/>
    </xf>
    <xf numFmtId="2" fontId="15" fillId="4" borderId="1" xfId="3" applyNumberFormat="1" applyBorder="1" applyAlignment="1">
      <alignment horizontal="center" vertical="center"/>
    </xf>
    <xf numFmtId="0" fontId="15" fillId="4" borderId="1" xfId="3" applyBorder="1" applyAlignment="1">
      <alignment horizontal="center" vertical="center"/>
    </xf>
  </cellXfs>
  <cellStyles count="5">
    <cellStyle name="Bad" xfId="3" builtinId="27"/>
    <cellStyle name="Comma" xfId="1" builtinId="3"/>
    <cellStyle name="Currency" xfId="2" builtinId="4"/>
    <cellStyle name="Neutral" xfId="4" builtinId="28"/>
    <cellStyle name="Normal" xfId="0" builtinId="0"/>
  </cellStyles>
  <dxfs count="0"/>
  <tableStyles count="0" defaultTableStyle="TableStyleMedium9" defaultPivotStyle="PivotStyleLight16"/>
  <colors>
    <mruColors>
      <color rgb="FF1F4E78"/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266700</xdr:colOff>
      <xdr:row>35</xdr:row>
      <xdr:rowOff>123825</xdr:rowOff>
    </xdr:from>
    <xdr:to>
      <xdr:col>4</xdr:col>
      <xdr:colOff>467714</xdr:colOff>
      <xdr:row>51</xdr:row>
      <xdr:rowOff>57566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C39FD0C3-A231-AEEA-A7D7-6E9B67FB50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933950" y="6838950"/>
          <a:ext cx="7087589" cy="2981741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47</xdr:row>
      <xdr:rowOff>133350</xdr:rowOff>
    </xdr:from>
    <xdr:to>
      <xdr:col>6</xdr:col>
      <xdr:colOff>105815</xdr:colOff>
      <xdr:row>78</xdr:row>
      <xdr:rowOff>124648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37F17145-1452-E329-86A3-51895E2FC32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2839700" y="8943975"/>
          <a:ext cx="7449590" cy="5896798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file:///H:\My%20Drive\2.%20Universidad%20Nacional%20de%20Colombia\2.%20Postgraduate\1_SEMESTER\TESIS%20DE%20MAESTRIA\2nd%20Search\04_TESIS_DANIEL\03_CODIGO_TRABAJO_DANIEL\BESS_FACTS_master\01_Data\02_Processed\Datos_hojas_excel_COL\18_nodos\05_Renovables\generadores_18nodos.xlsx" TargetMode="External"/><Relationship Id="rId2" Type="http://schemas.microsoft.com/office/2019/04/relationships/externalLinkLongPath" Target="/My%20Drive/2.%20Universidad%20Nacional%20de%20Colombia/2.%20Postgraduate/1_SEMESTER/TESIS%20DE%20MAESTRIA/2nd%20Search/04_TESIS_DANIEL/03_CODIGO_TRABAJO_DANIEL/BESS_FACTS_master/01_Data/02_Processed/Datos_hojas_excel_COL/18_nodos/05_Renovables/generadores_18nodos.xlsx?64FD940F" TargetMode="External"/><Relationship Id="rId1" Type="http://schemas.openxmlformats.org/officeDocument/2006/relationships/externalLinkPath" Target="file:///\\64FD940F\generadores_18nodos.xlsx" TargetMode="External"/><Relationship Id="rId4" Type="http://schemas.openxmlformats.org/officeDocument/2006/relationships/externalLinkPath" Target="../02_Processed/Datos_hojas_excel_COL/18_nodos/05_Renovables/generadores_18nodo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3"/>
      <xxl21:relativeUrl r:id="rId4"/>
    </xxl21:alternateUrls>
    <sheetNames>
      <sheetName val="Inventario_Columnas"/>
      <sheetName val="Generadores"/>
      <sheetName val="Térmica"/>
      <sheetName val="Hidraulica"/>
      <sheetName val="Renovables"/>
      <sheetName val="Renovables_traz"/>
      <sheetName val="Detalle_Unidades"/>
      <sheetName val="Trazabilidad"/>
      <sheetName val="Sin_Subarea"/>
      <sheetName val="Cadenas_Hidraulicas"/>
      <sheetName val="Capacidad_Subareas_18"/>
      <sheetName val="Renovables_Subareas"/>
      <sheetName val="Auditoria_Hidraulica"/>
      <sheetName val="Costos_Ordenados"/>
      <sheetName val="Conciliacion_Capacidad"/>
      <sheetName val="Notas_Fase1b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>
        <row r="46">
          <cell r="A46" t="str">
            <v>3INX</v>
          </cell>
          <cell r="B46" t="str">
            <v>CARACOLI I</v>
          </cell>
        </row>
        <row r="47">
          <cell r="B47" t="str">
            <v>CELSIA SOLAR ALUMINA</v>
          </cell>
        </row>
        <row r="48">
          <cell r="B48" t="str">
            <v>CELSIA SOLAR BOLIVAR</v>
          </cell>
        </row>
        <row r="49">
          <cell r="B49" t="str">
            <v>CELSIA SOLAR BUGALAGRANDE</v>
          </cell>
        </row>
        <row r="50">
          <cell r="B50" t="str">
            <v>CELSIA SOLAR CARMELO</v>
          </cell>
        </row>
        <row r="51">
          <cell r="B51" t="str">
            <v>CELSIA SOLAR DULIMA</v>
          </cell>
        </row>
        <row r="52">
          <cell r="B52" t="str">
            <v>CELSIA SOLAR ESCOBAL I</v>
          </cell>
        </row>
        <row r="53">
          <cell r="B53" t="str">
            <v>CELSIA SOLAR ESCOBAL II</v>
          </cell>
        </row>
        <row r="54">
          <cell r="B54" t="str">
            <v>CELSIA SOLAR ESCOBAL III</v>
          </cell>
        </row>
        <row r="55">
          <cell r="B55" t="str">
            <v>CELSIA SOLAR ESCOBAL IV</v>
          </cell>
        </row>
        <row r="56">
          <cell r="B56" t="str">
            <v>CELSIA SOLAR ESCOBAL V</v>
          </cell>
        </row>
        <row r="57">
          <cell r="B57" t="str">
            <v>CELSIA SOLAR LA PAILA</v>
          </cell>
        </row>
        <row r="58">
          <cell r="B58" t="str">
            <v>CELSIA SOLAR LA VICTORIA I</v>
          </cell>
        </row>
        <row r="59">
          <cell r="B59" t="str">
            <v>CELSIA SOLAR LA VICTORIA II</v>
          </cell>
        </row>
        <row r="60">
          <cell r="B60" t="str">
            <v>CELSIA SOLAR PUERTO TEJADA</v>
          </cell>
        </row>
        <row r="61">
          <cell r="B61" t="str">
            <v>CELSIA SOLAR YUMA</v>
          </cell>
        </row>
        <row r="62">
          <cell r="B62" t="str">
            <v>CENTRO SOLAR</v>
          </cell>
        </row>
        <row r="63">
          <cell r="B63" t="str">
            <v>CERRITOS</v>
          </cell>
        </row>
        <row r="64">
          <cell r="B64" t="str">
            <v>CHENCHE PURIFICACION</v>
          </cell>
        </row>
        <row r="65">
          <cell r="B65" t="str">
            <v>COMUNIDAD EL SALVADOR I</v>
          </cell>
        </row>
        <row r="66">
          <cell r="B66" t="str">
            <v>COMUNIDAD EL SALVADOR II</v>
          </cell>
        </row>
        <row r="67">
          <cell r="B67" t="str">
            <v>CONDOR</v>
          </cell>
        </row>
        <row r="68">
          <cell r="B68" t="str">
            <v>DELTA I</v>
          </cell>
        </row>
        <row r="69">
          <cell r="B69" t="str">
            <v>ECOPARQUE SOLAR LA CIRA</v>
          </cell>
        </row>
        <row r="70">
          <cell r="A70" t="str">
            <v>EPFV</v>
          </cell>
          <cell r="B70" t="str">
            <v>EL PASO</v>
          </cell>
        </row>
        <row r="71">
          <cell r="B71" t="str">
            <v>EL TAMARINDO I</v>
          </cell>
        </row>
        <row r="72">
          <cell r="B72" t="str">
            <v>EL TAMARINDO II</v>
          </cell>
        </row>
        <row r="73">
          <cell r="A73" t="str">
            <v>3HF5</v>
          </cell>
          <cell r="B73" t="str">
            <v>FUNDACION</v>
          </cell>
        </row>
        <row r="74">
          <cell r="B74" t="str">
            <v>GANDALF</v>
          </cell>
        </row>
        <row r="75">
          <cell r="B75" t="str">
            <v>GD AGUSTIN I</v>
          </cell>
        </row>
        <row r="76">
          <cell r="B76" t="str">
            <v>GD AGUSTIN II</v>
          </cell>
        </row>
        <row r="77">
          <cell r="B77" t="str">
            <v>GD AGUSTIN III</v>
          </cell>
        </row>
        <row r="78">
          <cell r="B78" t="str">
            <v>GD ALAMO SOLAR</v>
          </cell>
        </row>
        <row r="79">
          <cell r="B79" t="str">
            <v>GD ALEJANDRIA I</v>
          </cell>
        </row>
        <row r="80">
          <cell r="B80" t="str">
            <v>GD ALEJANDRIA II</v>
          </cell>
        </row>
        <row r="81">
          <cell r="B81" t="str">
            <v>GD ALEJANDRIA III</v>
          </cell>
        </row>
        <row r="82">
          <cell r="B82" t="str">
            <v>GD ALFEREZ</v>
          </cell>
        </row>
        <row r="83">
          <cell r="B83" t="str">
            <v>GD ASTROLUMEN LA GARITA</v>
          </cell>
        </row>
        <row r="84">
          <cell r="B84" t="str">
            <v>GD BASILICA</v>
          </cell>
        </row>
        <row r="85">
          <cell r="B85" t="str">
            <v>GD BIOSOLAR</v>
          </cell>
        </row>
        <row r="86">
          <cell r="B86" t="str">
            <v>GD BLANCA ENERGY I</v>
          </cell>
        </row>
        <row r="87">
          <cell r="B87" t="str">
            <v>GD BLANCA ENERGY II</v>
          </cell>
        </row>
        <row r="88">
          <cell r="B88" t="str">
            <v>GD BLANCA ENERGY III</v>
          </cell>
        </row>
        <row r="89">
          <cell r="B89" t="str">
            <v>GD BLANCA ENERGY SOLAR 23</v>
          </cell>
        </row>
        <row r="90">
          <cell r="B90" t="str">
            <v>GD BLANCA ENERGY SOLAR 24</v>
          </cell>
        </row>
        <row r="91">
          <cell r="B91" t="str">
            <v>GD BOCAS DEL PALO</v>
          </cell>
        </row>
        <row r="92">
          <cell r="B92" t="str">
            <v>GD BONILLA A I</v>
          </cell>
        </row>
        <row r="93">
          <cell r="B93" t="str">
            <v>GD BONILLA A II</v>
          </cell>
        </row>
        <row r="94">
          <cell r="B94" t="str">
            <v>GD BONILLA A III</v>
          </cell>
        </row>
        <row r="95">
          <cell r="B95" t="str">
            <v>GD BONILLA A IV</v>
          </cell>
        </row>
        <row r="96">
          <cell r="B96" t="str">
            <v>GD BONILLA A V</v>
          </cell>
        </row>
        <row r="97">
          <cell r="B97" t="str">
            <v>GD CADILLO II</v>
          </cell>
        </row>
        <row r="98">
          <cell r="B98" t="str">
            <v>GD CALIPSO SOLAR</v>
          </cell>
        </row>
        <row r="99">
          <cell r="B99" t="str">
            <v>GD CANARIOS I</v>
          </cell>
        </row>
        <row r="100">
          <cell r="B100" t="str">
            <v>GD CANARIOS II</v>
          </cell>
        </row>
        <row r="101">
          <cell r="B101" t="str">
            <v>GD CANARIOS III</v>
          </cell>
        </row>
        <row r="102">
          <cell r="B102" t="str">
            <v>GD CARACOL I</v>
          </cell>
        </row>
        <row r="103">
          <cell r="B103" t="str">
            <v>GD CARACOL II</v>
          </cell>
        </row>
        <row r="104">
          <cell r="B104" t="str">
            <v>GD CARACOL III</v>
          </cell>
        </row>
        <row r="105">
          <cell r="B105" t="str">
            <v>GD CHICORAL</v>
          </cell>
        </row>
        <row r="106">
          <cell r="B106" t="str">
            <v>GD CHIMBI</v>
          </cell>
        </row>
        <row r="107">
          <cell r="B107" t="str">
            <v>GD CHIRIGUANA NORTE I</v>
          </cell>
        </row>
        <row r="108">
          <cell r="B108" t="str">
            <v>GD CHIRIGUANA NORTE II</v>
          </cell>
        </row>
        <row r="109">
          <cell r="B109" t="str">
            <v>GD CHIRIGUANA NORTE IV</v>
          </cell>
        </row>
        <row r="110">
          <cell r="B110" t="str">
            <v>GD CORALITO</v>
          </cell>
        </row>
        <row r="111">
          <cell r="B111" t="str">
            <v>GD CSF ARENALES I</v>
          </cell>
        </row>
        <row r="112">
          <cell r="B112" t="str">
            <v>GD DELTA II</v>
          </cell>
        </row>
        <row r="113">
          <cell r="B113" t="str">
            <v>GD DIOCESIS DE RIOHACHA</v>
          </cell>
        </row>
        <row r="114">
          <cell r="B114" t="str">
            <v>GD EDEQ SOLAR LA TEBAIDA</v>
          </cell>
        </row>
        <row r="115">
          <cell r="B115" t="str">
            <v>GD EDEQ SOLAR MONTENEGRO</v>
          </cell>
        </row>
        <row r="116">
          <cell r="B116" t="str">
            <v>GD EL BANCO</v>
          </cell>
        </row>
        <row r="117">
          <cell r="B117" t="str">
            <v>GD EL CASTILLO I</v>
          </cell>
        </row>
        <row r="118">
          <cell r="B118" t="str">
            <v>GD EL CASTILLO II</v>
          </cell>
        </row>
        <row r="119">
          <cell r="B119" t="str">
            <v>GD EL CASTILLO III</v>
          </cell>
        </row>
        <row r="120">
          <cell r="B120" t="str">
            <v>GD EL CASTILLO IV</v>
          </cell>
        </row>
        <row r="121">
          <cell r="B121" t="str">
            <v>GD EL CASTILLO V</v>
          </cell>
        </row>
        <row r="122">
          <cell r="B122" t="str">
            <v>GD EL MANDARINO</v>
          </cell>
        </row>
        <row r="123">
          <cell r="B123" t="str">
            <v>GD EL PASO NORTE</v>
          </cell>
        </row>
        <row r="124">
          <cell r="B124" t="str">
            <v>GD EL ROBLE</v>
          </cell>
        </row>
        <row r="125">
          <cell r="B125" t="str">
            <v>GD EMPERATRIZ I</v>
          </cell>
        </row>
        <row r="126">
          <cell r="B126" t="str">
            <v>GD EMPERATRIZ II</v>
          </cell>
        </row>
        <row r="127">
          <cell r="B127" t="str">
            <v>GD ENCANTO</v>
          </cell>
        </row>
        <row r="128">
          <cell r="B128" t="str">
            <v>GD ERCO GOLONDRINA I</v>
          </cell>
        </row>
        <row r="129">
          <cell r="B129" t="str">
            <v>GD ERCO GOLONDRINA II</v>
          </cell>
        </row>
        <row r="130">
          <cell r="B130" t="str">
            <v>GD ERCO GUAMO I</v>
          </cell>
        </row>
        <row r="131">
          <cell r="B131" t="str">
            <v>GD ERCO GUAMO II</v>
          </cell>
        </row>
        <row r="132">
          <cell r="B132" t="str">
            <v>GD ERCO GUAMO III</v>
          </cell>
        </row>
        <row r="133">
          <cell r="B133" t="str">
            <v>GD ERCO GUAMO IV</v>
          </cell>
        </row>
        <row r="134">
          <cell r="B134" t="str">
            <v>GD ERCO ISIDORI</v>
          </cell>
        </row>
        <row r="135">
          <cell r="B135" t="str">
            <v>GD ERCO LAS PIEDRAS I</v>
          </cell>
        </row>
        <row r="136">
          <cell r="B136" t="str">
            <v>GD ERCO LAS PIEDRAS II</v>
          </cell>
        </row>
        <row r="137">
          <cell r="B137" t="str">
            <v>GD ERCO MARIANGOLA</v>
          </cell>
        </row>
        <row r="138">
          <cell r="B138" t="str">
            <v>GD ERCO PALMAS</v>
          </cell>
        </row>
        <row r="139">
          <cell r="B139" t="str">
            <v>GD ERCO PALMAS II</v>
          </cell>
        </row>
        <row r="140">
          <cell r="B140" t="str">
            <v>GD ERCO SALDANA I</v>
          </cell>
        </row>
        <row r="141">
          <cell r="B141" t="str">
            <v>GD ERCO SALDANA II</v>
          </cell>
        </row>
        <row r="142">
          <cell r="B142" t="str">
            <v>GD ERCO TOLDADO</v>
          </cell>
        </row>
        <row r="143">
          <cell r="B143" t="str">
            <v>GD ESPERANZA I</v>
          </cell>
        </row>
        <row r="144">
          <cell r="B144" t="str">
            <v>GD ESPERANZA I ETAPA II</v>
          </cell>
        </row>
        <row r="145">
          <cell r="B145" t="str">
            <v>GD ESPERANZA II</v>
          </cell>
        </row>
        <row r="146">
          <cell r="B146" t="str">
            <v>GD FINCA ISABEL LOPEZ</v>
          </cell>
        </row>
        <row r="147">
          <cell r="B147" t="str">
            <v>GD FINCA JM</v>
          </cell>
        </row>
        <row r="148">
          <cell r="B148" t="str">
            <v>GD GALERAS OCCIDENTE</v>
          </cell>
        </row>
        <row r="149">
          <cell r="B149" t="str">
            <v>GD GALILEO SOLAR</v>
          </cell>
        </row>
        <row r="150">
          <cell r="B150" t="str">
            <v>GD GOLONDRINA</v>
          </cell>
        </row>
        <row r="151">
          <cell r="B151" t="str">
            <v>GD GRANJA LA RUBIELA</v>
          </cell>
        </row>
        <row r="152">
          <cell r="B152" t="str">
            <v>GD GRANJA SAN PELAYO</v>
          </cell>
        </row>
        <row r="153">
          <cell r="B153" t="str">
            <v>GD GRANJA SOLAR SAN AGUSTIN</v>
          </cell>
        </row>
        <row r="154">
          <cell r="B154" t="str">
            <v>GD JARDINCITO</v>
          </cell>
        </row>
        <row r="155">
          <cell r="B155" t="str">
            <v>GD LA CACICA</v>
          </cell>
        </row>
        <row r="156">
          <cell r="B156" t="str">
            <v>GD LA CATEDRAL</v>
          </cell>
        </row>
        <row r="157">
          <cell r="B157" t="str">
            <v>GD LA HONDA</v>
          </cell>
        </row>
        <row r="158">
          <cell r="B158" t="str">
            <v>GD LA HORMIGUITA</v>
          </cell>
        </row>
        <row r="159">
          <cell r="B159" t="str">
            <v>GD LA MACANA</v>
          </cell>
        </row>
        <row r="160">
          <cell r="B160" t="str">
            <v>GD LA URIBE</v>
          </cell>
        </row>
        <row r="161">
          <cell r="B161" t="str">
            <v>GD LAS MERCEDES I</v>
          </cell>
        </row>
        <row r="162">
          <cell r="B162" t="str">
            <v>GD LAS MERCEDES II</v>
          </cell>
        </row>
        <row r="163">
          <cell r="B163" t="str">
            <v>GD LAS PILONERAS</v>
          </cell>
        </row>
        <row r="164">
          <cell r="B164" t="str">
            <v>GD LEGACY</v>
          </cell>
        </row>
        <row r="165">
          <cell r="B165" t="str">
            <v>GD LOS CHORROS</v>
          </cell>
        </row>
        <row r="166">
          <cell r="B166" t="str">
            <v>GD LOS MANGOS I</v>
          </cell>
        </row>
        <row r="167">
          <cell r="B167" t="str">
            <v>GD LOS MANGOS II</v>
          </cell>
        </row>
        <row r="168">
          <cell r="B168" t="str">
            <v>GD LOS MANGOS III</v>
          </cell>
        </row>
        <row r="169">
          <cell r="B169" t="str">
            <v>GD LYRA</v>
          </cell>
        </row>
        <row r="170">
          <cell r="B170" t="str">
            <v>GD LYRA II</v>
          </cell>
        </row>
        <row r="171">
          <cell r="B171" t="str">
            <v>GD MEISSA II</v>
          </cell>
        </row>
        <row r="172">
          <cell r="B172" t="str">
            <v>GD MGS 0013 LA MESA</v>
          </cell>
        </row>
        <row r="173">
          <cell r="B173" t="str">
            <v>GD NAOS I</v>
          </cell>
        </row>
        <row r="174">
          <cell r="B174" t="str">
            <v>GD NAOS II</v>
          </cell>
        </row>
        <row r="175">
          <cell r="B175" t="str">
            <v>GD NAOS III</v>
          </cell>
        </row>
        <row r="176">
          <cell r="B176" t="str">
            <v>GD NAOS IV</v>
          </cell>
        </row>
        <row r="177">
          <cell r="B177" t="str">
            <v>GD NAOS V</v>
          </cell>
        </row>
        <row r="178">
          <cell r="B178" t="str">
            <v>GD NOVA I</v>
          </cell>
        </row>
        <row r="179">
          <cell r="B179" t="str">
            <v>GD ORBIS</v>
          </cell>
        </row>
        <row r="180">
          <cell r="B180" t="str">
            <v>GD PALERMO</v>
          </cell>
        </row>
        <row r="181">
          <cell r="B181" t="str">
            <v>GD PALMERAS I</v>
          </cell>
        </row>
        <row r="182">
          <cell r="B182" t="str">
            <v>GD PALMERAS II</v>
          </cell>
        </row>
        <row r="183">
          <cell r="B183" t="str">
            <v>GD PALMERAS III</v>
          </cell>
        </row>
        <row r="184">
          <cell r="B184" t="str">
            <v>GD PALMERAS IV</v>
          </cell>
        </row>
        <row r="185">
          <cell r="B185" t="str">
            <v>GD PARQUE SOLAR GRANADA I</v>
          </cell>
        </row>
        <row r="186">
          <cell r="B186" t="str">
            <v>GD PARQUE SOLAR GRANADA II</v>
          </cell>
        </row>
        <row r="187">
          <cell r="B187" t="str">
            <v>GD PARQUE SOLAR LA ESPERANZA</v>
          </cell>
        </row>
        <row r="188">
          <cell r="B188" t="str">
            <v>GD PARQUE SOLAR TRONCAL</v>
          </cell>
        </row>
        <row r="189">
          <cell r="B189" t="str">
            <v>GD PARQUE SOLAR TRONCAL II</v>
          </cell>
        </row>
        <row r="190">
          <cell r="B190" t="str">
            <v>GD PEGASUS SOLAR</v>
          </cell>
        </row>
        <row r="191">
          <cell r="B191" t="str">
            <v>GD PIEDECUESTA I</v>
          </cell>
        </row>
        <row r="192">
          <cell r="B192" t="str">
            <v>GD PIEDECUESTA II</v>
          </cell>
        </row>
        <row r="193">
          <cell r="B193" t="str">
            <v>GD PIEDECUESTA III</v>
          </cell>
        </row>
        <row r="194">
          <cell r="B194" t="str">
            <v>GD PISINGO I</v>
          </cell>
        </row>
        <row r="195">
          <cell r="B195" t="str">
            <v>GD PISINGO II</v>
          </cell>
        </row>
        <row r="196">
          <cell r="B196" t="str">
            <v>GD POLARIS II</v>
          </cell>
        </row>
        <row r="197">
          <cell r="B197" t="str">
            <v>GD POLARIS III</v>
          </cell>
        </row>
        <row r="198">
          <cell r="B198" t="str">
            <v>GD PULOY</v>
          </cell>
        </row>
        <row r="199">
          <cell r="B199" t="str">
            <v>GD PXV I</v>
          </cell>
        </row>
        <row r="200">
          <cell r="B200" t="str">
            <v>GD PXV II</v>
          </cell>
        </row>
        <row r="201">
          <cell r="B201" t="str">
            <v>GD PXV IV</v>
          </cell>
        </row>
        <row r="202">
          <cell r="B202" t="str">
            <v>GD RIGEL SOLAR</v>
          </cell>
        </row>
        <row r="203">
          <cell r="B203" t="str">
            <v>GD SABANA DE TORRES</v>
          </cell>
        </row>
        <row r="204">
          <cell r="B204" t="str">
            <v>GD SAN MARTIN</v>
          </cell>
        </row>
        <row r="205">
          <cell r="B205" t="str">
            <v>GD SAN MARTIN I</v>
          </cell>
        </row>
        <row r="206">
          <cell r="B206" t="str">
            <v>GD SAN MARTIN II</v>
          </cell>
        </row>
        <row r="207">
          <cell r="B207" t="str">
            <v>GD SAN MARTIN III</v>
          </cell>
        </row>
        <row r="208">
          <cell r="B208" t="str">
            <v>GD SAN ONOFRE I</v>
          </cell>
        </row>
        <row r="209">
          <cell r="B209" t="str">
            <v>GD SAN ONOFRE II</v>
          </cell>
        </row>
        <row r="210">
          <cell r="B210" t="str">
            <v>GD SAN ONOFRE III</v>
          </cell>
        </row>
        <row r="211">
          <cell r="B211" t="str">
            <v>GD SAN PELAYO</v>
          </cell>
        </row>
        <row r="212">
          <cell r="B212" t="str">
            <v>GD SEMILLA DE EL PASO IIIA</v>
          </cell>
        </row>
        <row r="213">
          <cell r="B213" t="str">
            <v>GD SEMILLA DE EL PASO IVA</v>
          </cell>
        </row>
        <row r="214">
          <cell r="B214" t="str">
            <v>GD SEMILLA DE GUACAMAYAL II</v>
          </cell>
        </row>
        <row r="215">
          <cell r="B215" t="str">
            <v>GD SEMILLA DEL PASO IA</v>
          </cell>
        </row>
        <row r="216">
          <cell r="B216" t="str">
            <v>GD SEMILLA DEL PASO III</v>
          </cell>
        </row>
        <row r="217">
          <cell r="B217" t="str">
            <v>GD SEMILLAS DE CERETE II</v>
          </cell>
        </row>
        <row r="218">
          <cell r="B218" t="str">
            <v>GD SEMILLAS MONTERIA I</v>
          </cell>
        </row>
        <row r="219">
          <cell r="B219" t="str">
            <v>GD SEMILLAS MONTERIA II</v>
          </cell>
        </row>
        <row r="220">
          <cell r="B220" t="str">
            <v>GD SEVILLANO RURAL I</v>
          </cell>
        </row>
        <row r="221">
          <cell r="B221" t="str">
            <v>GD SEVILLANO RURAL II</v>
          </cell>
        </row>
        <row r="222">
          <cell r="B222" t="str">
            <v>GD SINAI</v>
          </cell>
        </row>
        <row r="223">
          <cell r="B223" t="str">
            <v>GD SOL Y CIELO X</v>
          </cell>
        </row>
        <row r="224">
          <cell r="B224" t="str">
            <v>GD SOL Y CIELO XI</v>
          </cell>
        </row>
        <row r="225">
          <cell r="B225" t="str">
            <v>GD SOL Y CIELO XII</v>
          </cell>
        </row>
        <row r="226">
          <cell r="B226" t="str">
            <v>GD SOL Y CIELO XIII</v>
          </cell>
        </row>
        <row r="227">
          <cell r="B227" t="str">
            <v>GD SOL Y CIELO XIV</v>
          </cell>
        </row>
        <row r="228">
          <cell r="B228" t="str">
            <v>GD SOLYCIELO 9</v>
          </cell>
        </row>
        <row r="229">
          <cell r="B229" t="str">
            <v>GD SUAMOX</v>
          </cell>
        </row>
        <row r="230">
          <cell r="B230" t="str">
            <v>GD TAURUS IX</v>
          </cell>
        </row>
        <row r="231">
          <cell r="B231" t="str">
            <v>GD TAURUS VIII</v>
          </cell>
        </row>
        <row r="232">
          <cell r="B232" t="str">
            <v>GD TAURUS X</v>
          </cell>
        </row>
        <row r="233">
          <cell r="B233" t="str">
            <v>GD TITAN SOLAR</v>
          </cell>
        </row>
        <row r="234">
          <cell r="B234" t="str">
            <v>GD VEGA I</v>
          </cell>
        </row>
        <row r="235">
          <cell r="B235" t="str">
            <v>GD VEGA II</v>
          </cell>
        </row>
        <row r="236">
          <cell r="B236" t="str">
            <v>GD VITERBO I</v>
          </cell>
        </row>
        <row r="237">
          <cell r="B237" t="str">
            <v>GD VITERBO II</v>
          </cell>
        </row>
        <row r="238">
          <cell r="B238" t="str">
            <v>GD WE202</v>
          </cell>
        </row>
        <row r="239">
          <cell r="B239" t="str">
            <v>GD WE2021</v>
          </cell>
        </row>
        <row r="240">
          <cell r="B240" t="str">
            <v>GD YUAN SOLAR</v>
          </cell>
        </row>
        <row r="241">
          <cell r="B241" t="str">
            <v>GD YURBAQUA</v>
          </cell>
        </row>
        <row r="242">
          <cell r="B242" t="str">
            <v>GR PARQUE SOLAR TUCANES</v>
          </cell>
        </row>
        <row r="243">
          <cell r="B243" t="str">
            <v>GRANJA SOLAR ASTURIAS</v>
          </cell>
        </row>
        <row r="244">
          <cell r="B244" t="str">
            <v>GRANJA SOLAR BELMONTE</v>
          </cell>
        </row>
        <row r="245">
          <cell r="B245" t="str">
            <v>GRANJA SOLAR EL SALADO</v>
          </cell>
        </row>
        <row r="246">
          <cell r="B246" t="str">
            <v>GRANJA SOLAR FLANDES</v>
          </cell>
        </row>
        <row r="247">
          <cell r="B247" t="str">
            <v>GRANJA SOLAR LA GARITA</v>
          </cell>
        </row>
        <row r="248">
          <cell r="B248" t="str">
            <v>GRANJA SOLAR LANCEROS</v>
          </cell>
        </row>
        <row r="249">
          <cell r="B249" t="str">
            <v>GRANJA SOLAR SAN FELIPE</v>
          </cell>
        </row>
        <row r="250">
          <cell r="B250" t="str">
            <v>GUAMO</v>
          </cell>
        </row>
        <row r="251">
          <cell r="A251" t="str">
            <v>GYPO</v>
          </cell>
          <cell r="B251" t="str">
            <v>GUAYEPO</v>
          </cell>
        </row>
        <row r="252">
          <cell r="A252" t="str">
            <v>GYP3</v>
          </cell>
          <cell r="B252" t="str">
            <v>GUAYEPO III</v>
          </cell>
        </row>
        <row r="253">
          <cell r="B253" t="str">
            <v>GY SOLAR AURORA</v>
          </cell>
        </row>
        <row r="254">
          <cell r="B254" t="str">
            <v>HELIOS I</v>
          </cell>
        </row>
        <row r="255">
          <cell r="B255" t="str">
            <v>JEQUES</v>
          </cell>
        </row>
        <row r="256">
          <cell r="B256" t="str">
            <v>JUMI</v>
          </cell>
        </row>
        <row r="257">
          <cell r="B257" t="str">
            <v>LA INGLESA</v>
          </cell>
        </row>
        <row r="258">
          <cell r="B258" t="str">
            <v>LA MARTINA</v>
          </cell>
        </row>
        <row r="259">
          <cell r="A259" t="str">
            <v>MATA</v>
          </cell>
          <cell r="B259" t="str">
            <v>LA MATA</v>
          </cell>
        </row>
        <row r="260">
          <cell r="B260" t="str">
            <v>LA MEDINA</v>
          </cell>
        </row>
        <row r="261">
          <cell r="B261" t="str">
            <v>LA NENERA</v>
          </cell>
        </row>
        <row r="262">
          <cell r="B262" t="str">
            <v>LA PAZ</v>
          </cell>
        </row>
        <row r="263">
          <cell r="B263" t="str">
            <v>LA SIERPE</v>
          </cell>
        </row>
        <row r="264">
          <cell r="B264" t="str">
            <v>LA TOLUA</v>
          </cell>
        </row>
        <row r="265">
          <cell r="A265" t="str">
            <v>3DDT</v>
          </cell>
          <cell r="B265" t="str">
            <v>LATAM SOLAR LA LOMA</v>
          </cell>
        </row>
        <row r="266">
          <cell r="B266" t="str">
            <v>LOS CABALLEROS</v>
          </cell>
        </row>
        <row r="267">
          <cell r="B267" t="str">
            <v>LOS GIRASOLES</v>
          </cell>
        </row>
        <row r="268">
          <cell r="B268" t="str">
            <v>MINIGRANJA EL COPEY OCCIDENTE</v>
          </cell>
        </row>
        <row r="269">
          <cell r="B269" t="str">
            <v>MINIGRANJA EL JOROPO</v>
          </cell>
        </row>
        <row r="270">
          <cell r="B270" t="str">
            <v>MINIGRANJA EL MAPALE</v>
          </cell>
        </row>
        <row r="271">
          <cell r="B271" t="str">
            <v>MINIGRANJA EL MERENGUE</v>
          </cell>
        </row>
        <row r="272">
          <cell r="B272" t="str">
            <v>MINIGRANJA EL MOLINO</v>
          </cell>
        </row>
        <row r="273">
          <cell r="B273" t="str">
            <v>MINIGRANJA EL OLIMPO</v>
          </cell>
        </row>
        <row r="274">
          <cell r="B274" t="str">
            <v>MINIGRANJA EL SON</v>
          </cell>
        </row>
        <row r="275">
          <cell r="B275" t="str">
            <v>MINIGRANJA IBIRICO</v>
          </cell>
        </row>
        <row r="276">
          <cell r="B276" t="str">
            <v>MINIGRANJA LA CUMBIA</v>
          </cell>
        </row>
        <row r="277">
          <cell r="B277" t="str">
            <v>MINIGRANJA LA PAZ ESMERALDA</v>
          </cell>
        </row>
        <row r="278">
          <cell r="B278" t="str">
            <v>MINIGRANJA LA PAZ LEYENDA</v>
          </cell>
        </row>
        <row r="279">
          <cell r="B279" t="str">
            <v>MINIGRANJA LA PAZ VALLENATA</v>
          </cell>
        </row>
        <row r="280">
          <cell r="B280" t="str">
            <v>MINIGRANJA LA PAZ VERSO</v>
          </cell>
        </row>
        <row r="281">
          <cell r="B281" t="str">
            <v>MINIGRANJA LA PUYA</v>
          </cell>
        </row>
        <row r="282">
          <cell r="B282" t="str">
            <v>MINIGRANJA LA RESERVA</v>
          </cell>
        </row>
        <row r="283">
          <cell r="B283" t="str">
            <v>MINIGRANJA SAN DIEGO SUR</v>
          </cell>
        </row>
        <row r="284">
          <cell r="B284" t="str">
            <v>MINIGRANJA SAN PEDRO</v>
          </cell>
        </row>
        <row r="285">
          <cell r="B285" t="str">
            <v>MINIGRANJA VALENCIA ORIENTE I</v>
          </cell>
        </row>
        <row r="286">
          <cell r="B286" t="str">
            <v>MINIGRANJA VALENCIA ORIENTE II</v>
          </cell>
        </row>
        <row r="287">
          <cell r="B287" t="str">
            <v>MINIGRANJA VILLANUEVA</v>
          </cell>
        </row>
        <row r="288">
          <cell r="B288" t="str">
            <v>MONTELIBANO</v>
          </cell>
        </row>
        <row r="289">
          <cell r="B289" t="str">
            <v>NUMBANA</v>
          </cell>
        </row>
        <row r="290">
          <cell r="B290" t="str">
            <v>PARQUE SOLAR ARENAL</v>
          </cell>
        </row>
        <row r="291">
          <cell r="B291" t="str">
            <v>PARQUE SOLAR BARANOA</v>
          </cell>
        </row>
        <row r="292">
          <cell r="B292" t="str">
            <v>PARQUE SOLAR BUGAMBILES</v>
          </cell>
        </row>
        <row r="293">
          <cell r="B293" t="str">
            <v>PARQUE SOLAR CRLI</v>
          </cell>
        </row>
        <row r="294">
          <cell r="B294" t="str">
            <v>PARQUE SOLAR DINAMARCA</v>
          </cell>
        </row>
        <row r="295">
          <cell r="B295" t="str">
            <v>PARQUE SOLAR EL JARDIN</v>
          </cell>
        </row>
        <row r="296">
          <cell r="B296" t="str">
            <v>PARQUE SOLAR HATO GRANDE</v>
          </cell>
        </row>
        <row r="297">
          <cell r="B297" t="str">
            <v>PARQUE SOLAR HONDA I</v>
          </cell>
        </row>
        <row r="298">
          <cell r="B298" t="str">
            <v>PARQUE SOLAR HONDA II</v>
          </cell>
        </row>
        <row r="299">
          <cell r="B299" t="str">
            <v>PARQUE SOLAR INTI I</v>
          </cell>
        </row>
        <row r="300">
          <cell r="B300" t="str">
            <v>PARQUE SOLAR LA MENA</v>
          </cell>
        </row>
        <row r="301">
          <cell r="A301" t="str">
            <v>3IZ6</v>
          </cell>
          <cell r="B301" t="str">
            <v>PARQUE SOLAR LA UNION</v>
          </cell>
        </row>
        <row r="302">
          <cell r="B302" t="str">
            <v>PARQUE SOLAR NISPEROS</v>
          </cell>
        </row>
        <row r="303">
          <cell r="A303" t="str">
            <v>PORO</v>
          </cell>
          <cell r="B303" t="str">
            <v>PARQUE SOLAR PUERTA DE ORO</v>
          </cell>
        </row>
        <row r="304">
          <cell r="B304" t="str">
            <v>PARQUE SOLAR SABANA</v>
          </cell>
        </row>
        <row r="305">
          <cell r="A305" t="str">
            <v>TPUY</v>
          </cell>
          <cell r="B305" t="str">
            <v>PARQUE SOLAR TEPUY</v>
          </cell>
        </row>
        <row r="306">
          <cell r="B306" t="str">
            <v>PARQUE SOLAR URRA</v>
          </cell>
        </row>
        <row r="307">
          <cell r="B307" t="str">
            <v>PARQUE SOLAR VERSALLES</v>
          </cell>
        </row>
        <row r="308">
          <cell r="B308" t="str">
            <v>PETALO DE CORDOBA II</v>
          </cell>
        </row>
        <row r="309">
          <cell r="B309" t="str">
            <v>PETALO DEL MAGDALENA</v>
          </cell>
        </row>
        <row r="310">
          <cell r="B310" t="str">
            <v>PETALO DEL NORTE DE SANTANDER I</v>
          </cell>
        </row>
        <row r="311">
          <cell r="B311" t="str">
            <v>PLANTA FV DONA JUANA</v>
          </cell>
        </row>
        <row r="312">
          <cell r="B312" t="str">
            <v>PLANTA SOLAR BAYUNCA I</v>
          </cell>
        </row>
        <row r="313">
          <cell r="B313" t="str">
            <v>PLANTA SOLAR SAN FRANCISCO</v>
          </cell>
        </row>
        <row r="314">
          <cell r="B314" t="str">
            <v>POLARIS I</v>
          </cell>
        </row>
        <row r="315">
          <cell r="A315" t="str">
            <v>3IRX</v>
          </cell>
          <cell r="B315" t="str">
            <v>PORTON DEL SOL</v>
          </cell>
        </row>
        <row r="316">
          <cell r="B316" t="str">
            <v>ROKRA</v>
          </cell>
        </row>
        <row r="317">
          <cell r="B317" t="str">
            <v>ROVIRA</v>
          </cell>
        </row>
        <row r="318">
          <cell r="B318" t="str">
            <v>SAN ONOFRE</v>
          </cell>
        </row>
        <row r="319">
          <cell r="A319" t="str">
            <v>4YCF</v>
          </cell>
          <cell r="B319" t="str">
            <v>SHANGRI LA</v>
          </cell>
        </row>
        <row r="320">
          <cell r="B320" t="str">
            <v>SINCE</v>
          </cell>
        </row>
        <row r="321">
          <cell r="B321" t="str">
            <v>SOL DE ZAWADY</v>
          </cell>
        </row>
        <row r="322">
          <cell r="B322" t="str">
            <v>SOL DEL MAR II</v>
          </cell>
        </row>
        <row r="323">
          <cell r="B323" t="str">
            <v>SOL Y CIELO I</v>
          </cell>
        </row>
        <row r="324">
          <cell r="B324" t="str">
            <v>SOL Y CIELO II</v>
          </cell>
        </row>
        <row r="325">
          <cell r="B325" t="str">
            <v>SOL Y CIELO III</v>
          </cell>
        </row>
        <row r="326">
          <cell r="B326" t="str">
            <v>SOL Y CIELO IV</v>
          </cell>
        </row>
        <row r="327">
          <cell r="B327" t="str">
            <v>SOL Y CIELO V</v>
          </cell>
        </row>
        <row r="328">
          <cell r="B328" t="str">
            <v>SOL Y CIELO VI</v>
          </cell>
        </row>
        <row r="329">
          <cell r="B329" t="str">
            <v>SOL Y CIELO VII</v>
          </cell>
        </row>
        <row r="330">
          <cell r="B330" t="str">
            <v>SOLAR ALEJANDRIA</v>
          </cell>
        </row>
        <row r="331">
          <cell r="B331" t="str">
            <v>SOLAR ARDOBELA I</v>
          </cell>
        </row>
        <row r="332">
          <cell r="B332" t="str">
            <v>SOLAR ARDOBELA II</v>
          </cell>
        </row>
        <row r="333">
          <cell r="B333" t="str">
            <v>SOLAR OLD T</v>
          </cell>
        </row>
        <row r="334">
          <cell r="B334" t="str">
            <v>SOLAR PALMASECA I</v>
          </cell>
        </row>
        <row r="335">
          <cell r="B335" t="str">
            <v>SOLAR PALMASECA II</v>
          </cell>
        </row>
        <row r="336">
          <cell r="B336" t="str">
            <v>SOLAR PLANETA RICA</v>
          </cell>
        </row>
        <row r="337">
          <cell r="B337" t="str">
            <v>SOLAR PN I</v>
          </cell>
        </row>
        <row r="338">
          <cell r="B338" t="str">
            <v>SUAREZ</v>
          </cell>
        </row>
        <row r="339">
          <cell r="A339" t="str">
            <v>3IQA</v>
          </cell>
          <cell r="B339" t="str">
            <v>SUNNORTE</v>
          </cell>
        </row>
        <row r="340">
          <cell r="B340" t="str">
            <v>TERMOTASAJERO DOS SOLAR</v>
          </cell>
        </row>
        <row r="341">
          <cell r="B341" t="str">
            <v>TIERRA LINDA</v>
          </cell>
        </row>
        <row r="342">
          <cell r="B342" t="str">
            <v>TOLU SOLAR</v>
          </cell>
        </row>
        <row r="343">
          <cell r="B343" t="str">
            <v>TRINA-VATIA BSLI</v>
          </cell>
        </row>
        <row r="344">
          <cell r="B344" t="str">
            <v>TRINA-VATIA BSLII</v>
          </cell>
        </row>
        <row r="345">
          <cell r="B345" t="str">
            <v>TRINA-VATIA BSLIII</v>
          </cell>
        </row>
        <row r="346">
          <cell r="B346" t="str">
            <v>URUACO</v>
          </cell>
        </row>
        <row r="347">
          <cell r="B347" t="str">
            <v>VALLEDUPAR I</v>
          </cell>
        </row>
        <row r="348">
          <cell r="B348" t="str">
            <v>VALLEDUPAR II</v>
          </cell>
        </row>
        <row r="349">
          <cell r="B349" t="str">
            <v>VALLEDUPAR III</v>
          </cell>
        </row>
        <row r="350">
          <cell r="B350" t="str">
            <v>ZAMBRANO II</v>
          </cell>
        </row>
      </sheetData>
      <sheetData sheetId="6">
        <row r="3">
          <cell r="F3" t="str">
            <v>AUTOG CELSIA SOLAR ESPINAL</v>
          </cell>
        </row>
        <row r="4">
          <cell r="F4" t="str">
            <v>TRINA-VATIA BSLI</v>
          </cell>
        </row>
        <row r="5">
          <cell r="F5" t="str">
            <v>TRINA-VATIA BSLII</v>
          </cell>
        </row>
        <row r="6">
          <cell r="F6" t="str">
            <v>TRINA-VATIA BSLIII</v>
          </cell>
        </row>
        <row r="7">
          <cell r="F7" t="str">
            <v>PLANTA SOLAR BAYUNCA I</v>
          </cell>
        </row>
        <row r="8">
          <cell r="A8" t="str">
            <v>3DDT</v>
          </cell>
          <cell r="F8" t="str">
            <v>LATAM SOLAR LA LOMA</v>
          </cell>
        </row>
        <row r="9">
          <cell r="F9" t="str">
            <v>GRANJA SOLAR BELMONTE</v>
          </cell>
        </row>
        <row r="10">
          <cell r="F10" t="str">
            <v>LA SIERPE</v>
          </cell>
        </row>
        <row r="11">
          <cell r="F11" t="str">
            <v>CELSIA SOLAR LA PAILA</v>
          </cell>
        </row>
        <row r="12">
          <cell r="F12" t="str">
            <v>CELSIA SOLAR BOLIVAR</v>
          </cell>
        </row>
        <row r="13">
          <cell r="F13" t="str">
            <v>CELSIA SOLAR CARMELO</v>
          </cell>
        </row>
        <row r="14">
          <cell r="F14" t="str">
            <v>AUTOG CELSIA SOLAR YUMBO</v>
          </cell>
        </row>
        <row r="15">
          <cell r="F15" t="str">
            <v>GY SOLAR AURORA</v>
          </cell>
        </row>
        <row r="16">
          <cell r="F16" t="str">
            <v>HELIOS I</v>
          </cell>
        </row>
        <row r="17">
          <cell r="F17" t="str">
            <v>AUTOG PINTUCO</v>
          </cell>
        </row>
        <row r="18">
          <cell r="F18" t="str">
            <v>AUTOG CI JEANS</v>
          </cell>
        </row>
        <row r="19">
          <cell r="F19" t="str">
            <v>AUTOG CELSIA SOLAR LEVAPAN</v>
          </cell>
        </row>
        <row r="20">
          <cell r="F20" t="str">
            <v>GR PARQUE SOLAR TUCANES</v>
          </cell>
        </row>
        <row r="21">
          <cell r="F21" t="str">
            <v>BOSQUES SOLARES DE LOS LLANOS 4</v>
          </cell>
        </row>
        <row r="22">
          <cell r="F22" t="str">
            <v>BOSQUES SOLARES DE LOS LLANOS 5</v>
          </cell>
        </row>
        <row r="23">
          <cell r="F23" t="str">
            <v>SINCE</v>
          </cell>
        </row>
        <row r="24">
          <cell r="F24" t="str">
            <v>AUTOG CELSIA SOLAR HARINAS</v>
          </cell>
        </row>
        <row r="25">
          <cell r="F25" t="str">
            <v>LA MEDINA</v>
          </cell>
        </row>
        <row r="26">
          <cell r="F26" t="str">
            <v>LOS CABALLEROS</v>
          </cell>
        </row>
        <row r="27">
          <cell r="F27" t="str">
            <v>CERRITOS</v>
          </cell>
        </row>
        <row r="28">
          <cell r="F28" t="str">
            <v>LA TOLUA</v>
          </cell>
        </row>
        <row r="29">
          <cell r="F29" t="str">
            <v>TIERRA LINDA</v>
          </cell>
        </row>
        <row r="30">
          <cell r="A30" t="str">
            <v>GYPO</v>
          </cell>
          <cell r="F30" t="str">
            <v>GUAYEPO</v>
          </cell>
        </row>
        <row r="31">
          <cell r="F31" t="str">
            <v>TERMOTASAJERO DOS SOLAR</v>
          </cell>
        </row>
        <row r="32">
          <cell r="F32" t="str">
            <v>GRANJA SOLAR EL SALADO</v>
          </cell>
        </row>
        <row r="33">
          <cell r="F33" t="str">
            <v>GRANJA SOLAR SAN FELIPE</v>
          </cell>
        </row>
        <row r="34">
          <cell r="F34" t="str">
            <v>GRANJA SOLAR LANCEROS</v>
          </cell>
        </row>
        <row r="35">
          <cell r="F35" t="str">
            <v>AUTOG CELSIA SOLAR PALMIRA 3</v>
          </cell>
        </row>
        <row r="36">
          <cell r="F36" t="str">
            <v>MONTELIBANO</v>
          </cell>
        </row>
        <row r="37">
          <cell r="F37" t="str">
            <v>AUTOG BUGA I SOLLA</v>
          </cell>
        </row>
        <row r="38">
          <cell r="F38" t="str">
            <v>AUTOG BUGA I GRASAS</v>
          </cell>
        </row>
        <row r="39">
          <cell r="F39" t="str">
            <v>GRANJA SOLAR FLANDES</v>
          </cell>
        </row>
        <row r="40">
          <cell r="F40" t="str">
            <v>CELSIA SOLAR DULIMA</v>
          </cell>
        </row>
        <row r="41">
          <cell r="F41" t="str">
            <v>CELSIA SOLAR YUMA</v>
          </cell>
        </row>
        <row r="42">
          <cell r="A42" t="str">
            <v>3IQA</v>
          </cell>
          <cell r="F42" t="str">
            <v>SUNNORTE</v>
          </cell>
        </row>
        <row r="43">
          <cell r="F43" t="str">
            <v>SOLAR PLANETA RICA</v>
          </cell>
        </row>
        <row r="44">
          <cell r="A44" t="str">
            <v>3IZ6</v>
          </cell>
          <cell r="F44" t="str">
            <v>PARQUE SOLAR LA UNION</v>
          </cell>
        </row>
        <row r="45">
          <cell r="A45" t="str">
            <v>MATA</v>
          </cell>
          <cell r="F45" t="str">
            <v>LA MATA</v>
          </cell>
        </row>
        <row r="46">
          <cell r="F46" t="str">
            <v>AUTOG CELSIA SOLAR PALMIRA 3 ZONA FRANCA</v>
          </cell>
        </row>
        <row r="47">
          <cell r="F47" t="str">
            <v>PETALO DEL MAGDALENA</v>
          </cell>
        </row>
        <row r="48">
          <cell r="F48" t="str">
            <v>CELSIA SOLAR LA VICTORIA I</v>
          </cell>
        </row>
        <row r="49">
          <cell r="F49" t="str">
            <v>LOS GIRASOLES</v>
          </cell>
        </row>
        <row r="50">
          <cell r="F50" t="str">
            <v>CELSIA SOLAR LA VICTORIA II</v>
          </cell>
        </row>
        <row r="51">
          <cell r="F51" t="str">
            <v>URUACO</v>
          </cell>
        </row>
        <row r="52">
          <cell r="A52" t="str">
            <v>3HF5</v>
          </cell>
          <cell r="F52" t="str">
            <v>FUNDACION</v>
          </cell>
        </row>
        <row r="53">
          <cell r="F53" t="str">
            <v>COMUNIDAD EL SALVADOR I</v>
          </cell>
        </row>
        <row r="54">
          <cell r="F54" t="str">
            <v>COMUNIDAD EL SALVADOR II</v>
          </cell>
        </row>
        <row r="55">
          <cell r="A55" t="str">
            <v>3IRX</v>
          </cell>
          <cell r="F55" t="str">
            <v>PORTON DEL SOL</v>
          </cell>
        </row>
        <row r="56">
          <cell r="F56" t="str">
            <v>BSB 500</v>
          </cell>
        </row>
        <row r="57">
          <cell r="F57" t="str">
            <v>BSB 501</v>
          </cell>
        </row>
        <row r="58">
          <cell r="F58" t="str">
            <v>BSB 503</v>
          </cell>
        </row>
        <row r="59">
          <cell r="F59" t="str">
            <v>BSB 502</v>
          </cell>
        </row>
        <row r="60">
          <cell r="F60" t="str">
            <v>BSB 504</v>
          </cell>
        </row>
        <row r="61">
          <cell r="A61" t="str">
            <v>3INX</v>
          </cell>
          <cell r="F61" t="str">
            <v>CARACOLI I</v>
          </cell>
        </row>
        <row r="62">
          <cell r="F62" t="str">
            <v>PARQUE SOLAR ARENAL</v>
          </cell>
        </row>
        <row r="63">
          <cell r="F63" t="str">
            <v>PARQUE SOLAR DINAMARCA</v>
          </cell>
        </row>
        <row r="64">
          <cell r="F64" t="str">
            <v>PARQUE SOLAR VERSALLES</v>
          </cell>
        </row>
        <row r="65">
          <cell r="F65" t="str">
            <v>PARQUE SOLAR LA MENA</v>
          </cell>
        </row>
        <row r="66">
          <cell r="A66" t="str">
            <v>TPUY</v>
          </cell>
          <cell r="F66" t="str">
            <v>PARQUE SOLAR TEPUY</v>
          </cell>
        </row>
        <row r="67">
          <cell r="F67" t="str">
            <v>PETALO DE CORDOBA II</v>
          </cell>
        </row>
        <row r="68">
          <cell r="F68" t="str">
            <v>AUTOG SOLAR PALMIRA</v>
          </cell>
        </row>
        <row r="69">
          <cell r="F69" t="str">
            <v>CAIMAN CIENAGUERO</v>
          </cell>
        </row>
        <row r="70">
          <cell r="F70" t="str">
            <v>PARQUE SOLAR HONDA I</v>
          </cell>
        </row>
        <row r="71">
          <cell r="F71" t="str">
            <v>PARQUE SOLAR HONDA II</v>
          </cell>
        </row>
        <row r="72">
          <cell r="F72" t="str">
            <v>NUMBANA</v>
          </cell>
        </row>
        <row r="73">
          <cell r="F73" t="str">
            <v>GUAMO</v>
          </cell>
        </row>
        <row r="74">
          <cell r="F74" t="str">
            <v>AUTOG EL COPEY</v>
          </cell>
        </row>
        <row r="75">
          <cell r="F75" t="str">
            <v>LA NENERA</v>
          </cell>
        </row>
        <row r="76">
          <cell r="F76" t="str">
            <v>CELSIA SOLAR BUGALAGRANDE</v>
          </cell>
        </row>
        <row r="77">
          <cell r="F77" t="str">
            <v>AUTOG SOLAR AYACUCHO</v>
          </cell>
        </row>
        <row r="78">
          <cell r="F78" t="str">
            <v>AUTOG SOLAR VASCONIA</v>
          </cell>
        </row>
        <row r="79">
          <cell r="F79" t="str">
            <v>SOL Y CIELO I</v>
          </cell>
        </row>
        <row r="80">
          <cell r="F80" t="str">
            <v>JEQUES</v>
          </cell>
        </row>
        <row r="81">
          <cell r="F81" t="str">
            <v>MINIGRANJA SAN PEDRO</v>
          </cell>
        </row>
        <row r="82">
          <cell r="F82" t="str">
            <v>SOLAR ALEJANDRIA</v>
          </cell>
        </row>
        <row r="83">
          <cell r="F83" t="str">
            <v>BARAYA</v>
          </cell>
        </row>
        <row r="84">
          <cell r="F84" t="str">
            <v>CONDOR</v>
          </cell>
        </row>
        <row r="85">
          <cell r="F85" t="str">
            <v>CANAHUATE</v>
          </cell>
        </row>
        <row r="86">
          <cell r="F86" t="str">
            <v>GANDALF</v>
          </cell>
        </row>
        <row r="87">
          <cell r="F87" t="str">
            <v>GD BASILICA</v>
          </cell>
        </row>
        <row r="88">
          <cell r="F88" t="str">
            <v>GD ALFEREZ</v>
          </cell>
        </row>
        <row r="89">
          <cell r="F89" t="str">
            <v>GD LA HONDA</v>
          </cell>
        </row>
        <row r="90">
          <cell r="F90" t="str">
            <v>GD LA URIBE</v>
          </cell>
        </row>
        <row r="91">
          <cell r="F91" t="str">
            <v>GD CHIMBI</v>
          </cell>
        </row>
        <row r="92">
          <cell r="F92" t="str">
            <v>GD EL BANCO</v>
          </cell>
        </row>
        <row r="93">
          <cell r="F93" t="str">
            <v>GD LOS CHORROS</v>
          </cell>
        </row>
        <row r="94">
          <cell r="F94" t="str">
            <v>GD CHICORAL</v>
          </cell>
        </row>
        <row r="95">
          <cell r="F95" t="str">
            <v>GD PALERMO</v>
          </cell>
        </row>
        <row r="96">
          <cell r="F96" t="str">
            <v>LA INGLESA</v>
          </cell>
        </row>
        <row r="97">
          <cell r="F97" t="str">
            <v>BUENAVISTA</v>
          </cell>
        </row>
        <row r="98">
          <cell r="F98" t="str">
            <v>CELSIA SOLAR ALUMINA</v>
          </cell>
        </row>
        <row r="99">
          <cell r="F99" t="str">
            <v>SOLAR OLD T</v>
          </cell>
        </row>
        <row r="100">
          <cell r="F100" t="str">
            <v>ROVIRA</v>
          </cell>
        </row>
        <row r="101">
          <cell r="F101" t="str">
            <v>AUTOG BIOS CONTEGRAL NEIVA</v>
          </cell>
        </row>
        <row r="102">
          <cell r="F102" t="str">
            <v>AUTOG BIOS CONTEGRAL CARTAGO</v>
          </cell>
        </row>
        <row r="103">
          <cell r="F103" t="str">
            <v>AUTOG BIOS CIENAGA ORO</v>
          </cell>
        </row>
        <row r="104">
          <cell r="F104" t="str">
            <v>MINIGRANJA EL MOLINO</v>
          </cell>
        </row>
        <row r="105">
          <cell r="F105" t="str">
            <v>MINIGRANJA LA PAZ VALLENATA</v>
          </cell>
        </row>
        <row r="106">
          <cell r="F106" t="str">
            <v>CELSIA SOLAR PUERTO TEJADA</v>
          </cell>
        </row>
        <row r="107">
          <cell r="F107" t="str">
            <v>JUMI</v>
          </cell>
        </row>
        <row r="108">
          <cell r="F108" t="str">
            <v>AUTOG UNIMINAS</v>
          </cell>
        </row>
        <row r="109">
          <cell r="F109" t="str">
            <v>AUTOG MILPA SAN CARLOS</v>
          </cell>
        </row>
        <row r="110">
          <cell r="F110" t="str">
            <v>GD NAOS I</v>
          </cell>
        </row>
        <row r="111">
          <cell r="F111" t="str">
            <v>GD ERCO TOLDADO</v>
          </cell>
        </row>
        <row r="112">
          <cell r="F112" t="str">
            <v>AUTOG BIOS FINCA BUGA</v>
          </cell>
        </row>
        <row r="113">
          <cell r="F113" t="str">
            <v>GD ERCO SALDANA I</v>
          </cell>
        </row>
        <row r="114">
          <cell r="F114" t="str">
            <v>GD ERCO SALDANA II</v>
          </cell>
        </row>
        <row r="115">
          <cell r="F115" t="str">
            <v>ZAMBRANO II</v>
          </cell>
        </row>
        <row r="116">
          <cell r="F116" t="str">
            <v>GD FINCA JM</v>
          </cell>
        </row>
        <row r="117">
          <cell r="F117" t="str">
            <v>GD FINCA ISABEL LOPEZ</v>
          </cell>
        </row>
        <row r="118">
          <cell r="F118" t="str">
            <v>ROKRA</v>
          </cell>
        </row>
        <row r="119">
          <cell r="F119" t="str">
            <v>CENTRO SOLAR</v>
          </cell>
        </row>
        <row r="120">
          <cell r="F120" t="str">
            <v>SOL DEL MAR II</v>
          </cell>
        </row>
        <row r="121">
          <cell r="F121" t="str">
            <v>ECOPARQUE SOLAR LA CIRA</v>
          </cell>
        </row>
        <row r="122">
          <cell r="F122" t="str">
            <v>MINIGRANJA LA PAZ ESMERALDA</v>
          </cell>
        </row>
        <row r="123">
          <cell r="F123" t="str">
            <v>MINIGRANJA LA PAZ VERSO</v>
          </cell>
        </row>
        <row r="124">
          <cell r="F124" t="str">
            <v>AUTOG SOLAR PALMIRA II BERRY</v>
          </cell>
        </row>
        <row r="125">
          <cell r="F125" t="str">
            <v>MINIGRANJA LA PAZ LEYENDA</v>
          </cell>
        </row>
        <row r="126">
          <cell r="F126" t="str">
            <v>GD EL ROBLE</v>
          </cell>
        </row>
        <row r="127">
          <cell r="F127" t="str">
            <v>AUTOG CELSIA SOLAR TQ JAMUNDI</v>
          </cell>
        </row>
        <row r="128">
          <cell r="F128" t="str">
            <v>GD BOCAS DEL PALO</v>
          </cell>
        </row>
        <row r="129">
          <cell r="F129" t="str">
            <v>LA PAZ</v>
          </cell>
        </row>
        <row r="130">
          <cell r="F130" t="str">
            <v>GRANJA SOLAR ASTURIAS</v>
          </cell>
        </row>
        <row r="131">
          <cell r="F131" t="str">
            <v>SOL DE ZAWADY</v>
          </cell>
        </row>
        <row r="132">
          <cell r="F132" t="str">
            <v>GD ERCO GUAMO I</v>
          </cell>
        </row>
        <row r="133">
          <cell r="F133" t="str">
            <v>GD ERCO GUAMO II</v>
          </cell>
        </row>
        <row r="134">
          <cell r="F134" t="str">
            <v>GD ERCO GUAMO III</v>
          </cell>
        </row>
        <row r="135">
          <cell r="F135" t="str">
            <v>GD ERCO GUAMO IV</v>
          </cell>
        </row>
        <row r="136">
          <cell r="F136" t="str">
            <v>AUTOG HIDROSOLAR I</v>
          </cell>
        </row>
        <row r="137">
          <cell r="F137" t="str">
            <v>PARQUE SOLAR BARANOA</v>
          </cell>
        </row>
        <row r="138">
          <cell r="F138" t="str">
            <v>SOLAR PN I</v>
          </cell>
        </row>
        <row r="139">
          <cell r="F139" t="str">
            <v>MINIGRANJA VILLANUEVA</v>
          </cell>
        </row>
        <row r="140">
          <cell r="F140" t="str">
            <v>GD ERCO MARIANGOLA</v>
          </cell>
        </row>
        <row r="141">
          <cell r="F141" t="str">
            <v>MINIGRANJA EL MERENGUE</v>
          </cell>
        </row>
        <row r="142">
          <cell r="F142" t="str">
            <v>GD DIOCESIS DE RIOHACHA</v>
          </cell>
        </row>
        <row r="143">
          <cell r="F143" t="str">
            <v>SOL Y CIELO III</v>
          </cell>
        </row>
        <row r="144">
          <cell r="F144" t="str">
            <v>SOL Y CIELO IV</v>
          </cell>
        </row>
        <row r="145">
          <cell r="F145" t="str">
            <v>SOL Y CIELO II</v>
          </cell>
        </row>
        <row r="146">
          <cell r="F146" t="str">
            <v>MINIGRANJA EL SON</v>
          </cell>
        </row>
        <row r="147">
          <cell r="F147" t="str">
            <v>MINIGRANJA LA PUYA</v>
          </cell>
        </row>
        <row r="148">
          <cell r="F148" t="str">
            <v>PARQUE SOLAR URRA</v>
          </cell>
        </row>
        <row r="149">
          <cell r="F149" t="str">
            <v>LA MARTINA</v>
          </cell>
        </row>
        <row r="150">
          <cell r="F150" t="str">
            <v>SOL Y CIELO V</v>
          </cell>
        </row>
        <row r="151">
          <cell r="F151" t="str">
            <v>GD NAOS II</v>
          </cell>
        </row>
        <row r="152">
          <cell r="F152" t="str">
            <v>AUTOG PALMERAS DE LA COSTA</v>
          </cell>
        </row>
        <row r="153">
          <cell r="A153" t="str">
            <v>4YCF</v>
          </cell>
          <cell r="F153" t="str">
            <v>SHANGRI LA</v>
          </cell>
        </row>
        <row r="154">
          <cell r="F154" t="str">
            <v>MINIGRANJA SAN DIEGO SUR</v>
          </cell>
        </row>
        <row r="155">
          <cell r="F155" t="str">
            <v>MINIGRANJA EL COPEY OCCIDENTE</v>
          </cell>
        </row>
        <row r="156">
          <cell r="F156" t="str">
            <v>MINIGRANJA LA RESERVA</v>
          </cell>
        </row>
        <row r="157">
          <cell r="F157" t="str">
            <v>MINIGRANJA EL OLIMPO</v>
          </cell>
        </row>
        <row r="158">
          <cell r="F158" t="str">
            <v>MINIGRANJA EL JOROPO</v>
          </cell>
        </row>
        <row r="159">
          <cell r="F159" t="str">
            <v>SOLAR PALMASECA I</v>
          </cell>
        </row>
        <row r="160">
          <cell r="F160" t="str">
            <v>SOLAR PALMASECA II</v>
          </cell>
        </row>
        <row r="161">
          <cell r="F161" t="str">
            <v>PARQUE SOLAR SABANA</v>
          </cell>
        </row>
        <row r="162">
          <cell r="F162" t="str">
            <v>PETALO DEL NORTE DE SANTANDER I</v>
          </cell>
        </row>
        <row r="163">
          <cell r="F163" t="str">
            <v>MINIGRANJA IBIRICO</v>
          </cell>
        </row>
        <row r="164">
          <cell r="F164" t="str">
            <v>PARQUE SOLAR INTI I</v>
          </cell>
        </row>
        <row r="165">
          <cell r="F165" t="str">
            <v>SOLAR ARDOBELA I</v>
          </cell>
        </row>
        <row r="166">
          <cell r="F166" t="str">
            <v>SOLAR ARDOBELA II</v>
          </cell>
        </row>
        <row r="167">
          <cell r="F167" t="str">
            <v>CELSIA SOLAR ESCOBAL I</v>
          </cell>
        </row>
        <row r="168">
          <cell r="F168" t="str">
            <v>CELSIA SOLAR ESCOBAL II</v>
          </cell>
        </row>
        <row r="169">
          <cell r="F169" t="str">
            <v>CELSIA SOLAR ESCOBAL III</v>
          </cell>
        </row>
        <row r="170">
          <cell r="F170" t="str">
            <v>CELSIA SOLAR ESCOBAL IV</v>
          </cell>
        </row>
        <row r="171">
          <cell r="F171" t="str">
            <v>CELSIA SOLAR ESCOBAL V</v>
          </cell>
        </row>
        <row r="172">
          <cell r="F172" t="str">
            <v>MINIGRANJA VALENCIA ORIENTE I</v>
          </cell>
        </row>
        <row r="173">
          <cell r="F173" t="str">
            <v>MINIGRANJA VALENCIA ORIENTE II</v>
          </cell>
        </row>
        <row r="174">
          <cell r="F174" t="str">
            <v>SOL Y CIELO VI</v>
          </cell>
        </row>
        <row r="175">
          <cell r="F175" t="str">
            <v>GD NAOS III</v>
          </cell>
        </row>
        <row r="176">
          <cell r="F176" t="str">
            <v>AUTOG QBCO</v>
          </cell>
        </row>
        <row r="177">
          <cell r="F177" t="str">
            <v>AUTOG COMOLSA</v>
          </cell>
        </row>
        <row r="178">
          <cell r="F178" t="str">
            <v>AUTOG MOLINOS SANTA MARTA</v>
          </cell>
        </row>
        <row r="179">
          <cell r="A179" t="str">
            <v>GYP3</v>
          </cell>
          <cell r="F179" t="str">
            <v>GUAYEPO III</v>
          </cell>
        </row>
        <row r="180">
          <cell r="F180" t="str">
            <v>AUTOG CELSIA SOLAR ESCOBAL CEMEX</v>
          </cell>
        </row>
        <row r="181">
          <cell r="F181" t="str">
            <v>GD SAN MARTIN</v>
          </cell>
        </row>
        <row r="182">
          <cell r="F182" t="str">
            <v>GD ERCO PALMAS</v>
          </cell>
        </row>
        <row r="183">
          <cell r="F183" t="str">
            <v>MINIGRANJA LA CUMBIA</v>
          </cell>
        </row>
        <row r="184">
          <cell r="F184" t="str">
            <v>GD SAN MARTIN II</v>
          </cell>
        </row>
        <row r="185">
          <cell r="F185" t="str">
            <v>GD PULOY</v>
          </cell>
        </row>
        <row r="186">
          <cell r="F186" t="str">
            <v>GD SAN MARTIN III</v>
          </cell>
        </row>
        <row r="187">
          <cell r="A187" t="str">
            <v>PORO</v>
          </cell>
          <cell r="F187" t="str">
            <v>PARQUE SOLAR PUERTA DE ORO</v>
          </cell>
        </row>
        <row r="188">
          <cell r="F188" t="str">
            <v>CHENCHE PURIFICACION</v>
          </cell>
        </row>
        <row r="189">
          <cell r="F189" t="str">
            <v>MINIGRANJA EL MAPALE</v>
          </cell>
        </row>
        <row r="190">
          <cell r="F190" t="str">
            <v>GD GRANJA LA RUBIELA</v>
          </cell>
        </row>
        <row r="191">
          <cell r="F191" t="str">
            <v>PARQUE SOLAR CRLI</v>
          </cell>
        </row>
        <row r="192">
          <cell r="F192" t="str">
            <v>GD ALEJANDRIA I</v>
          </cell>
        </row>
        <row r="193">
          <cell r="F193" t="str">
            <v>GD ALEJANDRIA II</v>
          </cell>
        </row>
        <row r="194">
          <cell r="F194" t="str">
            <v>GD ALEJANDRIA III</v>
          </cell>
        </row>
        <row r="195">
          <cell r="F195" t="str">
            <v>SAN ONOFRE</v>
          </cell>
        </row>
        <row r="196">
          <cell r="F196" t="str">
            <v>POLARIS I</v>
          </cell>
        </row>
        <row r="197">
          <cell r="F197" t="str">
            <v>DELTA I</v>
          </cell>
        </row>
        <row r="198">
          <cell r="F198" t="str">
            <v>AUTOG CORONA SOPO</v>
          </cell>
        </row>
        <row r="199">
          <cell r="F199" t="str">
            <v>GD ENCANTO</v>
          </cell>
        </row>
        <row r="200">
          <cell r="F200" t="str">
            <v>ALMA II</v>
          </cell>
        </row>
        <row r="201">
          <cell r="F201" t="str">
            <v>GD ERCO ISIDORI</v>
          </cell>
        </row>
        <row r="202">
          <cell r="F202" t="str">
            <v>GD POLARIS II</v>
          </cell>
        </row>
        <row r="203">
          <cell r="F203" t="str">
            <v>GD GRANJA SAN PELAYO</v>
          </cell>
        </row>
        <row r="204">
          <cell r="F204" t="str">
            <v>GD BLANCA ENERGY I</v>
          </cell>
        </row>
        <row r="205">
          <cell r="F205" t="str">
            <v>GD BLANCA ENERGY II</v>
          </cell>
        </row>
        <row r="206">
          <cell r="F206" t="str">
            <v>PARQUE SOLAR NISPEROS</v>
          </cell>
        </row>
        <row r="207">
          <cell r="F207" t="str">
            <v>GD SEMILLA DE GUACAMAYAL II</v>
          </cell>
        </row>
        <row r="208">
          <cell r="F208" t="str">
            <v>VALLEDUPAR I</v>
          </cell>
        </row>
        <row r="209">
          <cell r="F209" t="str">
            <v>VALLEDUPAR II</v>
          </cell>
        </row>
        <row r="210">
          <cell r="F210" t="str">
            <v>VALLEDUPAR III</v>
          </cell>
        </row>
        <row r="211">
          <cell r="F211" t="str">
            <v>PARQUE SOLAR HATO GRANDE</v>
          </cell>
        </row>
        <row r="212">
          <cell r="F212" t="str">
            <v>PARQUE SOLAR BUGAMBILES</v>
          </cell>
        </row>
        <row r="213">
          <cell r="F213" t="str">
            <v>GD BLANCA ENERGY III</v>
          </cell>
        </row>
        <row r="214">
          <cell r="F214" t="str">
            <v>GD PARQUE SOLAR GRANADA I</v>
          </cell>
        </row>
        <row r="215">
          <cell r="F215" t="str">
            <v>GD PXV IV</v>
          </cell>
        </row>
        <row r="216">
          <cell r="F216" t="str">
            <v>GD PXV I</v>
          </cell>
        </row>
        <row r="217">
          <cell r="F217" t="str">
            <v>GD DELTA II</v>
          </cell>
        </row>
        <row r="218">
          <cell r="F218" t="str">
            <v>GD AGUSTIN I</v>
          </cell>
        </row>
        <row r="219">
          <cell r="F219" t="str">
            <v>GD MGS 0013 LA MESA</v>
          </cell>
        </row>
        <row r="220">
          <cell r="F220" t="str">
            <v>GD POLARIS III</v>
          </cell>
        </row>
        <row r="221">
          <cell r="F221" t="str">
            <v>GD LAS MERCEDES I</v>
          </cell>
        </row>
        <row r="222">
          <cell r="F222" t="str">
            <v>GD LAS MERCEDES II</v>
          </cell>
        </row>
        <row r="223">
          <cell r="F223" t="str">
            <v>ATLANTICO</v>
          </cell>
        </row>
        <row r="224">
          <cell r="F224" t="str">
            <v>SUAREZ</v>
          </cell>
        </row>
        <row r="225">
          <cell r="F225" t="str">
            <v>GD YURBAQUA</v>
          </cell>
        </row>
        <row r="226">
          <cell r="F226" t="str">
            <v>AUTOG CELSIA SOLAR TQ TECNOSUR</v>
          </cell>
        </row>
        <row r="227">
          <cell r="F227" t="str">
            <v>GD SAN PELAYO</v>
          </cell>
        </row>
        <row r="228">
          <cell r="F228" t="str">
            <v>PARQUE SOLAR EL JARDIN</v>
          </cell>
        </row>
        <row r="229">
          <cell r="F229" t="str">
            <v>GD WE202</v>
          </cell>
        </row>
        <row r="230">
          <cell r="F230" t="str">
            <v>GD WE2021</v>
          </cell>
        </row>
        <row r="231">
          <cell r="F231" t="str">
            <v>AUTOG CARVAJAL GINEBRA</v>
          </cell>
        </row>
        <row r="232">
          <cell r="F232" t="str">
            <v>GD BIOSOLAR</v>
          </cell>
        </row>
        <row r="233">
          <cell r="F233" t="str">
            <v>GD ASTROLUMEN LA GARITA</v>
          </cell>
        </row>
        <row r="234">
          <cell r="F234" t="str">
            <v>SOL Y CIELO VII</v>
          </cell>
        </row>
        <row r="235">
          <cell r="F235" t="str">
            <v>EL TAMARINDO I</v>
          </cell>
        </row>
        <row r="236">
          <cell r="F236" t="str">
            <v>EL TAMARINDO II</v>
          </cell>
        </row>
        <row r="237">
          <cell r="F237" t="str">
            <v>GRANJA SOLAR LA GARITA</v>
          </cell>
        </row>
        <row r="238">
          <cell r="F238" t="str">
            <v>GD LA CATEDRAL</v>
          </cell>
        </row>
        <row r="239">
          <cell r="F239" t="str">
            <v>GD CSF ARENALES I</v>
          </cell>
        </row>
        <row r="240">
          <cell r="F240" t="str">
            <v>GD BLANCA ENERGY SOLAR 23</v>
          </cell>
        </row>
        <row r="241">
          <cell r="F241" t="str">
            <v>GD BLANCA ENERGY SOLAR 24</v>
          </cell>
        </row>
        <row r="242">
          <cell r="F242" t="str">
            <v>GD CADILLO II</v>
          </cell>
        </row>
        <row r="243">
          <cell r="F243" t="str">
            <v>GD JARDINCITO</v>
          </cell>
        </row>
        <row r="244">
          <cell r="F244" t="str">
            <v>GD CARACOL I</v>
          </cell>
        </row>
        <row r="245">
          <cell r="F245" t="str">
            <v>GD CARACOL II</v>
          </cell>
        </row>
        <row r="246">
          <cell r="F246" t="str">
            <v>GD CARACOL III</v>
          </cell>
        </row>
        <row r="247">
          <cell r="F247" t="str">
            <v>GD ESPERANZA II</v>
          </cell>
        </row>
        <row r="248">
          <cell r="F248" t="str">
            <v>GD LAS PILONERAS</v>
          </cell>
        </row>
        <row r="249">
          <cell r="F249" t="str">
            <v>GD PALMERAS I</v>
          </cell>
        </row>
        <row r="250">
          <cell r="F250" t="str">
            <v>GD PALMERAS II</v>
          </cell>
        </row>
        <row r="251">
          <cell r="F251" t="str">
            <v>GD PALMERAS III</v>
          </cell>
        </row>
        <row r="252">
          <cell r="F252" t="str">
            <v>GD PALMERAS IV</v>
          </cell>
        </row>
        <row r="253">
          <cell r="F253" t="str">
            <v>GD ESPERANZA I</v>
          </cell>
        </row>
        <row r="254">
          <cell r="F254" t="str">
            <v>GD YUAN SOLAR</v>
          </cell>
        </row>
        <row r="255">
          <cell r="F255" t="str">
            <v>GD LA CACICA</v>
          </cell>
        </row>
        <row r="256">
          <cell r="F256" t="str">
            <v>GD SINAI</v>
          </cell>
        </row>
        <row r="257">
          <cell r="F257" t="str">
            <v>GD EL CASTILLO II</v>
          </cell>
        </row>
        <row r="258">
          <cell r="F258" t="str">
            <v>GD LYRA</v>
          </cell>
        </row>
        <row r="259">
          <cell r="F259" t="str">
            <v>GD EDEQ SOLAR LA TEBAIDA</v>
          </cell>
        </row>
        <row r="260">
          <cell r="F260" t="str">
            <v>GD EDEQ SOLAR MONTENEGRO</v>
          </cell>
        </row>
        <row r="261">
          <cell r="F261" t="str">
            <v>GD BONILLA A I</v>
          </cell>
        </row>
        <row r="262">
          <cell r="F262" t="str">
            <v>GD BONILLA A II</v>
          </cell>
        </row>
        <row r="263">
          <cell r="F263" t="str">
            <v>GD BONILLA A III</v>
          </cell>
        </row>
        <row r="264">
          <cell r="F264" t="str">
            <v>GD BONILLA A V</v>
          </cell>
        </row>
        <row r="265">
          <cell r="F265" t="str">
            <v>GD CANARIOS I</v>
          </cell>
        </row>
        <row r="266">
          <cell r="F266" t="str">
            <v>GD ERCO GOLONDRINA I</v>
          </cell>
        </row>
        <row r="267">
          <cell r="F267" t="str">
            <v>GD PEGASUS SOLAR</v>
          </cell>
        </row>
        <row r="268">
          <cell r="F268" t="str">
            <v>GD GALILEO SOLAR</v>
          </cell>
        </row>
        <row r="269">
          <cell r="F269" t="str">
            <v>GD SEMILLAS MONTERIA I</v>
          </cell>
        </row>
        <row r="270">
          <cell r="F270" t="str">
            <v>GD SEMILLAS MONTERIA II</v>
          </cell>
        </row>
        <row r="271">
          <cell r="F271" t="str">
            <v>GD ORBIS</v>
          </cell>
        </row>
        <row r="272">
          <cell r="F272" t="str">
            <v>GD SOLYCIELO 9</v>
          </cell>
        </row>
        <row r="273">
          <cell r="F273" t="str">
            <v>GD LA MACANA</v>
          </cell>
        </row>
        <row r="274">
          <cell r="F274" t="str">
            <v>GD PARQUE SOLAR GRANADA II</v>
          </cell>
        </row>
        <row r="275">
          <cell r="F275" t="str">
            <v>GD EMPERATRIZ I</v>
          </cell>
        </row>
        <row r="276">
          <cell r="F276" t="str">
            <v>GD EMPERATRIZ II</v>
          </cell>
        </row>
        <row r="277">
          <cell r="F277" t="str">
            <v>GD CORALITO</v>
          </cell>
        </row>
        <row r="278">
          <cell r="F278" t="str">
            <v>GD GOLONDRINA</v>
          </cell>
        </row>
        <row r="279">
          <cell r="F279" t="str">
            <v>GD SEMILLA DEL PASO IA</v>
          </cell>
        </row>
        <row r="280">
          <cell r="F280" t="str">
            <v>GD SEMILLA DEL PASO III</v>
          </cell>
        </row>
        <row r="281">
          <cell r="F281" t="str">
            <v>GD LOS MANGOS I</v>
          </cell>
        </row>
        <row r="282">
          <cell r="F282" t="str">
            <v>GD LOS MANGOS II</v>
          </cell>
        </row>
        <row r="283">
          <cell r="F283" t="str">
            <v>GD ALAMO SOLAR</v>
          </cell>
        </row>
        <row r="284">
          <cell r="F284" t="str">
            <v>GD EL PASO NORTE</v>
          </cell>
        </row>
        <row r="285">
          <cell r="F285" t="str">
            <v>GD CHIRIGUANA NORTE I</v>
          </cell>
        </row>
        <row r="286">
          <cell r="F286" t="str">
            <v>GD SOL Y CIELO X</v>
          </cell>
        </row>
        <row r="287">
          <cell r="F287" t="str">
            <v>PLANTA SOLAR SAN FRANCISCO</v>
          </cell>
        </row>
        <row r="288">
          <cell r="F288" t="str">
            <v>GD BONILLA A IV</v>
          </cell>
        </row>
        <row r="289">
          <cell r="F289" t="str">
            <v>GD LA HORMIGUITA</v>
          </cell>
        </row>
        <row r="290">
          <cell r="F290" t="str">
            <v>GD ERCO LAS PIEDRAS I</v>
          </cell>
        </row>
        <row r="291">
          <cell r="F291" t="str">
            <v>GD ERCO LAS PIEDRAS II</v>
          </cell>
        </row>
        <row r="292">
          <cell r="F292" t="str">
            <v>GD SEVILLANO RURAL I</v>
          </cell>
        </row>
        <row r="293">
          <cell r="F293" t="str">
            <v>GD SEVILLANO RURAL II</v>
          </cell>
        </row>
        <row r="294">
          <cell r="F294" t="str">
            <v>GD CANARIOS II</v>
          </cell>
        </row>
        <row r="295">
          <cell r="F295" t="str">
            <v>GD CANARIOS III</v>
          </cell>
        </row>
        <row r="296">
          <cell r="F296" t="str">
            <v>GD NAOS IV</v>
          </cell>
        </row>
        <row r="297">
          <cell r="F297" t="str">
            <v>GD VEGA I</v>
          </cell>
        </row>
        <row r="298">
          <cell r="F298" t="str">
            <v>GD VEGA II</v>
          </cell>
        </row>
        <row r="299">
          <cell r="F299" t="str">
            <v>GD PARQUE SOLAR LA ESPERANZA</v>
          </cell>
        </row>
        <row r="300">
          <cell r="F300" t="str">
            <v>GD PARQUE SOLAR TRONCAL</v>
          </cell>
        </row>
        <row r="301">
          <cell r="F301" t="str">
            <v>GD CHIRIGUANA NORTE II</v>
          </cell>
        </row>
        <row r="302">
          <cell r="F302" t="str">
            <v>GD CHIRIGUANA NORTE IV</v>
          </cell>
        </row>
        <row r="303">
          <cell r="F303" t="str">
            <v>GD TAURUS VIII</v>
          </cell>
        </row>
        <row r="304">
          <cell r="F304" t="str">
            <v>GD TAURUS IX</v>
          </cell>
        </row>
        <row r="305">
          <cell r="F305" t="str">
            <v>GD TAURUS X</v>
          </cell>
        </row>
        <row r="306">
          <cell r="F306" t="str">
            <v>GD SEMILLA DE EL PASO IIIA</v>
          </cell>
        </row>
        <row r="307">
          <cell r="F307" t="str">
            <v>GD SEMILLA DE EL PASO IVA</v>
          </cell>
        </row>
        <row r="308">
          <cell r="F308" t="str">
            <v>GD MEISSA II</v>
          </cell>
        </row>
        <row r="309">
          <cell r="F309" t="str">
            <v>PLANTA FV DONA JUANA</v>
          </cell>
        </row>
        <row r="310">
          <cell r="F310" t="str">
            <v>GD EL CASTILLO I</v>
          </cell>
        </row>
        <row r="311">
          <cell r="F311" t="str">
            <v>GD EL CASTILLO III</v>
          </cell>
        </row>
        <row r="312">
          <cell r="F312" t="str">
            <v>GD EL CASTILLO IV</v>
          </cell>
        </row>
        <row r="313">
          <cell r="F313" t="str">
            <v>GD EL CASTILLO V</v>
          </cell>
        </row>
        <row r="314">
          <cell r="F314" t="str">
            <v>GD LOS MANGOS III</v>
          </cell>
        </row>
        <row r="315">
          <cell r="F315" t="str">
            <v>GD SUAMOX</v>
          </cell>
        </row>
        <row r="316">
          <cell r="F316" t="str">
            <v>GD SOL Y CIELO XII</v>
          </cell>
        </row>
        <row r="317">
          <cell r="F317" t="str">
            <v>GD VITERBO I</v>
          </cell>
        </row>
        <row r="318">
          <cell r="F318" t="str">
            <v>GD VITERBO II</v>
          </cell>
        </row>
        <row r="319">
          <cell r="F319" t="str">
            <v>GD SOL Y CIELO XI</v>
          </cell>
        </row>
        <row r="320">
          <cell r="F320" t="str">
            <v>GD SOL Y CIELO XIII</v>
          </cell>
        </row>
        <row r="321">
          <cell r="F321" t="str">
            <v>GD SOL Y CIELO XIV</v>
          </cell>
        </row>
        <row r="322">
          <cell r="F322" t="str">
            <v>GD NOVA I</v>
          </cell>
        </row>
        <row r="323">
          <cell r="F323" t="str">
            <v>GD EL MANDARINO</v>
          </cell>
        </row>
        <row r="324">
          <cell r="F324" t="str">
            <v>GD SEMILLAS DE CERETE II</v>
          </cell>
        </row>
        <row r="325">
          <cell r="F325" t="str">
            <v>GD PXV II</v>
          </cell>
        </row>
        <row r="326">
          <cell r="F326" t="str">
            <v>GD ERCO GOLONDRINA II</v>
          </cell>
        </row>
        <row r="327">
          <cell r="F327" t="str">
            <v>GD ESPERANZA I ETAPA II</v>
          </cell>
        </row>
        <row r="328">
          <cell r="F328" t="str">
            <v>GD AGUSTIN II</v>
          </cell>
        </row>
        <row r="329">
          <cell r="F329" t="str">
            <v>GD AGUSTIN III</v>
          </cell>
        </row>
        <row r="330">
          <cell r="F330" t="str">
            <v>GD SAN ONOFRE I</v>
          </cell>
        </row>
        <row r="331">
          <cell r="F331" t="str">
            <v>GD SAN ONOFRE II</v>
          </cell>
        </row>
        <row r="332">
          <cell r="F332" t="str">
            <v>GD SAN ONOFRE III</v>
          </cell>
        </row>
        <row r="333">
          <cell r="F333" t="str">
            <v>GD GRANJA SOLAR SAN AGUSTIN</v>
          </cell>
        </row>
        <row r="334">
          <cell r="F334" t="str">
            <v>GD SABANA DE TORRES</v>
          </cell>
        </row>
        <row r="335">
          <cell r="F335" t="str">
            <v>GD PIEDECUESTA I</v>
          </cell>
        </row>
        <row r="336">
          <cell r="F336" t="str">
            <v>GD PIEDECUESTA II</v>
          </cell>
        </row>
        <row r="337">
          <cell r="F337" t="str">
            <v>GD PIEDECUESTA III</v>
          </cell>
        </row>
        <row r="338">
          <cell r="F338" t="str">
            <v>GD ERCO PALMAS II</v>
          </cell>
        </row>
        <row r="339">
          <cell r="F339" t="str">
            <v>GD PISINGO I</v>
          </cell>
        </row>
        <row r="340">
          <cell r="F340" t="str">
            <v>GD PISINGO II</v>
          </cell>
        </row>
        <row r="341">
          <cell r="F341" t="str">
            <v>GD NAOS V</v>
          </cell>
        </row>
        <row r="342">
          <cell r="F342" t="str">
            <v>GD GALERAS OCCIDENTE</v>
          </cell>
        </row>
        <row r="343">
          <cell r="F343" t="str">
            <v>GD LYRA II</v>
          </cell>
        </row>
        <row r="344">
          <cell r="F344" t="str">
            <v>GD SAN MARTIN I</v>
          </cell>
        </row>
        <row r="345">
          <cell r="F345" t="str">
            <v>GD PARQUE SOLAR TRONCAL II</v>
          </cell>
        </row>
        <row r="346">
          <cell r="F346" t="str">
            <v>GD CALIPSO SOLAR</v>
          </cell>
        </row>
        <row r="347">
          <cell r="F347" t="str">
            <v>GD RIGEL SOLAR</v>
          </cell>
        </row>
        <row r="348">
          <cell r="F348" t="str">
            <v>GD TITAN SOLAR</v>
          </cell>
        </row>
        <row r="349">
          <cell r="F349" t="str">
            <v>TOLU SOLAR</v>
          </cell>
        </row>
        <row r="350">
          <cell r="F350" t="str">
            <v>GD LEGACY</v>
          </cell>
        </row>
        <row r="351">
          <cell r="F351" t="str">
            <v>-</v>
          </cell>
        </row>
        <row r="352">
          <cell r="F352" t="str">
            <v>-</v>
          </cell>
        </row>
        <row r="353">
          <cell r="F353" t="str">
            <v>PARQUE EOLICO WESP01</v>
          </cell>
        </row>
        <row r="354">
          <cell r="A354" t="str">
            <v>TBQ3</v>
          </cell>
          <cell r="F354" t="str">
            <v>BARRANQUILLA 3</v>
          </cell>
        </row>
        <row r="355">
          <cell r="A355" t="str">
            <v>TBQ4</v>
          </cell>
          <cell r="F355" t="str">
            <v>BARRANQUILLA 4</v>
          </cell>
        </row>
        <row r="356">
          <cell r="A356" t="str">
            <v>CTG1</v>
          </cell>
          <cell r="F356" t="str">
            <v>CARTAGENA 1</v>
          </cell>
        </row>
        <row r="357">
          <cell r="A357" t="str">
            <v>CTG2</v>
          </cell>
          <cell r="F357" t="str">
            <v>CARTAGENA 2</v>
          </cell>
        </row>
        <row r="358">
          <cell r="A358" t="str">
            <v>CTG3</v>
          </cell>
          <cell r="F358" t="str">
            <v>CARTAGENA 3</v>
          </cell>
        </row>
        <row r="359">
          <cell r="A359" t="str">
            <v>TFL1</v>
          </cell>
          <cell r="F359" t="str">
            <v>FLORES I CC</v>
          </cell>
        </row>
        <row r="360">
          <cell r="A360" t="str">
            <v>TFL1</v>
          </cell>
          <cell r="F360" t="str">
            <v>FLORES I CC</v>
          </cell>
        </row>
        <row r="361">
          <cell r="A361" t="str">
            <v>TFL4</v>
          </cell>
          <cell r="F361" t="str">
            <v>FLORES 4 CC</v>
          </cell>
        </row>
        <row r="362">
          <cell r="A362" t="str">
            <v>TFL4</v>
          </cell>
          <cell r="F362" t="str">
            <v>FLORES 4 CC</v>
          </cell>
        </row>
        <row r="363">
          <cell r="A363" t="str">
            <v>TFL4</v>
          </cell>
          <cell r="F363" t="str">
            <v>FLORES 4 CC</v>
          </cell>
        </row>
        <row r="364">
          <cell r="A364" t="str">
            <v>GEC3</v>
          </cell>
          <cell r="F364" t="str">
            <v>GECELCA 3</v>
          </cell>
        </row>
        <row r="365">
          <cell r="A365" t="str">
            <v>GE32</v>
          </cell>
          <cell r="F365" t="str">
            <v>GECELCA 32</v>
          </cell>
        </row>
        <row r="366">
          <cell r="A366" t="str">
            <v>TGJ1</v>
          </cell>
          <cell r="F366" t="str">
            <v>GUAJIRA 1</v>
          </cell>
        </row>
        <row r="367">
          <cell r="A367" t="str">
            <v>TGJ2</v>
          </cell>
          <cell r="F367" t="str">
            <v>GUAJIRA 2</v>
          </cell>
        </row>
        <row r="368">
          <cell r="A368" t="str">
            <v>MRL1</v>
          </cell>
          <cell r="F368" t="str">
            <v>MERILECTRICA 1</v>
          </cell>
        </row>
        <row r="369">
          <cell r="A369" t="str">
            <v>PPA1</v>
          </cell>
          <cell r="F369" t="str">
            <v>PAIPA 1</v>
          </cell>
        </row>
        <row r="370">
          <cell r="A370" t="str">
            <v>PPA2</v>
          </cell>
          <cell r="F370" t="str">
            <v>PAIPA 2</v>
          </cell>
        </row>
        <row r="371">
          <cell r="A371" t="str">
            <v>PPA3</v>
          </cell>
          <cell r="F371" t="str">
            <v>PAIPA 3</v>
          </cell>
        </row>
        <row r="372">
          <cell r="A372" t="str">
            <v>PPA4</v>
          </cell>
          <cell r="F372" t="str">
            <v>PAIPA 4</v>
          </cell>
        </row>
        <row r="373">
          <cell r="A373" t="str">
            <v>PRG1</v>
          </cell>
          <cell r="F373" t="str">
            <v>PROELECTRICA 1</v>
          </cell>
        </row>
        <row r="374">
          <cell r="A374" t="str">
            <v>PRG2</v>
          </cell>
          <cell r="F374" t="str">
            <v>PROELECTRICA 2</v>
          </cell>
        </row>
        <row r="375">
          <cell r="A375" t="str">
            <v>TSJ1</v>
          </cell>
          <cell r="F375" t="str">
            <v>TASAJERO 1</v>
          </cell>
        </row>
        <row r="376">
          <cell r="A376" t="str">
            <v>TSJ2</v>
          </cell>
          <cell r="F376" t="str">
            <v>TASAJERO 2</v>
          </cell>
        </row>
        <row r="377">
          <cell r="A377" t="str">
            <v>TBST</v>
          </cell>
          <cell r="F377" t="str">
            <v>TEBSAB CC</v>
          </cell>
        </row>
        <row r="378">
          <cell r="A378" t="str">
            <v>TBST</v>
          </cell>
          <cell r="F378" t="str">
            <v>TEBSAB CC</v>
          </cell>
        </row>
        <row r="379">
          <cell r="A379" t="str">
            <v>TBST</v>
          </cell>
          <cell r="F379" t="str">
            <v>TEBSAB CC</v>
          </cell>
        </row>
        <row r="380">
          <cell r="A380" t="str">
            <v>TBST</v>
          </cell>
          <cell r="F380" t="str">
            <v>TEBSAB CC</v>
          </cell>
        </row>
        <row r="381">
          <cell r="A381" t="str">
            <v>TBST</v>
          </cell>
          <cell r="F381" t="str">
            <v>TEBSAB CC</v>
          </cell>
        </row>
        <row r="382">
          <cell r="A382" t="str">
            <v>TBST</v>
          </cell>
          <cell r="F382" t="str">
            <v>TEBSAB CC</v>
          </cell>
        </row>
        <row r="383">
          <cell r="A383" t="str">
            <v>TBST</v>
          </cell>
          <cell r="F383" t="str">
            <v>TEBSAB CC</v>
          </cell>
        </row>
        <row r="384">
          <cell r="A384" t="str">
            <v>TCDT</v>
          </cell>
          <cell r="F384" t="str">
            <v>TERMOCANDELARIA CC</v>
          </cell>
        </row>
        <row r="385">
          <cell r="A385" t="str">
            <v>TCDT</v>
          </cell>
          <cell r="F385" t="str">
            <v>TERMOCANDELARIA CC</v>
          </cell>
        </row>
        <row r="386">
          <cell r="A386" t="str">
            <v>TCDT</v>
          </cell>
          <cell r="F386" t="str">
            <v>TERMOCANDELARIA CC</v>
          </cell>
        </row>
        <row r="387">
          <cell r="A387" t="str">
            <v>TCBE</v>
          </cell>
          <cell r="F387" t="str">
            <v>TERMOCARIBE III</v>
          </cell>
        </row>
        <row r="388">
          <cell r="A388" t="str">
            <v>TRM1</v>
          </cell>
          <cell r="F388" t="str">
            <v>TERMOCENTRO CC</v>
          </cell>
        </row>
        <row r="389">
          <cell r="A389" t="str">
            <v>TRM1</v>
          </cell>
          <cell r="F389" t="str">
            <v>TERMOCENTRO CC</v>
          </cell>
        </row>
        <row r="390">
          <cell r="A390" t="str">
            <v>TRM1</v>
          </cell>
          <cell r="F390" t="str">
            <v>TERMOCENTRO CC</v>
          </cell>
        </row>
        <row r="391">
          <cell r="A391" t="str">
            <v>TDR1</v>
          </cell>
          <cell r="F391" t="str">
            <v>TERMODORADA 1</v>
          </cell>
        </row>
        <row r="392">
          <cell r="A392" t="str">
            <v>TEC1</v>
          </cell>
          <cell r="F392" t="str">
            <v>TERMOEMCALI CC</v>
          </cell>
        </row>
        <row r="393">
          <cell r="A393" t="str">
            <v>TEC1</v>
          </cell>
          <cell r="F393" t="str">
            <v>TERMOEMCALI CC</v>
          </cell>
        </row>
        <row r="394">
          <cell r="A394" t="str">
            <v>TRN1</v>
          </cell>
          <cell r="F394" t="str">
            <v>TERMONORTE</v>
          </cell>
        </row>
        <row r="395">
          <cell r="A395" t="str">
            <v>TRN1</v>
          </cell>
          <cell r="F395" t="str">
            <v>TERMONORTE</v>
          </cell>
        </row>
        <row r="396">
          <cell r="A396" t="str">
            <v>TRN1</v>
          </cell>
          <cell r="F396" t="str">
            <v>TERMONORTE</v>
          </cell>
        </row>
        <row r="397">
          <cell r="A397" t="str">
            <v>TRN1</v>
          </cell>
          <cell r="F397" t="str">
            <v>TERMONORTE</v>
          </cell>
        </row>
        <row r="398">
          <cell r="A398" t="str">
            <v>TRN1</v>
          </cell>
          <cell r="F398" t="str">
            <v>TERMONORTE</v>
          </cell>
        </row>
        <row r="399">
          <cell r="A399" t="str">
            <v>TRN1</v>
          </cell>
          <cell r="F399" t="str">
            <v>TERMONORTE</v>
          </cell>
        </row>
        <row r="400">
          <cell r="A400" t="str">
            <v>TRN1</v>
          </cell>
          <cell r="F400" t="str">
            <v>TERMONORTE</v>
          </cell>
        </row>
        <row r="401">
          <cell r="A401" t="str">
            <v>TRN1</v>
          </cell>
          <cell r="F401" t="str">
            <v>TERMONORTE</v>
          </cell>
        </row>
        <row r="402">
          <cell r="A402" t="str">
            <v>TRN1</v>
          </cell>
          <cell r="F402" t="str">
            <v>TERMONORTE</v>
          </cell>
        </row>
        <row r="403">
          <cell r="A403" t="str">
            <v>TRN1</v>
          </cell>
          <cell r="F403" t="str">
            <v>TERMONORTE</v>
          </cell>
        </row>
        <row r="404">
          <cell r="A404" t="str">
            <v>TSR1</v>
          </cell>
          <cell r="F404" t="str">
            <v>TERMOSIERRA CC</v>
          </cell>
        </row>
        <row r="405">
          <cell r="A405" t="str">
            <v>TSR1</v>
          </cell>
          <cell r="F405" t="str">
            <v>TERMOSIERRA CC</v>
          </cell>
        </row>
        <row r="406">
          <cell r="A406" t="str">
            <v>TSR1</v>
          </cell>
          <cell r="F406" t="str">
            <v>TERMOSIERRA CC</v>
          </cell>
        </row>
        <row r="407">
          <cell r="A407" t="str">
            <v>TVL1</v>
          </cell>
          <cell r="F407" t="str">
            <v>TERMOVALLE CC</v>
          </cell>
        </row>
        <row r="408">
          <cell r="A408" t="str">
            <v>TVL1</v>
          </cell>
          <cell r="F408" t="str">
            <v>TERMOVALLE CC</v>
          </cell>
        </row>
        <row r="409">
          <cell r="A409" t="str">
            <v>TYP1</v>
          </cell>
          <cell r="F409" t="str">
            <v>TERMOYOPAL 1</v>
          </cell>
        </row>
        <row r="410">
          <cell r="A410" t="str">
            <v>TYP2</v>
          </cell>
          <cell r="F410" t="str">
            <v>TERMOYOPAL 2</v>
          </cell>
        </row>
        <row r="411">
          <cell r="A411" t="str">
            <v>TYP3</v>
          </cell>
          <cell r="F411" t="str">
            <v>TERMOYOPAL G3</v>
          </cell>
        </row>
        <row r="412">
          <cell r="A412" t="str">
            <v>TYP4</v>
          </cell>
          <cell r="F412" t="str">
            <v>TERMOYOPAL G4</v>
          </cell>
        </row>
        <row r="413">
          <cell r="A413" t="str">
            <v>TYP5</v>
          </cell>
          <cell r="F413" t="str">
            <v>TERMOYOPAL G5</v>
          </cell>
        </row>
        <row r="414">
          <cell r="A414" t="str">
            <v>3ENA</v>
          </cell>
          <cell r="F414" t="str">
            <v>TESORITO</v>
          </cell>
        </row>
        <row r="415">
          <cell r="A415" t="str">
            <v>3ENA</v>
          </cell>
          <cell r="F415" t="str">
            <v>TESORITO</v>
          </cell>
        </row>
        <row r="416">
          <cell r="A416" t="str">
            <v>3ENA</v>
          </cell>
          <cell r="F416" t="str">
            <v>TESORITO</v>
          </cell>
        </row>
        <row r="417">
          <cell r="A417" t="str">
            <v>3ENA</v>
          </cell>
          <cell r="F417" t="str">
            <v>TESORITO</v>
          </cell>
        </row>
        <row r="418">
          <cell r="A418" t="str">
            <v>3ENA</v>
          </cell>
          <cell r="F418" t="str">
            <v>TESORITO</v>
          </cell>
        </row>
        <row r="419">
          <cell r="A419" t="str">
            <v>3ENA</v>
          </cell>
          <cell r="F419" t="str">
            <v>TESORITO</v>
          </cell>
        </row>
        <row r="420">
          <cell r="A420" t="str">
            <v>3ENA</v>
          </cell>
          <cell r="F420" t="str">
            <v>TESORITO</v>
          </cell>
        </row>
        <row r="421">
          <cell r="A421" t="str">
            <v>3ENA</v>
          </cell>
          <cell r="F421" t="str">
            <v>TESORITO</v>
          </cell>
        </row>
        <row r="422">
          <cell r="A422" t="str">
            <v>3ENA</v>
          </cell>
          <cell r="F422" t="str">
            <v>TESORITO</v>
          </cell>
        </row>
        <row r="423">
          <cell r="A423" t="str">
            <v>3ENA</v>
          </cell>
          <cell r="F423" t="str">
            <v>TESORITO</v>
          </cell>
        </row>
        <row r="424">
          <cell r="A424" t="str">
            <v>3ENA</v>
          </cell>
          <cell r="F424" t="str">
            <v>TESORITO</v>
          </cell>
        </row>
        <row r="425">
          <cell r="A425" t="str">
            <v>4YCN</v>
          </cell>
          <cell r="F425" t="str">
            <v>VILLANUEVA</v>
          </cell>
        </row>
        <row r="426">
          <cell r="A426" t="str">
            <v>ZPA2</v>
          </cell>
          <cell r="F426" t="str">
            <v>ZIPAEMG 2</v>
          </cell>
        </row>
        <row r="427">
          <cell r="A427" t="str">
            <v>ZPA3</v>
          </cell>
          <cell r="F427" t="str">
            <v>ZIPAEMG 3</v>
          </cell>
        </row>
        <row r="428">
          <cell r="A428" t="str">
            <v>ZPA4</v>
          </cell>
          <cell r="F428" t="str">
            <v>ZIPAEMG 4</v>
          </cell>
        </row>
        <row r="429">
          <cell r="A429" t="str">
            <v>ZPA5</v>
          </cell>
          <cell r="F429" t="str">
            <v>ZIPAEMG 5</v>
          </cell>
        </row>
        <row r="430">
          <cell r="F430" t="str">
            <v>ALTO ANCHICAYA</v>
          </cell>
        </row>
        <row r="431">
          <cell r="F431" t="str">
            <v>ALTO ANCHICAYA</v>
          </cell>
        </row>
        <row r="432">
          <cell r="F432" t="str">
            <v>ALTO ANCHICAYA</v>
          </cell>
        </row>
        <row r="433">
          <cell r="A433" t="str">
            <v>MOY1</v>
          </cell>
          <cell r="F433" t="str">
            <v>AMOYA LA ESPERANZA</v>
          </cell>
        </row>
        <row r="434">
          <cell r="A434" t="str">
            <v>MOY1</v>
          </cell>
          <cell r="F434" t="str">
            <v>AMOYA LA ESPERANZA</v>
          </cell>
        </row>
        <row r="435">
          <cell r="F435" t="str">
            <v>BAJO ANCHICAYA</v>
          </cell>
        </row>
        <row r="436">
          <cell r="F436" t="str">
            <v>BAJO ANCHICAYA</v>
          </cell>
        </row>
        <row r="437">
          <cell r="F437" t="str">
            <v>BAJO ANCHICAYA</v>
          </cell>
        </row>
        <row r="438">
          <cell r="F438" t="str">
            <v>BAJO ANCHICAYA</v>
          </cell>
        </row>
        <row r="439">
          <cell r="A439" t="str">
            <v>CHBG</v>
          </cell>
          <cell r="F439" t="str">
            <v>BETANIA</v>
          </cell>
        </row>
        <row r="440">
          <cell r="A440" t="str">
            <v>CHBG</v>
          </cell>
          <cell r="F440" t="str">
            <v>BETANIA</v>
          </cell>
        </row>
        <row r="441">
          <cell r="A441" t="str">
            <v>CHBG</v>
          </cell>
          <cell r="F441" t="str">
            <v>BETANIA</v>
          </cell>
        </row>
        <row r="442">
          <cell r="A442" t="str">
            <v>CLMG</v>
          </cell>
          <cell r="F442" t="str">
            <v>CALIMA</v>
          </cell>
        </row>
        <row r="443">
          <cell r="A443" t="str">
            <v>CLMG</v>
          </cell>
          <cell r="F443" t="str">
            <v>CALIMA</v>
          </cell>
        </row>
        <row r="444">
          <cell r="A444" t="str">
            <v>CLMG</v>
          </cell>
          <cell r="F444" t="str">
            <v>CALIMA</v>
          </cell>
        </row>
        <row r="445">
          <cell r="A445" t="str">
            <v>CLMG</v>
          </cell>
          <cell r="F445" t="str">
            <v>CALIMA</v>
          </cell>
        </row>
        <row r="446">
          <cell r="A446" t="str">
            <v>CLL1</v>
          </cell>
          <cell r="F446" t="str">
            <v>CARLOS LLERAS</v>
          </cell>
        </row>
        <row r="447">
          <cell r="A447" t="str">
            <v>CLL1</v>
          </cell>
          <cell r="F447" t="str">
            <v>CARLOS LLERAS</v>
          </cell>
        </row>
        <row r="448">
          <cell r="A448" t="str">
            <v>CHVR</v>
          </cell>
          <cell r="F448" t="str">
            <v>CHIVOR</v>
          </cell>
        </row>
        <row r="449">
          <cell r="A449" t="str">
            <v>CHVR</v>
          </cell>
          <cell r="F449" t="str">
            <v>CHIVOR</v>
          </cell>
        </row>
        <row r="450">
          <cell r="A450" t="str">
            <v>CHVR</v>
          </cell>
          <cell r="F450" t="str">
            <v>CHIVOR</v>
          </cell>
        </row>
        <row r="451">
          <cell r="A451" t="str">
            <v>CHVR</v>
          </cell>
          <cell r="F451" t="str">
            <v>CHIVOR</v>
          </cell>
        </row>
        <row r="452">
          <cell r="A452" t="str">
            <v>CHVR</v>
          </cell>
          <cell r="F452" t="str">
            <v>CHIVOR</v>
          </cell>
        </row>
        <row r="453">
          <cell r="A453" t="str">
            <v>CHVR</v>
          </cell>
          <cell r="F453" t="str">
            <v>CHIVOR</v>
          </cell>
        </row>
        <row r="454">
          <cell r="A454" t="str">
            <v>CHVR</v>
          </cell>
          <cell r="F454" t="str">
            <v>CHIVOR</v>
          </cell>
        </row>
        <row r="455">
          <cell r="A455" t="str">
            <v>CHVR</v>
          </cell>
          <cell r="F455" t="str">
            <v>CHIVOR</v>
          </cell>
        </row>
        <row r="456">
          <cell r="A456" t="str">
            <v>CUC1</v>
          </cell>
          <cell r="F456" t="str">
            <v>CUCUANA</v>
          </cell>
        </row>
        <row r="457">
          <cell r="A457" t="str">
            <v>CUC1</v>
          </cell>
          <cell r="F457" t="str">
            <v>CUCUANA</v>
          </cell>
        </row>
        <row r="458">
          <cell r="A458" t="str">
            <v>DVS1</v>
          </cell>
          <cell r="F458" t="str">
            <v>DARIO VALENCIA SAMPER</v>
          </cell>
        </row>
        <row r="459">
          <cell r="A459" t="str">
            <v>DVS1</v>
          </cell>
          <cell r="F459" t="str">
            <v>DARIO VALENCIA SAMPER</v>
          </cell>
        </row>
        <row r="460">
          <cell r="A460" t="str">
            <v>DVS1</v>
          </cell>
          <cell r="F460" t="str">
            <v>DARIO VALENCIA SAMPER</v>
          </cell>
        </row>
        <row r="461">
          <cell r="A461" t="str">
            <v>QUI1</v>
          </cell>
          <cell r="F461" t="str">
            <v>EL QUIMBO</v>
          </cell>
        </row>
        <row r="462">
          <cell r="A462" t="str">
            <v>QUI1</v>
          </cell>
          <cell r="F462" t="str">
            <v>EL QUIMBO</v>
          </cell>
        </row>
        <row r="463">
          <cell r="A463" t="str">
            <v>HMIN</v>
          </cell>
          <cell r="F463" t="str">
            <v>ESCUELA DE MINAS</v>
          </cell>
        </row>
        <row r="464">
          <cell r="A464" t="str">
            <v>HMIN</v>
          </cell>
          <cell r="F464" t="str">
            <v>ESCUELA DE MINAS</v>
          </cell>
        </row>
        <row r="465">
          <cell r="A465" t="str">
            <v>HMIN</v>
          </cell>
          <cell r="F465" t="str">
            <v>ESCUELA DE MINAS</v>
          </cell>
        </row>
        <row r="466">
          <cell r="A466" t="str">
            <v>ESMR</v>
          </cell>
          <cell r="F466" t="str">
            <v>ESMERALDA</v>
          </cell>
        </row>
        <row r="467">
          <cell r="A467" t="str">
            <v>ESMR</v>
          </cell>
          <cell r="F467" t="str">
            <v>ESMERALDA</v>
          </cell>
        </row>
        <row r="468">
          <cell r="F468" t="str">
            <v>GUADALUPE III</v>
          </cell>
        </row>
        <row r="469">
          <cell r="F469" t="str">
            <v>GUADALUPE III</v>
          </cell>
        </row>
        <row r="470">
          <cell r="F470" t="str">
            <v>GUADALUPE III</v>
          </cell>
        </row>
        <row r="471">
          <cell r="F471" t="str">
            <v>GUADALUPE III</v>
          </cell>
        </row>
        <row r="472">
          <cell r="F472" t="str">
            <v>GUADALUPE III</v>
          </cell>
        </row>
        <row r="473">
          <cell r="F473" t="str">
            <v>GUADALUPE III</v>
          </cell>
        </row>
        <row r="474">
          <cell r="F474" t="str">
            <v>GUADALUPE IV</v>
          </cell>
        </row>
        <row r="475">
          <cell r="F475" t="str">
            <v>GUADALUPE IV</v>
          </cell>
        </row>
        <row r="476">
          <cell r="F476" t="str">
            <v>GUADALUPE IV</v>
          </cell>
        </row>
        <row r="477">
          <cell r="A477" t="str">
            <v>GTPE</v>
          </cell>
          <cell r="F477" t="str">
            <v>GUATAPE</v>
          </cell>
        </row>
        <row r="478">
          <cell r="A478" t="str">
            <v>GTPE</v>
          </cell>
          <cell r="F478" t="str">
            <v>GUATAPE</v>
          </cell>
        </row>
        <row r="479">
          <cell r="A479" t="str">
            <v>GTPE</v>
          </cell>
          <cell r="F479" t="str">
            <v>GUATAPE</v>
          </cell>
        </row>
        <row r="480">
          <cell r="A480" t="str">
            <v>GTPE</v>
          </cell>
          <cell r="F480" t="str">
            <v>GUATAPE</v>
          </cell>
        </row>
        <row r="481">
          <cell r="A481" t="str">
            <v>GTPE</v>
          </cell>
          <cell r="F481" t="str">
            <v>GUATAPE</v>
          </cell>
        </row>
        <row r="482">
          <cell r="A482" t="str">
            <v>GTPE</v>
          </cell>
          <cell r="F482" t="str">
            <v>GUATAPE</v>
          </cell>
        </row>
        <row r="483">
          <cell r="A483" t="str">
            <v>GTPE</v>
          </cell>
          <cell r="F483" t="str">
            <v>GUATAPE</v>
          </cell>
        </row>
        <row r="484">
          <cell r="A484" t="str">
            <v>GTPE</v>
          </cell>
          <cell r="F484" t="str">
            <v>GUATAPE</v>
          </cell>
        </row>
        <row r="485">
          <cell r="A485" t="str">
            <v>GVIO</v>
          </cell>
          <cell r="F485" t="str">
            <v>GUAVIO</v>
          </cell>
        </row>
        <row r="486">
          <cell r="A486" t="str">
            <v>GVIO</v>
          </cell>
          <cell r="F486" t="str">
            <v>GUAVIO</v>
          </cell>
        </row>
        <row r="487">
          <cell r="A487" t="str">
            <v>GVIO</v>
          </cell>
          <cell r="F487" t="str">
            <v>GUAVIO</v>
          </cell>
        </row>
        <row r="488">
          <cell r="A488" t="str">
            <v>GVIO</v>
          </cell>
          <cell r="F488" t="str">
            <v>GUAVIO</v>
          </cell>
        </row>
        <row r="489">
          <cell r="A489" t="str">
            <v>GVIO</v>
          </cell>
          <cell r="F489" t="str">
            <v>GUAVIO</v>
          </cell>
        </row>
        <row r="490">
          <cell r="A490" t="str">
            <v>PES1</v>
          </cell>
          <cell r="F490" t="str">
            <v>ITUANGO</v>
          </cell>
        </row>
        <row r="491">
          <cell r="A491" t="str">
            <v>PES1</v>
          </cell>
          <cell r="F491" t="str">
            <v>ITUANGO</v>
          </cell>
        </row>
        <row r="492">
          <cell r="A492" t="str">
            <v>PES1</v>
          </cell>
          <cell r="F492" t="str">
            <v>ITUANGO</v>
          </cell>
        </row>
        <row r="493">
          <cell r="A493" t="str">
            <v>PES1</v>
          </cell>
          <cell r="F493" t="str">
            <v>ITUANGO</v>
          </cell>
        </row>
        <row r="494">
          <cell r="A494" t="str">
            <v>JAGS</v>
          </cell>
          <cell r="F494" t="str">
            <v>JAGUAS</v>
          </cell>
        </row>
        <row r="495">
          <cell r="A495" t="str">
            <v>JAGS</v>
          </cell>
          <cell r="F495" t="str">
            <v>JAGUAS</v>
          </cell>
        </row>
        <row r="496">
          <cell r="F496" t="str">
            <v>LA GUACA</v>
          </cell>
        </row>
        <row r="497">
          <cell r="F497" t="str">
            <v>LA GUACA</v>
          </cell>
        </row>
        <row r="498">
          <cell r="F498" t="str">
            <v>LA GUACA</v>
          </cell>
        </row>
        <row r="499">
          <cell r="A499" t="str">
            <v>LTSJ</v>
          </cell>
          <cell r="F499" t="str">
            <v>LA TASAJERA</v>
          </cell>
        </row>
        <row r="500">
          <cell r="A500" t="str">
            <v>LTSJ</v>
          </cell>
          <cell r="F500" t="str">
            <v>LA TASAJERA</v>
          </cell>
        </row>
        <row r="501">
          <cell r="A501" t="str">
            <v>LTSJ</v>
          </cell>
          <cell r="F501" t="str">
            <v>LA TASAJERA</v>
          </cell>
        </row>
        <row r="502">
          <cell r="A502" t="str">
            <v>HMLG</v>
          </cell>
          <cell r="F502" t="str">
            <v>MIEL I</v>
          </cell>
        </row>
        <row r="503">
          <cell r="A503" t="str">
            <v>HMLG</v>
          </cell>
          <cell r="F503" t="str">
            <v>MIEL I</v>
          </cell>
        </row>
        <row r="504">
          <cell r="A504" t="str">
            <v>HMLG</v>
          </cell>
          <cell r="F504" t="str">
            <v>MIEL I</v>
          </cell>
        </row>
        <row r="505">
          <cell r="F505" t="str">
            <v>PARAISO</v>
          </cell>
        </row>
        <row r="506">
          <cell r="F506" t="str">
            <v>PARAISO</v>
          </cell>
        </row>
        <row r="507">
          <cell r="F507" t="str">
            <v>PARAISO</v>
          </cell>
        </row>
        <row r="508">
          <cell r="A508" t="str">
            <v>PLYS</v>
          </cell>
          <cell r="F508" t="str">
            <v>PLAYAS</v>
          </cell>
        </row>
        <row r="509">
          <cell r="A509" t="str">
            <v>PLYS</v>
          </cell>
          <cell r="F509" t="str">
            <v>PLAYAS</v>
          </cell>
        </row>
        <row r="510">
          <cell r="A510" t="str">
            <v>PLYS</v>
          </cell>
          <cell r="F510" t="str">
            <v>PLAYAS</v>
          </cell>
        </row>
        <row r="511">
          <cell r="A511" t="str">
            <v>PRC2</v>
          </cell>
          <cell r="F511" t="str">
            <v>PORCE II</v>
          </cell>
        </row>
        <row r="512">
          <cell r="A512" t="str">
            <v>PRC2</v>
          </cell>
          <cell r="F512" t="str">
            <v>PORCE II</v>
          </cell>
        </row>
        <row r="513">
          <cell r="A513" t="str">
            <v>PRC2</v>
          </cell>
          <cell r="F513" t="str">
            <v>PORCE II</v>
          </cell>
        </row>
        <row r="514">
          <cell r="A514" t="str">
            <v>PRC3</v>
          </cell>
          <cell r="F514" t="str">
            <v>PORCE III</v>
          </cell>
        </row>
        <row r="515">
          <cell r="A515" t="str">
            <v>PRC3</v>
          </cell>
          <cell r="F515" t="str">
            <v>PORCE III</v>
          </cell>
        </row>
        <row r="516">
          <cell r="A516" t="str">
            <v>PRC3</v>
          </cell>
          <cell r="F516" t="str">
            <v>PORCE III</v>
          </cell>
        </row>
        <row r="517">
          <cell r="A517" t="str">
            <v>PRC3</v>
          </cell>
          <cell r="F517" t="str">
            <v>PORCE III</v>
          </cell>
        </row>
        <row r="518">
          <cell r="A518" t="str">
            <v>PRDO</v>
          </cell>
          <cell r="F518" t="str">
            <v>PRADO</v>
          </cell>
        </row>
        <row r="519">
          <cell r="A519" t="str">
            <v>PRDO</v>
          </cell>
          <cell r="F519" t="str">
            <v>PRADO</v>
          </cell>
        </row>
        <row r="520">
          <cell r="A520" t="str">
            <v>PRDO</v>
          </cell>
          <cell r="F520" t="str">
            <v>PRADO</v>
          </cell>
        </row>
        <row r="521">
          <cell r="A521" t="str">
            <v>2QEK</v>
          </cell>
          <cell r="F521" t="str">
            <v>SALTO II</v>
          </cell>
        </row>
        <row r="522">
          <cell r="A522" t="str">
            <v>SLVJ</v>
          </cell>
          <cell r="F522" t="str">
            <v>SALVAJINA</v>
          </cell>
        </row>
        <row r="523">
          <cell r="A523" t="str">
            <v>SLVJ</v>
          </cell>
          <cell r="F523" t="str">
            <v>SALVAJINA</v>
          </cell>
        </row>
        <row r="524">
          <cell r="A524" t="str">
            <v>SLVJ</v>
          </cell>
          <cell r="F524" t="str">
            <v>SALVAJINA</v>
          </cell>
        </row>
        <row r="525">
          <cell r="A525" t="str">
            <v>SNCR</v>
          </cell>
          <cell r="F525" t="str">
            <v>SAN CARLOS</v>
          </cell>
        </row>
        <row r="526">
          <cell r="A526" t="str">
            <v>SNCR</v>
          </cell>
          <cell r="F526" t="str">
            <v>SAN CARLOS</v>
          </cell>
        </row>
        <row r="527">
          <cell r="A527" t="str">
            <v>SNCR</v>
          </cell>
          <cell r="F527" t="str">
            <v>SAN CARLOS</v>
          </cell>
        </row>
        <row r="528">
          <cell r="A528" t="str">
            <v>SNCR</v>
          </cell>
          <cell r="F528" t="str">
            <v>SAN CARLOS</v>
          </cell>
        </row>
        <row r="529">
          <cell r="A529" t="str">
            <v>SNCR</v>
          </cell>
          <cell r="F529" t="str">
            <v>SAN CARLOS</v>
          </cell>
        </row>
        <row r="530">
          <cell r="A530" t="str">
            <v>SNCR</v>
          </cell>
          <cell r="F530" t="str">
            <v>SAN CARLOS</v>
          </cell>
        </row>
        <row r="531">
          <cell r="A531" t="str">
            <v>SNCR</v>
          </cell>
          <cell r="F531" t="str">
            <v>SAN CARLOS</v>
          </cell>
        </row>
        <row r="532">
          <cell r="A532" t="str">
            <v>SNCR</v>
          </cell>
          <cell r="F532" t="str">
            <v>SAN CARLOS</v>
          </cell>
        </row>
        <row r="533">
          <cell r="A533" t="str">
            <v>SNFR</v>
          </cell>
          <cell r="F533" t="str">
            <v>SAN FRANCISCO</v>
          </cell>
        </row>
        <row r="534">
          <cell r="A534" t="str">
            <v>SNFR</v>
          </cell>
          <cell r="F534" t="str">
            <v>SAN FRANCISCO</v>
          </cell>
        </row>
        <row r="535">
          <cell r="A535" t="str">
            <v>SNFR</v>
          </cell>
          <cell r="F535" t="str">
            <v>SAN FRANCISCO</v>
          </cell>
        </row>
        <row r="536">
          <cell r="A536" t="str">
            <v>SMI1</v>
          </cell>
          <cell r="F536" t="str">
            <v>SAN MIGUEL</v>
          </cell>
        </row>
        <row r="537">
          <cell r="A537" t="str">
            <v>SMI1</v>
          </cell>
          <cell r="F537" t="str">
            <v>SAN MIGUEL</v>
          </cell>
        </row>
        <row r="538">
          <cell r="A538" t="str">
            <v>SOG1</v>
          </cell>
          <cell r="F538" t="str">
            <v>SOGAMOSO</v>
          </cell>
        </row>
        <row r="539">
          <cell r="A539" t="str">
            <v>SOG1</v>
          </cell>
          <cell r="F539" t="str">
            <v>SOGAMOSO</v>
          </cell>
        </row>
        <row r="540">
          <cell r="A540" t="str">
            <v>SOG1</v>
          </cell>
          <cell r="F540" t="str">
            <v>SOGAMOSO</v>
          </cell>
        </row>
        <row r="541">
          <cell r="F541" t="str">
            <v>TRONERAS</v>
          </cell>
        </row>
        <row r="542">
          <cell r="F542" t="str">
            <v>TRONERAS</v>
          </cell>
        </row>
        <row r="543">
          <cell r="A543" t="str">
            <v>TUJ1</v>
          </cell>
          <cell r="F543" t="str">
            <v>TUNJITA</v>
          </cell>
        </row>
        <row r="544">
          <cell r="A544" t="str">
            <v>TUJ1</v>
          </cell>
          <cell r="F544" t="str">
            <v>TUNJITA</v>
          </cell>
        </row>
        <row r="545">
          <cell r="A545" t="str">
            <v>URA1</v>
          </cell>
          <cell r="F545" t="str">
            <v>URRA</v>
          </cell>
        </row>
        <row r="546">
          <cell r="A546" t="str">
            <v>URA1</v>
          </cell>
          <cell r="F546" t="str">
            <v>URRA</v>
          </cell>
        </row>
        <row r="547">
          <cell r="A547" t="str">
            <v>URA1</v>
          </cell>
          <cell r="F547" t="str">
            <v>URRA</v>
          </cell>
        </row>
        <row r="548">
          <cell r="A548" t="str">
            <v>URA1</v>
          </cell>
          <cell r="F548" t="str">
            <v>URRA</v>
          </cell>
        </row>
        <row r="593">
          <cell r="A593" t="str">
            <v>3INX</v>
          </cell>
        </row>
        <row r="617">
          <cell r="A617" t="str">
            <v>EPFV</v>
          </cell>
        </row>
        <row r="620">
          <cell r="A620" t="str">
            <v>3HF5</v>
          </cell>
        </row>
      </sheetData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Daniel Lindo" id="{18CA4A9A-668D-4DAC-B2F8-E20634DBE893}" userId="S::dalindop@unal.edu.co::bac517a2-50e1-4afb-8365-3aec15672be1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C10" dT="2026-08-10T19:38:57.45" personId="{18CA4A9A-668D-4DAC-B2F8-E20634DBE893}" id="{B724A91F-041A-4828-AFE4-51B44276F97E}">
    <text xml:space="preserve">acepta una solución dentro del 1% del óptimo 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J4" dT="2026-08-22T18:11:27.30" personId="{18CA4A9A-668D-4DAC-B2F8-E20634DBE893}" id="{A0E88886-9E41-4316-B74C-BA376C08C276}">
    <text xml:space="preserve">XM publica un solo número por planta y por día: el precio de oferta de despacho, en COP/MWh. No publica una curva de costos. 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E4" dT="2026-08-22T21:39:26.89" personId="{18CA4A9A-668D-4DAC-B2F8-E20634DBE893}" id="{C82A736B-0C0E-43A1-B887-0DECE67682D4}">
    <text xml:space="preserve"> q = Pmin / eta</text>
  </threadedComment>
  <threadedComment ref="F4" dT="2026-08-22T21:39:57.65" personId="{18CA4A9A-668D-4DAC-B2F8-E20634DBE893}" id="{1B87D5D4-D18E-43B4-A8BF-57FC5C4F43F2}">
    <text xml:space="preserve"> q = Pmax / eta</text>
  </threadedComment>
  <threadedComment ref="G4" dT="2026-08-22T21:30:59.68" personId="{18CA4A9A-668D-4DAC-B2F8-E20634DBE893}" id="{966F0630-6DD3-4D54-B1B8-192F0D163718}">
    <text>η  = eficiencia</text>
  </threadedComment>
  <threadedComment ref="I4" dT="2026-08-22T22:29:47.74" personId="{18CA4A9A-668D-4DAC-B2F8-E20634DBE893}" id="{8B625FC6-E8EC-4593-9C4A-04C0D40D5716}">
    <text xml:space="preserve">0 = filo de agua
Unidades en PARATEC en Mm3 =hm3
1 hm3=(100 m)3=100×100×100=1000000 m3=1 Mm3 </text>
  </threadedComment>
  <threadedComment ref="J4" dT="2026-08-22T23:25:33.97" personId="{18CA4A9A-668D-4DAC-B2F8-E20634DBE893}" id="{F4D77674-0D65-4F3F-A2FD-45DB17A8B711}">
    <text xml:space="preserve">Vinit=Vmin+%llenado​×(Vmax−Vmin) 
%llenado​=CapaUtilDiarMasaVoluUtilDiarMasa​ 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6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7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3.xml"/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40"/>
  <sheetViews>
    <sheetView topLeftCell="A3" workbookViewId="0">
      <selection activeCell="D34" sqref="D34"/>
    </sheetView>
  </sheetViews>
  <sheetFormatPr defaultRowHeight="15" x14ac:dyDescent="0.25"/>
  <cols>
    <col min="1" max="1" width="70" customWidth="1"/>
    <col min="2" max="2" width="4.28515625" customWidth="1"/>
    <col min="3" max="3" width="26.85546875" bestFit="1" customWidth="1"/>
    <col min="4" max="4" width="72.140625" customWidth="1"/>
    <col min="5" max="5" width="101" bestFit="1" customWidth="1"/>
  </cols>
  <sheetData>
    <row r="1" spans="1:5" ht="18.75" x14ac:dyDescent="0.3">
      <c r="A1" s="1" t="s">
        <v>0</v>
      </c>
      <c r="C1" s="1" t="s">
        <v>226</v>
      </c>
    </row>
    <row r="2" spans="1:5" x14ac:dyDescent="0.25">
      <c r="A2" s="2" t="s">
        <v>159</v>
      </c>
      <c r="C2" s="2" t="s">
        <v>159</v>
      </c>
    </row>
    <row r="3" spans="1:5" x14ac:dyDescent="0.25">
      <c r="A3" s="2"/>
      <c r="C3" s="12" t="s">
        <v>183</v>
      </c>
      <c r="D3" s="12" t="s">
        <v>184</v>
      </c>
      <c r="E3" s="12" t="s">
        <v>227</v>
      </c>
    </row>
    <row r="4" spans="1:5" x14ac:dyDescent="0.25">
      <c r="A4" s="2" t="s">
        <v>1</v>
      </c>
      <c r="C4" s="11" t="s">
        <v>265</v>
      </c>
      <c r="D4" s="11" t="s">
        <v>248</v>
      </c>
      <c r="E4" s="11"/>
    </row>
    <row r="5" spans="1:5" x14ac:dyDescent="0.25">
      <c r="A5" s="2" t="s">
        <v>2</v>
      </c>
      <c r="C5" s="11" t="s">
        <v>186</v>
      </c>
      <c r="D5" s="11" t="s">
        <v>266</v>
      </c>
      <c r="E5" s="11"/>
    </row>
    <row r="6" spans="1:5" x14ac:dyDescent="0.25">
      <c r="A6" s="2" t="s">
        <v>3</v>
      </c>
      <c r="C6" s="13" t="s">
        <v>271</v>
      </c>
      <c r="D6" s="11" t="s">
        <v>273</v>
      </c>
      <c r="E6" s="11" t="s">
        <v>274</v>
      </c>
    </row>
    <row r="7" spans="1:5" x14ac:dyDescent="0.25">
      <c r="A7" s="2"/>
      <c r="C7" s="13" t="s">
        <v>268</v>
      </c>
      <c r="D7" s="11" t="s">
        <v>270</v>
      </c>
      <c r="E7" s="11"/>
    </row>
    <row r="8" spans="1:5" x14ac:dyDescent="0.25">
      <c r="A8" s="2" t="s">
        <v>4</v>
      </c>
      <c r="C8" s="13" t="s">
        <v>276</v>
      </c>
      <c r="D8" s="11" t="s">
        <v>275</v>
      </c>
      <c r="E8" s="11"/>
    </row>
    <row r="9" spans="1:5" x14ac:dyDescent="0.25">
      <c r="A9" s="2" t="s">
        <v>5</v>
      </c>
      <c r="C9" s="13" t="s">
        <v>277</v>
      </c>
      <c r="D9" s="11" t="s">
        <v>275</v>
      </c>
    </row>
    <row r="10" spans="1:5" x14ac:dyDescent="0.25">
      <c r="A10" s="2" t="s">
        <v>6</v>
      </c>
      <c r="C10" s="13" t="s">
        <v>267</v>
      </c>
      <c r="D10" s="11" t="s">
        <v>278</v>
      </c>
      <c r="E10" s="11"/>
    </row>
    <row r="11" spans="1:5" x14ac:dyDescent="0.25">
      <c r="A11" s="2" t="s">
        <v>7</v>
      </c>
      <c r="C11" s="13" t="s">
        <v>59</v>
      </c>
      <c r="D11" s="11" t="s">
        <v>270</v>
      </c>
      <c r="E11" s="15" t="s">
        <v>272</v>
      </c>
    </row>
    <row r="12" spans="1:5" x14ac:dyDescent="0.25">
      <c r="A12" s="2" t="s">
        <v>8</v>
      </c>
      <c r="C12" s="13" t="s">
        <v>60</v>
      </c>
      <c r="D12" s="11" t="s">
        <v>270</v>
      </c>
      <c r="E12" s="11"/>
    </row>
    <row r="13" spans="1:5" x14ac:dyDescent="0.25">
      <c r="A13" s="2" t="s">
        <v>9</v>
      </c>
      <c r="C13" s="14" t="s">
        <v>61</v>
      </c>
      <c r="D13" s="11" t="s">
        <v>270</v>
      </c>
      <c r="E13" s="11"/>
    </row>
    <row r="14" spans="1:5" x14ac:dyDescent="0.25">
      <c r="A14" s="2" t="s">
        <v>243</v>
      </c>
      <c r="C14" s="14" t="s">
        <v>62</v>
      </c>
      <c r="D14" s="11" t="s">
        <v>187</v>
      </c>
      <c r="E14" s="15" t="s">
        <v>188</v>
      </c>
    </row>
    <row r="15" spans="1:5" x14ac:dyDescent="0.25">
      <c r="A15" s="2" t="s">
        <v>10</v>
      </c>
      <c r="C15" s="13" t="s">
        <v>120</v>
      </c>
      <c r="D15" s="11" t="s">
        <v>187</v>
      </c>
      <c r="E15" s="15" t="s">
        <v>188</v>
      </c>
    </row>
    <row r="16" spans="1:5" x14ac:dyDescent="0.25">
      <c r="A16" s="2" t="s">
        <v>244</v>
      </c>
      <c r="C16" s="11" t="s">
        <v>189</v>
      </c>
      <c r="D16" s="11" t="s">
        <v>280</v>
      </c>
      <c r="E16" s="11" t="s">
        <v>274</v>
      </c>
    </row>
    <row r="17" spans="1:5" x14ac:dyDescent="0.25">
      <c r="A17" s="2" t="s">
        <v>11</v>
      </c>
      <c r="C17" s="13" t="s">
        <v>271</v>
      </c>
      <c r="D17" s="11" t="s">
        <v>281</v>
      </c>
      <c r="E17" s="11"/>
    </row>
    <row r="18" spans="1:5" x14ac:dyDescent="0.25">
      <c r="A18" s="2" t="s">
        <v>12</v>
      </c>
      <c r="C18" s="13" t="s">
        <v>54</v>
      </c>
      <c r="D18" s="11" t="s">
        <v>187</v>
      </c>
      <c r="E18" s="15" t="s">
        <v>188</v>
      </c>
    </row>
    <row r="19" spans="1:5" x14ac:dyDescent="0.25">
      <c r="A19" s="2" t="s">
        <v>13</v>
      </c>
      <c r="C19" s="13" t="s">
        <v>55</v>
      </c>
      <c r="D19" s="11" t="s">
        <v>281</v>
      </c>
    </row>
    <row r="20" spans="1:5" x14ac:dyDescent="0.25">
      <c r="A20" s="2"/>
      <c r="C20" s="13" t="s">
        <v>208</v>
      </c>
      <c r="D20" s="11" t="s">
        <v>187</v>
      </c>
      <c r="E20" s="15" t="s">
        <v>188</v>
      </c>
    </row>
    <row r="21" spans="1:5" x14ac:dyDescent="0.25">
      <c r="A21" s="2" t="s">
        <v>14</v>
      </c>
      <c r="C21" s="13" t="s">
        <v>209</v>
      </c>
      <c r="D21" s="16" t="s">
        <v>283</v>
      </c>
    </row>
    <row r="22" spans="1:5" x14ac:dyDescent="0.25">
      <c r="A22" s="2" t="s">
        <v>247</v>
      </c>
      <c r="C22" s="13" t="s">
        <v>210</v>
      </c>
      <c r="D22" s="11" t="s">
        <v>282</v>
      </c>
    </row>
    <row r="23" spans="1:5" x14ac:dyDescent="0.25">
      <c r="A23" s="2" t="s">
        <v>246</v>
      </c>
      <c r="C23" s="13" t="s">
        <v>222</v>
      </c>
      <c r="D23" s="11" t="s">
        <v>187</v>
      </c>
      <c r="E23" s="15" t="s">
        <v>188</v>
      </c>
    </row>
    <row r="24" spans="1:5" x14ac:dyDescent="0.25">
      <c r="A24" s="2" t="s">
        <v>245</v>
      </c>
      <c r="C24" s="13" t="s">
        <v>223</v>
      </c>
      <c r="D24" s="11" t="s">
        <v>326</v>
      </c>
      <c r="E24" s="11" t="s">
        <v>325</v>
      </c>
    </row>
    <row r="25" spans="1:5" x14ac:dyDescent="0.25">
      <c r="C25" s="13" t="s">
        <v>224</v>
      </c>
      <c r="D25" s="19" t="s">
        <v>324</v>
      </c>
    </row>
    <row r="26" spans="1:5" x14ac:dyDescent="0.25">
      <c r="A26" s="2" t="s">
        <v>15</v>
      </c>
      <c r="C26" s="13" t="s">
        <v>211</v>
      </c>
      <c r="D26" s="11" t="s">
        <v>187</v>
      </c>
      <c r="E26" s="15" t="s">
        <v>188</v>
      </c>
    </row>
    <row r="27" spans="1:5" x14ac:dyDescent="0.25">
      <c r="A27" s="2" t="s">
        <v>92</v>
      </c>
      <c r="C27" s="13" t="s">
        <v>50</v>
      </c>
      <c r="D27" s="11" t="s">
        <v>278</v>
      </c>
    </row>
    <row r="28" spans="1:5" x14ac:dyDescent="0.25">
      <c r="C28" s="11" t="s">
        <v>279</v>
      </c>
      <c r="D28" s="11" t="s">
        <v>323</v>
      </c>
    </row>
    <row r="29" spans="1:5" x14ac:dyDescent="0.25">
      <c r="C29" s="11" t="s">
        <v>191</v>
      </c>
      <c r="D29" s="11" t="s">
        <v>192</v>
      </c>
      <c r="E29" s="11" t="s">
        <v>193</v>
      </c>
    </row>
    <row r="30" spans="1:5" x14ac:dyDescent="0.25">
      <c r="C30" s="11" t="s">
        <v>194</v>
      </c>
      <c r="D30" s="11" t="s">
        <v>195</v>
      </c>
      <c r="E30" s="11" t="s">
        <v>196</v>
      </c>
    </row>
    <row r="31" spans="1:5" x14ac:dyDescent="0.25">
      <c r="A31" s="3" t="s">
        <v>54</v>
      </c>
      <c r="C31" s="11" t="s">
        <v>197</v>
      </c>
      <c r="D31" s="11" t="s">
        <v>185</v>
      </c>
      <c r="E31" s="11" t="s">
        <v>198</v>
      </c>
    </row>
    <row r="32" spans="1:5" x14ac:dyDescent="0.25">
      <c r="A32" s="3" t="s">
        <v>55</v>
      </c>
      <c r="C32" s="11" t="s">
        <v>199</v>
      </c>
      <c r="D32" s="11" t="s">
        <v>200</v>
      </c>
      <c r="E32" s="11" t="s">
        <v>201</v>
      </c>
    </row>
    <row r="33" spans="1:5" x14ac:dyDescent="0.25">
      <c r="A33" s="3" t="s">
        <v>208</v>
      </c>
      <c r="C33" s="11" t="s">
        <v>202</v>
      </c>
      <c r="D33" s="11" t="s">
        <v>190</v>
      </c>
      <c r="E33" s="11" t="s">
        <v>203</v>
      </c>
    </row>
    <row r="34" spans="1:5" x14ac:dyDescent="0.25">
      <c r="A34" s="3" t="s">
        <v>209</v>
      </c>
    </row>
    <row r="35" spans="1:5" x14ac:dyDescent="0.25">
      <c r="A35" s="3" t="s">
        <v>210</v>
      </c>
    </row>
    <row r="36" spans="1:5" x14ac:dyDescent="0.25">
      <c r="A36" s="3" t="s">
        <v>222</v>
      </c>
    </row>
    <row r="37" spans="1:5" x14ac:dyDescent="0.25">
      <c r="A37" s="3" t="s">
        <v>223</v>
      </c>
    </row>
    <row r="38" spans="1:5" x14ac:dyDescent="0.25">
      <c r="A38" s="3" t="s">
        <v>224</v>
      </c>
    </row>
    <row r="39" spans="1:5" x14ac:dyDescent="0.25">
      <c r="A39" s="3" t="s">
        <v>211</v>
      </c>
    </row>
    <row r="40" spans="1:5" x14ac:dyDescent="0.25">
      <c r="A40" s="3" t="s">
        <v>50</v>
      </c>
    </row>
  </sheetData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24"/>
  <sheetViews>
    <sheetView workbookViewId="0">
      <selection activeCell="B27" sqref="B27"/>
    </sheetView>
  </sheetViews>
  <sheetFormatPr defaultRowHeight="15" x14ac:dyDescent="0.25"/>
  <cols>
    <col min="1" max="1" width="44.42578125" bestFit="1" customWidth="1"/>
    <col min="2" max="2" width="21.85546875" customWidth="1"/>
    <col min="3" max="3" width="68.5703125" customWidth="1"/>
  </cols>
  <sheetData>
    <row r="1" spans="1:3" ht="18.75" x14ac:dyDescent="0.3">
      <c r="A1" s="1" t="s">
        <v>16</v>
      </c>
    </row>
    <row r="2" spans="1:3" x14ac:dyDescent="0.25">
      <c r="A2" s="2" t="s">
        <v>17</v>
      </c>
    </row>
    <row r="4" spans="1:3" x14ac:dyDescent="0.25">
      <c r="A4" s="3" t="s">
        <v>18</v>
      </c>
      <c r="B4" s="3" t="s">
        <v>19</v>
      </c>
      <c r="C4" s="3" t="s">
        <v>20</v>
      </c>
    </row>
    <row r="5" spans="1:3" x14ac:dyDescent="0.25">
      <c r="A5" s="4"/>
      <c r="B5" s="4"/>
      <c r="C5" s="4"/>
    </row>
    <row r="6" spans="1:3" x14ac:dyDescent="0.25">
      <c r="A6" s="6" t="s">
        <v>21</v>
      </c>
      <c r="B6" s="6">
        <v>100</v>
      </c>
      <c r="C6" s="6" t="s">
        <v>22</v>
      </c>
    </row>
    <row r="7" spans="1:3" x14ac:dyDescent="0.25">
      <c r="A7" s="6" t="s">
        <v>23</v>
      </c>
      <c r="B7" s="6">
        <v>24</v>
      </c>
      <c r="C7" s="6" t="s">
        <v>24</v>
      </c>
    </row>
    <row r="8" spans="1:3" x14ac:dyDescent="0.25">
      <c r="A8" s="6" t="s">
        <v>25</v>
      </c>
      <c r="B8" s="6">
        <v>3</v>
      </c>
      <c r="C8" s="6" t="s">
        <v>26</v>
      </c>
    </row>
    <row r="9" spans="1:3" x14ac:dyDescent="0.25">
      <c r="A9" s="6" t="s">
        <v>27</v>
      </c>
      <c r="B9" s="6">
        <v>4</v>
      </c>
      <c r="C9" s="6" t="s">
        <v>28</v>
      </c>
    </row>
    <row r="10" spans="1:3" x14ac:dyDescent="0.25">
      <c r="A10" s="6" t="s">
        <v>29</v>
      </c>
      <c r="B10" s="6">
        <v>1E-4</v>
      </c>
      <c r="C10" s="6" t="s">
        <v>30</v>
      </c>
    </row>
    <row r="11" spans="1:3" x14ac:dyDescent="0.25">
      <c r="A11" s="6" t="s">
        <v>31</v>
      </c>
      <c r="B11" s="6">
        <v>1800</v>
      </c>
      <c r="C11" s="6" t="s">
        <v>32</v>
      </c>
    </row>
    <row r="12" spans="1:3" x14ac:dyDescent="0.25">
      <c r="A12" s="7" t="s">
        <v>93</v>
      </c>
      <c r="B12" s="7">
        <v>15</v>
      </c>
      <c r="C12" s="7" t="s">
        <v>96</v>
      </c>
    </row>
    <row r="13" spans="1:3" x14ac:dyDescent="0.25">
      <c r="A13" s="7" t="s">
        <v>94</v>
      </c>
      <c r="B13" s="7">
        <v>20</v>
      </c>
      <c r="C13" s="7" t="s">
        <v>95</v>
      </c>
    </row>
    <row r="14" spans="1:3" x14ac:dyDescent="0.25">
      <c r="A14" s="8" t="s">
        <v>108</v>
      </c>
      <c r="B14" s="8">
        <v>1</v>
      </c>
      <c r="C14" s="8" t="s">
        <v>109</v>
      </c>
    </row>
    <row r="15" spans="1:3" x14ac:dyDescent="0.25">
      <c r="A15" s="8" t="s">
        <v>121</v>
      </c>
      <c r="B15" s="8">
        <v>0.115</v>
      </c>
      <c r="C15" s="8" t="s">
        <v>122</v>
      </c>
    </row>
    <row r="16" spans="1:3" x14ac:dyDescent="0.25">
      <c r="A16" s="8" t="s">
        <v>126</v>
      </c>
      <c r="B16" s="8">
        <v>135000</v>
      </c>
      <c r="C16" s="8" t="s">
        <v>125</v>
      </c>
    </row>
    <row r="17" spans="1:3" x14ac:dyDescent="0.25">
      <c r="A17" s="8" t="s">
        <v>124</v>
      </c>
      <c r="B17" s="8" t="s">
        <v>130</v>
      </c>
      <c r="C17" s="8" t="s">
        <v>137</v>
      </c>
    </row>
    <row r="18" spans="1:3" x14ac:dyDescent="0.25">
      <c r="A18" s="8" t="s">
        <v>127</v>
      </c>
      <c r="B18" s="8">
        <v>20</v>
      </c>
      <c r="C18" s="8"/>
    </row>
    <row r="19" spans="1:3" x14ac:dyDescent="0.25">
      <c r="A19" s="8" t="s">
        <v>128</v>
      </c>
      <c r="B19" s="8" t="s">
        <v>129</v>
      </c>
      <c r="C19" s="8"/>
    </row>
    <row r="20" spans="1:3" x14ac:dyDescent="0.25">
      <c r="A20" s="8" t="s">
        <v>214</v>
      </c>
      <c r="B20" s="8">
        <v>0.3</v>
      </c>
      <c r="C20" s="8" t="s">
        <v>215</v>
      </c>
    </row>
    <row r="21" spans="1:3" x14ac:dyDescent="0.25">
      <c r="A21" s="8" t="s">
        <v>216</v>
      </c>
      <c r="B21" s="8">
        <v>0.01</v>
      </c>
      <c r="C21" s="8" t="s">
        <v>217</v>
      </c>
    </row>
    <row r="22" spans="1:3" x14ac:dyDescent="0.25">
      <c r="A22" s="8" t="s">
        <v>218</v>
      </c>
      <c r="B22" s="8">
        <v>0.3</v>
      </c>
      <c r="C22" s="8" t="s">
        <v>219</v>
      </c>
    </row>
    <row r="23" spans="1:3" x14ac:dyDescent="0.25">
      <c r="A23" s="8" t="s">
        <v>220</v>
      </c>
      <c r="B23" s="8">
        <v>0.05</v>
      </c>
      <c r="C23" s="8" t="s">
        <v>221</v>
      </c>
    </row>
    <row r="24" spans="1:3" x14ac:dyDescent="0.25">
      <c r="A24" s="8"/>
      <c r="B24" s="9"/>
    </row>
  </sheetData>
  <pageMargins left="0.75" right="0.75" top="1" bottom="1" header="0.5" footer="0.5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23"/>
  <sheetViews>
    <sheetView workbookViewId="0">
      <selection activeCell="E4" sqref="E4"/>
    </sheetView>
  </sheetViews>
  <sheetFormatPr defaultRowHeight="15" x14ac:dyDescent="0.25"/>
  <cols>
    <col min="1" max="2" width="16" customWidth="1"/>
    <col min="3" max="3" width="6.85546875" bestFit="1" customWidth="1"/>
    <col min="4" max="4" width="8.42578125" bestFit="1" customWidth="1"/>
    <col min="5" max="5" width="18.5703125" bestFit="1" customWidth="1"/>
  </cols>
  <sheetData>
    <row r="1" spans="1:5" ht="18.75" x14ac:dyDescent="0.3">
      <c r="A1" s="1" t="s">
        <v>33</v>
      </c>
    </row>
    <row r="2" spans="1:5" x14ac:dyDescent="0.25">
      <c r="A2" s="2" t="s">
        <v>34</v>
      </c>
    </row>
    <row r="4" spans="1:5" x14ac:dyDescent="0.25">
      <c r="A4" s="3" t="s">
        <v>35</v>
      </c>
      <c r="B4" s="3" t="s">
        <v>36</v>
      </c>
      <c r="C4" s="12" t="s">
        <v>240</v>
      </c>
      <c r="D4" s="12" t="s">
        <v>241</v>
      </c>
      <c r="E4" s="12" t="s">
        <v>242</v>
      </c>
    </row>
    <row r="5" spans="1:5" x14ac:dyDescent="0.25">
      <c r="A5" s="4"/>
      <c r="B5" s="4" t="s">
        <v>37</v>
      </c>
      <c r="C5" s="4"/>
      <c r="D5" s="4"/>
      <c r="E5" s="4"/>
    </row>
    <row r="6" spans="1:5" x14ac:dyDescent="0.25">
      <c r="A6" s="5" t="s">
        <v>139</v>
      </c>
      <c r="B6" s="5" t="s">
        <v>138</v>
      </c>
      <c r="C6" s="5"/>
      <c r="D6" s="5"/>
      <c r="E6" s="6" t="s">
        <v>249</v>
      </c>
    </row>
    <row r="7" spans="1:5" x14ac:dyDescent="0.25">
      <c r="A7" s="5" t="s">
        <v>153</v>
      </c>
      <c r="B7" s="5">
        <v>0</v>
      </c>
      <c r="C7" s="5"/>
      <c r="D7" s="5"/>
      <c r="E7" s="6" t="s">
        <v>250</v>
      </c>
    </row>
    <row r="8" spans="1:5" x14ac:dyDescent="0.25">
      <c r="A8" s="5" t="s">
        <v>140</v>
      </c>
      <c r="B8" s="5">
        <v>0</v>
      </c>
      <c r="C8" s="5"/>
      <c r="D8" s="5"/>
      <c r="E8" s="6" t="s">
        <v>260</v>
      </c>
    </row>
    <row r="9" spans="1:5" x14ac:dyDescent="0.25">
      <c r="A9" s="5" t="s">
        <v>141</v>
      </c>
      <c r="B9" s="5">
        <v>0</v>
      </c>
      <c r="C9" s="5"/>
      <c r="D9" s="5"/>
      <c r="E9" s="6" t="s">
        <v>259</v>
      </c>
    </row>
    <row r="10" spans="1:5" x14ac:dyDescent="0.25">
      <c r="A10" s="5" t="s">
        <v>142</v>
      </c>
      <c r="B10" s="5">
        <v>0</v>
      </c>
      <c r="C10" s="5"/>
      <c r="D10" s="5"/>
      <c r="E10" s="6" t="s">
        <v>251</v>
      </c>
    </row>
    <row r="11" spans="1:5" x14ac:dyDescent="0.25">
      <c r="A11" s="5" t="s">
        <v>143</v>
      </c>
      <c r="B11" s="5">
        <v>0</v>
      </c>
      <c r="C11" s="5"/>
      <c r="D11" s="5"/>
      <c r="E11" s="6" t="s">
        <v>257</v>
      </c>
    </row>
    <row r="12" spans="1:5" x14ac:dyDescent="0.25">
      <c r="A12" s="5" t="s">
        <v>144</v>
      </c>
      <c r="B12" s="5">
        <v>0</v>
      </c>
      <c r="C12" s="5"/>
      <c r="D12" s="5"/>
      <c r="E12" s="6" t="s">
        <v>144</v>
      </c>
    </row>
    <row r="13" spans="1:5" x14ac:dyDescent="0.25">
      <c r="A13" s="5" t="s">
        <v>155</v>
      </c>
      <c r="B13" s="5">
        <v>0</v>
      </c>
      <c r="C13" s="5"/>
      <c r="D13" s="5"/>
      <c r="E13" s="6" t="s">
        <v>261</v>
      </c>
    </row>
    <row r="14" spans="1:5" x14ac:dyDescent="0.25">
      <c r="A14" s="5" t="s">
        <v>145</v>
      </c>
      <c r="B14" s="5">
        <v>0</v>
      </c>
      <c r="C14" s="5"/>
      <c r="D14" s="5"/>
      <c r="E14" s="6" t="s">
        <v>258</v>
      </c>
    </row>
    <row r="15" spans="1:5" x14ac:dyDescent="0.25">
      <c r="A15" s="5" t="s">
        <v>146</v>
      </c>
      <c r="B15" s="5">
        <v>0</v>
      </c>
      <c r="C15" s="5"/>
      <c r="D15" s="5"/>
      <c r="E15" s="6" t="s">
        <v>262</v>
      </c>
    </row>
    <row r="16" spans="1:5" x14ac:dyDescent="0.25">
      <c r="A16" s="5" t="s">
        <v>147</v>
      </c>
      <c r="B16" s="5">
        <v>0</v>
      </c>
      <c r="C16" s="5"/>
      <c r="D16" s="5"/>
      <c r="E16" s="6" t="s">
        <v>252</v>
      </c>
    </row>
    <row r="17" spans="1:5" x14ac:dyDescent="0.25">
      <c r="A17" s="5" t="s">
        <v>148</v>
      </c>
      <c r="B17" s="5">
        <v>0</v>
      </c>
      <c r="C17" s="5"/>
      <c r="D17" s="5"/>
      <c r="E17" s="6" t="s">
        <v>148</v>
      </c>
    </row>
    <row r="18" spans="1:5" x14ac:dyDescent="0.25">
      <c r="A18" s="5" t="s">
        <v>149</v>
      </c>
      <c r="B18" s="5">
        <v>0</v>
      </c>
      <c r="C18" s="5"/>
      <c r="D18" s="5"/>
      <c r="E18" s="6" t="s">
        <v>253</v>
      </c>
    </row>
    <row r="19" spans="1:5" x14ac:dyDescent="0.25">
      <c r="A19" s="5" t="s">
        <v>154</v>
      </c>
      <c r="B19" s="5">
        <v>0</v>
      </c>
      <c r="C19" s="5"/>
      <c r="D19" s="5"/>
      <c r="E19" s="6" t="s">
        <v>254</v>
      </c>
    </row>
    <row r="20" spans="1:5" x14ac:dyDescent="0.25">
      <c r="A20" s="5" t="s">
        <v>150</v>
      </c>
      <c r="B20" s="5">
        <v>0</v>
      </c>
      <c r="C20" s="5"/>
      <c r="D20" s="5"/>
      <c r="E20" s="6" t="s">
        <v>263</v>
      </c>
    </row>
    <row r="21" spans="1:5" x14ac:dyDescent="0.25">
      <c r="A21" s="5" t="s">
        <v>156</v>
      </c>
      <c r="B21" s="5">
        <v>0</v>
      </c>
      <c r="C21" s="5"/>
      <c r="D21" s="5"/>
      <c r="E21" s="6" t="s">
        <v>255</v>
      </c>
    </row>
    <row r="22" spans="1:5" x14ac:dyDescent="0.25">
      <c r="A22" s="5" t="s">
        <v>151</v>
      </c>
      <c r="B22" s="5">
        <v>0</v>
      </c>
      <c r="C22" s="5"/>
      <c r="D22" s="5"/>
      <c r="E22" s="6" t="s">
        <v>256</v>
      </c>
    </row>
    <row r="23" spans="1:5" x14ac:dyDescent="0.25">
      <c r="A23" s="5" t="s">
        <v>152</v>
      </c>
      <c r="B23" s="5">
        <v>0</v>
      </c>
      <c r="C23" s="5"/>
      <c r="D23" s="5"/>
      <c r="E23" s="6" t="s">
        <v>264</v>
      </c>
    </row>
  </sheetData>
  <phoneticPr fontId="6" type="noConversion"/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31"/>
  <sheetViews>
    <sheetView workbookViewId="0">
      <selection activeCell="F26" sqref="F26"/>
    </sheetView>
  </sheetViews>
  <sheetFormatPr defaultRowHeight="15" x14ac:dyDescent="0.25"/>
  <cols>
    <col min="1" max="6" width="16" customWidth="1"/>
  </cols>
  <sheetData>
    <row r="1" spans="1:6" ht="18.75" x14ac:dyDescent="0.3">
      <c r="A1" s="1" t="s">
        <v>39</v>
      </c>
    </row>
    <row r="2" spans="1:6" x14ac:dyDescent="0.25">
      <c r="A2" s="2" t="s">
        <v>40</v>
      </c>
    </row>
    <row r="4" spans="1:6" x14ac:dyDescent="0.25">
      <c r="A4" s="3" t="s">
        <v>35</v>
      </c>
      <c r="B4" s="3" t="s">
        <v>41</v>
      </c>
      <c r="C4" s="3" t="s">
        <v>42</v>
      </c>
      <c r="D4" s="3" t="s">
        <v>43</v>
      </c>
      <c r="E4" s="3" t="s">
        <v>44</v>
      </c>
      <c r="F4" s="3" t="s">
        <v>45</v>
      </c>
    </row>
    <row r="5" spans="1:6" x14ac:dyDescent="0.25">
      <c r="A5" s="4"/>
      <c r="B5" s="4" t="s">
        <v>46</v>
      </c>
      <c r="C5" s="4" t="s">
        <v>46</v>
      </c>
      <c r="D5" s="4" t="s">
        <v>47</v>
      </c>
      <c r="E5" s="4" t="s">
        <v>47</v>
      </c>
      <c r="F5" s="4" t="s">
        <v>38</v>
      </c>
    </row>
    <row r="6" spans="1:6" x14ac:dyDescent="0.25">
      <c r="A6" s="5" t="s">
        <v>97</v>
      </c>
      <c r="B6" s="5" t="s">
        <v>139</v>
      </c>
      <c r="C6" s="5" t="s">
        <v>141</v>
      </c>
      <c r="D6" s="5">
        <v>1.8431712000000001E-3</v>
      </c>
      <c r="E6" s="5">
        <v>2.6072207999999999E-2</v>
      </c>
      <c r="F6" s="5">
        <v>1649.7783942093561</v>
      </c>
    </row>
    <row r="7" spans="1:6" x14ac:dyDescent="0.25">
      <c r="A7" s="5" t="s">
        <v>98</v>
      </c>
      <c r="B7" s="5" t="s">
        <v>139</v>
      </c>
      <c r="C7" s="5" t="s">
        <v>144</v>
      </c>
      <c r="D7" s="5">
        <v>5.6770177839512981E-4</v>
      </c>
      <c r="E7" s="5">
        <v>6.4577106635870371E-3</v>
      </c>
      <c r="F7" s="5">
        <v>6935.3392796026928</v>
      </c>
    </row>
    <row r="8" spans="1:6" x14ac:dyDescent="0.25">
      <c r="A8" s="5" t="s">
        <v>99</v>
      </c>
      <c r="B8" s="5" t="s">
        <v>139</v>
      </c>
      <c r="C8" s="5" t="s">
        <v>146</v>
      </c>
      <c r="D8" s="5">
        <v>3.4403533630858409E-4</v>
      </c>
      <c r="E8" s="5">
        <v>4.4559950382538401E-3</v>
      </c>
      <c r="F8" s="5">
        <v>7971.7638418357583</v>
      </c>
    </row>
    <row r="9" spans="1:6" x14ac:dyDescent="0.25">
      <c r="A9" s="5" t="s">
        <v>100</v>
      </c>
      <c r="B9" s="5" t="s">
        <v>139</v>
      </c>
      <c r="C9" s="5" t="s">
        <v>151</v>
      </c>
      <c r="D9" s="5">
        <v>7.6857032451366279E-4</v>
      </c>
      <c r="E9" s="5">
        <v>8.7522695591496103E-3</v>
      </c>
      <c r="F9" s="5">
        <v>4763.2090028467164</v>
      </c>
    </row>
    <row r="10" spans="1:6" x14ac:dyDescent="0.25">
      <c r="A10" s="5" t="s">
        <v>101</v>
      </c>
      <c r="B10" s="5" t="s">
        <v>153</v>
      </c>
      <c r="C10" s="5" t="s">
        <v>151</v>
      </c>
      <c r="D10" s="5">
        <v>8.0801701323251433E-3</v>
      </c>
      <c r="E10" s="5">
        <v>7.7527580340264649E-2</v>
      </c>
      <c r="F10" s="5">
        <v>318.69734859267339</v>
      </c>
    </row>
    <row r="11" spans="1:6" x14ac:dyDescent="0.25">
      <c r="A11" s="5" t="s">
        <v>102</v>
      </c>
      <c r="B11" s="5" t="s">
        <v>140</v>
      </c>
      <c r="C11" s="5" t="s">
        <v>142</v>
      </c>
      <c r="D11" s="5">
        <v>5.4105170230786699E-4</v>
      </c>
      <c r="E11" s="5">
        <v>6.1995170605567348E-3</v>
      </c>
      <c r="F11" s="5">
        <v>2912.5819969916729</v>
      </c>
    </row>
    <row r="12" spans="1:6" x14ac:dyDescent="0.25">
      <c r="A12" s="5" t="s">
        <v>103</v>
      </c>
      <c r="B12" s="5" t="s">
        <v>140</v>
      </c>
      <c r="C12" s="5" t="s">
        <v>147</v>
      </c>
      <c r="D12" s="5">
        <v>9.7970417188117907E-4</v>
      </c>
      <c r="E12" s="5">
        <v>1.214247572075158E-2</v>
      </c>
      <c r="F12" s="5">
        <v>4221.8738434491388</v>
      </c>
    </row>
    <row r="13" spans="1:6" x14ac:dyDescent="0.25">
      <c r="A13" s="5" t="s">
        <v>104</v>
      </c>
      <c r="B13" s="5" t="s">
        <v>140</v>
      </c>
      <c r="C13" s="5" t="s">
        <v>148</v>
      </c>
      <c r="D13" s="5">
        <v>5.6753236219606509E-3</v>
      </c>
      <c r="E13" s="5">
        <v>3.1803693171420087E-2</v>
      </c>
      <c r="F13" s="5">
        <v>943.10166472125366</v>
      </c>
    </row>
    <row r="14" spans="1:6" x14ac:dyDescent="0.25">
      <c r="A14" s="5" t="s">
        <v>105</v>
      </c>
      <c r="B14" s="5" t="s">
        <v>141</v>
      </c>
      <c r="C14" s="5" t="s">
        <v>143</v>
      </c>
      <c r="D14" s="5">
        <v>5.4395916824196604E-3</v>
      </c>
      <c r="E14" s="5">
        <v>5.3167621928166361E-2</v>
      </c>
      <c r="F14" s="5">
        <v>764.87363662241626</v>
      </c>
    </row>
    <row r="15" spans="1:6" x14ac:dyDescent="0.25">
      <c r="A15" s="5" t="s">
        <v>106</v>
      </c>
      <c r="B15" s="5" t="s">
        <v>141</v>
      </c>
      <c r="C15" s="5" t="s">
        <v>144</v>
      </c>
      <c r="D15" s="5">
        <v>1.077894408851415E-3</v>
      </c>
      <c r="E15" s="5">
        <v>1.204469736581769E-2</v>
      </c>
      <c r="F15" s="5">
        <v>3609.8017290704479</v>
      </c>
    </row>
    <row r="16" spans="1:6" x14ac:dyDescent="0.25">
      <c r="A16" s="5" t="s">
        <v>107</v>
      </c>
      <c r="B16" s="5" t="s">
        <v>141</v>
      </c>
      <c r="C16" s="5" t="s">
        <v>149</v>
      </c>
      <c r="D16" s="5">
        <v>4.3854299561713501E-3</v>
      </c>
      <c r="E16" s="5">
        <v>3.9567234389605813E-2</v>
      </c>
      <c r="F16" s="5">
        <v>769.65409685130624</v>
      </c>
    </row>
    <row r="17" spans="1:6" x14ac:dyDescent="0.25">
      <c r="A17" s="5" t="s">
        <v>110</v>
      </c>
      <c r="B17" s="5" t="s">
        <v>141</v>
      </c>
      <c r="C17" s="5" t="s">
        <v>154</v>
      </c>
      <c r="D17" s="5">
        <v>1.296732471385508E-3</v>
      </c>
      <c r="E17" s="5">
        <v>1.5094391110111819E-2</v>
      </c>
      <c r="F17" s="5">
        <v>1912.184091556041</v>
      </c>
    </row>
    <row r="18" spans="1:6" x14ac:dyDescent="0.25">
      <c r="A18" s="5" t="s">
        <v>111</v>
      </c>
      <c r="B18" s="5" t="s">
        <v>142</v>
      </c>
      <c r="C18" s="5" t="s">
        <v>147</v>
      </c>
      <c r="D18" s="5">
        <v>1.441566115702479E-2</v>
      </c>
      <c r="E18" s="5">
        <v>8.854997107438016E-2</v>
      </c>
      <c r="F18" s="5">
        <v>381.05117766515298</v>
      </c>
    </row>
    <row r="19" spans="1:6" x14ac:dyDescent="0.25">
      <c r="A19" s="5" t="s">
        <v>112</v>
      </c>
      <c r="B19" s="5" t="s">
        <v>142</v>
      </c>
      <c r="C19" s="5" t="s">
        <v>148</v>
      </c>
      <c r="D19" s="5">
        <v>1.5801264E-3</v>
      </c>
      <c r="E19" s="5">
        <v>2.2281782399999998E-2</v>
      </c>
      <c r="F19" s="5">
        <v>1649.7783942093561</v>
      </c>
    </row>
    <row r="20" spans="1:6" x14ac:dyDescent="0.25">
      <c r="A20" s="5" t="s">
        <v>113</v>
      </c>
      <c r="B20" s="5" t="s">
        <v>143</v>
      </c>
      <c r="C20" s="5" t="s">
        <v>151</v>
      </c>
      <c r="D20" s="5">
        <v>8.1702448110826525E-3</v>
      </c>
      <c r="E20" s="5">
        <v>6.9265891999701124E-2</v>
      </c>
      <c r="F20" s="5">
        <v>729.41855659148132</v>
      </c>
    </row>
    <row r="21" spans="1:6" x14ac:dyDescent="0.25">
      <c r="A21" s="5" t="s">
        <v>114</v>
      </c>
      <c r="B21" s="5" t="s">
        <v>144</v>
      </c>
      <c r="C21" s="5" t="s">
        <v>152</v>
      </c>
      <c r="D21" s="5">
        <v>5.3067510757593035E-4</v>
      </c>
      <c r="E21" s="5">
        <v>5.4948282735785376E-3</v>
      </c>
      <c r="F21" s="5">
        <v>3312.789656588538</v>
      </c>
    </row>
    <row r="22" spans="1:6" x14ac:dyDescent="0.25">
      <c r="A22" s="5" t="s">
        <v>115</v>
      </c>
      <c r="B22" s="5" t="s">
        <v>155</v>
      </c>
      <c r="C22" s="5" t="s">
        <v>145</v>
      </c>
      <c r="D22" s="5">
        <v>4.7257277882797729E-3</v>
      </c>
      <c r="E22" s="5">
        <v>3.5109432892249527E-2</v>
      </c>
      <c r="F22" s="5">
        <v>414.30655317047552</v>
      </c>
    </row>
    <row r="23" spans="1:6" x14ac:dyDescent="0.25">
      <c r="A23" s="5" t="s">
        <v>116</v>
      </c>
      <c r="B23" s="5" t="s">
        <v>155</v>
      </c>
      <c r="C23" s="5" t="s">
        <v>149</v>
      </c>
      <c r="D23" s="5">
        <v>7.4627637051039699E-3</v>
      </c>
      <c r="E23" s="5">
        <v>5.5986340264650283E-2</v>
      </c>
      <c r="F23" s="5">
        <v>414.30655317047552</v>
      </c>
    </row>
    <row r="24" spans="1:6" x14ac:dyDescent="0.25">
      <c r="A24" s="5" t="s">
        <v>117</v>
      </c>
      <c r="B24" s="5" t="s">
        <v>155</v>
      </c>
      <c r="C24" s="5" t="s">
        <v>156</v>
      </c>
      <c r="D24" s="5">
        <v>1.2867470699432891E-2</v>
      </c>
      <c r="E24" s="5">
        <v>9.8186177693761825E-2</v>
      </c>
      <c r="F24" s="5">
        <v>414.30655317047552</v>
      </c>
    </row>
    <row r="25" spans="1:6" x14ac:dyDescent="0.25">
      <c r="A25" s="5" t="s">
        <v>118</v>
      </c>
      <c r="B25" s="5" t="s">
        <v>145</v>
      </c>
      <c r="C25" s="5" t="s">
        <v>149</v>
      </c>
      <c r="D25" s="5">
        <v>2.2691567591254119E-3</v>
      </c>
      <c r="E25" s="5">
        <v>1.7550937022548532E-2</v>
      </c>
      <c r="F25" s="5">
        <v>1051.7012503558219</v>
      </c>
    </row>
    <row r="26" spans="1:6" x14ac:dyDescent="0.25">
      <c r="A26" s="5" t="s">
        <v>131</v>
      </c>
      <c r="B26" s="5" t="s">
        <v>145</v>
      </c>
      <c r="C26" s="5" t="s">
        <v>156</v>
      </c>
      <c r="D26" s="5">
        <v>1.244615500945179E-2</v>
      </c>
      <c r="E26" s="5">
        <v>7.3440839319470694E-2</v>
      </c>
      <c r="F26" s="5">
        <v>274.87646316118082</v>
      </c>
    </row>
    <row r="27" spans="1:6" x14ac:dyDescent="0.25">
      <c r="A27" s="5" t="s">
        <v>132</v>
      </c>
      <c r="B27" s="5" t="s">
        <v>145</v>
      </c>
      <c r="C27" s="5" t="s">
        <v>152</v>
      </c>
      <c r="D27" s="5">
        <v>2.0422864359928052E-3</v>
      </c>
      <c r="E27" s="5">
        <v>1.8773821542214301E-2</v>
      </c>
      <c r="F27" s="5">
        <v>1627.746707937079</v>
      </c>
    </row>
    <row r="28" spans="1:6" x14ac:dyDescent="0.25">
      <c r="A28" s="5" t="s">
        <v>133</v>
      </c>
      <c r="B28" s="5" t="s">
        <v>146</v>
      </c>
      <c r="C28" s="5" t="s">
        <v>147</v>
      </c>
      <c r="D28" s="5">
        <v>3.446098485410753E-4</v>
      </c>
      <c r="E28" s="5">
        <v>4.7985993730319931E-3</v>
      </c>
      <c r="F28" s="5">
        <v>6321.9854476264027</v>
      </c>
    </row>
    <row r="29" spans="1:6" x14ac:dyDescent="0.25">
      <c r="A29" s="5" t="s">
        <v>134</v>
      </c>
      <c r="B29" s="5" t="s">
        <v>147</v>
      </c>
      <c r="C29" s="5" t="s">
        <v>148</v>
      </c>
      <c r="D29" s="5">
        <v>2.6140868000000001E-3</v>
      </c>
      <c r="E29" s="5">
        <v>2.8987524800000001E-2</v>
      </c>
      <c r="F29" s="5">
        <v>2078.4609690826528</v>
      </c>
    </row>
    <row r="30" spans="1:6" x14ac:dyDescent="0.25">
      <c r="A30" s="5" t="s">
        <v>135</v>
      </c>
      <c r="B30" s="5" t="s">
        <v>148</v>
      </c>
      <c r="C30" s="5" t="s">
        <v>150</v>
      </c>
      <c r="D30" s="5">
        <v>1.0751999999999999E-3</v>
      </c>
      <c r="E30" s="5">
        <v>2.3923199999999999E-2</v>
      </c>
      <c r="F30" s="5">
        <v>1649.7783942093561</v>
      </c>
    </row>
    <row r="31" spans="1:6" x14ac:dyDescent="0.25">
      <c r="A31" s="5" t="s">
        <v>136</v>
      </c>
      <c r="B31" s="5" t="s">
        <v>150</v>
      </c>
      <c r="C31" s="5" t="s">
        <v>151</v>
      </c>
      <c r="D31" s="5">
        <v>1.305884247969807E-3</v>
      </c>
      <c r="E31" s="5">
        <v>1.407934656508677E-2</v>
      </c>
      <c r="F31" s="5">
        <v>2722.991715595183</v>
      </c>
    </row>
  </sheetData>
  <phoneticPr fontId="6" type="noConversion"/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5"/>
  <sheetViews>
    <sheetView workbookViewId="0">
      <selection activeCell="B9" sqref="B9"/>
    </sheetView>
  </sheetViews>
  <sheetFormatPr defaultRowHeight="15" x14ac:dyDescent="0.25"/>
  <cols>
    <col min="1" max="7" width="16" customWidth="1"/>
  </cols>
  <sheetData>
    <row r="1" spans="1:7" ht="18.75" x14ac:dyDescent="0.3">
      <c r="A1" s="1" t="s">
        <v>48</v>
      </c>
    </row>
    <row r="2" spans="1:7" x14ac:dyDescent="0.25">
      <c r="A2" s="2" t="s">
        <v>49</v>
      </c>
    </row>
    <row r="4" spans="1:7" x14ac:dyDescent="0.25">
      <c r="A4" s="3" t="s">
        <v>35</v>
      </c>
      <c r="B4" s="3" t="s">
        <v>41</v>
      </c>
      <c r="C4" s="3" t="s">
        <v>42</v>
      </c>
      <c r="D4" s="3" t="s">
        <v>43</v>
      </c>
      <c r="E4" s="3" t="s">
        <v>44</v>
      </c>
      <c r="F4" s="3" t="s">
        <v>45</v>
      </c>
      <c r="G4" s="3" t="s">
        <v>50</v>
      </c>
    </row>
    <row r="5" spans="1:7" x14ac:dyDescent="0.25">
      <c r="A5" s="4"/>
      <c r="B5" s="4" t="s">
        <v>46</v>
      </c>
      <c r="C5" s="4" t="s">
        <v>46</v>
      </c>
      <c r="D5" s="4" t="s">
        <v>47</v>
      </c>
      <c r="E5" s="4" t="s">
        <v>47</v>
      </c>
      <c r="F5" s="4" t="s">
        <v>38</v>
      </c>
      <c r="G5" s="4" t="s">
        <v>51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theme="9" tint="0.79998168889431442"/>
  </sheetPr>
  <dimension ref="A1:W81"/>
  <sheetViews>
    <sheetView zoomScaleNormal="100" workbookViewId="0">
      <selection activeCell="T11" sqref="T11"/>
    </sheetView>
  </sheetViews>
  <sheetFormatPr defaultRowHeight="15" x14ac:dyDescent="0.25"/>
  <cols>
    <col min="1" max="1" width="18.7109375" customWidth="1"/>
    <col min="2" max="2" width="26.7109375" bestFit="1" customWidth="1"/>
    <col min="3" max="3" width="5.5703125" bestFit="1" customWidth="1"/>
    <col min="4" max="4" width="5.85546875" bestFit="1" customWidth="1"/>
    <col min="5" max="5" width="15.28515625" bestFit="1" customWidth="1"/>
    <col min="6" max="6" width="10.7109375" bestFit="1" customWidth="1"/>
    <col min="7" max="7" width="14.85546875" bestFit="1" customWidth="1"/>
    <col min="8" max="8" width="10.28515625" bestFit="1" customWidth="1"/>
    <col min="9" max="9" width="7" bestFit="1" customWidth="1"/>
    <col min="10" max="10" width="9.42578125" bestFit="1" customWidth="1"/>
    <col min="11" max="11" width="6.5703125" bestFit="1" customWidth="1"/>
    <col min="12" max="12" width="6.140625" bestFit="1" customWidth="1"/>
    <col min="13" max="13" width="7.7109375" bestFit="1" customWidth="1"/>
    <col min="14" max="14" width="8" bestFit="1" customWidth="1"/>
    <col min="15" max="15" width="13" customWidth="1"/>
    <col min="16" max="16" width="13.28515625" customWidth="1"/>
    <col min="17" max="17" width="12" bestFit="1" customWidth="1"/>
    <col min="18" max="18" width="7.5703125" bestFit="1" customWidth="1"/>
    <col min="19" max="19" width="13.28515625" customWidth="1"/>
    <col min="20" max="20" width="21.7109375" bestFit="1" customWidth="1"/>
    <col min="21" max="21" width="6.85546875" bestFit="1" customWidth="1"/>
    <col min="22" max="22" width="7.5703125" bestFit="1" customWidth="1"/>
    <col min="23" max="23" width="8.7109375" bestFit="1" customWidth="1"/>
  </cols>
  <sheetData>
    <row r="1" spans="1:23" ht="18.75" x14ac:dyDescent="0.3">
      <c r="A1" s="1" t="s">
        <v>52</v>
      </c>
    </row>
    <row r="2" spans="1:23" x14ac:dyDescent="0.25">
      <c r="A2" s="2" t="s">
        <v>53</v>
      </c>
    </row>
    <row r="4" spans="1:23" ht="45" x14ac:dyDescent="0.25">
      <c r="A4" s="3" t="s">
        <v>35</v>
      </c>
      <c r="B4" s="3" t="s">
        <v>46</v>
      </c>
      <c r="C4" s="3" t="s">
        <v>54</v>
      </c>
      <c r="D4" s="3" t="s">
        <v>55</v>
      </c>
      <c r="E4" s="21" t="s">
        <v>355</v>
      </c>
      <c r="F4" s="3" t="s">
        <v>276</v>
      </c>
      <c r="G4" s="21" t="s">
        <v>356</v>
      </c>
      <c r="H4" s="3" t="s">
        <v>277</v>
      </c>
      <c r="I4" s="3" t="s">
        <v>56</v>
      </c>
      <c r="J4" s="3" t="s">
        <v>57</v>
      </c>
      <c r="K4" s="3" t="s">
        <v>58</v>
      </c>
      <c r="L4" s="3" t="s">
        <v>120</v>
      </c>
      <c r="M4" s="3" t="s">
        <v>59</v>
      </c>
      <c r="N4" s="3" t="s">
        <v>60</v>
      </c>
      <c r="O4" s="21" t="s">
        <v>357</v>
      </c>
      <c r="P4" s="21" t="s">
        <v>358</v>
      </c>
      <c r="Q4" s="3" t="s">
        <v>61</v>
      </c>
      <c r="R4" s="3" t="s">
        <v>62</v>
      </c>
      <c r="S4" s="12" t="s">
        <v>269</v>
      </c>
      <c r="T4" s="12" t="s">
        <v>359</v>
      </c>
      <c r="U4" s="12" t="s">
        <v>327</v>
      </c>
      <c r="V4" s="12" t="s">
        <v>328</v>
      </c>
      <c r="W4" s="12" t="s">
        <v>329</v>
      </c>
    </row>
    <row r="5" spans="1:23" x14ac:dyDescent="0.25">
      <c r="A5" s="4"/>
      <c r="B5" s="4"/>
      <c r="C5" s="4" t="s">
        <v>38</v>
      </c>
      <c r="D5" s="4" t="s">
        <v>38</v>
      </c>
      <c r="E5" s="4" t="s">
        <v>360</v>
      </c>
      <c r="F5" s="4" t="s">
        <v>63</v>
      </c>
      <c r="G5" s="4" t="s">
        <v>360</v>
      </c>
      <c r="H5" s="4" t="s">
        <v>63</v>
      </c>
      <c r="I5" s="4" t="s">
        <v>64</v>
      </c>
      <c r="J5" s="4" t="s">
        <v>65</v>
      </c>
      <c r="K5" s="4" t="s">
        <v>66</v>
      </c>
      <c r="L5" s="4"/>
      <c r="M5" s="4" t="s">
        <v>67</v>
      </c>
      <c r="N5" s="4" t="s">
        <v>67</v>
      </c>
      <c r="O5" s="4" t="s">
        <v>38</v>
      </c>
      <c r="P5" s="4" t="s">
        <v>67</v>
      </c>
      <c r="Q5" s="4" t="s">
        <v>51</v>
      </c>
      <c r="R5" s="4" t="s">
        <v>51</v>
      </c>
      <c r="S5" s="4"/>
      <c r="V5" s="4" t="s">
        <v>330</v>
      </c>
      <c r="W5" s="4" t="s">
        <v>330</v>
      </c>
    </row>
    <row r="6" spans="1:23" x14ac:dyDescent="0.25">
      <c r="A6" s="6" t="s">
        <v>361</v>
      </c>
      <c r="B6" s="6" t="s">
        <v>165</v>
      </c>
      <c r="C6" s="5">
        <v>30</v>
      </c>
      <c r="D6" s="5">
        <v>97</v>
      </c>
      <c r="E6" s="5">
        <v>5</v>
      </c>
      <c r="F6" s="5">
        <f>E6*60</f>
        <v>300</v>
      </c>
      <c r="G6" s="5">
        <v>4.99</v>
      </c>
      <c r="H6" s="5">
        <f>G6*60</f>
        <v>299.40000000000003</v>
      </c>
      <c r="I6" s="10">
        <v>0</v>
      </c>
      <c r="J6" s="22"/>
      <c r="K6" s="10">
        <v>0</v>
      </c>
      <c r="L6" s="5"/>
      <c r="M6" s="5">
        <v>1</v>
      </c>
      <c r="N6" s="5">
        <v>0</v>
      </c>
      <c r="O6" s="5">
        <v>5</v>
      </c>
      <c r="P6" s="5">
        <v>0</v>
      </c>
      <c r="Q6" s="10">
        <f>O6*P6*J6</f>
        <v>0</v>
      </c>
      <c r="R6" s="10">
        <v>0</v>
      </c>
      <c r="S6" s="6" t="s">
        <v>362</v>
      </c>
      <c r="T6" s="6" t="s">
        <v>363</v>
      </c>
      <c r="U6" s="6" t="str">
        <f>_xlfn.XLOOKUP(T6,[1]Detalle_Unidades!F3:F549,[1]Detalle_Unidades!A3:A549)</f>
        <v>TRM1</v>
      </c>
    </row>
    <row r="7" spans="1:23" x14ac:dyDescent="0.25">
      <c r="A7" s="6" t="s">
        <v>364</v>
      </c>
      <c r="B7" s="6" t="s">
        <v>165</v>
      </c>
      <c r="C7" s="5">
        <v>40</v>
      </c>
      <c r="D7" s="5">
        <v>80</v>
      </c>
      <c r="E7" s="5">
        <v>5</v>
      </c>
      <c r="F7" s="5">
        <f t="shared" ref="F7:F70" si="0">E7*60</f>
        <v>300</v>
      </c>
      <c r="G7" s="5">
        <v>5.07</v>
      </c>
      <c r="H7" s="5">
        <f t="shared" ref="H7:H70" si="1">G7*60</f>
        <v>304.20000000000005</v>
      </c>
      <c r="I7" s="10">
        <v>0</v>
      </c>
      <c r="J7" s="22"/>
      <c r="K7" s="10">
        <v>0</v>
      </c>
      <c r="L7" s="5"/>
      <c r="M7" s="5">
        <v>6</v>
      </c>
      <c r="N7" s="5">
        <v>6</v>
      </c>
      <c r="O7" s="5">
        <v>5</v>
      </c>
      <c r="P7" s="5">
        <v>2</v>
      </c>
      <c r="Q7" s="10">
        <f t="shared" ref="Q7:Q70" si="2">O7*P7*J7</f>
        <v>0</v>
      </c>
      <c r="R7" s="10">
        <v>0</v>
      </c>
      <c r="S7" s="6" t="s">
        <v>365</v>
      </c>
      <c r="T7" s="6" t="s">
        <v>363</v>
      </c>
      <c r="U7" s="6" t="str">
        <f>_xlfn.XLOOKUP(T7,[1]Detalle_Unidades!F4:F550,[1]Detalle_Unidades!A4:A550)</f>
        <v>TRM1</v>
      </c>
    </row>
    <row r="8" spans="1:23" x14ac:dyDescent="0.25">
      <c r="A8" s="6" t="s">
        <v>366</v>
      </c>
      <c r="B8" s="6" t="s">
        <v>165</v>
      </c>
      <c r="C8" s="5">
        <v>30</v>
      </c>
      <c r="D8" s="5">
        <v>77</v>
      </c>
      <c r="E8" s="5">
        <v>3.88</v>
      </c>
      <c r="F8" s="5">
        <f t="shared" si="0"/>
        <v>232.79999999999998</v>
      </c>
      <c r="G8" s="5">
        <v>3.11</v>
      </c>
      <c r="H8" s="5">
        <f t="shared" si="1"/>
        <v>186.6</v>
      </c>
      <c r="I8" s="10">
        <v>0</v>
      </c>
      <c r="J8" s="22"/>
      <c r="K8" s="10">
        <v>0</v>
      </c>
      <c r="L8" s="5"/>
      <c r="M8" s="5">
        <v>10</v>
      </c>
      <c r="N8" s="5">
        <v>8</v>
      </c>
      <c r="O8" s="5">
        <v>5</v>
      </c>
      <c r="P8" s="5">
        <v>4</v>
      </c>
      <c r="Q8" s="10">
        <f t="shared" si="2"/>
        <v>0</v>
      </c>
      <c r="R8" s="10">
        <v>0</v>
      </c>
      <c r="S8" s="6" t="s">
        <v>365</v>
      </c>
      <c r="T8" s="6" t="s">
        <v>363</v>
      </c>
      <c r="U8" s="6" t="str">
        <f>_xlfn.XLOOKUP(T8,[1]Detalle_Unidades!F5:F551,[1]Detalle_Unidades!A5:A551)</f>
        <v>TRM1</v>
      </c>
    </row>
    <row r="9" spans="1:23" x14ac:dyDescent="0.25">
      <c r="A9" s="6" t="s">
        <v>367</v>
      </c>
      <c r="B9" s="6" t="s">
        <v>165</v>
      </c>
      <c r="C9" s="5">
        <v>89</v>
      </c>
      <c r="D9" s="5">
        <v>110</v>
      </c>
      <c r="E9" s="5">
        <v>42.41</v>
      </c>
      <c r="F9" s="5">
        <f t="shared" si="0"/>
        <v>2544.6</v>
      </c>
      <c r="G9" s="5">
        <v>41.41</v>
      </c>
      <c r="H9" s="5">
        <f t="shared" si="1"/>
        <v>2484.6</v>
      </c>
      <c r="I9" s="10">
        <v>0</v>
      </c>
      <c r="J9" s="22"/>
      <c r="K9" s="10">
        <v>0</v>
      </c>
      <c r="L9" s="5"/>
      <c r="M9" s="5">
        <v>8</v>
      </c>
      <c r="N9" s="5">
        <v>1</v>
      </c>
      <c r="O9" s="5">
        <v>12</v>
      </c>
      <c r="P9" s="5">
        <v>2</v>
      </c>
      <c r="Q9" s="10">
        <f t="shared" si="2"/>
        <v>0</v>
      </c>
      <c r="R9" s="10">
        <v>0</v>
      </c>
      <c r="S9" s="6" t="s">
        <v>365</v>
      </c>
      <c r="T9" s="6" t="s">
        <v>368</v>
      </c>
      <c r="U9" s="6" t="str">
        <f>_xlfn.XLOOKUP(T9,[1]Detalle_Unidades!F6:F552,[1]Detalle_Unidades!A6:A552)</f>
        <v>TSR1</v>
      </c>
    </row>
    <row r="10" spans="1:23" x14ac:dyDescent="0.25">
      <c r="A10" s="6" t="s">
        <v>369</v>
      </c>
      <c r="B10" s="6" t="s">
        <v>165</v>
      </c>
      <c r="C10" s="5">
        <v>89</v>
      </c>
      <c r="D10" s="5">
        <v>110</v>
      </c>
      <c r="E10" s="5">
        <v>2.5</v>
      </c>
      <c r="F10" s="5">
        <f t="shared" si="0"/>
        <v>150</v>
      </c>
      <c r="G10" s="5">
        <v>49.25</v>
      </c>
      <c r="H10" s="5">
        <f t="shared" si="1"/>
        <v>2955</v>
      </c>
      <c r="I10" s="10">
        <v>0</v>
      </c>
      <c r="J10" s="22"/>
      <c r="K10" s="10">
        <v>0</v>
      </c>
      <c r="L10" s="5"/>
      <c r="M10" s="5">
        <v>8</v>
      </c>
      <c r="N10" s="5">
        <v>1</v>
      </c>
      <c r="O10" s="5">
        <v>12</v>
      </c>
      <c r="P10" s="5">
        <v>2</v>
      </c>
      <c r="Q10" s="10">
        <f t="shared" si="2"/>
        <v>0</v>
      </c>
      <c r="R10" s="10">
        <v>0</v>
      </c>
      <c r="S10" s="6" t="s">
        <v>365</v>
      </c>
      <c r="T10" s="6" t="s">
        <v>368</v>
      </c>
      <c r="U10" s="6" t="str">
        <f>_xlfn.XLOOKUP(T10,[1]Detalle_Unidades!F7:F553,[1]Detalle_Unidades!A7:A553)</f>
        <v>TSR1</v>
      </c>
    </row>
    <row r="11" spans="1:23" x14ac:dyDescent="0.25">
      <c r="A11" s="6" t="s">
        <v>370</v>
      </c>
      <c r="B11" s="6" t="s">
        <v>165</v>
      </c>
      <c r="C11" s="5">
        <v>42</v>
      </c>
      <c r="D11" s="5">
        <v>132</v>
      </c>
      <c r="E11" s="5">
        <v>5</v>
      </c>
      <c r="F11" s="5">
        <f t="shared" si="0"/>
        <v>300</v>
      </c>
      <c r="G11" s="5">
        <v>12.7</v>
      </c>
      <c r="H11" s="5">
        <f t="shared" si="1"/>
        <v>762</v>
      </c>
      <c r="I11" s="10">
        <v>0</v>
      </c>
      <c r="J11" s="22"/>
      <c r="K11" s="10">
        <v>0</v>
      </c>
      <c r="L11" s="5"/>
      <c r="M11" s="5">
        <v>8</v>
      </c>
      <c r="N11" s="5">
        <v>1</v>
      </c>
      <c r="O11" s="5">
        <v>12</v>
      </c>
      <c r="P11" s="5">
        <v>2</v>
      </c>
      <c r="Q11" s="10">
        <f t="shared" si="2"/>
        <v>0</v>
      </c>
      <c r="R11" s="10">
        <v>0</v>
      </c>
      <c r="S11" s="6" t="s">
        <v>365</v>
      </c>
      <c r="T11" s="6" t="s">
        <v>368</v>
      </c>
      <c r="U11" s="6" t="str">
        <f>_xlfn.XLOOKUP(T11,[1]Detalle_Unidades!F8:F554,[1]Detalle_Unidades!A8:A554)</f>
        <v>TSR1</v>
      </c>
    </row>
    <row r="12" spans="1:23" x14ac:dyDescent="0.25">
      <c r="A12" s="6" t="s">
        <v>371</v>
      </c>
      <c r="B12" s="6" t="s">
        <v>167</v>
      </c>
      <c r="C12" s="5">
        <v>33</v>
      </c>
      <c r="D12" s="5">
        <v>60</v>
      </c>
      <c r="E12" s="5">
        <v>0.94</v>
      </c>
      <c r="F12" s="5">
        <f t="shared" si="0"/>
        <v>56.4</v>
      </c>
      <c r="G12" s="5">
        <v>0.94</v>
      </c>
      <c r="H12" s="5">
        <f t="shared" si="1"/>
        <v>56.4</v>
      </c>
      <c r="I12" s="10">
        <v>0</v>
      </c>
      <c r="J12" s="22">
        <v>285.53892581868604</v>
      </c>
      <c r="K12" s="10">
        <v>0</v>
      </c>
      <c r="L12" s="5"/>
      <c r="M12" s="5">
        <v>48</v>
      </c>
      <c r="N12" s="5">
        <v>24</v>
      </c>
      <c r="O12" s="5">
        <v>5</v>
      </c>
      <c r="P12" s="5">
        <v>8</v>
      </c>
      <c r="Q12" s="10">
        <f t="shared" si="2"/>
        <v>11421.557032747442</v>
      </c>
      <c r="R12" s="10">
        <v>0</v>
      </c>
      <c r="S12" s="6" t="s">
        <v>362</v>
      </c>
      <c r="T12" s="6" t="s">
        <v>371</v>
      </c>
      <c r="U12" s="6" t="str">
        <f>_xlfn.XLOOKUP(T12,[1]Detalle_Unidades!F9:F555,[1]Detalle_Unidades!A9:A555)</f>
        <v>TBQ3</v>
      </c>
    </row>
    <row r="13" spans="1:23" x14ac:dyDescent="0.25">
      <c r="A13" s="6" t="s">
        <v>372</v>
      </c>
      <c r="B13" s="6" t="s">
        <v>167</v>
      </c>
      <c r="C13" s="5">
        <v>33</v>
      </c>
      <c r="D13" s="5">
        <v>60</v>
      </c>
      <c r="E13" s="5">
        <v>1.05</v>
      </c>
      <c r="F13" s="5">
        <f t="shared" si="0"/>
        <v>63</v>
      </c>
      <c r="G13" s="5">
        <v>0.96</v>
      </c>
      <c r="H13" s="5">
        <f t="shared" si="1"/>
        <v>57.599999999999994</v>
      </c>
      <c r="I13" s="10">
        <v>0</v>
      </c>
      <c r="J13" s="22"/>
      <c r="K13" s="10">
        <v>0</v>
      </c>
      <c r="L13" s="5"/>
      <c r="M13" s="5">
        <v>48</v>
      </c>
      <c r="N13" s="5">
        <v>24</v>
      </c>
      <c r="O13" s="5">
        <v>5</v>
      </c>
      <c r="P13" s="5">
        <v>8</v>
      </c>
      <c r="Q13" s="10">
        <f t="shared" si="2"/>
        <v>0</v>
      </c>
      <c r="R13" s="10">
        <v>0</v>
      </c>
      <c r="S13" s="6" t="s">
        <v>362</v>
      </c>
      <c r="T13" s="6" t="s">
        <v>372</v>
      </c>
      <c r="U13" s="6" t="str">
        <f>_xlfn.XLOOKUP(T13,[1]Detalle_Unidades!F10:F556,[1]Detalle_Unidades!A10:A556)</f>
        <v>TBQ4</v>
      </c>
    </row>
    <row r="14" spans="1:23" x14ac:dyDescent="0.25">
      <c r="A14" s="6" t="s">
        <v>373</v>
      </c>
      <c r="B14" s="6" t="s">
        <v>167</v>
      </c>
      <c r="C14" s="5">
        <v>45</v>
      </c>
      <c r="D14" s="5">
        <v>119</v>
      </c>
      <c r="E14" s="5">
        <v>2</v>
      </c>
      <c r="F14" s="5">
        <f t="shared" si="0"/>
        <v>120</v>
      </c>
      <c r="G14" s="5">
        <v>0.5</v>
      </c>
      <c r="H14" s="5">
        <f t="shared" si="1"/>
        <v>30</v>
      </c>
      <c r="I14" s="10">
        <v>0</v>
      </c>
      <c r="J14" s="22"/>
      <c r="K14" s="10">
        <v>0</v>
      </c>
      <c r="L14" s="5"/>
      <c r="M14" s="5">
        <v>8</v>
      </c>
      <c r="N14" s="5">
        <v>4</v>
      </c>
      <c r="O14" s="5">
        <v>5</v>
      </c>
      <c r="P14" s="5">
        <v>0.75</v>
      </c>
      <c r="Q14" s="10">
        <f t="shared" si="2"/>
        <v>0</v>
      </c>
      <c r="R14" s="10">
        <v>0</v>
      </c>
      <c r="S14" s="6" t="s">
        <v>362</v>
      </c>
      <c r="T14" s="6" t="s">
        <v>374</v>
      </c>
      <c r="U14" s="6" t="str">
        <f>_xlfn.XLOOKUP(T14,[1]Detalle_Unidades!F11:F557,[1]Detalle_Unidades!A11:A557)</f>
        <v>TFL1</v>
      </c>
    </row>
    <row r="15" spans="1:23" x14ac:dyDescent="0.25">
      <c r="A15" s="6" t="s">
        <v>375</v>
      </c>
      <c r="B15" s="6" t="s">
        <v>167</v>
      </c>
      <c r="C15" s="5">
        <v>20</v>
      </c>
      <c r="D15" s="5">
        <v>46</v>
      </c>
      <c r="E15" s="5">
        <v>1.5</v>
      </c>
      <c r="F15" s="5">
        <f t="shared" si="0"/>
        <v>90</v>
      </c>
      <c r="G15" s="5">
        <v>0.1</v>
      </c>
      <c r="H15" s="5">
        <f t="shared" si="1"/>
        <v>6</v>
      </c>
      <c r="I15" s="10">
        <v>0</v>
      </c>
      <c r="J15" s="22"/>
      <c r="K15" s="10">
        <v>0</v>
      </c>
      <c r="L15" s="5"/>
      <c r="M15" s="5">
        <v>8</v>
      </c>
      <c r="N15" s="5">
        <v>4</v>
      </c>
      <c r="O15" s="5">
        <v>10</v>
      </c>
      <c r="P15" s="5">
        <v>0.75</v>
      </c>
      <c r="Q15" s="10">
        <f t="shared" si="2"/>
        <v>0</v>
      </c>
      <c r="R15" s="10">
        <v>0</v>
      </c>
      <c r="S15" s="6" t="s">
        <v>362</v>
      </c>
      <c r="T15" s="6" t="s">
        <v>374</v>
      </c>
      <c r="U15" s="6" t="str">
        <f>_xlfn.XLOOKUP(T15,[1]Detalle_Unidades!F12:F558,[1]Detalle_Unidades!A12:A558)</f>
        <v>TFL1</v>
      </c>
    </row>
    <row r="16" spans="1:23" x14ac:dyDescent="0.25">
      <c r="A16" s="6" t="s">
        <v>376</v>
      </c>
      <c r="B16" s="6" t="s">
        <v>167</v>
      </c>
      <c r="C16" s="5">
        <v>80</v>
      </c>
      <c r="D16" s="5">
        <v>120</v>
      </c>
      <c r="E16" s="5">
        <v>2</v>
      </c>
      <c r="F16" s="5">
        <f t="shared" si="0"/>
        <v>120</v>
      </c>
      <c r="G16" s="5">
        <v>0.4</v>
      </c>
      <c r="H16" s="5">
        <f t="shared" si="1"/>
        <v>24</v>
      </c>
      <c r="I16" s="10">
        <v>0</v>
      </c>
      <c r="J16" s="22"/>
      <c r="K16" s="10">
        <v>0</v>
      </c>
      <c r="L16" s="5"/>
      <c r="M16" s="5">
        <v>16</v>
      </c>
      <c r="N16" s="5">
        <v>4</v>
      </c>
      <c r="O16" s="5">
        <v>5</v>
      </c>
      <c r="P16" s="5">
        <v>0.75</v>
      </c>
      <c r="Q16" s="10">
        <f t="shared" si="2"/>
        <v>0</v>
      </c>
      <c r="R16" s="10">
        <v>0</v>
      </c>
      <c r="S16" s="6" t="s">
        <v>362</v>
      </c>
      <c r="T16" s="6" t="s">
        <v>377</v>
      </c>
      <c r="U16" s="6" t="str">
        <f>_xlfn.XLOOKUP(T16,[1]Detalle_Unidades!F13:F559,[1]Detalle_Unidades!A13:A559)</f>
        <v>TFL4</v>
      </c>
    </row>
    <row r="17" spans="1:21" x14ac:dyDescent="0.25">
      <c r="A17" s="6" t="s">
        <v>378</v>
      </c>
      <c r="B17" s="6" t="s">
        <v>167</v>
      </c>
      <c r="C17" s="5">
        <v>60</v>
      </c>
      <c r="D17" s="5">
        <v>169</v>
      </c>
      <c r="E17" s="5">
        <v>2</v>
      </c>
      <c r="F17" s="5">
        <f t="shared" si="0"/>
        <v>120</v>
      </c>
      <c r="G17" s="5">
        <v>0.77</v>
      </c>
      <c r="H17" s="5">
        <f t="shared" si="1"/>
        <v>46.2</v>
      </c>
      <c r="I17" s="10">
        <v>0</v>
      </c>
      <c r="J17" s="22"/>
      <c r="K17" s="10">
        <v>0</v>
      </c>
      <c r="L17" s="5"/>
      <c r="M17" s="5">
        <v>16</v>
      </c>
      <c r="N17" s="5">
        <v>4</v>
      </c>
      <c r="O17" s="5">
        <v>5</v>
      </c>
      <c r="P17" s="5">
        <v>0.75</v>
      </c>
      <c r="Q17" s="10">
        <f t="shared" si="2"/>
        <v>0</v>
      </c>
      <c r="R17" s="10">
        <v>0</v>
      </c>
      <c r="S17" s="6" t="s">
        <v>362</v>
      </c>
      <c r="T17" s="6" t="s">
        <v>377</v>
      </c>
      <c r="U17" s="6" t="str">
        <f>_xlfn.XLOOKUP(T17,[1]Detalle_Unidades!F14:F560,[1]Detalle_Unidades!A14:A560)</f>
        <v>TFL4</v>
      </c>
    </row>
    <row r="18" spans="1:21" x14ac:dyDescent="0.25">
      <c r="A18" s="6" t="s">
        <v>379</v>
      </c>
      <c r="B18" s="6" t="s">
        <v>167</v>
      </c>
      <c r="C18" s="5">
        <v>40</v>
      </c>
      <c r="D18" s="5">
        <v>164</v>
      </c>
      <c r="E18" s="5">
        <v>0</v>
      </c>
      <c r="F18" s="5">
        <f t="shared" si="0"/>
        <v>0</v>
      </c>
      <c r="G18" s="5">
        <v>0</v>
      </c>
      <c r="H18" s="5">
        <f t="shared" si="1"/>
        <v>0</v>
      </c>
      <c r="I18" s="10">
        <v>0</v>
      </c>
      <c r="J18" s="22"/>
      <c r="K18" s="10">
        <v>0</v>
      </c>
      <c r="L18" s="5"/>
      <c r="M18" s="5">
        <v>16</v>
      </c>
      <c r="N18" s="5">
        <v>4</v>
      </c>
      <c r="O18" s="5">
        <v>5</v>
      </c>
      <c r="P18" s="5">
        <v>0.75</v>
      </c>
      <c r="Q18" s="10">
        <f t="shared" si="2"/>
        <v>0</v>
      </c>
      <c r="R18" s="10">
        <v>0</v>
      </c>
      <c r="S18" s="6" t="s">
        <v>362</v>
      </c>
      <c r="T18" s="6" t="s">
        <v>377</v>
      </c>
      <c r="U18" s="6" t="str">
        <f>_xlfn.XLOOKUP(T18,[1]Detalle_Unidades!F15:F561,[1]Detalle_Unidades!A15:A561)</f>
        <v>TFL4</v>
      </c>
    </row>
    <row r="19" spans="1:21" x14ac:dyDescent="0.25">
      <c r="A19" s="6" t="s">
        <v>380</v>
      </c>
      <c r="B19" s="6" t="s">
        <v>167</v>
      </c>
      <c r="C19" s="5">
        <v>50</v>
      </c>
      <c r="D19" s="5">
        <v>97</v>
      </c>
      <c r="E19" s="5">
        <v>4.17</v>
      </c>
      <c r="F19" s="5">
        <f t="shared" si="0"/>
        <v>250.2</v>
      </c>
      <c r="G19" s="5">
        <v>4.07</v>
      </c>
      <c r="H19" s="5">
        <f t="shared" si="1"/>
        <v>244.20000000000002</v>
      </c>
      <c r="I19" s="10">
        <v>0</v>
      </c>
      <c r="J19" s="22"/>
      <c r="K19" s="10">
        <v>0</v>
      </c>
      <c r="L19" s="5"/>
      <c r="M19" s="5">
        <v>8</v>
      </c>
      <c r="N19" s="5">
        <v>8</v>
      </c>
      <c r="O19" s="5">
        <v>10</v>
      </c>
      <c r="P19" s="5">
        <v>1</v>
      </c>
      <c r="Q19" s="10">
        <f t="shared" si="2"/>
        <v>0</v>
      </c>
      <c r="R19" s="10">
        <v>0</v>
      </c>
      <c r="S19" s="6" t="s">
        <v>362</v>
      </c>
      <c r="T19" s="6" t="s">
        <v>381</v>
      </c>
      <c r="U19" s="6" t="str">
        <f>_xlfn.XLOOKUP(T19,[1]Detalle_Unidades!F16:F562,[1]Detalle_Unidades!A16:A562)</f>
        <v>TBST</v>
      </c>
    </row>
    <row r="20" spans="1:21" x14ac:dyDescent="0.25">
      <c r="A20" s="6" t="s">
        <v>382</v>
      </c>
      <c r="B20" s="6" t="s">
        <v>167</v>
      </c>
      <c r="C20" s="5">
        <v>50</v>
      </c>
      <c r="D20" s="5">
        <v>97</v>
      </c>
      <c r="E20" s="5">
        <v>4.18</v>
      </c>
      <c r="F20" s="5">
        <f t="shared" si="0"/>
        <v>250.79999999999998</v>
      </c>
      <c r="G20" s="5">
        <v>4.07</v>
      </c>
      <c r="H20" s="5">
        <f t="shared" si="1"/>
        <v>244.20000000000002</v>
      </c>
      <c r="I20" s="10">
        <v>0</v>
      </c>
      <c r="J20" s="22"/>
      <c r="K20" s="10">
        <v>0</v>
      </c>
      <c r="L20" s="5"/>
      <c r="M20" s="5">
        <v>8</v>
      </c>
      <c r="N20" s="5">
        <v>8</v>
      </c>
      <c r="O20" s="5">
        <v>10</v>
      </c>
      <c r="P20" s="5">
        <v>1</v>
      </c>
      <c r="Q20" s="10">
        <f t="shared" si="2"/>
        <v>0</v>
      </c>
      <c r="R20" s="10">
        <v>0</v>
      </c>
      <c r="S20" s="6" t="s">
        <v>362</v>
      </c>
      <c r="T20" s="6" t="s">
        <v>381</v>
      </c>
      <c r="U20" s="6" t="str">
        <f>_xlfn.XLOOKUP(T20,[1]Detalle_Unidades!F17:F563,[1]Detalle_Unidades!A17:A563)</f>
        <v>TBST</v>
      </c>
    </row>
    <row r="21" spans="1:21" x14ac:dyDescent="0.25">
      <c r="A21" s="6" t="s">
        <v>383</v>
      </c>
      <c r="B21" s="6" t="s">
        <v>167</v>
      </c>
      <c r="C21" s="5">
        <v>50</v>
      </c>
      <c r="D21" s="5">
        <v>97</v>
      </c>
      <c r="E21" s="5">
        <v>4.16</v>
      </c>
      <c r="F21" s="5">
        <f t="shared" si="0"/>
        <v>249.60000000000002</v>
      </c>
      <c r="G21" s="5">
        <v>4.1900000000000004</v>
      </c>
      <c r="H21" s="5">
        <f t="shared" si="1"/>
        <v>251.40000000000003</v>
      </c>
      <c r="I21" s="10">
        <v>0</v>
      </c>
      <c r="J21" s="22"/>
      <c r="K21" s="10">
        <v>0</v>
      </c>
      <c r="L21" s="5"/>
      <c r="M21" s="5">
        <v>8</v>
      </c>
      <c r="N21" s="5">
        <v>8</v>
      </c>
      <c r="O21" s="5">
        <v>10</v>
      </c>
      <c r="P21" s="5">
        <v>1</v>
      </c>
      <c r="Q21" s="10">
        <f t="shared" si="2"/>
        <v>0</v>
      </c>
      <c r="R21" s="10">
        <v>0</v>
      </c>
      <c r="S21" s="6" t="s">
        <v>362</v>
      </c>
      <c r="T21" s="6" t="s">
        <v>381</v>
      </c>
      <c r="U21" s="6" t="str">
        <f>_xlfn.XLOOKUP(T21,[1]Detalle_Unidades!F18:F564,[1]Detalle_Unidades!A18:A564)</f>
        <v>TBST</v>
      </c>
    </row>
    <row r="22" spans="1:21" x14ac:dyDescent="0.25">
      <c r="A22" s="6" t="s">
        <v>384</v>
      </c>
      <c r="B22" s="6" t="s">
        <v>167</v>
      </c>
      <c r="C22" s="5">
        <v>82.5</v>
      </c>
      <c r="D22" s="5">
        <v>166</v>
      </c>
      <c r="E22" s="5">
        <v>1.90625</v>
      </c>
      <c r="F22" s="5">
        <f t="shared" si="0"/>
        <v>114.375</v>
      </c>
      <c r="G22" s="5">
        <v>1</v>
      </c>
      <c r="H22" s="5">
        <f t="shared" si="1"/>
        <v>60</v>
      </c>
      <c r="I22" s="10">
        <v>0</v>
      </c>
      <c r="J22" s="22"/>
      <c r="K22" s="10">
        <v>0</v>
      </c>
      <c r="L22" s="5"/>
      <c r="M22" s="5">
        <v>72</v>
      </c>
      <c r="N22" s="5">
        <v>72</v>
      </c>
      <c r="O22" s="5">
        <v>3</v>
      </c>
      <c r="P22" s="5">
        <v>6</v>
      </c>
      <c r="Q22" s="10">
        <f t="shared" si="2"/>
        <v>0</v>
      </c>
      <c r="R22" s="10">
        <v>0</v>
      </c>
      <c r="S22" s="6" t="s">
        <v>362</v>
      </c>
      <c r="T22" s="6" t="s">
        <v>381</v>
      </c>
      <c r="U22" s="6" t="str">
        <f>_xlfn.XLOOKUP(T22,[1]Detalle_Unidades!F19:F565,[1]Detalle_Unidades!A19:A565)</f>
        <v>TBST</v>
      </c>
    </row>
    <row r="23" spans="1:21" x14ac:dyDescent="0.25">
      <c r="A23" s="6" t="s">
        <v>385</v>
      </c>
      <c r="B23" s="6" t="s">
        <v>167</v>
      </c>
      <c r="C23" s="5">
        <v>50</v>
      </c>
      <c r="D23" s="5">
        <v>97</v>
      </c>
      <c r="E23" s="5">
        <v>4.17</v>
      </c>
      <c r="F23" s="5">
        <f t="shared" si="0"/>
        <v>250.2</v>
      </c>
      <c r="G23" s="5">
        <v>4.26</v>
      </c>
      <c r="H23" s="5">
        <f t="shared" si="1"/>
        <v>255.6</v>
      </c>
      <c r="I23" s="10">
        <v>0</v>
      </c>
      <c r="J23" s="22"/>
      <c r="K23" s="10">
        <v>0</v>
      </c>
      <c r="L23" s="5"/>
      <c r="M23" s="5">
        <v>8</v>
      </c>
      <c r="N23" s="5">
        <v>8</v>
      </c>
      <c r="O23" s="5">
        <v>10</v>
      </c>
      <c r="P23" s="5">
        <v>1</v>
      </c>
      <c r="Q23" s="10">
        <f t="shared" si="2"/>
        <v>0</v>
      </c>
      <c r="R23" s="10">
        <v>0</v>
      </c>
      <c r="S23" s="6" t="s">
        <v>362</v>
      </c>
      <c r="T23" s="6" t="s">
        <v>381</v>
      </c>
      <c r="U23" s="6" t="str">
        <f>_xlfn.XLOOKUP(T23,[1]Detalle_Unidades!F20:F566,[1]Detalle_Unidades!A20:A566)</f>
        <v>TBST</v>
      </c>
    </row>
    <row r="24" spans="1:21" x14ac:dyDescent="0.25">
      <c r="A24" s="6" t="s">
        <v>386</v>
      </c>
      <c r="B24" s="6" t="s">
        <v>167</v>
      </c>
      <c r="C24" s="5">
        <v>50</v>
      </c>
      <c r="D24" s="5">
        <v>97</v>
      </c>
      <c r="E24" s="9">
        <v>4.32</v>
      </c>
      <c r="F24" s="5">
        <f t="shared" si="0"/>
        <v>259.20000000000005</v>
      </c>
      <c r="G24" s="9">
        <v>4.53</v>
      </c>
      <c r="H24" s="5">
        <f t="shared" si="1"/>
        <v>271.8</v>
      </c>
      <c r="I24" s="10">
        <v>0</v>
      </c>
      <c r="J24" s="22"/>
      <c r="K24" s="10">
        <v>0</v>
      </c>
      <c r="M24" s="5">
        <v>8</v>
      </c>
      <c r="N24" s="5">
        <v>8</v>
      </c>
      <c r="O24" s="9">
        <v>10</v>
      </c>
      <c r="P24" s="9">
        <v>1</v>
      </c>
      <c r="Q24" s="10">
        <f t="shared" si="2"/>
        <v>0</v>
      </c>
      <c r="R24" s="10">
        <v>0</v>
      </c>
      <c r="S24" s="6" t="s">
        <v>362</v>
      </c>
      <c r="T24" s="6" t="s">
        <v>381</v>
      </c>
      <c r="U24" s="6" t="str">
        <f>_xlfn.XLOOKUP(T24,[1]Detalle_Unidades!F21:F567,[1]Detalle_Unidades!A21:A567)</f>
        <v>TBST</v>
      </c>
    </row>
    <row r="25" spans="1:21" x14ac:dyDescent="0.25">
      <c r="A25" s="6" t="s">
        <v>387</v>
      </c>
      <c r="B25" s="6" t="s">
        <v>167</v>
      </c>
      <c r="C25" s="5">
        <v>82.5</v>
      </c>
      <c r="D25" s="5">
        <v>166</v>
      </c>
      <c r="E25" s="9">
        <v>1.90625</v>
      </c>
      <c r="F25" s="5">
        <f t="shared" si="0"/>
        <v>114.375</v>
      </c>
      <c r="G25" s="9">
        <v>1.01</v>
      </c>
      <c r="H25" s="5">
        <f t="shared" si="1"/>
        <v>60.6</v>
      </c>
      <c r="I25" s="10">
        <v>0</v>
      </c>
      <c r="J25" s="22"/>
      <c r="K25" s="10">
        <v>0</v>
      </c>
      <c r="M25" s="5">
        <v>72</v>
      </c>
      <c r="N25" s="5">
        <v>72</v>
      </c>
      <c r="O25" s="9">
        <v>3</v>
      </c>
      <c r="P25" s="9">
        <v>6</v>
      </c>
      <c r="Q25" s="10">
        <f t="shared" si="2"/>
        <v>0</v>
      </c>
      <c r="R25" s="10">
        <v>0</v>
      </c>
      <c r="S25" s="6" t="s">
        <v>362</v>
      </c>
      <c r="T25" s="6" t="s">
        <v>381</v>
      </c>
      <c r="U25" s="6" t="str">
        <f>_xlfn.XLOOKUP(T25,[1]Detalle_Unidades!F22:F568,[1]Detalle_Unidades!A22:A568)</f>
        <v>TBST</v>
      </c>
    </row>
    <row r="26" spans="1:21" x14ac:dyDescent="0.25">
      <c r="A26" s="6" t="s">
        <v>388</v>
      </c>
      <c r="B26" s="6" t="s">
        <v>168</v>
      </c>
      <c r="C26" s="5">
        <v>17</v>
      </c>
      <c r="D26" s="5">
        <v>36</v>
      </c>
      <c r="E26" s="9">
        <v>0.68</v>
      </c>
      <c r="F26" s="5">
        <f t="shared" si="0"/>
        <v>40.800000000000004</v>
      </c>
      <c r="G26" s="9">
        <v>0.71</v>
      </c>
      <c r="H26" s="5">
        <f t="shared" si="1"/>
        <v>42.599999999999994</v>
      </c>
      <c r="I26" s="10">
        <v>0</v>
      </c>
      <c r="J26" s="22"/>
      <c r="K26" s="10">
        <v>0</v>
      </c>
      <c r="M26" s="5">
        <v>72</v>
      </c>
      <c r="N26" s="5">
        <v>9</v>
      </c>
      <c r="O26" s="9">
        <v>2</v>
      </c>
      <c r="P26" s="9">
        <v>13</v>
      </c>
      <c r="Q26" s="10">
        <f t="shared" si="2"/>
        <v>0</v>
      </c>
      <c r="R26" s="10">
        <v>0</v>
      </c>
      <c r="S26" s="6" t="s">
        <v>389</v>
      </c>
      <c r="T26" s="6" t="s">
        <v>388</v>
      </c>
      <c r="U26" s="6" t="str">
        <f>_xlfn.XLOOKUP(T26,[1]Detalle_Unidades!F23:F569,[1]Detalle_Unidades!A23:A569)</f>
        <v>ZPA2</v>
      </c>
    </row>
    <row r="27" spans="1:21" x14ac:dyDescent="0.25">
      <c r="A27" s="6" t="s">
        <v>390</v>
      </c>
      <c r="B27" s="6" t="s">
        <v>168</v>
      </c>
      <c r="C27" s="5">
        <v>25</v>
      </c>
      <c r="D27" s="5">
        <v>63</v>
      </c>
      <c r="E27" s="9">
        <v>0.98</v>
      </c>
      <c r="F27" s="5">
        <f t="shared" si="0"/>
        <v>58.8</v>
      </c>
      <c r="G27" s="9">
        <v>0.91</v>
      </c>
      <c r="H27" s="5">
        <f t="shared" si="1"/>
        <v>54.6</v>
      </c>
      <c r="I27" s="10">
        <v>0</v>
      </c>
      <c r="J27" s="22"/>
      <c r="K27" s="10">
        <v>0</v>
      </c>
      <c r="M27" s="5">
        <v>72</v>
      </c>
      <c r="N27" s="5">
        <v>9</v>
      </c>
      <c r="O27" s="9">
        <v>2</v>
      </c>
      <c r="P27" s="9">
        <v>13</v>
      </c>
      <c r="Q27" s="10">
        <f t="shared" si="2"/>
        <v>0</v>
      </c>
      <c r="R27" s="10">
        <v>0</v>
      </c>
      <c r="S27" s="6" t="s">
        <v>389</v>
      </c>
      <c r="T27" s="6" t="s">
        <v>390</v>
      </c>
      <c r="U27" s="6" t="str">
        <f>_xlfn.XLOOKUP(T27,[1]Detalle_Unidades!F24:F570,[1]Detalle_Unidades!A24:A570)</f>
        <v>ZPA3</v>
      </c>
    </row>
    <row r="28" spans="1:21" x14ac:dyDescent="0.25">
      <c r="A28" s="6" t="s">
        <v>391</v>
      </c>
      <c r="B28" s="6" t="s">
        <v>168</v>
      </c>
      <c r="C28" s="5">
        <v>25</v>
      </c>
      <c r="D28" s="5">
        <v>64</v>
      </c>
      <c r="E28" s="9">
        <v>0.93</v>
      </c>
      <c r="F28" s="5">
        <f t="shared" si="0"/>
        <v>55.800000000000004</v>
      </c>
      <c r="G28" s="9">
        <v>0.93</v>
      </c>
      <c r="H28" s="5">
        <f t="shared" si="1"/>
        <v>55.800000000000004</v>
      </c>
      <c r="I28" s="10">
        <v>0</v>
      </c>
      <c r="J28" s="22"/>
      <c r="K28" s="10">
        <v>0</v>
      </c>
      <c r="M28" s="5">
        <v>72</v>
      </c>
      <c r="N28" s="5">
        <v>9</v>
      </c>
      <c r="O28" s="9">
        <v>2</v>
      </c>
      <c r="P28" s="9">
        <v>13</v>
      </c>
      <c r="Q28" s="10">
        <f t="shared" si="2"/>
        <v>0</v>
      </c>
      <c r="R28" s="10">
        <v>0</v>
      </c>
      <c r="S28" s="6" t="s">
        <v>389</v>
      </c>
      <c r="T28" s="6" t="s">
        <v>391</v>
      </c>
      <c r="U28" s="6" t="str">
        <f>_xlfn.XLOOKUP(T28,[1]Detalle_Unidades!F25:F571,[1]Detalle_Unidades!A25:A571)</f>
        <v>ZPA4</v>
      </c>
    </row>
    <row r="29" spans="1:21" x14ac:dyDescent="0.25">
      <c r="A29" s="6" t="s">
        <v>392</v>
      </c>
      <c r="B29" s="6" t="s">
        <v>168</v>
      </c>
      <c r="C29" s="5">
        <v>25</v>
      </c>
      <c r="D29" s="5">
        <v>63</v>
      </c>
      <c r="E29" s="9">
        <v>0.95</v>
      </c>
      <c r="F29" s="5">
        <f t="shared" si="0"/>
        <v>57</v>
      </c>
      <c r="G29" s="9">
        <v>0.94</v>
      </c>
      <c r="H29" s="5">
        <f t="shared" si="1"/>
        <v>56.4</v>
      </c>
      <c r="I29" s="10">
        <v>0</v>
      </c>
      <c r="J29" s="22"/>
      <c r="K29" s="10">
        <v>0</v>
      </c>
      <c r="M29" s="5">
        <v>72</v>
      </c>
      <c r="N29" s="5">
        <v>9</v>
      </c>
      <c r="O29" s="9">
        <v>2</v>
      </c>
      <c r="P29" s="9">
        <v>13</v>
      </c>
      <c r="Q29" s="10">
        <f t="shared" si="2"/>
        <v>0</v>
      </c>
      <c r="R29" s="10">
        <v>0</v>
      </c>
      <c r="S29" s="6" t="s">
        <v>389</v>
      </c>
      <c r="T29" s="6" t="s">
        <v>392</v>
      </c>
      <c r="U29" s="6" t="str">
        <f>_xlfn.XLOOKUP(T29,[1]Detalle_Unidades!F26:F572,[1]Detalle_Unidades!A26:A572)</f>
        <v>ZPA5</v>
      </c>
    </row>
    <row r="30" spans="1:21" x14ac:dyDescent="0.25">
      <c r="A30" s="6" t="s">
        <v>393</v>
      </c>
      <c r="B30" s="6" t="s">
        <v>169</v>
      </c>
      <c r="C30" s="5">
        <v>30</v>
      </c>
      <c r="D30" s="5">
        <v>52</v>
      </c>
      <c r="E30" s="9">
        <v>0.73</v>
      </c>
      <c r="F30" s="5">
        <f t="shared" si="0"/>
        <v>43.8</v>
      </c>
      <c r="G30" s="9">
        <v>0.73</v>
      </c>
      <c r="H30" s="5">
        <f t="shared" si="1"/>
        <v>43.8</v>
      </c>
      <c r="I30" s="10">
        <v>0</v>
      </c>
      <c r="J30" s="22"/>
      <c r="K30" s="10">
        <v>0</v>
      </c>
      <c r="M30" s="5">
        <v>48</v>
      </c>
      <c r="N30" s="5">
        <v>18</v>
      </c>
      <c r="O30" s="9">
        <v>5</v>
      </c>
      <c r="P30" s="9">
        <v>16</v>
      </c>
      <c r="Q30" s="10">
        <f t="shared" si="2"/>
        <v>0</v>
      </c>
      <c r="R30" s="10">
        <v>0</v>
      </c>
      <c r="S30" s="6" t="s">
        <v>394</v>
      </c>
      <c r="T30" s="6" t="s">
        <v>393</v>
      </c>
      <c r="U30" s="6" t="str">
        <f>_xlfn.XLOOKUP(T30,[1]Detalle_Unidades!F27:F573,[1]Detalle_Unidades!A27:A573)</f>
        <v>CTG1</v>
      </c>
    </row>
    <row r="31" spans="1:21" x14ac:dyDescent="0.25">
      <c r="A31" s="6" t="s">
        <v>395</v>
      </c>
      <c r="B31" s="6" t="s">
        <v>169</v>
      </c>
      <c r="C31" s="5">
        <v>30</v>
      </c>
      <c r="D31" s="5">
        <v>60</v>
      </c>
      <c r="E31" s="9">
        <v>0.75</v>
      </c>
      <c r="F31" s="5">
        <f t="shared" si="0"/>
        <v>45</v>
      </c>
      <c r="G31" s="9">
        <v>0.75</v>
      </c>
      <c r="H31" s="5">
        <f t="shared" si="1"/>
        <v>45</v>
      </c>
      <c r="I31" s="10">
        <v>0</v>
      </c>
      <c r="J31" s="22"/>
      <c r="K31" s="10">
        <v>0</v>
      </c>
      <c r="M31" s="5">
        <v>72</v>
      </c>
      <c r="N31" s="5">
        <v>16</v>
      </c>
      <c r="O31" s="9">
        <v>5</v>
      </c>
      <c r="P31" s="9">
        <v>16</v>
      </c>
      <c r="Q31" s="10">
        <f t="shared" si="2"/>
        <v>0</v>
      </c>
      <c r="R31" s="10">
        <v>0</v>
      </c>
      <c r="S31" s="6" t="s">
        <v>362</v>
      </c>
      <c r="T31" s="6" t="s">
        <v>395</v>
      </c>
      <c r="U31" s="6" t="str">
        <f>_xlfn.XLOOKUP(T31,[1]Detalle_Unidades!F28:F574,[1]Detalle_Unidades!A28:A574)</f>
        <v>CTG2</v>
      </c>
    </row>
    <row r="32" spans="1:21" x14ac:dyDescent="0.25">
      <c r="A32" s="6" t="s">
        <v>396</v>
      </c>
      <c r="B32" s="6" t="s">
        <v>169</v>
      </c>
      <c r="C32" s="5">
        <v>30</v>
      </c>
      <c r="D32" s="5">
        <v>66</v>
      </c>
      <c r="E32" s="5">
        <v>0</v>
      </c>
      <c r="F32" s="5">
        <f t="shared" si="0"/>
        <v>0</v>
      </c>
      <c r="G32" s="5">
        <v>0</v>
      </c>
      <c r="H32" s="5">
        <f t="shared" si="1"/>
        <v>0</v>
      </c>
      <c r="I32" s="10">
        <v>0</v>
      </c>
      <c r="J32" s="22"/>
      <c r="K32" s="10">
        <v>0</v>
      </c>
      <c r="M32" s="5">
        <v>72</v>
      </c>
      <c r="N32" s="5">
        <v>16</v>
      </c>
      <c r="O32" s="9">
        <v>5</v>
      </c>
      <c r="P32" s="9">
        <v>16</v>
      </c>
      <c r="Q32" s="10">
        <f t="shared" si="2"/>
        <v>0</v>
      </c>
      <c r="R32" s="10">
        <v>0</v>
      </c>
      <c r="S32" s="6" t="s">
        <v>362</v>
      </c>
      <c r="T32" s="6" t="s">
        <v>396</v>
      </c>
      <c r="U32" s="6" t="str">
        <f>_xlfn.XLOOKUP(T32,[1]Detalle_Unidades!F29:F575,[1]Detalle_Unidades!A29:A575)</f>
        <v>CTG3</v>
      </c>
    </row>
    <row r="33" spans="1:21" x14ac:dyDescent="0.25">
      <c r="A33" s="6" t="s">
        <v>397</v>
      </c>
      <c r="B33" s="6" t="s">
        <v>169</v>
      </c>
      <c r="C33" s="5">
        <v>42</v>
      </c>
      <c r="D33" s="5">
        <v>45</v>
      </c>
      <c r="E33" s="9">
        <v>2.86</v>
      </c>
      <c r="F33" s="5">
        <f t="shared" si="0"/>
        <v>171.6</v>
      </c>
      <c r="G33" s="9">
        <v>2.69</v>
      </c>
      <c r="H33" s="5">
        <f t="shared" si="1"/>
        <v>161.4</v>
      </c>
      <c r="I33" s="10">
        <v>0</v>
      </c>
      <c r="J33" s="10"/>
      <c r="K33" s="10">
        <v>0</v>
      </c>
      <c r="M33" s="5">
        <v>4</v>
      </c>
      <c r="N33" s="5">
        <v>4</v>
      </c>
      <c r="O33" s="9">
        <v>5</v>
      </c>
      <c r="P33" s="9">
        <v>1</v>
      </c>
      <c r="Q33" s="10">
        <f t="shared" si="2"/>
        <v>0</v>
      </c>
      <c r="R33" s="10">
        <v>0</v>
      </c>
      <c r="S33" s="6" t="s">
        <v>362</v>
      </c>
      <c r="T33" s="6" t="s">
        <v>397</v>
      </c>
      <c r="U33" s="6" t="str">
        <f>_xlfn.XLOOKUP(T33,[1]Detalle_Unidades!F30:F576,[1]Detalle_Unidades!A30:A576)</f>
        <v>PRG1</v>
      </c>
    </row>
    <row r="34" spans="1:21" x14ac:dyDescent="0.25">
      <c r="A34" s="6" t="s">
        <v>398</v>
      </c>
      <c r="B34" s="6" t="s">
        <v>169</v>
      </c>
      <c r="C34" s="5">
        <v>42</v>
      </c>
      <c r="D34" s="5">
        <v>45</v>
      </c>
      <c r="E34" s="9">
        <v>2.89</v>
      </c>
      <c r="F34" s="5">
        <f t="shared" si="0"/>
        <v>173.4</v>
      </c>
      <c r="G34" s="9">
        <v>3.26</v>
      </c>
      <c r="H34" s="5">
        <f t="shared" si="1"/>
        <v>195.6</v>
      </c>
      <c r="I34" s="10">
        <v>0</v>
      </c>
      <c r="J34" s="10"/>
      <c r="K34" s="10">
        <v>0</v>
      </c>
      <c r="M34" s="5">
        <v>4</v>
      </c>
      <c r="N34" s="5">
        <v>4</v>
      </c>
      <c r="O34" s="9">
        <v>5</v>
      </c>
      <c r="P34" s="9">
        <v>1</v>
      </c>
      <c r="Q34" s="10">
        <f t="shared" si="2"/>
        <v>0</v>
      </c>
      <c r="R34" s="10">
        <v>0</v>
      </c>
      <c r="S34" s="6" t="s">
        <v>362</v>
      </c>
      <c r="T34" s="6" t="s">
        <v>398</v>
      </c>
      <c r="U34" s="6" t="str">
        <f>_xlfn.XLOOKUP(T34,[1]Detalle_Unidades!F31:F577,[1]Detalle_Unidades!A31:A577)</f>
        <v>PRG2</v>
      </c>
    </row>
    <row r="35" spans="1:21" x14ac:dyDescent="0.25">
      <c r="A35" s="6" t="s">
        <v>399</v>
      </c>
      <c r="B35" s="6" t="s">
        <v>169</v>
      </c>
      <c r="C35" s="5">
        <v>125</v>
      </c>
      <c r="D35" s="5">
        <v>179</v>
      </c>
      <c r="E35" s="9">
        <v>5</v>
      </c>
      <c r="F35" s="5">
        <f t="shared" si="0"/>
        <v>300</v>
      </c>
      <c r="G35" s="9">
        <v>5.0999999999999996</v>
      </c>
      <c r="H35" s="5">
        <f t="shared" si="1"/>
        <v>306</v>
      </c>
      <c r="I35" s="10">
        <v>0</v>
      </c>
      <c r="J35" s="10"/>
      <c r="K35" s="10">
        <v>0</v>
      </c>
      <c r="M35" s="5">
        <v>36</v>
      </c>
      <c r="N35" s="5">
        <v>15</v>
      </c>
      <c r="O35" s="9">
        <v>5</v>
      </c>
      <c r="P35" s="9">
        <v>3</v>
      </c>
      <c r="Q35" s="10">
        <f t="shared" si="2"/>
        <v>0</v>
      </c>
      <c r="R35" s="10">
        <v>0</v>
      </c>
      <c r="S35" s="6" t="s">
        <v>362</v>
      </c>
      <c r="T35" s="6" t="s">
        <v>400</v>
      </c>
      <c r="U35" s="6" t="str">
        <f>_xlfn.XLOOKUP(T35,[1]Detalle_Unidades!F32:F578,[1]Detalle_Unidades!A32:A578)</f>
        <v>TCDT</v>
      </c>
    </row>
    <row r="36" spans="1:21" x14ac:dyDescent="0.25">
      <c r="A36" s="6" t="s">
        <v>401</v>
      </c>
      <c r="B36" s="6" t="s">
        <v>169</v>
      </c>
      <c r="C36" s="5">
        <v>125</v>
      </c>
      <c r="D36" s="5">
        <v>179</v>
      </c>
      <c r="E36" s="9">
        <v>5</v>
      </c>
      <c r="F36" s="5">
        <f t="shared" si="0"/>
        <v>300</v>
      </c>
      <c r="G36" s="9">
        <v>5.0999999999999996</v>
      </c>
      <c r="H36" s="5">
        <f t="shared" si="1"/>
        <v>306</v>
      </c>
      <c r="I36" s="10">
        <v>0</v>
      </c>
      <c r="J36" s="10"/>
      <c r="K36" s="10">
        <v>0</v>
      </c>
      <c r="M36" s="5">
        <v>36</v>
      </c>
      <c r="N36" s="5">
        <v>15</v>
      </c>
      <c r="O36" s="9">
        <v>5</v>
      </c>
      <c r="P36" s="9">
        <v>3</v>
      </c>
      <c r="Q36" s="10">
        <f t="shared" si="2"/>
        <v>0</v>
      </c>
      <c r="R36" s="10">
        <v>0</v>
      </c>
      <c r="S36" s="6" t="s">
        <v>362</v>
      </c>
      <c r="T36" s="6" t="s">
        <v>400</v>
      </c>
      <c r="U36" s="6" t="str">
        <f>_xlfn.XLOOKUP(T36,[1]Detalle_Unidades!F33:F579,[1]Detalle_Unidades!A33:A579)</f>
        <v>TCDT</v>
      </c>
    </row>
    <row r="37" spans="1:21" x14ac:dyDescent="0.25">
      <c r="A37" s="6" t="s">
        <v>402</v>
      </c>
      <c r="B37" s="6" t="s">
        <v>169</v>
      </c>
      <c r="C37" s="5">
        <v>51</v>
      </c>
      <c r="D37" s="5">
        <v>197</v>
      </c>
      <c r="E37" s="9">
        <v>2.5</v>
      </c>
      <c r="F37" s="5">
        <f t="shared" si="0"/>
        <v>150</v>
      </c>
      <c r="G37" s="9">
        <v>7.7</v>
      </c>
      <c r="H37" s="5">
        <f t="shared" si="1"/>
        <v>462</v>
      </c>
      <c r="I37" s="10">
        <v>0</v>
      </c>
      <c r="J37" s="10"/>
      <c r="K37" s="10">
        <v>0</v>
      </c>
      <c r="M37" s="5">
        <v>36</v>
      </c>
      <c r="N37" s="5">
        <v>15</v>
      </c>
      <c r="O37" s="9">
        <v>11.3</v>
      </c>
      <c r="P37" s="9">
        <v>3</v>
      </c>
      <c r="Q37" s="10">
        <f t="shared" si="2"/>
        <v>0</v>
      </c>
      <c r="R37" s="10">
        <v>0</v>
      </c>
      <c r="S37" s="6" t="s">
        <v>362</v>
      </c>
      <c r="T37" s="6" t="s">
        <v>400</v>
      </c>
      <c r="U37" s="6" t="str">
        <f>_xlfn.XLOOKUP(T37,[1]Detalle_Unidades!F34:F580,[1]Detalle_Unidades!A34:A580)</f>
        <v>TCDT</v>
      </c>
    </row>
    <row r="38" spans="1:21" x14ac:dyDescent="0.25">
      <c r="A38" s="6" t="s">
        <v>403</v>
      </c>
      <c r="B38" s="6" t="s">
        <v>169</v>
      </c>
      <c r="C38" s="5">
        <v>38</v>
      </c>
      <c r="D38" s="5">
        <v>50</v>
      </c>
      <c r="E38" s="9">
        <v>3.07</v>
      </c>
      <c r="F38" s="5">
        <f t="shared" si="0"/>
        <v>184.2</v>
      </c>
      <c r="G38" s="9">
        <v>3.08</v>
      </c>
      <c r="H38" s="5">
        <f t="shared" si="1"/>
        <v>184.8</v>
      </c>
      <c r="I38" s="10">
        <v>0</v>
      </c>
      <c r="J38" s="10"/>
      <c r="K38" s="10">
        <v>0</v>
      </c>
      <c r="M38" s="5">
        <v>4</v>
      </c>
      <c r="N38" s="5">
        <v>1</v>
      </c>
      <c r="O38" s="9">
        <v>5</v>
      </c>
      <c r="P38" s="9">
        <v>2</v>
      </c>
      <c r="Q38" s="10">
        <f t="shared" si="2"/>
        <v>0</v>
      </c>
      <c r="R38" s="10">
        <v>0</v>
      </c>
      <c r="S38" s="6" t="s">
        <v>404</v>
      </c>
      <c r="T38" s="6" t="s">
        <v>405</v>
      </c>
      <c r="U38" s="6" t="str">
        <f>_xlfn.XLOOKUP(T38,[1]Detalle_Unidades!F35:F581,[1]Detalle_Unidades!A35:A581)</f>
        <v>TCBE</v>
      </c>
    </row>
    <row r="39" spans="1:21" x14ac:dyDescent="0.25">
      <c r="A39" s="6" t="s">
        <v>406</v>
      </c>
      <c r="B39" s="6" t="s">
        <v>170</v>
      </c>
      <c r="C39" s="5">
        <v>18</v>
      </c>
      <c r="D39" s="5">
        <v>36</v>
      </c>
      <c r="E39" s="9">
        <v>0.25</v>
      </c>
      <c r="F39" s="5">
        <f t="shared" si="0"/>
        <v>15</v>
      </c>
      <c r="G39" s="9">
        <v>0.48</v>
      </c>
      <c r="H39" s="5">
        <f t="shared" si="1"/>
        <v>28.799999999999997</v>
      </c>
      <c r="I39" s="10">
        <v>0</v>
      </c>
      <c r="J39" s="10"/>
      <c r="K39" s="10">
        <v>0</v>
      </c>
      <c r="M39" s="5">
        <v>24</v>
      </c>
      <c r="N39" s="5">
        <v>18</v>
      </c>
      <c r="O39" s="9">
        <v>3</v>
      </c>
      <c r="P39" s="9">
        <v>10</v>
      </c>
      <c r="Q39" s="10">
        <f t="shared" si="2"/>
        <v>0</v>
      </c>
      <c r="R39" s="10">
        <v>0</v>
      </c>
      <c r="S39" s="6" t="s">
        <v>389</v>
      </c>
      <c r="T39" s="6" t="s">
        <v>406</v>
      </c>
      <c r="U39" s="6" t="str">
        <f>_xlfn.XLOOKUP(T39,[1]Detalle_Unidades!F36:F582,[1]Detalle_Unidades!A36:A582)</f>
        <v>PPA1</v>
      </c>
    </row>
    <row r="40" spans="1:21" x14ac:dyDescent="0.25">
      <c r="A40" s="6" t="s">
        <v>407</v>
      </c>
      <c r="B40" s="6" t="s">
        <v>170</v>
      </c>
      <c r="C40" s="5">
        <v>35</v>
      </c>
      <c r="D40" s="5">
        <v>72</v>
      </c>
      <c r="E40" s="9">
        <v>0.49</v>
      </c>
      <c r="F40" s="5">
        <f t="shared" si="0"/>
        <v>29.4</v>
      </c>
      <c r="G40" s="9">
        <v>0.97</v>
      </c>
      <c r="H40" s="5">
        <f t="shared" si="1"/>
        <v>58.199999999999996</v>
      </c>
      <c r="I40" s="10">
        <v>0</v>
      </c>
      <c r="J40" s="10"/>
      <c r="K40" s="10">
        <v>0</v>
      </c>
      <c r="M40" s="5">
        <v>24</v>
      </c>
      <c r="N40" s="5">
        <v>18</v>
      </c>
      <c r="O40" s="9">
        <v>4</v>
      </c>
      <c r="P40" s="9">
        <v>10</v>
      </c>
      <c r="Q40" s="10">
        <f t="shared" si="2"/>
        <v>0</v>
      </c>
      <c r="R40" s="10">
        <v>0</v>
      </c>
      <c r="S40" s="6" t="s">
        <v>389</v>
      </c>
      <c r="T40" s="6" t="s">
        <v>407</v>
      </c>
      <c r="U40" s="6" t="str">
        <f>_xlfn.XLOOKUP(T40,[1]Detalle_Unidades!F37:F583,[1]Detalle_Unidades!A37:A583)</f>
        <v>PPA2</v>
      </c>
    </row>
    <row r="41" spans="1:21" x14ac:dyDescent="0.25">
      <c r="A41" s="6" t="s">
        <v>408</v>
      </c>
      <c r="B41" s="6" t="s">
        <v>170</v>
      </c>
      <c r="C41" s="5">
        <v>35</v>
      </c>
      <c r="D41" s="5">
        <v>70</v>
      </c>
      <c r="E41" s="9">
        <v>0.49</v>
      </c>
      <c r="F41" s="5">
        <f t="shared" si="0"/>
        <v>29.4</v>
      </c>
      <c r="G41" s="9">
        <v>0.97</v>
      </c>
      <c r="H41" s="5">
        <f t="shared" si="1"/>
        <v>58.199999999999996</v>
      </c>
      <c r="I41" s="10">
        <v>0</v>
      </c>
      <c r="J41" s="10"/>
      <c r="K41" s="10">
        <v>0</v>
      </c>
      <c r="M41" s="5">
        <v>24</v>
      </c>
      <c r="N41" s="5">
        <v>18</v>
      </c>
      <c r="O41" s="9">
        <v>4</v>
      </c>
      <c r="P41" s="9">
        <v>10</v>
      </c>
      <c r="Q41" s="10">
        <f t="shared" si="2"/>
        <v>0</v>
      </c>
      <c r="R41" s="10">
        <v>0</v>
      </c>
      <c r="S41" s="6" t="s">
        <v>389</v>
      </c>
      <c r="T41" s="6" t="s">
        <v>408</v>
      </c>
      <c r="U41" s="6" t="str">
        <f>_xlfn.XLOOKUP(T41,[1]Detalle_Unidades!F38:F584,[1]Detalle_Unidades!A38:A584)</f>
        <v>PPA3</v>
      </c>
    </row>
    <row r="42" spans="1:21" x14ac:dyDescent="0.25">
      <c r="A42" s="6" t="s">
        <v>409</v>
      </c>
      <c r="B42" s="6" t="s">
        <v>170</v>
      </c>
      <c r="C42" s="5">
        <v>60</v>
      </c>
      <c r="D42" s="5">
        <v>165</v>
      </c>
      <c r="E42" s="9">
        <v>0.5</v>
      </c>
      <c r="F42" s="5">
        <f t="shared" si="0"/>
        <v>30</v>
      </c>
      <c r="G42" s="9">
        <v>0.7</v>
      </c>
      <c r="H42" s="5">
        <f t="shared" si="1"/>
        <v>42</v>
      </c>
      <c r="I42" s="10">
        <v>0</v>
      </c>
      <c r="J42" s="10"/>
      <c r="K42" s="10">
        <v>0</v>
      </c>
      <c r="M42" s="5">
        <v>24</v>
      </c>
      <c r="N42" s="5">
        <v>1</v>
      </c>
      <c r="O42" s="9">
        <v>8</v>
      </c>
      <c r="P42" s="9">
        <v>9</v>
      </c>
      <c r="Q42" s="10">
        <f t="shared" si="2"/>
        <v>0</v>
      </c>
      <c r="R42" s="10">
        <v>0</v>
      </c>
      <c r="S42" s="6" t="s">
        <v>389</v>
      </c>
      <c r="T42" s="6" t="s">
        <v>409</v>
      </c>
      <c r="U42" s="6" t="str">
        <f>_xlfn.XLOOKUP(T42,[1]Detalle_Unidades!F39:F585,[1]Detalle_Unidades!A39:A585)</f>
        <v>PPA4</v>
      </c>
    </row>
    <row r="43" spans="1:21" x14ac:dyDescent="0.25">
      <c r="A43" s="6" t="s">
        <v>410</v>
      </c>
      <c r="B43" s="6" t="s">
        <v>170</v>
      </c>
      <c r="C43" s="5">
        <v>6</v>
      </c>
      <c r="D43" s="5">
        <v>8</v>
      </c>
      <c r="E43" s="9">
        <v>5</v>
      </c>
      <c r="F43" s="5">
        <f t="shared" si="0"/>
        <v>300</v>
      </c>
      <c r="G43" s="9">
        <v>5</v>
      </c>
      <c r="H43" s="5">
        <f t="shared" si="1"/>
        <v>300</v>
      </c>
      <c r="I43" s="10">
        <v>0</v>
      </c>
      <c r="J43" s="10"/>
      <c r="K43" s="10">
        <v>0</v>
      </c>
      <c r="M43" s="5">
        <v>12</v>
      </c>
      <c r="N43" s="5">
        <v>2</v>
      </c>
      <c r="O43" s="9">
        <v>3</v>
      </c>
      <c r="P43" s="9">
        <v>0</v>
      </c>
      <c r="Q43" s="10">
        <f t="shared" si="2"/>
        <v>0</v>
      </c>
      <c r="R43" s="10">
        <v>0</v>
      </c>
      <c r="S43" s="6" t="s">
        <v>362</v>
      </c>
      <c r="T43" s="6" t="s">
        <v>410</v>
      </c>
      <c r="U43" s="6" t="str">
        <f>_xlfn.XLOOKUP(T43,[1]Detalle_Unidades!F40:F586,[1]Detalle_Unidades!A40:A586)</f>
        <v>TYP1</v>
      </c>
    </row>
    <row r="44" spans="1:21" x14ac:dyDescent="0.25">
      <c r="A44" s="6" t="s">
        <v>411</v>
      </c>
      <c r="B44" s="6" t="s">
        <v>170</v>
      </c>
      <c r="C44" s="5">
        <v>22</v>
      </c>
      <c r="D44" s="5">
        <v>28</v>
      </c>
      <c r="E44" s="9">
        <v>7.5</v>
      </c>
      <c r="F44" s="5">
        <f t="shared" si="0"/>
        <v>450</v>
      </c>
      <c r="G44" s="9">
        <v>7.5</v>
      </c>
      <c r="H44" s="5">
        <f t="shared" si="1"/>
        <v>450</v>
      </c>
      <c r="I44" s="10">
        <v>0</v>
      </c>
      <c r="J44" s="10"/>
      <c r="K44" s="10">
        <v>0</v>
      </c>
      <c r="M44" s="5">
        <v>12</v>
      </c>
      <c r="N44" s="5">
        <v>2</v>
      </c>
      <c r="O44" s="9">
        <v>2.8</v>
      </c>
      <c r="P44" s="9">
        <v>0</v>
      </c>
      <c r="Q44" s="10">
        <f t="shared" si="2"/>
        <v>0</v>
      </c>
      <c r="R44" s="10">
        <v>0</v>
      </c>
      <c r="S44" s="6" t="s">
        <v>362</v>
      </c>
      <c r="T44" s="6" t="s">
        <v>411</v>
      </c>
      <c r="U44" s="6" t="str">
        <f>_xlfn.XLOOKUP(T44,[1]Detalle_Unidades!F41:F587,[1]Detalle_Unidades!A41:A587)</f>
        <v>TYP2</v>
      </c>
    </row>
    <row r="45" spans="1:21" x14ac:dyDescent="0.25">
      <c r="A45" s="6" t="s">
        <v>412</v>
      </c>
      <c r="B45" s="6" t="s">
        <v>170</v>
      </c>
      <c r="C45" s="5">
        <v>30</v>
      </c>
      <c r="D45" s="5">
        <v>50</v>
      </c>
      <c r="E45" s="9">
        <v>11.82</v>
      </c>
      <c r="F45" s="5">
        <f t="shared" si="0"/>
        <v>709.2</v>
      </c>
      <c r="G45" s="9">
        <v>11.85</v>
      </c>
      <c r="H45" s="5">
        <f t="shared" si="1"/>
        <v>711</v>
      </c>
      <c r="I45" s="10">
        <v>0</v>
      </c>
      <c r="J45" s="10"/>
      <c r="K45" s="10">
        <v>0</v>
      </c>
      <c r="M45" s="5">
        <v>12</v>
      </c>
      <c r="N45" s="5">
        <v>2</v>
      </c>
      <c r="O45" s="9">
        <v>2</v>
      </c>
      <c r="P45" s="9">
        <v>0</v>
      </c>
      <c r="Q45" s="10">
        <f t="shared" si="2"/>
        <v>0</v>
      </c>
      <c r="R45" s="10">
        <v>0</v>
      </c>
      <c r="S45" s="6" t="s">
        <v>362</v>
      </c>
      <c r="T45" s="6" t="s">
        <v>412</v>
      </c>
      <c r="U45" s="6" t="str">
        <f>_xlfn.XLOOKUP(T45,[1]Detalle_Unidades!F42:F588,[1]Detalle_Unidades!A42:A588)</f>
        <v>TYP3</v>
      </c>
    </row>
    <row r="46" spans="1:21" x14ac:dyDescent="0.25">
      <c r="A46" s="6" t="s">
        <v>413</v>
      </c>
      <c r="B46" s="6" t="s">
        <v>170</v>
      </c>
      <c r="C46" s="5">
        <v>30</v>
      </c>
      <c r="D46" s="5">
        <v>50</v>
      </c>
      <c r="E46" s="9">
        <v>10.130000000000001</v>
      </c>
      <c r="F46" s="5">
        <f t="shared" si="0"/>
        <v>607.80000000000007</v>
      </c>
      <c r="G46" s="9">
        <v>10.42</v>
      </c>
      <c r="H46" s="5">
        <f t="shared" si="1"/>
        <v>625.20000000000005</v>
      </c>
      <c r="I46" s="10">
        <v>0</v>
      </c>
      <c r="J46" s="10"/>
      <c r="K46" s="10">
        <v>0</v>
      </c>
      <c r="M46" s="5">
        <v>12</v>
      </c>
      <c r="N46" s="5">
        <v>2</v>
      </c>
      <c r="O46" s="9">
        <v>2</v>
      </c>
      <c r="P46" s="9">
        <v>0</v>
      </c>
      <c r="Q46" s="10">
        <f t="shared" si="2"/>
        <v>0</v>
      </c>
      <c r="R46" s="10">
        <v>0</v>
      </c>
      <c r="S46" s="6" t="s">
        <v>362</v>
      </c>
      <c r="T46" s="6" t="s">
        <v>413</v>
      </c>
      <c r="U46" s="6" t="str">
        <f>_xlfn.XLOOKUP(T46,[1]Detalle_Unidades!F43:F589,[1]Detalle_Unidades!A43:A589)</f>
        <v>TYP4</v>
      </c>
    </row>
    <row r="47" spans="1:21" x14ac:dyDescent="0.25">
      <c r="A47" s="6" t="s">
        <v>414</v>
      </c>
      <c r="B47" s="6" t="s">
        <v>170</v>
      </c>
      <c r="C47" s="5">
        <v>30</v>
      </c>
      <c r="D47" s="5">
        <v>50</v>
      </c>
      <c r="E47" s="9">
        <v>8.34</v>
      </c>
      <c r="F47" s="5">
        <f t="shared" si="0"/>
        <v>500.4</v>
      </c>
      <c r="G47" s="9">
        <v>8.34</v>
      </c>
      <c r="H47" s="5">
        <f t="shared" si="1"/>
        <v>500.4</v>
      </c>
      <c r="I47" s="10">
        <v>0</v>
      </c>
      <c r="J47" s="10"/>
      <c r="K47" s="10">
        <v>0</v>
      </c>
      <c r="M47" s="5">
        <v>12</v>
      </c>
      <c r="N47" s="5">
        <v>2</v>
      </c>
      <c r="O47" s="9">
        <v>2</v>
      </c>
      <c r="P47" s="9">
        <v>0</v>
      </c>
      <c r="Q47" s="10">
        <f t="shared" si="2"/>
        <v>0</v>
      </c>
      <c r="R47" s="10">
        <v>0</v>
      </c>
      <c r="S47" s="6" t="s">
        <v>362</v>
      </c>
      <c r="T47" s="6" t="s">
        <v>414</v>
      </c>
      <c r="U47" s="6" t="str">
        <f>_xlfn.XLOOKUP(T47,[1]Detalle_Unidades!F44:F590,[1]Detalle_Unidades!A44:A590)</f>
        <v>TYP5</v>
      </c>
    </row>
    <row r="48" spans="1:21" x14ac:dyDescent="0.25">
      <c r="A48" s="6" t="s">
        <v>415</v>
      </c>
      <c r="B48" s="6" t="s">
        <v>170</v>
      </c>
      <c r="C48" s="5">
        <v>17</v>
      </c>
      <c r="D48" s="5">
        <v>25</v>
      </c>
      <c r="E48" s="9">
        <v>0.22</v>
      </c>
      <c r="F48" s="5">
        <f t="shared" si="0"/>
        <v>13.2</v>
      </c>
      <c r="G48" s="9">
        <v>0.3</v>
      </c>
      <c r="H48" s="5">
        <f t="shared" si="1"/>
        <v>18</v>
      </c>
      <c r="I48" s="10">
        <v>0</v>
      </c>
      <c r="J48" s="10"/>
      <c r="K48" s="10">
        <v>0</v>
      </c>
      <c r="M48" s="5">
        <v>24</v>
      </c>
      <c r="N48" s="5">
        <v>12</v>
      </c>
      <c r="O48" s="9">
        <v>4</v>
      </c>
      <c r="P48" s="9">
        <v>9</v>
      </c>
      <c r="Q48" s="10">
        <f t="shared" si="2"/>
        <v>0</v>
      </c>
      <c r="R48" s="10">
        <v>0</v>
      </c>
      <c r="S48" s="6" t="s">
        <v>416</v>
      </c>
      <c r="T48" s="6" t="s">
        <v>417</v>
      </c>
      <c r="U48" s="6" t="str">
        <f>_xlfn.XLOOKUP(T48,[1]Detalle_Unidades!F45:F591,[1]Detalle_Unidades!A45:A591)</f>
        <v>4YCN</v>
      </c>
    </row>
    <row r="49" spans="1:21" x14ac:dyDescent="0.25">
      <c r="A49" s="6" t="s">
        <v>418</v>
      </c>
      <c r="B49" s="6" t="s">
        <v>174</v>
      </c>
      <c r="C49" s="5">
        <v>90</v>
      </c>
      <c r="D49" s="5">
        <v>164</v>
      </c>
      <c r="E49" s="9">
        <v>1</v>
      </c>
      <c r="F49" s="5">
        <f t="shared" si="0"/>
        <v>60</v>
      </c>
      <c r="G49" s="9">
        <v>0.56999999999999995</v>
      </c>
      <c r="H49" s="5">
        <f t="shared" si="1"/>
        <v>34.199999999999996</v>
      </c>
      <c r="I49" s="10">
        <v>0</v>
      </c>
      <c r="J49" s="10"/>
      <c r="K49" s="10">
        <v>0</v>
      </c>
      <c r="M49" s="5">
        <v>72</v>
      </c>
      <c r="N49" s="5">
        <v>72</v>
      </c>
      <c r="O49" s="9">
        <v>5.5</v>
      </c>
      <c r="P49" s="9">
        <v>10</v>
      </c>
      <c r="Q49" s="10">
        <f t="shared" si="2"/>
        <v>0</v>
      </c>
      <c r="R49" s="10">
        <v>0</v>
      </c>
      <c r="S49" s="6" t="s">
        <v>389</v>
      </c>
      <c r="T49" s="6" t="s">
        <v>418</v>
      </c>
      <c r="U49" s="6" t="str">
        <f>_xlfn.XLOOKUP(T49,[1]Detalle_Unidades!F46:F592,[1]Detalle_Unidades!A46:A592)</f>
        <v>GEC3</v>
      </c>
    </row>
    <row r="50" spans="1:21" x14ac:dyDescent="0.25">
      <c r="A50" s="6" t="s">
        <v>419</v>
      </c>
      <c r="B50" s="6" t="s">
        <v>174</v>
      </c>
      <c r="C50" s="5">
        <v>130</v>
      </c>
      <c r="D50" s="5">
        <v>270</v>
      </c>
      <c r="E50" s="9">
        <v>1</v>
      </c>
      <c r="F50" s="5">
        <f t="shared" si="0"/>
        <v>60</v>
      </c>
      <c r="G50" s="9">
        <v>0.81</v>
      </c>
      <c r="H50" s="5">
        <f t="shared" si="1"/>
        <v>48.6</v>
      </c>
      <c r="I50" s="10">
        <v>0</v>
      </c>
      <c r="J50" s="10"/>
      <c r="K50" s="10">
        <v>0</v>
      </c>
      <c r="M50" s="5">
        <v>72</v>
      </c>
      <c r="N50" s="5">
        <v>72</v>
      </c>
      <c r="O50" s="9">
        <v>9</v>
      </c>
      <c r="P50" s="9">
        <v>10</v>
      </c>
      <c r="Q50" s="10">
        <f t="shared" si="2"/>
        <v>0</v>
      </c>
      <c r="R50" s="10">
        <v>0</v>
      </c>
      <c r="S50" s="6" t="s">
        <v>389</v>
      </c>
      <c r="T50" s="6" t="s">
        <v>419</v>
      </c>
      <c r="U50" s="6" t="str">
        <f>_xlfn.XLOOKUP(T50,[1]Detalle_Unidades!F47:F593,[1]Detalle_Unidades!A47:A593)</f>
        <v>GE32</v>
      </c>
    </row>
    <row r="51" spans="1:21" x14ac:dyDescent="0.25">
      <c r="A51" s="6" t="s">
        <v>420</v>
      </c>
      <c r="B51" s="6" t="s">
        <v>175</v>
      </c>
      <c r="C51" s="5">
        <v>8</v>
      </c>
      <c r="D51" s="5">
        <v>19</v>
      </c>
      <c r="E51" s="9">
        <v>2.13</v>
      </c>
      <c r="F51" s="5">
        <f t="shared" si="0"/>
        <v>127.8</v>
      </c>
      <c r="G51" s="9">
        <v>2.65</v>
      </c>
      <c r="H51" s="5">
        <f t="shared" si="1"/>
        <v>159</v>
      </c>
      <c r="I51" s="10">
        <v>0</v>
      </c>
      <c r="J51" s="10"/>
      <c r="K51" s="10">
        <v>0</v>
      </c>
      <c r="M51" s="5">
        <v>3</v>
      </c>
      <c r="N51" s="5">
        <v>1</v>
      </c>
      <c r="O51" s="9">
        <v>1.8</v>
      </c>
      <c r="P51" s="9">
        <v>6</v>
      </c>
      <c r="Q51" s="10">
        <f t="shared" si="2"/>
        <v>0</v>
      </c>
      <c r="R51" s="10">
        <v>0</v>
      </c>
      <c r="S51" s="6" t="s">
        <v>362</v>
      </c>
      <c r="T51" s="6" t="s">
        <v>421</v>
      </c>
      <c r="U51" s="6" t="str">
        <f>_xlfn.XLOOKUP(T51,[1]Detalle_Unidades!F48:F594,[1]Detalle_Unidades!A48:A594)</f>
        <v>3ENA</v>
      </c>
    </row>
    <row r="52" spans="1:21" x14ac:dyDescent="0.25">
      <c r="A52" s="6" t="s">
        <v>422</v>
      </c>
      <c r="B52" s="6" t="s">
        <v>175</v>
      </c>
      <c r="C52" s="5">
        <v>8</v>
      </c>
      <c r="D52" s="5">
        <v>19</v>
      </c>
      <c r="E52" s="9">
        <v>2.2200000000000002</v>
      </c>
      <c r="F52" s="5">
        <f t="shared" si="0"/>
        <v>133.20000000000002</v>
      </c>
      <c r="G52" s="9">
        <v>2.68</v>
      </c>
      <c r="H52" s="5">
        <f t="shared" si="1"/>
        <v>160.80000000000001</v>
      </c>
      <c r="I52" s="10">
        <v>0</v>
      </c>
      <c r="J52" s="10"/>
      <c r="K52" s="10">
        <v>0</v>
      </c>
      <c r="M52" s="5">
        <v>3</v>
      </c>
      <c r="N52" s="5">
        <v>1</v>
      </c>
      <c r="O52" s="9">
        <v>1.8</v>
      </c>
      <c r="P52" s="9">
        <v>6</v>
      </c>
      <c r="Q52" s="10">
        <f t="shared" si="2"/>
        <v>0</v>
      </c>
      <c r="R52" s="10">
        <v>0</v>
      </c>
      <c r="S52" s="6" t="s">
        <v>362</v>
      </c>
      <c r="T52" s="6" t="s">
        <v>421</v>
      </c>
      <c r="U52" s="6" t="str">
        <f>_xlfn.XLOOKUP(T52,[1]Detalle_Unidades!F49:F595,[1]Detalle_Unidades!A49:A595)</f>
        <v>3ENA</v>
      </c>
    </row>
    <row r="53" spans="1:21" x14ac:dyDescent="0.25">
      <c r="A53" s="6" t="s">
        <v>423</v>
      </c>
      <c r="B53" s="6" t="s">
        <v>175</v>
      </c>
      <c r="C53" s="5">
        <v>8</v>
      </c>
      <c r="D53" s="5">
        <v>19</v>
      </c>
      <c r="E53" s="9">
        <v>2.2200000000000002</v>
      </c>
      <c r="F53" s="5">
        <f t="shared" si="0"/>
        <v>133.20000000000002</v>
      </c>
      <c r="G53" s="9">
        <v>2.68</v>
      </c>
      <c r="H53" s="5">
        <f t="shared" si="1"/>
        <v>160.80000000000001</v>
      </c>
      <c r="I53" s="10">
        <v>0</v>
      </c>
      <c r="J53" s="10"/>
      <c r="K53" s="10">
        <v>0</v>
      </c>
      <c r="M53" s="5">
        <v>3</v>
      </c>
      <c r="N53" s="5">
        <v>1</v>
      </c>
      <c r="O53" s="9">
        <v>1.8</v>
      </c>
      <c r="P53" s="9">
        <v>6</v>
      </c>
      <c r="Q53" s="10">
        <f t="shared" si="2"/>
        <v>0</v>
      </c>
      <c r="R53" s="10">
        <v>0</v>
      </c>
      <c r="S53" s="6" t="s">
        <v>362</v>
      </c>
      <c r="T53" s="6" t="s">
        <v>421</v>
      </c>
      <c r="U53" s="6" t="str">
        <f>_xlfn.XLOOKUP(T53,[1]Detalle_Unidades!F50:F596,[1]Detalle_Unidades!A50:A596)</f>
        <v>3ENA</v>
      </c>
    </row>
    <row r="54" spans="1:21" x14ac:dyDescent="0.25">
      <c r="A54" s="6" t="s">
        <v>424</v>
      </c>
      <c r="B54" s="6" t="s">
        <v>175</v>
      </c>
      <c r="C54" s="5">
        <v>8</v>
      </c>
      <c r="D54" s="5">
        <v>19</v>
      </c>
      <c r="E54" s="9">
        <v>2.13</v>
      </c>
      <c r="F54" s="5">
        <f t="shared" si="0"/>
        <v>127.8</v>
      </c>
      <c r="G54" s="9">
        <v>2.68</v>
      </c>
      <c r="H54" s="5">
        <f t="shared" si="1"/>
        <v>160.80000000000001</v>
      </c>
      <c r="I54" s="10">
        <v>0</v>
      </c>
      <c r="J54" s="10"/>
      <c r="K54" s="10">
        <v>0</v>
      </c>
      <c r="M54" s="5">
        <v>3</v>
      </c>
      <c r="N54" s="5">
        <v>1</v>
      </c>
      <c r="O54" s="9">
        <v>1.8</v>
      </c>
      <c r="P54" s="9">
        <v>6</v>
      </c>
      <c r="Q54" s="10">
        <f t="shared" si="2"/>
        <v>0</v>
      </c>
      <c r="R54" s="10">
        <v>0</v>
      </c>
      <c r="S54" s="6" t="s">
        <v>362</v>
      </c>
      <c r="T54" s="6" t="s">
        <v>421</v>
      </c>
      <c r="U54" s="6" t="str">
        <f>_xlfn.XLOOKUP(T54,[1]Detalle_Unidades!F51:F597,[1]Detalle_Unidades!A51:A597)</f>
        <v>3ENA</v>
      </c>
    </row>
    <row r="55" spans="1:21" x14ac:dyDescent="0.25">
      <c r="A55" s="6" t="s">
        <v>425</v>
      </c>
      <c r="B55" s="6" t="s">
        <v>175</v>
      </c>
      <c r="C55" s="5">
        <v>8</v>
      </c>
      <c r="D55" s="5">
        <v>19</v>
      </c>
      <c r="E55" s="9">
        <v>2.08</v>
      </c>
      <c r="F55" s="5">
        <f t="shared" si="0"/>
        <v>124.80000000000001</v>
      </c>
      <c r="G55" s="9">
        <v>2.65</v>
      </c>
      <c r="H55" s="5">
        <f t="shared" si="1"/>
        <v>159</v>
      </c>
      <c r="I55" s="10">
        <v>0</v>
      </c>
      <c r="J55" s="10"/>
      <c r="K55" s="10">
        <v>0</v>
      </c>
      <c r="M55" s="5">
        <v>3</v>
      </c>
      <c r="N55" s="5">
        <v>1</v>
      </c>
      <c r="O55" s="9">
        <v>1.8</v>
      </c>
      <c r="P55" s="9">
        <v>6</v>
      </c>
      <c r="Q55" s="10">
        <f t="shared" si="2"/>
        <v>0</v>
      </c>
      <c r="R55" s="10">
        <v>0</v>
      </c>
      <c r="S55" s="6" t="s">
        <v>362</v>
      </c>
      <c r="T55" s="6" t="s">
        <v>421</v>
      </c>
      <c r="U55" s="6" t="str">
        <f>_xlfn.XLOOKUP(T55,[1]Detalle_Unidades!F52:F598,[1]Detalle_Unidades!A52:A598)</f>
        <v>3ENA</v>
      </c>
    </row>
    <row r="56" spans="1:21" x14ac:dyDescent="0.25">
      <c r="A56" s="6" t="s">
        <v>426</v>
      </c>
      <c r="B56" s="6" t="s">
        <v>175</v>
      </c>
      <c r="C56" s="5">
        <v>8</v>
      </c>
      <c r="D56" s="5">
        <v>19</v>
      </c>
      <c r="E56" s="9">
        <v>2.16</v>
      </c>
      <c r="F56" s="5">
        <f t="shared" si="0"/>
        <v>129.60000000000002</v>
      </c>
      <c r="G56" s="9">
        <v>2.71</v>
      </c>
      <c r="H56" s="5">
        <f t="shared" si="1"/>
        <v>162.6</v>
      </c>
      <c r="I56" s="10">
        <v>0</v>
      </c>
      <c r="J56" s="10"/>
      <c r="K56" s="10">
        <v>0</v>
      </c>
      <c r="M56" s="5">
        <v>3</v>
      </c>
      <c r="N56" s="5">
        <v>1</v>
      </c>
      <c r="O56" s="9">
        <v>1.8</v>
      </c>
      <c r="P56" s="9">
        <v>6</v>
      </c>
      <c r="Q56" s="10">
        <f t="shared" si="2"/>
        <v>0</v>
      </c>
      <c r="R56" s="10">
        <v>0</v>
      </c>
      <c r="S56" s="6" t="s">
        <v>362</v>
      </c>
      <c r="T56" s="6" t="s">
        <v>421</v>
      </c>
      <c r="U56" s="6" t="str">
        <f>_xlfn.XLOOKUP(T56,[1]Detalle_Unidades!F53:F599,[1]Detalle_Unidades!A53:A599)</f>
        <v>3ENA</v>
      </c>
    </row>
    <row r="57" spans="1:21" x14ac:dyDescent="0.25">
      <c r="A57" s="6" t="s">
        <v>427</v>
      </c>
      <c r="B57" s="6" t="s">
        <v>175</v>
      </c>
      <c r="C57" s="5">
        <v>8</v>
      </c>
      <c r="D57" s="5">
        <v>19</v>
      </c>
      <c r="E57" s="9">
        <v>2.04</v>
      </c>
      <c r="F57" s="5">
        <f t="shared" si="0"/>
        <v>122.4</v>
      </c>
      <c r="G57" s="9">
        <v>2.68</v>
      </c>
      <c r="H57" s="5">
        <f t="shared" si="1"/>
        <v>160.80000000000001</v>
      </c>
      <c r="I57" s="10">
        <v>0</v>
      </c>
      <c r="J57" s="10"/>
      <c r="K57" s="10">
        <v>0</v>
      </c>
      <c r="M57" s="5">
        <v>3</v>
      </c>
      <c r="N57" s="5">
        <v>1</v>
      </c>
      <c r="O57" s="9">
        <v>1.8</v>
      </c>
      <c r="P57" s="9">
        <v>6</v>
      </c>
      <c r="Q57" s="10">
        <f t="shared" si="2"/>
        <v>0</v>
      </c>
      <c r="R57" s="10">
        <v>0</v>
      </c>
      <c r="S57" s="6" t="s">
        <v>362</v>
      </c>
      <c r="T57" s="6" t="s">
        <v>421</v>
      </c>
      <c r="U57" s="6" t="str">
        <f>_xlfn.XLOOKUP(T57,[1]Detalle_Unidades!F54:F600,[1]Detalle_Unidades!A54:A600)</f>
        <v>3ENA</v>
      </c>
    </row>
    <row r="58" spans="1:21" x14ac:dyDescent="0.25">
      <c r="A58" s="6" t="s">
        <v>428</v>
      </c>
      <c r="B58" s="6" t="s">
        <v>175</v>
      </c>
      <c r="C58" s="5">
        <v>8</v>
      </c>
      <c r="D58" s="5">
        <v>19</v>
      </c>
      <c r="E58" s="9">
        <v>2.11</v>
      </c>
      <c r="F58" s="5">
        <f t="shared" si="0"/>
        <v>126.6</v>
      </c>
      <c r="G58" s="9">
        <v>2.77</v>
      </c>
      <c r="H58" s="5">
        <f t="shared" si="1"/>
        <v>166.2</v>
      </c>
      <c r="I58" s="10">
        <v>0</v>
      </c>
      <c r="J58" s="10"/>
      <c r="K58" s="10">
        <v>0</v>
      </c>
      <c r="M58" s="5">
        <v>3</v>
      </c>
      <c r="N58" s="5">
        <v>1</v>
      </c>
      <c r="O58" s="9">
        <v>1.8</v>
      </c>
      <c r="P58" s="9">
        <v>6</v>
      </c>
      <c r="Q58" s="10">
        <f t="shared" si="2"/>
        <v>0</v>
      </c>
      <c r="R58" s="10">
        <v>0</v>
      </c>
      <c r="S58" s="6" t="s">
        <v>362</v>
      </c>
      <c r="T58" s="6" t="s">
        <v>421</v>
      </c>
      <c r="U58" s="6" t="str">
        <f>_xlfn.XLOOKUP(T58,[1]Detalle_Unidades!F55:F601,[1]Detalle_Unidades!A55:A601)</f>
        <v>3ENA</v>
      </c>
    </row>
    <row r="59" spans="1:21" x14ac:dyDescent="0.25">
      <c r="A59" s="6" t="s">
        <v>429</v>
      </c>
      <c r="B59" s="6" t="s">
        <v>175</v>
      </c>
      <c r="C59" s="5">
        <v>8</v>
      </c>
      <c r="D59" s="5">
        <v>19</v>
      </c>
      <c r="E59" s="9">
        <v>2.1</v>
      </c>
      <c r="F59" s="5">
        <f t="shared" si="0"/>
        <v>126</v>
      </c>
      <c r="G59" s="9">
        <v>2.58</v>
      </c>
      <c r="H59" s="5">
        <f t="shared" si="1"/>
        <v>154.80000000000001</v>
      </c>
      <c r="I59" s="10">
        <v>0</v>
      </c>
      <c r="J59" s="10"/>
      <c r="K59" s="10">
        <v>0</v>
      </c>
      <c r="M59" s="5">
        <v>3</v>
      </c>
      <c r="N59" s="5">
        <v>1</v>
      </c>
      <c r="O59" s="9">
        <v>1.8</v>
      </c>
      <c r="P59" s="9">
        <v>6</v>
      </c>
      <c r="Q59" s="10">
        <f t="shared" si="2"/>
        <v>0</v>
      </c>
      <c r="R59" s="10">
        <v>0</v>
      </c>
      <c r="S59" s="6" t="s">
        <v>362</v>
      </c>
      <c r="T59" s="6" t="s">
        <v>421</v>
      </c>
      <c r="U59" s="6" t="str">
        <f>_xlfn.XLOOKUP(T59,[1]Detalle_Unidades!F56:F602,[1]Detalle_Unidades!A56:A602)</f>
        <v>3ENA</v>
      </c>
    </row>
    <row r="60" spans="1:21" x14ac:dyDescent="0.25">
      <c r="A60" s="6" t="s">
        <v>430</v>
      </c>
      <c r="B60" s="6" t="s">
        <v>175</v>
      </c>
      <c r="C60" s="5">
        <v>8</v>
      </c>
      <c r="D60" s="5">
        <v>19</v>
      </c>
      <c r="E60" s="9">
        <v>2.09</v>
      </c>
      <c r="F60" s="5">
        <f t="shared" si="0"/>
        <v>125.39999999999999</v>
      </c>
      <c r="G60" s="9">
        <v>2.68</v>
      </c>
      <c r="H60" s="5">
        <f t="shared" si="1"/>
        <v>160.80000000000001</v>
      </c>
      <c r="I60" s="10">
        <v>0</v>
      </c>
      <c r="J60" s="10"/>
      <c r="K60" s="10">
        <v>0</v>
      </c>
      <c r="M60" s="5">
        <v>3</v>
      </c>
      <c r="N60" s="5">
        <v>1</v>
      </c>
      <c r="O60" s="9">
        <v>1.8</v>
      </c>
      <c r="P60" s="9">
        <v>6</v>
      </c>
      <c r="Q60" s="10">
        <f t="shared" si="2"/>
        <v>0</v>
      </c>
      <c r="R60" s="10">
        <v>0</v>
      </c>
      <c r="S60" s="6" t="s">
        <v>362</v>
      </c>
      <c r="T60" s="6" t="s">
        <v>421</v>
      </c>
      <c r="U60" s="6" t="str">
        <f>_xlfn.XLOOKUP(T60,[1]Detalle_Unidades!F57:F603,[1]Detalle_Unidades!A57:A603)</f>
        <v>3ENA</v>
      </c>
    </row>
    <row r="61" spans="1:21" x14ac:dyDescent="0.25">
      <c r="A61" s="6" t="s">
        <v>431</v>
      </c>
      <c r="B61" s="6" t="s">
        <v>175</v>
      </c>
      <c r="C61" s="5">
        <v>8</v>
      </c>
      <c r="D61" s="5">
        <v>19</v>
      </c>
      <c r="E61" s="9">
        <v>2.12</v>
      </c>
      <c r="F61" s="5">
        <f t="shared" si="0"/>
        <v>127.2</v>
      </c>
      <c r="G61" s="9">
        <v>2.69</v>
      </c>
      <c r="H61" s="5">
        <f t="shared" si="1"/>
        <v>161.4</v>
      </c>
      <c r="I61" s="10">
        <v>0</v>
      </c>
      <c r="J61" s="10"/>
      <c r="K61" s="10">
        <v>0</v>
      </c>
      <c r="M61" s="5">
        <v>3</v>
      </c>
      <c r="N61" s="5">
        <v>1</v>
      </c>
      <c r="O61" s="9">
        <v>1.8</v>
      </c>
      <c r="P61" s="9">
        <v>6</v>
      </c>
      <c r="Q61" s="10">
        <f t="shared" si="2"/>
        <v>0</v>
      </c>
      <c r="R61" s="10">
        <v>0</v>
      </c>
      <c r="S61" s="6" t="s">
        <v>362</v>
      </c>
      <c r="T61" s="6" t="s">
        <v>421</v>
      </c>
      <c r="U61" s="6" t="str">
        <f>_xlfn.XLOOKUP(T61,[1]Detalle_Unidades!F58:F604,[1]Detalle_Unidades!A58:A604)</f>
        <v>3ENA</v>
      </c>
    </row>
    <row r="62" spans="1:21" x14ac:dyDescent="0.25">
      <c r="A62" s="6" t="s">
        <v>432</v>
      </c>
      <c r="B62" s="6" t="s">
        <v>171</v>
      </c>
      <c r="C62" s="5">
        <v>10</v>
      </c>
      <c r="D62" s="5">
        <v>47</v>
      </c>
      <c r="E62" s="9">
        <v>5.94</v>
      </c>
      <c r="F62" s="5">
        <f t="shared" si="0"/>
        <v>356.40000000000003</v>
      </c>
      <c r="G62" s="9">
        <v>5.8</v>
      </c>
      <c r="H62" s="5">
        <f t="shared" si="1"/>
        <v>348</v>
      </c>
      <c r="I62" s="10">
        <v>0</v>
      </c>
      <c r="J62" s="10"/>
      <c r="K62" s="10">
        <v>0</v>
      </c>
      <c r="M62" s="5">
        <v>1</v>
      </c>
      <c r="N62" s="5">
        <v>1</v>
      </c>
      <c r="O62" s="9">
        <v>1.5</v>
      </c>
      <c r="P62" s="9">
        <v>0.25</v>
      </c>
      <c r="Q62" s="10">
        <f t="shared" si="2"/>
        <v>0</v>
      </c>
      <c r="R62" s="10">
        <v>0</v>
      </c>
      <c r="S62" s="6" t="s">
        <v>365</v>
      </c>
      <c r="T62" s="6" t="s">
        <v>432</v>
      </c>
      <c r="U62" s="6" t="str">
        <f>_xlfn.XLOOKUP(T62,[1]Detalle_Unidades!F59:F605,[1]Detalle_Unidades!A59:A605)</f>
        <v>TDR1</v>
      </c>
    </row>
    <row r="63" spans="1:21" x14ac:dyDescent="0.25">
      <c r="A63" s="6" t="s">
        <v>433</v>
      </c>
      <c r="B63" s="6" t="s">
        <v>176</v>
      </c>
      <c r="C63" s="5">
        <v>72</v>
      </c>
      <c r="D63" s="5">
        <v>145</v>
      </c>
      <c r="E63" s="9">
        <v>2.23</v>
      </c>
      <c r="F63" s="5">
        <f t="shared" si="0"/>
        <v>133.80000000000001</v>
      </c>
      <c r="G63" s="9">
        <v>2.82</v>
      </c>
      <c r="H63" s="5">
        <f t="shared" si="1"/>
        <v>169.2</v>
      </c>
      <c r="I63" s="10">
        <v>0</v>
      </c>
      <c r="J63" s="10"/>
      <c r="K63" s="10">
        <v>0</v>
      </c>
      <c r="M63" s="5">
        <v>24</v>
      </c>
      <c r="N63" s="5">
        <v>24</v>
      </c>
      <c r="O63" s="9">
        <v>10</v>
      </c>
      <c r="P63" s="9">
        <v>12</v>
      </c>
      <c r="Q63" s="10">
        <f t="shared" si="2"/>
        <v>0</v>
      </c>
      <c r="R63" s="10">
        <v>0</v>
      </c>
      <c r="S63" s="6" t="s">
        <v>434</v>
      </c>
      <c r="T63" s="6" t="s">
        <v>433</v>
      </c>
      <c r="U63" s="6" t="str">
        <f>_xlfn.XLOOKUP(T63,[1]Detalle_Unidades!F60:F606,[1]Detalle_Unidades!A60:A606)</f>
        <v>TGJ1</v>
      </c>
    </row>
    <row r="64" spans="1:21" x14ac:dyDescent="0.25">
      <c r="A64" s="6" t="s">
        <v>435</v>
      </c>
      <c r="B64" s="6" t="s">
        <v>176</v>
      </c>
      <c r="C64" s="5">
        <v>72</v>
      </c>
      <c r="D64" s="5">
        <v>130</v>
      </c>
      <c r="E64" s="9">
        <v>1.05</v>
      </c>
      <c r="F64" s="5">
        <f t="shared" si="0"/>
        <v>63</v>
      </c>
      <c r="G64" s="9">
        <v>1.44</v>
      </c>
      <c r="H64" s="5">
        <f t="shared" si="1"/>
        <v>86.399999999999991</v>
      </c>
      <c r="I64" s="10">
        <v>0</v>
      </c>
      <c r="J64" s="10"/>
      <c r="K64" s="10">
        <v>0</v>
      </c>
      <c r="M64" s="5">
        <v>24</v>
      </c>
      <c r="N64" s="5">
        <v>24</v>
      </c>
      <c r="O64" s="9">
        <v>10</v>
      </c>
      <c r="P64" s="9">
        <v>12</v>
      </c>
      <c r="Q64" s="10">
        <f t="shared" si="2"/>
        <v>0</v>
      </c>
      <c r="R64" s="10">
        <v>0</v>
      </c>
      <c r="S64" s="6" t="s">
        <v>434</v>
      </c>
      <c r="T64" s="6" t="s">
        <v>435</v>
      </c>
      <c r="U64" s="6" t="str">
        <f>_xlfn.XLOOKUP(T64,[1]Detalle_Unidades!F61:F607,[1]Detalle_Unidades!A61:A607)</f>
        <v>TGJ2</v>
      </c>
    </row>
    <row r="65" spans="1:21" x14ac:dyDescent="0.25">
      <c r="A65" s="6" t="s">
        <v>436</v>
      </c>
      <c r="B65" s="6" t="s">
        <v>176</v>
      </c>
      <c r="C65" s="5">
        <v>5.2</v>
      </c>
      <c r="D65" s="5">
        <v>9</v>
      </c>
      <c r="E65" s="9">
        <v>0.06</v>
      </c>
      <c r="F65" s="5">
        <f t="shared" si="0"/>
        <v>3.5999999999999996</v>
      </c>
      <c r="G65" s="9">
        <v>0.06</v>
      </c>
      <c r="H65" s="5">
        <f t="shared" si="1"/>
        <v>3.5999999999999996</v>
      </c>
      <c r="I65" s="10">
        <v>0</v>
      </c>
      <c r="J65" s="10"/>
      <c r="K65" s="10">
        <v>0</v>
      </c>
      <c r="M65" s="5">
        <v>4</v>
      </c>
      <c r="N65" s="5">
        <v>1</v>
      </c>
      <c r="O65" s="9">
        <v>2</v>
      </c>
      <c r="P65" s="9">
        <v>3</v>
      </c>
      <c r="Q65" s="10">
        <f t="shared" si="2"/>
        <v>0</v>
      </c>
      <c r="R65" s="10">
        <v>0</v>
      </c>
      <c r="S65" s="6" t="s">
        <v>365</v>
      </c>
      <c r="T65" s="6" t="s">
        <v>437</v>
      </c>
      <c r="U65" s="6" t="str">
        <f>_xlfn.XLOOKUP(T65,[1]Detalle_Unidades!F62:F608,[1]Detalle_Unidades!A62:A608)</f>
        <v>TRN1</v>
      </c>
    </row>
    <row r="66" spans="1:21" x14ac:dyDescent="0.25">
      <c r="A66" s="6" t="s">
        <v>438</v>
      </c>
      <c r="B66" s="6" t="s">
        <v>176</v>
      </c>
      <c r="C66" s="5">
        <v>5.2</v>
      </c>
      <c r="D66" s="5">
        <v>9</v>
      </c>
      <c r="E66" s="9">
        <v>0.06</v>
      </c>
      <c r="F66" s="5">
        <f t="shared" si="0"/>
        <v>3.5999999999999996</v>
      </c>
      <c r="G66" s="9">
        <v>0.06</v>
      </c>
      <c r="H66" s="5">
        <f t="shared" si="1"/>
        <v>3.5999999999999996</v>
      </c>
      <c r="I66" s="10">
        <v>0</v>
      </c>
      <c r="J66" s="10"/>
      <c r="K66" s="10">
        <v>0</v>
      </c>
      <c r="M66" s="5">
        <v>4</v>
      </c>
      <c r="N66" s="5">
        <v>1</v>
      </c>
      <c r="O66" s="9">
        <v>2</v>
      </c>
      <c r="P66" s="9">
        <v>3</v>
      </c>
      <c r="Q66" s="10">
        <f t="shared" si="2"/>
        <v>0</v>
      </c>
      <c r="R66" s="10">
        <v>0</v>
      </c>
      <c r="S66" s="6" t="s">
        <v>365</v>
      </c>
      <c r="T66" s="6" t="s">
        <v>437</v>
      </c>
      <c r="U66" s="6" t="str">
        <f>_xlfn.XLOOKUP(T66,[1]Detalle_Unidades!F63:F609,[1]Detalle_Unidades!A63:A609)</f>
        <v>TRN1</v>
      </c>
    </row>
    <row r="67" spans="1:21" x14ac:dyDescent="0.25">
      <c r="A67" s="6" t="s">
        <v>439</v>
      </c>
      <c r="B67" s="6" t="s">
        <v>176</v>
      </c>
      <c r="C67" s="5">
        <v>5.2</v>
      </c>
      <c r="D67" s="5">
        <v>9</v>
      </c>
      <c r="E67" s="9">
        <v>0.06</v>
      </c>
      <c r="F67" s="5">
        <f t="shared" si="0"/>
        <v>3.5999999999999996</v>
      </c>
      <c r="G67" s="9">
        <v>0.06</v>
      </c>
      <c r="H67" s="5">
        <f t="shared" si="1"/>
        <v>3.5999999999999996</v>
      </c>
      <c r="I67" s="10">
        <v>0</v>
      </c>
      <c r="J67" s="10"/>
      <c r="K67" s="10">
        <v>0</v>
      </c>
      <c r="M67" s="5">
        <v>4</v>
      </c>
      <c r="N67" s="5">
        <v>1</v>
      </c>
      <c r="O67" s="9">
        <v>2</v>
      </c>
      <c r="P67" s="9">
        <v>3</v>
      </c>
      <c r="Q67" s="10">
        <f t="shared" si="2"/>
        <v>0</v>
      </c>
      <c r="R67" s="10">
        <v>0</v>
      </c>
      <c r="S67" s="6" t="s">
        <v>365</v>
      </c>
      <c r="T67" s="6" t="s">
        <v>437</v>
      </c>
      <c r="U67" s="6" t="str">
        <f>_xlfn.XLOOKUP(T67,[1]Detalle_Unidades!F64:F610,[1]Detalle_Unidades!A64:A610)</f>
        <v>TRN1</v>
      </c>
    </row>
    <row r="68" spans="1:21" x14ac:dyDescent="0.25">
      <c r="A68" s="6" t="s">
        <v>440</v>
      </c>
      <c r="B68" s="6" t="s">
        <v>176</v>
      </c>
      <c r="C68" s="5">
        <v>5.2</v>
      </c>
      <c r="D68" s="5">
        <v>9</v>
      </c>
      <c r="E68" s="9">
        <v>0.06</v>
      </c>
      <c r="F68" s="5">
        <f t="shared" si="0"/>
        <v>3.5999999999999996</v>
      </c>
      <c r="G68" s="9">
        <v>0.06</v>
      </c>
      <c r="H68" s="5">
        <f t="shared" si="1"/>
        <v>3.5999999999999996</v>
      </c>
      <c r="I68" s="10">
        <v>0</v>
      </c>
      <c r="J68" s="10"/>
      <c r="K68" s="10">
        <v>0</v>
      </c>
      <c r="M68" s="5">
        <v>4</v>
      </c>
      <c r="N68" s="5">
        <v>1</v>
      </c>
      <c r="O68" s="9">
        <v>2</v>
      </c>
      <c r="P68" s="9">
        <v>3</v>
      </c>
      <c r="Q68" s="10">
        <f t="shared" si="2"/>
        <v>0</v>
      </c>
      <c r="R68" s="10">
        <v>0</v>
      </c>
      <c r="S68" s="6" t="s">
        <v>365</v>
      </c>
      <c r="T68" s="6" t="s">
        <v>437</v>
      </c>
      <c r="U68" s="6" t="str">
        <f>_xlfn.XLOOKUP(T68,[1]Detalle_Unidades!F65:F611,[1]Detalle_Unidades!A65:A611)</f>
        <v>TRN1</v>
      </c>
    </row>
    <row r="69" spans="1:21" x14ac:dyDescent="0.25">
      <c r="A69" s="6" t="s">
        <v>441</v>
      </c>
      <c r="B69" s="6" t="s">
        <v>176</v>
      </c>
      <c r="C69" s="5">
        <v>5.2</v>
      </c>
      <c r="D69" s="5">
        <v>9</v>
      </c>
      <c r="E69" s="5">
        <v>0</v>
      </c>
      <c r="F69" s="5">
        <f t="shared" si="0"/>
        <v>0</v>
      </c>
      <c r="G69" s="5">
        <v>0</v>
      </c>
      <c r="H69" s="5">
        <f t="shared" si="1"/>
        <v>0</v>
      </c>
      <c r="I69" s="10">
        <v>0</v>
      </c>
      <c r="J69" s="10"/>
      <c r="K69" s="10">
        <v>0</v>
      </c>
      <c r="M69" s="5">
        <v>4</v>
      </c>
      <c r="N69" s="5">
        <v>1</v>
      </c>
      <c r="O69" s="9">
        <v>2</v>
      </c>
      <c r="P69" s="9">
        <v>3</v>
      </c>
      <c r="Q69" s="10">
        <f t="shared" si="2"/>
        <v>0</v>
      </c>
      <c r="R69" s="10">
        <v>0</v>
      </c>
      <c r="S69" s="6" t="s">
        <v>365</v>
      </c>
      <c r="T69" s="6" t="s">
        <v>437</v>
      </c>
      <c r="U69" s="6" t="str">
        <f>_xlfn.XLOOKUP(T69,[1]Detalle_Unidades!F66:F612,[1]Detalle_Unidades!A66:A612)</f>
        <v>TRN1</v>
      </c>
    </row>
    <row r="70" spans="1:21" x14ac:dyDescent="0.25">
      <c r="A70" s="6" t="s">
        <v>442</v>
      </c>
      <c r="B70" s="6" t="s">
        <v>176</v>
      </c>
      <c r="C70" s="5">
        <v>5.2</v>
      </c>
      <c r="D70" s="5">
        <v>9</v>
      </c>
      <c r="E70" s="9">
        <v>0.06</v>
      </c>
      <c r="F70" s="5">
        <f t="shared" si="0"/>
        <v>3.5999999999999996</v>
      </c>
      <c r="G70" s="9">
        <v>0.06</v>
      </c>
      <c r="H70" s="5">
        <f t="shared" si="1"/>
        <v>3.5999999999999996</v>
      </c>
      <c r="I70" s="10">
        <v>0</v>
      </c>
      <c r="J70" s="10"/>
      <c r="K70" s="10">
        <v>0</v>
      </c>
      <c r="M70" s="5">
        <v>4</v>
      </c>
      <c r="N70" s="5">
        <v>1</v>
      </c>
      <c r="O70" s="9">
        <v>2</v>
      </c>
      <c r="P70" s="9">
        <v>3</v>
      </c>
      <c r="Q70" s="10">
        <f t="shared" si="2"/>
        <v>0</v>
      </c>
      <c r="R70" s="10">
        <v>0</v>
      </c>
      <c r="S70" s="6" t="s">
        <v>365</v>
      </c>
      <c r="T70" s="6" t="s">
        <v>437</v>
      </c>
      <c r="U70" s="6" t="str">
        <f>_xlfn.XLOOKUP(T70,[1]Detalle_Unidades!F67:F613,[1]Detalle_Unidades!A67:A613)</f>
        <v>TRN1</v>
      </c>
    </row>
    <row r="71" spans="1:21" x14ac:dyDescent="0.25">
      <c r="A71" s="6" t="s">
        <v>443</v>
      </c>
      <c r="B71" s="6" t="s">
        <v>176</v>
      </c>
      <c r="C71" s="5">
        <v>5.2</v>
      </c>
      <c r="D71" s="5">
        <v>9</v>
      </c>
      <c r="E71" s="9">
        <v>0.06</v>
      </c>
      <c r="F71" s="5">
        <f t="shared" ref="F71:F81" si="3">E71*60</f>
        <v>3.5999999999999996</v>
      </c>
      <c r="G71" s="9">
        <v>0.06</v>
      </c>
      <c r="H71" s="5">
        <f t="shared" ref="H71:H81" si="4">G71*60</f>
        <v>3.5999999999999996</v>
      </c>
      <c r="I71" s="10">
        <v>0</v>
      </c>
      <c r="J71" s="10"/>
      <c r="K71" s="10">
        <v>0</v>
      </c>
      <c r="M71" s="5">
        <v>4</v>
      </c>
      <c r="N71" s="5">
        <v>1</v>
      </c>
      <c r="O71" s="9">
        <v>2</v>
      </c>
      <c r="P71" s="9">
        <v>3</v>
      </c>
      <c r="Q71" s="10">
        <f t="shared" ref="Q71:Q81" si="5">O71*P71*J71</f>
        <v>0</v>
      </c>
      <c r="R71" s="10">
        <v>0</v>
      </c>
      <c r="S71" s="6" t="s">
        <v>365</v>
      </c>
      <c r="T71" s="6" t="s">
        <v>437</v>
      </c>
      <c r="U71" s="6" t="str">
        <f>_xlfn.XLOOKUP(T71,[1]Detalle_Unidades!F68:F614,[1]Detalle_Unidades!A68:A614)</f>
        <v>TRN1</v>
      </c>
    </row>
    <row r="72" spans="1:21" x14ac:dyDescent="0.25">
      <c r="A72" s="6" t="s">
        <v>444</v>
      </c>
      <c r="B72" s="6" t="s">
        <v>176</v>
      </c>
      <c r="C72" s="5">
        <v>5.2</v>
      </c>
      <c r="D72" s="5">
        <v>9</v>
      </c>
      <c r="E72" s="5">
        <v>0</v>
      </c>
      <c r="F72" s="5">
        <f t="shared" si="3"/>
        <v>0</v>
      </c>
      <c r="G72" s="5">
        <v>0</v>
      </c>
      <c r="H72" s="5">
        <f t="shared" si="4"/>
        <v>0</v>
      </c>
      <c r="I72" s="10">
        <v>0</v>
      </c>
      <c r="J72" s="10"/>
      <c r="K72" s="10">
        <v>0</v>
      </c>
      <c r="M72" s="5">
        <v>4</v>
      </c>
      <c r="N72" s="5">
        <v>1</v>
      </c>
      <c r="O72" s="9">
        <v>2</v>
      </c>
      <c r="P72" s="9">
        <v>3</v>
      </c>
      <c r="Q72" s="10">
        <f t="shared" si="5"/>
        <v>0</v>
      </c>
      <c r="R72" s="10">
        <v>0</v>
      </c>
      <c r="S72" s="6" t="s">
        <v>365</v>
      </c>
      <c r="T72" s="6" t="s">
        <v>437</v>
      </c>
      <c r="U72" s="6" t="str">
        <f>_xlfn.XLOOKUP(T72,[1]Detalle_Unidades!F69:F615,[1]Detalle_Unidades!A69:A615)</f>
        <v>TRN1</v>
      </c>
    </row>
    <row r="73" spans="1:21" x14ac:dyDescent="0.25">
      <c r="A73" s="6" t="s">
        <v>445</v>
      </c>
      <c r="B73" s="6" t="s">
        <v>176</v>
      </c>
      <c r="C73" s="5">
        <v>5.2</v>
      </c>
      <c r="D73" s="5">
        <v>9</v>
      </c>
      <c r="E73" s="5">
        <v>0</v>
      </c>
      <c r="F73" s="5">
        <f t="shared" si="3"/>
        <v>0</v>
      </c>
      <c r="G73" s="5">
        <v>0</v>
      </c>
      <c r="H73" s="5">
        <f t="shared" si="4"/>
        <v>0</v>
      </c>
      <c r="I73" s="10">
        <v>0</v>
      </c>
      <c r="J73" s="10"/>
      <c r="K73" s="10">
        <v>0</v>
      </c>
      <c r="M73" s="5">
        <v>4</v>
      </c>
      <c r="N73" s="5">
        <v>1</v>
      </c>
      <c r="O73" s="9">
        <v>2</v>
      </c>
      <c r="P73" s="9">
        <v>3</v>
      </c>
      <c r="Q73" s="10">
        <f t="shared" si="5"/>
        <v>0</v>
      </c>
      <c r="R73" s="10">
        <v>0</v>
      </c>
      <c r="S73" s="6" t="s">
        <v>365</v>
      </c>
      <c r="T73" s="6" t="s">
        <v>437</v>
      </c>
      <c r="U73" s="6" t="str">
        <f>_xlfn.XLOOKUP(T73,[1]Detalle_Unidades!F70:F616,[1]Detalle_Unidades!A70:A616)</f>
        <v>TRN1</v>
      </c>
    </row>
    <row r="74" spans="1:21" x14ac:dyDescent="0.25">
      <c r="A74" s="6" t="s">
        <v>446</v>
      </c>
      <c r="B74" s="6" t="s">
        <v>176</v>
      </c>
      <c r="C74" s="5">
        <v>5.2</v>
      </c>
      <c r="D74" s="5">
        <v>9</v>
      </c>
      <c r="E74" s="5">
        <v>0</v>
      </c>
      <c r="F74" s="5">
        <f t="shared" si="3"/>
        <v>0</v>
      </c>
      <c r="G74" s="5">
        <v>0</v>
      </c>
      <c r="H74" s="5">
        <f t="shared" si="4"/>
        <v>0</v>
      </c>
      <c r="I74" s="10">
        <v>0</v>
      </c>
      <c r="J74" s="10"/>
      <c r="K74" s="10">
        <v>0</v>
      </c>
      <c r="M74" s="5">
        <v>4</v>
      </c>
      <c r="N74" s="5">
        <v>1</v>
      </c>
      <c r="O74" s="9">
        <v>2</v>
      </c>
      <c r="P74" s="9">
        <v>3</v>
      </c>
      <c r="Q74" s="10">
        <f t="shared" si="5"/>
        <v>0</v>
      </c>
      <c r="R74" s="10">
        <v>0</v>
      </c>
      <c r="S74" s="6" t="s">
        <v>365</v>
      </c>
      <c r="T74" s="6" t="s">
        <v>437</v>
      </c>
      <c r="U74" s="6" t="str">
        <f>_xlfn.XLOOKUP(T74,[1]Detalle_Unidades!F71:F617,[1]Detalle_Unidades!A71:A617)</f>
        <v>TRN1</v>
      </c>
    </row>
    <row r="75" spans="1:21" x14ac:dyDescent="0.25">
      <c r="A75" s="6" t="s">
        <v>447</v>
      </c>
      <c r="B75" s="6" t="s">
        <v>179</v>
      </c>
      <c r="C75" s="5">
        <v>68</v>
      </c>
      <c r="D75" s="5">
        <v>165</v>
      </c>
      <c r="E75" s="9">
        <v>4</v>
      </c>
      <c r="F75" s="5">
        <f t="shared" si="3"/>
        <v>240</v>
      </c>
      <c r="G75" s="9">
        <v>4</v>
      </c>
      <c r="H75" s="5">
        <f t="shared" si="4"/>
        <v>240</v>
      </c>
      <c r="I75" s="10">
        <v>0</v>
      </c>
      <c r="J75" s="10"/>
      <c r="K75" s="10">
        <v>0</v>
      </c>
      <c r="M75" s="5">
        <v>72</v>
      </c>
      <c r="N75" s="5">
        <v>3</v>
      </c>
      <c r="O75" s="9">
        <v>8</v>
      </c>
      <c r="P75" s="9">
        <v>12</v>
      </c>
      <c r="Q75" s="10">
        <f t="shared" si="5"/>
        <v>0</v>
      </c>
      <c r="R75" s="10">
        <v>0</v>
      </c>
      <c r="S75" s="6" t="s">
        <v>389</v>
      </c>
      <c r="T75" s="6" t="s">
        <v>447</v>
      </c>
      <c r="U75" s="6" t="str">
        <f>_xlfn.XLOOKUP(T75,[1]Detalle_Unidades!F72:F618,[1]Detalle_Unidades!A72:A618)</f>
        <v>TSJ1</v>
      </c>
    </row>
    <row r="76" spans="1:21" x14ac:dyDescent="0.25">
      <c r="A76" s="6" t="s">
        <v>448</v>
      </c>
      <c r="B76" s="6" t="s">
        <v>179</v>
      </c>
      <c r="C76" s="5">
        <v>66</v>
      </c>
      <c r="D76" s="5">
        <v>170</v>
      </c>
      <c r="E76" s="9">
        <v>1.57</v>
      </c>
      <c r="F76" s="5">
        <f t="shared" si="3"/>
        <v>94.2</v>
      </c>
      <c r="G76" s="9">
        <v>1.57</v>
      </c>
      <c r="H76" s="5">
        <f t="shared" si="4"/>
        <v>94.2</v>
      </c>
      <c r="I76" s="10">
        <v>0</v>
      </c>
      <c r="J76" s="10"/>
      <c r="K76" s="10">
        <v>0</v>
      </c>
      <c r="M76" s="5">
        <v>72</v>
      </c>
      <c r="N76" s="5">
        <v>8</v>
      </c>
      <c r="O76" s="9">
        <v>9</v>
      </c>
      <c r="P76" s="9">
        <v>10</v>
      </c>
      <c r="Q76" s="10">
        <f t="shared" si="5"/>
        <v>0</v>
      </c>
      <c r="R76" s="10">
        <v>0</v>
      </c>
      <c r="S76" s="6" t="s">
        <v>389</v>
      </c>
      <c r="T76" s="6" t="s">
        <v>448</v>
      </c>
      <c r="U76" s="6" t="str">
        <f>_xlfn.XLOOKUP(T76,[1]Detalle_Unidades!F73:F619,[1]Detalle_Unidades!A73:A619)</f>
        <v>TSJ2</v>
      </c>
    </row>
    <row r="77" spans="1:21" x14ac:dyDescent="0.25">
      <c r="A77" s="6" t="s">
        <v>449</v>
      </c>
      <c r="B77" s="6" t="s">
        <v>181</v>
      </c>
      <c r="C77" s="5">
        <v>90</v>
      </c>
      <c r="D77" s="5">
        <v>164</v>
      </c>
      <c r="E77" s="9">
        <v>6.02</v>
      </c>
      <c r="F77" s="5">
        <f t="shared" si="3"/>
        <v>361.2</v>
      </c>
      <c r="G77" s="9">
        <v>6.01</v>
      </c>
      <c r="H77" s="5">
        <f t="shared" si="4"/>
        <v>360.59999999999997</v>
      </c>
      <c r="I77" s="10">
        <v>0</v>
      </c>
      <c r="J77" s="10"/>
      <c r="K77" s="10">
        <v>0</v>
      </c>
      <c r="M77" s="5">
        <v>6</v>
      </c>
      <c r="N77" s="5">
        <v>2</v>
      </c>
      <c r="O77" s="9">
        <v>4.5</v>
      </c>
      <c r="P77" s="9">
        <v>0.4</v>
      </c>
      <c r="Q77" s="10">
        <f t="shared" si="5"/>
        <v>0</v>
      </c>
      <c r="R77" s="10">
        <v>0</v>
      </c>
      <c r="S77" s="6" t="s">
        <v>362</v>
      </c>
      <c r="T77" s="6" t="s">
        <v>449</v>
      </c>
      <c r="U77" s="6" t="str">
        <f>_xlfn.XLOOKUP(T77,[1]Detalle_Unidades!F74:F620,[1]Detalle_Unidades!A74:A620)</f>
        <v>MRL1</v>
      </c>
    </row>
    <row r="78" spans="1:21" x14ac:dyDescent="0.25">
      <c r="A78" s="6" t="s">
        <v>450</v>
      </c>
      <c r="B78" s="6" t="s">
        <v>182</v>
      </c>
      <c r="C78" s="5">
        <v>80</v>
      </c>
      <c r="D78" s="5">
        <v>153</v>
      </c>
      <c r="E78" s="5">
        <v>0</v>
      </c>
      <c r="F78" s="5">
        <f t="shared" si="3"/>
        <v>0</v>
      </c>
      <c r="G78" s="5">
        <v>0</v>
      </c>
      <c r="H78" s="5">
        <f t="shared" si="4"/>
        <v>0</v>
      </c>
      <c r="I78" s="10">
        <v>0</v>
      </c>
      <c r="J78" s="10"/>
      <c r="K78" s="10">
        <v>0</v>
      </c>
      <c r="M78" s="5">
        <v>2</v>
      </c>
      <c r="N78" s="5">
        <v>4</v>
      </c>
      <c r="O78" s="9">
        <v>4</v>
      </c>
      <c r="P78" s="9">
        <v>5</v>
      </c>
      <c r="Q78" s="10">
        <f t="shared" si="5"/>
        <v>0</v>
      </c>
      <c r="R78" s="10">
        <v>0</v>
      </c>
      <c r="S78" s="6" t="s">
        <v>362</v>
      </c>
      <c r="T78" s="6" t="s">
        <v>451</v>
      </c>
      <c r="U78" s="6" t="str">
        <f>_xlfn.XLOOKUP(T78,[1]Detalle_Unidades!F75:F621,[1]Detalle_Unidades!A75:A621)</f>
        <v>TEC1</v>
      </c>
    </row>
    <row r="79" spans="1:21" x14ac:dyDescent="0.25">
      <c r="A79" s="6" t="s">
        <v>452</v>
      </c>
      <c r="B79" s="6" t="s">
        <v>182</v>
      </c>
      <c r="C79" s="5">
        <v>20</v>
      </c>
      <c r="D79" s="5">
        <v>76</v>
      </c>
      <c r="E79" s="5">
        <v>0</v>
      </c>
      <c r="F79" s="5">
        <f t="shared" si="3"/>
        <v>0</v>
      </c>
      <c r="G79" s="5">
        <v>0</v>
      </c>
      <c r="H79" s="5">
        <f t="shared" si="4"/>
        <v>0</v>
      </c>
      <c r="I79" s="10">
        <v>0</v>
      </c>
      <c r="J79" s="10"/>
      <c r="K79" s="10">
        <v>0</v>
      </c>
      <c r="M79" s="5">
        <v>2</v>
      </c>
      <c r="N79" s="5">
        <v>4</v>
      </c>
      <c r="O79" s="9">
        <v>4</v>
      </c>
      <c r="P79" s="9">
        <v>5</v>
      </c>
      <c r="Q79" s="10">
        <f t="shared" si="5"/>
        <v>0</v>
      </c>
      <c r="R79" s="10">
        <v>0</v>
      </c>
      <c r="S79" s="6" t="s">
        <v>362</v>
      </c>
      <c r="T79" s="6" t="s">
        <v>451</v>
      </c>
      <c r="U79" s="6" t="str">
        <f>_xlfn.XLOOKUP(T79,[1]Detalle_Unidades!F76:F622,[1]Detalle_Unidades!A76:A622)</f>
        <v>TEC1</v>
      </c>
    </row>
    <row r="80" spans="1:21" x14ac:dyDescent="0.25">
      <c r="A80" s="6" t="s">
        <v>453</v>
      </c>
      <c r="B80" s="6" t="s">
        <v>182</v>
      </c>
      <c r="C80" s="5">
        <v>65</v>
      </c>
      <c r="D80" s="5">
        <v>160</v>
      </c>
      <c r="E80" s="9">
        <v>1</v>
      </c>
      <c r="F80" s="5">
        <f t="shared" si="3"/>
        <v>60</v>
      </c>
      <c r="G80" s="9">
        <v>4</v>
      </c>
      <c r="H80" s="5">
        <f t="shared" si="4"/>
        <v>240</v>
      </c>
      <c r="I80" s="10">
        <v>0</v>
      </c>
      <c r="J80" s="10"/>
      <c r="K80" s="10">
        <v>0</v>
      </c>
      <c r="M80" s="5">
        <v>10</v>
      </c>
      <c r="N80" s="5">
        <v>4</v>
      </c>
      <c r="O80" s="9">
        <v>4</v>
      </c>
      <c r="P80" s="9">
        <v>0.75</v>
      </c>
      <c r="Q80" s="10">
        <f t="shared" si="5"/>
        <v>0</v>
      </c>
      <c r="R80" s="10">
        <v>0</v>
      </c>
      <c r="S80" s="6" t="s">
        <v>362</v>
      </c>
      <c r="T80" s="6" t="s">
        <v>454</v>
      </c>
      <c r="U80" s="6" t="str">
        <f>_xlfn.XLOOKUP(T80,[1]Detalle_Unidades!F77:F623,[1]Detalle_Unidades!A77:A623)</f>
        <v>TVL1</v>
      </c>
    </row>
    <row r="81" spans="1:21" x14ac:dyDescent="0.25">
      <c r="A81" s="6" t="s">
        <v>455</v>
      </c>
      <c r="B81" s="6" t="s">
        <v>182</v>
      </c>
      <c r="C81" s="5">
        <v>35</v>
      </c>
      <c r="D81" s="5">
        <v>74</v>
      </c>
      <c r="E81" s="9">
        <v>1</v>
      </c>
      <c r="F81" s="5">
        <f t="shared" si="3"/>
        <v>60</v>
      </c>
      <c r="G81" s="9">
        <v>4</v>
      </c>
      <c r="H81" s="5">
        <f t="shared" si="4"/>
        <v>240</v>
      </c>
      <c r="I81" s="10">
        <v>0</v>
      </c>
      <c r="J81" s="10"/>
      <c r="K81" s="10">
        <v>0</v>
      </c>
      <c r="M81" s="5">
        <v>10</v>
      </c>
      <c r="N81" s="5">
        <v>4</v>
      </c>
      <c r="O81" s="9">
        <v>10</v>
      </c>
      <c r="P81" s="9">
        <v>0.75</v>
      </c>
      <c r="Q81" s="10">
        <f t="shared" si="5"/>
        <v>0</v>
      </c>
      <c r="R81" s="10">
        <v>0</v>
      </c>
      <c r="S81" s="6" t="s">
        <v>365</v>
      </c>
      <c r="T81" s="6" t="s">
        <v>454</v>
      </c>
      <c r="U81" s="6" t="str">
        <f>_xlfn.XLOOKUP(T81,[1]Detalle_Unidades!F78:F624,[1]Detalle_Unidades!A78:A624)</f>
        <v>TVL1</v>
      </c>
    </row>
  </sheetData>
  <phoneticPr fontId="6" type="noConversion"/>
  <pageMargins left="0.75" right="0.75" top="1" bottom="1" header="0.5" footer="0.5"/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8" tint="0.79998168889431442"/>
  </sheetPr>
  <dimension ref="A1:Q124"/>
  <sheetViews>
    <sheetView workbookViewId="0">
      <selection activeCell="F8" sqref="F8"/>
    </sheetView>
  </sheetViews>
  <sheetFormatPr defaultRowHeight="15" x14ac:dyDescent="0.25"/>
  <cols>
    <col min="1" max="1" width="22.5703125" customWidth="1"/>
    <col min="2" max="2" width="22.5703125" bestFit="1" customWidth="1"/>
    <col min="3" max="3" width="5.5703125" bestFit="1" customWidth="1"/>
    <col min="4" max="4" width="5.85546875" bestFit="1" customWidth="1"/>
    <col min="5" max="5" width="5.5703125" bestFit="1" customWidth="1"/>
    <col min="6" max="6" width="12" bestFit="1" customWidth="1"/>
    <col min="7" max="7" width="10.140625" bestFit="1" customWidth="1"/>
    <col min="8" max="8" width="5.7109375" bestFit="1" customWidth="1"/>
    <col min="9" max="9" width="6.5703125" bestFit="1" customWidth="1"/>
    <col min="10" max="10" width="9.140625" customWidth="1"/>
    <col min="11" max="11" width="5.7109375" bestFit="1" customWidth="1"/>
    <col min="12" max="12" width="7" bestFit="1" customWidth="1"/>
    <col min="13" max="13" width="14.7109375" bestFit="1" customWidth="1"/>
    <col min="14" max="14" width="24.140625" bestFit="1" customWidth="1"/>
    <col min="15" max="15" width="6.85546875" bestFit="1" customWidth="1"/>
    <col min="16" max="16" width="7.5703125" bestFit="1" customWidth="1"/>
    <col min="17" max="17" width="8.7109375" bestFit="1" customWidth="1"/>
    <col min="18" max="19" width="9.7109375" bestFit="1" customWidth="1"/>
  </cols>
  <sheetData>
    <row r="1" spans="1:17" ht="18.75" x14ac:dyDescent="0.3">
      <c r="A1" s="1" t="s">
        <v>207</v>
      </c>
      <c r="F1" s="12" t="s">
        <v>322</v>
      </c>
      <c r="G1" s="18">
        <v>46209</v>
      </c>
    </row>
    <row r="2" spans="1:17" x14ac:dyDescent="0.25">
      <c r="A2" s="2" t="s">
        <v>68</v>
      </c>
    </row>
    <row r="4" spans="1:17" x14ac:dyDescent="0.25">
      <c r="A4" s="3" t="s">
        <v>35</v>
      </c>
      <c r="B4" s="3" t="s">
        <v>46</v>
      </c>
      <c r="C4" s="3" t="s">
        <v>54</v>
      </c>
      <c r="D4" s="3" t="s">
        <v>55</v>
      </c>
      <c r="E4" s="3" t="s">
        <v>208</v>
      </c>
      <c r="F4" s="3" t="s">
        <v>209</v>
      </c>
      <c r="G4" s="3" t="s">
        <v>210</v>
      </c>
      <c r="H4" s="3" t="s">
        <v>222</v>
      </c>
      <c r="I4" s="3" t="s">
        <v>223</v>
      </c>
      <c r="J4" s="3" t="s">
        <v>224</v>
      </c>
      <c r="K4" s="3" t="s">
        <v>211</v>
      </c>
      <c r="L4" s="3" t="s">
        <v>50</v>
      </c>
      <c r="M4" s="12" t="s">
        <v>225</v>
      </c>
      <c r="N4" s="12" t="s">
        <v>359</v>
      </c>
      <c r="O4" s="12" t="s">
        <v>327</v>
      </c>
      <c r="P4" s="12" t="s">
        <v>328</v>
      </c>
      <c r="Q4" s="12" t="s">
        <v>329</v>
      </c>
    </row>
    <row r="5" spans="1:17" x14ac:dyDescent="0.25">
      <c r="A5" s="4"/>
      <c r="B5" s="4"/>
      <c r="C5" s="4" t="s">
        <v>38</v>
      </c>
      <c r="D5" s="4" t="s">
        <v>38</v>
      </c>
      <c r="E5" s="4" t="s">
        <v>212</v>
      </c>
      <c r="F5" s="4" t="s">
        <v>212</v>
      </c>
      <c r="G5" s="4" t="s">
        <v>213</v>
      </c>
      <c r="H5" s="4" t="s">
        <v>70</v>
      </c>
      <c r="I5" s="4" t="s">
        <v>70</v>
      </c>
      <c r="J5" s="4" t="s">
        <v>70</v>
      </c>
      <c r="K5" s="17" t="s">
        <v>212</v>
      </c>
      <c r="L5" s="4" t="s">
        <v>69</v>
      </c>
      <c r="M5" s="4" t="s">
        <v>38</v>
      </c>
      <c r="N5" s="4"/>
      <c r="O5" s="4"/>
      <c r="P5" s="4" t="s">
        <v>330</v>
      </c>
      <c r="Q5" s="4" t="s">
        <v>330</v>
      </c>
    </row>
    <row r="6" spans="1:17" x14ac:dyDescent="0.25">
      <c r="A6" s="6" t="s">
        <v>456</v>
      </c>
      <c r="B6" s="5" t="s">
        <v>165</v>
      </c>
      <c r="C6" s="5">
        <v>0</v>
      </c>
      <c r="D6" s="5">
        <v>39</v>
      </c>
      <c r="E6" s="5">
        <f>C6/G6</f>
        <v>0</v>
      </c>
      <c r="F6" s="23">
        <f>D6/G6</f>
        <v>32.370517928286851</v>
      </c>
      <c r="G6" s="5">
        <v>1.2048000000000001</v>
      </c>
      <c r="H6" s="5">
        <v>0</v>
      </c>
      <c r="I6" s="5">
        <v>0</v>
      </c>
      <c r="J6" s="26">
        <f>H6+1/1*(I6-H6)</f>
        <v>0</v>
      </c>
      <c r="K6" s="5">
        <v>0</v>
      </c>
      <c r="L6" s="10"/>
      <c r="M6" s="5">
        <v>15.6</v>
      </c>
      <c r="N6" s="6" t="s">
        <v>293</v>
      </c>
      <c r="O6" s="5" t="s">
        <v>457</v>
      </c>
    </row>
    <row r="7" spans="1:17" x14ac:dyDescent="0.25">
      <c r="A7" s="6" t="s">
        <v>458</v>
      </c>
      <c r="B7" s="5" t="s">
        <v>165</v>
      </c>
      <c r="C7" s="5">
        <v>0</v>
      </c>
      <c r="D7" s="5">
        <v>39</v>
      </c>
      <c r="E7" s="5">
        <v>0</v>
      </c>
      <c r="F7" s="23">
        <f t="shared" ref="F7:F70" si="0">D7/G7</f>
        <v>32.370517928286851</v>
      </c>
      <c r="G7" s="24">
        <v>1.2048000000000001</v>
      </c>
      <c r="H7" s="5">
        <v>0</v>
      </c>
      <c r="I7" s="5">
        <v>0</v>
      </c>
      <c r="J7" s="23">
        <f t="shared" ref="J7:J70" si="1">H7+1/1*(I7-H7)</f>
        <v>0</v>
      </c>
      <c r="K7" s="5">
        <v>0</v>
      </c>
      <c r="L7" s="10"/>
      <c r="M7" s="5">
        <v>15.6</v>
      </c>
      <c r="N7" s="6" t="s">
        <v>293</v>
      </c>
      <c r="O7" s="5" t="s">
        <v>457</v>
      </c>
    </row>
    <row r="8" spans="1:17" x14ac:dyDescent="0.25">
      <c r="A8" s="6" t="s">
        <v>459</v>
      </c>
      <c r="B8" s="5" t="s">
        <v>165</v>
      </c>
      <c r="C8" s="5">
        <v>0</v>
      </c>
      <c r="D8" s="5">
        <v>19</v>
      </c>
      <c r="E8" s="5">
        <v>0</v>
      </c>
      <c r="F8" s="23">
        <f t="shared" si="0"/>
        <v>11.852776044915784</v>
      </c>
      <c r="G8" s="24">
        <v>1.603</v>
      </c>
      <c r="H8" s="5">
        <v>0</v>
      </c>
      <c r="I8" s="5">
        <v>0</v>
      </c>
      <c r="J8" s="23">
        <f t="shared" si="1"/>
        <v>0</v>
      </c>
      <c r="K8" s="5">
        <v>0</v>
      </c>
      <c r="L8" s="10"/>
      <c r="M8" s="5">
        <v>8</v>
      </c>
      <c r="N8" s="6" t="s">
        <v>306</v>
      </c>
      <c r="O8" s="5" t="s">
        <v>460</v>
      </c>
    </row>
    <row r="9" spans="1:17" x14ac:dyDescent="0.25">
      <c r="A9" s="6" t="s">
        <v>461</v>
      </c>
      <c r="B9" s="5" t="s">
        <v>165</v>
      </c>
      <c r="C9" s="5">
        <v>0</v>
      </c>
      <c r="D9" s="5">
        <v>18</v>
      </c>
      <c r="E9" s="5">
        <v>0</v>
      </c>
      <c r="F9" s="23">
        <f t="shared" si="0"/>
        <v>11.228945726762321</v>
      </c>
      <c r="G9" s="24">
        <v>1.603</v>
      </c>
      <c r="H9" s="5">
        <v>0</v>
      </c>
      <c r="I9" s="5">
        <v>0</v>
      </c>
      <c r="J9" s="23">
        <f t="shared" si="1"/>
        <v>0</v>
      </c>
      <c r="K9" s="5">
        <v>0</v>
      </c>
      <c r="L9" s="10"/>
      <c r="M9" s="5">
        <v>8</v>
      </c>
      <c r="N9" s="6" t="s">
        <v>306</v>
      </c>
      <c r="O9" s="5" t="s">
        <v>460</v>
      </c>
    </row>
    <row r="10" spans="1:17" x14ac:dyDescent="0.25">
      <c r="A10" s="6" t="s">
        <v>462</v>
      </c>
      <c r="B10" s="5" t="s">
        <v>165</v>
      </c>
      <c r="C10" s="5">
        <v>0</v>
      </c>
      <c r="D10" s="5">
        <v>18</v>
      </c>
      <c r="E10" s="5">
        <v>0</v>
      </c>
      <c r="F10" s="23">
        <f t="shared" si="0"/>
        <v>11.228945726762321</v>
      </c>
      <c r="G10" s="24">
        <v>1.603</v>
      </c>
      <c r="H10" s="5">
        <v>0</v>
      </c>
      <c r="I10" s="5">
        <v>0</v>
      </c>
      <c r="J10" s="23">
        <f t="shared" si="1"/>
        <v>0</v>
      </c>
      <c r="K10" s="5">
        <v>0</v>
      </c>
      <c r="L10" s="10"/>
      <c r="M10" s="5">
        <v>8</v>
      </c>
      <c r="N10" s="6" t="s">
        <v>306</v>
      </c>
      <c r="O10" s="5" t="s">
        <v>460</v>
      </c>
    </row>
    <row r="11" spans="1:17" x14ac:dyDescent="0.25">
      <c r="A11" s="6" t="s">
        <v>463</v>
      </c>
      <c r="B11" s="5" t="s">
        <v>165</v>
      </c>
      <c r="C11" s="5">
        <v>0</v>
      </c>
      <c r="D11" s="5">
        <v>45</v>
      </c>
      <c r="E11" s="5">
        <v>0</v>
      </c>
      <c r="F11" s="23">
        <f t="shared" si="0"/>
        <v>9.7497562560935975</v>
      </c>
      <c r="G11" s="24">
        <v>4.6154999999999999</v>
      </c>
      <c r="H11" s="5">
        <v>0</v>
      </c>
      <c r="I11" s="5">
        <v>0</v>
      </c>
      <c r="J11" s="23">
        <f t="shared" si="1"/>
        <v>0</v>
      </c>
      <c r="K11" s="5">
        <v>0</v>
      </c>
      <c r="L11" s="10"/>
      <c r="M11" s="5">
        <v>0</v>
      </c>
      <c r="N11" s="6" t="s">
        <v>464</v>
      </c>
      <c r="O11" s="27">
        <v>0</v>
      </c>
    </row>
    <row r="12" spans="1:17" x14ac:dyDescent="0.25">
      <c r="A12" s="6" t="s">
        <v>465</v>
      </c>
      <c r="B12" s="5" t="s">
        <v>165</v>
      </c>
      <c r="C12" s="5">
        <v>0</v>
      </c>
      <c r="D12" s="5">
        <v>45</v>
      </c>
      <c r="E12" s="5">
        <v>0</v>
      </c>
      <c r="F12" s="23">
        <f t="shared" si="0"/>
        <v>9.7497562560935975</v>
      </c>
      <c r="G12" s="24">
        <v>4.6154999999999999</v>
      </c>
      <c r="H12" s="5">
        <v>0</v>
      </c>
      <c r="I12" s="5">
        <v>0</v>
      </c>
      <c r="J12" s="23">
        <f t="shared" si="1"/>
        <v>0</v>
      </c>
      <c r="K12" s="5">
        <v>0</v>
      </c>
      <c r="L12" s="10"/>
      <c r="M12" s="5">
        <v>0</v>
      </c>
      <c r="N12" s="6" t="s">
        <v>464</v>
      </c>
      <c r="O12" s="27">
        <v>0</v>
      </c>
    </row>
    <row r="13" spans="1:17" x14ac:dyDescent="0.25">
      <c r="A13" s="6" t="s">
        <v>466</v>
      </c>
      <c r="B13" s="5" t="s">
        <v>165</v>
      </c>
      <c r="C13" s="5">
        <v>0</v>
      </c>
      <c r="D13" s="5">
        <v>45</v>
      </c>
      <c r="E13" s="5">
        <v>0</v>
      </c>
      <c r="F13" s="23">
        <f t="shared" si="0"/>
        <v>9.7497562560935975</v>
      </c>
      <c r="G13" s="24">
        <v>4.6154999999999999</v>
      </c>
      <c r="H13" s="5">
        <v>0</v>
      </c>
      <c r="I13" s="5">
        <v>0</v>
      </c>
      <c r="J13" s="23">
        <f t="shared" si="1"/>
        <v>0</v>
      </c>
      <c r="K13" s="5">
        <v>0</v>
      </c>
      <c r="L13" s="10"/>
      <c r="M13" s="5">
        <v>0</v>
      </c>
      <c r="N13" s="6" t="s">
        <v>464</v>
      </c>
      <c r="O13" s="27">
        <v>0</v>
      </c>
    </row>
    <row r="14" spans="1:17" x14ac:dyDescent="0.25">
      <c r="A14" s="6" t="s">
        <v>467</v>
      </c>
      <c r="B14" s="5" t="s">
        <v>165</v>
      </c>
      <c r="C14" s="5">
        <v>0</v>
      </c>
      <c r="D14" s="5">
        <v>45</v>
      </c>
      <c r="E14" s="5">
        <v>0</v>
      </c>
      <c r="F14" s="23">
        <f t="shared" si="0"/>
        <v>9.7497562560935975</v>
      </c>
      <c r="G14" s="24">
        <v>4.6154999999999999</v>
      </c>
      <c r="H14" s="5">
        <v>0</v>
      </c>
      <c r="I14" s="5">
        <v>0</v>
      </c>
      <c r="J14" s="23">
        <f t="shared" si="1"/>
        <v>0</v>
      </c>
      <c r="K14" s="5">
        <v>0</v>
      </c>
      <c r="L14" s="10"/>
      <c r="M14" s="5">
        <v>0</v>
      </c>
      <c r="N14" s="6" t="s">
        <v>464</v>
      </c>
      <c r="O14" s="27">
        <v>0</v>
      </c>
    </row>
    <row r="15" spans="1:17" x14ac:dyDescent="0.25">
      <c r="A15" s="6" t="s">
        <v>468</v>
      </c>
      <c r="B15" s="5" t="s">
        <v>165</v>
      </c>
      <c r="C15" s="5">
        <v>0</v>
      </c>
      <c r="D15" s="5">
        <v>45</v>
      </c>
      <c r="E15" s="5">
        <v>0</v>
      </c>
      <c r="F15" s="23">
        <f t="shared" si="0"/>
        <v>9.7497562560935975</v>
      </c>
      <c r="G15" s="24">
        <v>4.6154999999999999</v>
      </c>
      <c r="H15" s="5">
        <v>0</v>
      </c>
      <c r="I15" s="5">
        <v>0</v>
      </c>
      <c r="J15" s="23">
        <f t="shared" si="1"/>
        <v>0</v>
      </c>
      <c r="K15" s="5">
        <v>0</v>
      </c>
      <c r="L15" s="10"/>
      <c r="M15" s="5">
        <v>0</v>
      </c>
      <c r="N15" s="6" t="s">
        <v>464</v>
      </c>
      <c r="O15" s="27">
        <v>0</v>
      </c>
    </row>
    <row r="16" spans="1:17" x14ac:dyDescent="0.25">
      <c r="A16" s="6" t="s">
        <v>469</v>
      </c>
      <c r="B16" s="5" t="s">
        <v>165</v>
      </c>
      <c r="C16" s="5">
        <v>0</v>
      </c>
      <c r="D16" s="5">
        <v>45</v>
      </c>
      <c r="E16" s="5">
        <v>0</v>
      </c>
      <c r="F16" s="23">
        <f t="shared" si="0"/>
        <v>9.7497562560935975</v>
      </c>
      <c r="G16" s="24">
        <v>4.6154999999999999</v>
      </c>
      <c r="H16" s="5">
        <v>0</v>
      </c>
      <c r="I16" s="5">
        <v>0</v>
      </c>
      <c r="J16" s="23">
        <f t="shared" si="1"/>
        <v>0</v>
      </c>
      <c r="K16" s="5">
        <v>0</v>
      </c>
      <c r="L16" s="10"/>
      <c r="M16" s="5">
        <v>0</v>
      </c>
      <c r="N16" s="6" t="s">
        <v>464</v>
      </c>
      <c r="O16" s="27">
        <v>0</v>
      </c>
    </row>
    <row r="17" spans="1:15" x14ac:dyDescent="0.25">
      <c r="A17" s="6" t="s">
        <v>470</v>
      </c>
      <c r="B17" s="5" t="s">
        <v>165</v>
      </c>
      <c r="C17" s="5">
        <v>0</v>
      </c>
      <c r="D17" s="5">
        <v>75</v>
      </c>
      <c r="E17" s="5">
        <v>0</v>
      </c>
      <c r="F17" s="23">
        <f t="shared" si="0"/>
        <v>20.546256472070787</v>
      </c>
      <c r="G17" s="24">
        <v>3.6503000000000001</v>
      </c>
      <c r="H17" s="5">
        <v>0</v>
      </c>
      <c r="I17" s="5">
        <v>0</v>
      </c>
      <c r="J17" s="23">
        <f t="shared" si="1"/>
        <v>0</v>
      </c>
      <c r="K17" s="5">
        <v>0</v>
      </c>
      <c r="L17" s="10"/>
      <c r="M17" s="5">
        <v>35</v>
      </c>
      <c r="N17" s="6" t="s">
        <v>471</v>
      </c>
      <c r="O17" s="27">
        <v>0</v>
      </c>
    </row>
    <row r="18" spans="1:15" x14ac:dyDescent="0.25">
      <c r="A18" s="6" t="s">
        <v>472</v>
      </c>
      <c r="B18" s="5" t="s">
        <v>165</v>
      </c>
      <c r="C18" s="5">
        <v>0</v>
      </c>
      <c r="D18" s="5">
        <v>75</v>
      </c>
      <c r="E18" s="5">
        <v>0</v>
      </c>
      <c r="F18" s="23">
        <f t="shared" si="0"/>
        <v>20.546256472070787</v>
      </c>
      <c r="G18" s="24">
        <v>3.6503000000000001</v>
      </c>
      <c r="H18" s="5">
        <v>0</v>
      </c>
      <c r="I18" s="5">
        <v>0</v>
      </c>
      <c r="J18" s="23">
        <f t="shared" si="1"/>
        <v>0</v>
      </c>
      <c r="K18" s="5">
        <v>0</v>
      </c>
      <c r="L18" s="10"/>
      <c r="M18" s="5">
        <v>35</v>
      </c>
      <c r="N18" s="6" t="s">
        <v>471</v>
      </c>
      <c r="O18" s="27">
        <v>0</v>
      </c>
    </row>
    <row r="19" spans="1:15" x14ac:dyDescent="0.25">
      <c r="A19" s="6" t="s">
        <v>473</v>
      </c>
      <c r="B19" s="5" t="s">
        <v>165</v>
      </c>
      <c r="C19" s="5">
        <v>0</v>
      </c>
      <c r="D19" s="5">
        <v>75</v>
      </c>
      <c r="E19" s="5">
        <v>0</v>
      </c>
      <c r="F19" s="23">
        <f t="shared" si="0"/>
        <v>20.546256472070787</v>
      </c>
      <c r="G19" s="24">
        <v>3.6503000000000001</v>
      </c>
      <c r="H19" s="5">
        <v>0</v>
      </c>
      <c r="I19" s="5">
        <v>0</v>
      </c>
      <c r="J19" s="23">
        <f t="shared" si="1"/>
        <v>0</v>
      </c>
      <c r="K19" s="5">
        <v>0</v>
      </c>
      <c r="L19" s="10"/>
      <c r="M19" s="5">
        <v>35</v>
      </c>
      <c r="N19" s="6" t="s">
        <v>471</v>
      </c>
      <c r="O19" s="27">
        <v>0</v>
      </c>
    </row>
    <row r="20" spans="1:15" x14ac:dyDescent="0.25">
      <c r="A20" s="6" t="s">
        <v>474</v>
      </c>
      <c r="B20" s="5" t="s">
        <v>165</v>
      </c>
      <c r="C20" s="5">
        <v>0</v>
      </c>
      <c r="D20" s="5">
        <v>70</v>
      </c>
      <c r="E20" s="5">
        <v>0</v>
      </c>
      <c r="F20" s="23">
        <f t="shared" si="0"/>
        <v>9.6975742210769855</v>
      </c>
      <c r="G20" s="24">
        <v>7.2183000000000002</v>
      </c>
      <c r="H20" s="5">
        <v>0</v>
      </c>
      <c r="I20" s="5">
        <v>0</v>
      </c>
      <c r="J20" s="23">
        <f t="shared" si="1"/>
        <v>0</v>
      </c>
      <c r="K20" s="5">
        <v>0</v>
      </c>
      <c r="L20" s="10"/>
      <c r="M20" s="5">
        <v>0</v>
      </c>
      <c r="N20" s="6" t="s">
        <v>310</v>
      </c>
      <c r="O20" s="5" t="s">
        <v>475</v>
      </c>
    </row>
    <row r="21" spans="1:15" x14ac:dyDescent="0.25">
      <c r="A21" s="6" t="s">
        <v>476</v>
      </c>
      <c r="B21" s="5" t="s">
        <v>165</v>
      </c>
      <c r="C21" s="5">
        <v>0</v>
      </c>
      <c r="D21" s="5">
        <v>70</v>
      </c>
      <c r="E21" s="5">
        <v>0</v>
      </c>
      <c r="F21" s="23">
        <f t="shared" si="0"/>
        <v>9.6975742210769855</v>
      </c>
      <c r="G21" s="24">
        <v>7.2183000000000002</v>
      </c>
      <c r="H21" s="5">
        <v>0</v>
      </c>
      <c r="I21" s="5">
        <v>0</v>
      </c>
      <c r="J21" s="23">
        <f t="shared" si="1"/>
        <v>0</v>
      </c>
      <c r="K21" s="5">
        <v>0</v>
      </c>
      <c r="L21" s="10"/>
      <c r="M21" s="5">
        <v>0</v>
      </c>
      <c r="N21" s="6" t="s">
        <v>310</v>
      </c>
      <c r="O21" s="5" t="s">
        <v>475</v>
      </c>
    </row>
    <row r="22" spans="1:15" x14ac:dyDescent="0.25">
      <c r="A22" s="6" t="s">
        <v>477</v>
      </c>
      <c r="B22" s="5" t="s">
        <v>165</v>
      </c>
      <c r="C22" s="5">
        <v>0</v>
      </c>
      <c r="D22" s="5">
        <v>70</v>
      </c>
      <c r="E22" s="5">
        <v>0</v>
      </c>
      <c r="F22" s="23">
        <f t="shared" si="0"/>
        <v>9.6975742210769855</v>
      </c>
      <c r="G22" s="24">
        <v>7.2183000000000002</v>
      </c>
      <c r="H22" s="5">
        <v>0</v>
      </c>
      <c r="I22" s="5">
        <v>0</v>
      </c>
      <c r="J22" s="23">
        <f t="shared" si="1"/>
        <v>0</v>
      </c>
      <c r="K22" s="5">
        <v>0</v>
      </c>
      <c r="L22" s="10"/>
      <c r="M22" s="5">
        <v>0</v>
      </c>
      <c r="N22" s="6" t="s">
        <v>310</v>
      </c>
      <c r="O22" s="5" t="s">
        <v>475</v>
      </c>
    </row>
    <row r="23" spans="1:15" x14ac:dyDescent="0.25">
      <c r="A23" s="6" t="s">
        <v>478</v>
      </c>
      <c r="B23" s="5" t="s">
        <v>165</v>
      </c>
      <c r="C23" s="5">
        <v>0</v>
      </c>
      <c r="D23" s="5">
        <v>70</v>
      </c>
      <c r="E23" s="5">
        <v>0</v>
      </c>
      <c r="F23" s="23">
        <f t="shared" si="0"/>
        <v>9.6975742210769855</v>
      </c>
      <c r="G23" s="24">
        <v>7.2183000000000002</v>
      </c>
      <c r="H23" s="5">
        <v>0</v>
      </c>
      <c r="I23" s="5">
        <v>0</v>
      </c>
      <c r="J23" s="23">
        <f t="shared" si="1"/>
        <v>0</v>
      </c>
      <c r="K23" s="5">
        <v>0</v>
      </c>
      <c r="L23" s="10"/>
      <c r="M23" s="5">
        <v>0</v>
      </c>
      <c r="N23" s="6" t="s">
        <v>310</v>
      </c>
      <c r="O23" s="5" t="s">
        <v>475</v>
      </c>
    </row>
    <row r="24" spans="1:15" x14ac:dyDescent="0.25">
      <c r="A24" s="6" t="s">
        <v>479</v>
      </c>
      <c r="B24" s="5" t="s">
        <v>165</v>
      </c>
      <c r="C24" s="5">
        <v>0</v>
      </c>
      <c r="D24" s="5">
        <v>70</v>
      </c>
      <c r="E24" s="5">
        <v>0</v>
      </c>
      <c r="F24" s="23">
        <f t="shared" si="0"/>
        <v>9.6975742210769855</v>
      </c>
      <c r="G24" s="24">
        <v>7.2183000000000002</v>
      </c>
      <c r="H24" s="5">
        <v>0</v>
      </c>
      <c r="I24" s="5">
        <v>0</v>
      </c>
      <c r="J24" s="23">
        <f t="shared" si="1"/>
        <v>0</v>
      </c>
      <c r="K24" s="5">
        <v>0</v>
      </c>
      <c r="L24" s="10"/>
      <c r="M24" s="5">
        <v>0</v>
      </c>
      <c r="N24" s="6" t="s">
        <v>310</v>
      </c>
      <c r="O24" s="5" t="s">
        <v>475</v>
      </c>
    </row>
    <row r="25" spans="1:15" x14ac:dyDescent="0.25">
      <c r="A25" s="6" t="s">
        <v>480</v>
      </c>
      <c r="B25" s="5" t="s">
        <v>165</v>
      </c>
      <c r="C25" s="5">
        <v>0</v>
      </c>
      <c r="D25" s="5">
        <v>70</v>
      </c>
      <c r="E25" s="5">
        <v>0</v>
      </c>
      <c r="F25" s="23">
        <f t="shared" si="0"/>
        <v>9.6975742210769855</v>
      </c>
      <c r="G25" s="24">
        <v>7.2183000000000002</v>
      </c>
      <c r="H25" s="5">
        <v>0</v>
      </c>
      <c r="I25" s="5">
        <v>0</v>
      </c>
      <c r="J25" s="23">
        <f t="shared" si="1"/>
        <v>0</v>
      </c>
      <c r="K25" s="5">
        <v>0</v>
      </c>
      <c r="L25" s="10"/>
      <c r="M25" s="5">
        <v>0</v>
      </c>
      <c r="N25" s="6" t="s">
        <v>310</v>
      </c>
      <c r="O25" s="5" t="s">
        <v>475</v>
      </c>
    </row>
    <row r="26" spans="1:15" x14ac:dyDescent="0.25">
      <c r="A26" s="6" t="s">
        <v>481</v>
      </c>
      <c r="B26" s="5" t="s">
        <v>165</v>
      </c>
      <c r="C26" s="5">
        <v>0</v>
      </c>
      <c r="D26" s="5">
        <v>70</v>
      </c>
      <c r="E26" s="5">
        <v>0</v>
      </c>
      <c r="F26" s="23">
        <f t="shared" si="0"/>
        <v>9.6975742210769855</v>
      </c>
      <c r="G26" s="24">
        <v>7.2183000000000002</v>
      </c>
      <c r="H26" s="5">
        <v>0</v>
      </c>
      <c r="I26" s="5">
        <v>0</v>
      </c>
      <c r="J26" s="23">
        <f t="shared" si="1"/>
        <v>0</v>
      </c>
      <c r="K26" s="5">
        <v>0</v>
      </c>
      <c r="L26" s="10"/>
      <c r="M26" s="5">
        <v>0</v>
      </c>
      <c r="N26" s="6" t="s">
        <v>310</v>
      </c>
      <c r="O26" s="5" t="s">
        <v>475</v>
      </c>
    </row>
    <row r="27" spans="1:15" x14ac:dyDescent="0.25">
      <c r="A27" s="6" t="s">
        <v>482</v>
      </c>
      <c r="B27" s="5" t="s">
        <v>165</v>
      </c>
      <c r="C27" s="5">
        <v>0</v>
      </c>
      <c r="D27" s="5">
        <v>70</v>
      </c>
      <c r="E27" s="5">
        <v>0</v>
      </c>
      <c r="F27" s="23">
        <f t="shared" si="0"/>
        <v>9.6975742210769855</v>
      </c>
      <c r="G27" s="24">
        <v>7.2183000000000002</v>
      </c>
      <c r="H27" s="5">
        <v>0</v>
      </c>
      <c r="I27" s="5">
        <v>0</v>
      </c>
      <c r="J27" s="23">
        <f t="shared" si="1"/>
        <v>0</v>
      </c>
      <c r="K27" s="5">
        <v>0</v>
      </c>
      <c r="L27" s="10"/>
      <c r="M27" s="5">
        <v>0</v>
      </c>
      <c r="N27" s="6" t="s">
        <v>310</v>
      </c>
      <c r="O27" s="5" t="s">
        <v>475</v>
      </c>
    </row>
    <row r="28" spans="1:15" x14ac:dyDescent="0.25">
      <c r="A28" s="6" t="s">
        <v>483</v>
      </c>
      <c r="B28" s="5" t="s">
        <v>165</v>
      </c>
      <c r="C28" s="5">
        <v>0</v>
      </c>
      <c r="D28" s="5">
        <v>300</v>
      </c>
      <c r="E28" s="5">
        <v>0</v>
      </c>
      <c r="F28" s="23">
        <f t="shared" si="0"/>
        <v>173.79214459506431</v>
      </c>
      <c r="G28" s="24">
        <v>1.7262</v>
      </c>
      <c r="H28" s="5">
        <v>0</v>
      </c>
      <c r="I28" s="25">
        <v>1299</v>
      </c>
      <c r="J28" s="23">
        <f t="shared" si="1"/>
        <v>1299</v>
      </c>
      <c r="K28" s="5">
        <v>0</v>
      </c>
      <c r="L28" s="10"/>
      <c r="M28" s="5">
        <v>154</v>
      </c>
      <c r="N28" s="6" t="s">
        <v>235</v>
      </c>
      <c r="O28" s="5" t="s">
        <v>484</v>
      </c>
    </row>
    <row r="29" spans="1:15" x14ac:dyDescent="0.25">
      <c r="A29" s="6" t="s">
        <v>485</v>
      </c>
      <c r="B29" s="5" t="s">
        <v>165</v>
      </c>
      <c r="C29" s="5">
        <v>0</v>
      </c>
      <c r="D29" s="5">
        <v>300</v>
      </c>
      <c r="E29" s="5">
        <v>0</v>
      </c>
      <c r="F29" s="23">
        <f t="shared" si="0"/>
        <v>173.79214459506431</v>
      </c>
      <c r="G29" s="24">
        <v>1.7262</v>
      </c>
      <c r="H29" s="5">
        <v>0</v>
      </c>
      <c r="I29" s="25">
        <v>1299</v>
      </c>
      <c r="J29" s="23">
        <f t="shared" si="1"/>
        <v>1299</v>
      </c>
      <c r="K29" s="5">
        <v>0</v>
      </c>
      <c r="L29" s="10"/>
      <c r="M29" s="5">
        <v>154</v>
      </c>
      <c r="N29" s="6" t="s">
        <v>235</v>
      </c>
      <c r="O29" s="5" t="s">
        <v>484</v>
      </c>
    </row>
    <row r="30" spans="1:15" x14ac:dyDescent="0.25">
      <c r="A30" s="6" t="s">
        <v>486</v>
      </c>
      <c r="B30" s="5" t="s">
        <v>165</v>
      </c>
      <c r="C30" s="5">
        <v>0</v>
      </c>
      <c r="D30" s="5">
        <v>300</v>
      </c>
      <c r="E30" s="5">
        <v>0</v>
      </c>
      <c r="F30" s="23">
        <f t="shared" si="0"/>
        <v>173.79214459506431</v>
      </c>
      <c r="G30" s="24">
        <v>1.7262</v>
      </c>
      <c r="H30" s="5">
        <v>0</v>
      </c>
      <c r="I30" s="25">
        <v>1299</v>
      </c>
      <c r="J30" s="23">
        <f t="shared" si="1"/>
        <v>1299</v>
      </c>
      <c r="K30" s="5">
        <v>0</v>
      </c>
      <c r="L30" s="10"/>
      <c r="M30" s="5">
        <v>154</v>
      </c>
      <c r="N30" s="6" t="s">
        <v>235</v>
      </c>
      <c r="O30" s="5" t="s">
        <v>484</v>
      </c>
    </row>
    <row r="31" spans="1:15" x14ac:dyDescent="0.25">
      <c r="A31" s="6" t="s">
        <v>487</v>
      </c>
      <c r="B31" s="5" t="s">
        <v>165</v>
      </c>
      <c r="C31" s="5">
        <v>0</v>
      </c>
      <c r="D31" s="5">
        <v>300</v>
      </c>
      <c r="E31" s="5">
        <v>0</v>
      </c>
      <c r="F31" s="23">
        <f t="shared" si="0"/>
        <v>173.79214459506431</v>
      </c>
      <c r="G31" s="24">
        <v>1.7262</v>
      </c>
      <c r="H31" s="5">
        <v>0</v>
      </c>
      <c r="I31" s="25">
        <v>1299</v>
      </c>
      <c r="J31" s="23">
        <f t="shared" si="1"/>
        <v>1299</v>
      </c>
      <c r="K31" s="5">
        <v>0</v>
      </c>
      <c r="L31" s="10"/>
      <c r="M31" s="5">
        <v>154</v>
      </c>
      <c r="N31" s="6" t="s">
        <v>235</v>
      </c>
      <c r="O31" s="5" t="s">
        <v>484</v>
      </c>
    </row>
    <row r="32" spans="1:15" x14ac:dyDescent="0.25">
      <c r="A32" s="6" t="s">
        <v>488</v>
      </c>
      <c r="B32" s="5" t="s">
        <v>165</v>
      </c>
      <c r="C32" s="5">
        <v>0</v>
      </c>
      <c r="D32" s="5">
        <v>85</v>
      </c>
      <c r="E32" s="5">
        <v>0</v>
      </c>
      <c r="F32" s="23">
        <f t="shared" si="0"/>
        <v>36.030689669789325</v>
      </c>
      <c r="G32" s="24">
        <v>2.3591000000000002</v>
      </c>
      <c r="H32" s="5">
        <v>0</v>
      </c>
      <c r="I32" s="5">
        <v>0</v>
      </c>
      <c r="J32" s="23">
        <f t="shared" si="1"/>
        <v>0</v>
      </c>
      <c r="K32" s="5">
        <v>0</v>
      </c>
      <c r="L32" s="10"/>
      <c r="M32" s="5">
        <v>15</v>
      </c>
      <c r="N32" s="6" t="s">
        <v>489</v>
      </c>
      <c r="O32" s="5" t="s">
        <v>490</v>
      </c>
    </row>
    <row r="33" spans="1:15" x14ac:dyDescent="0.25">
      <c r="A33" s="6" t="s">
        <v>491</v>
      </c>
      <c r="B33" s="5" t="s">
        <v>165</v>
      </c>
      <c r="C33" s="5">
        <v>0</v>
      </c>
      <c r="D33" s="5">
        <v>85</v>
      </c>
      <c r="E33" s="5">
        <v>0</v>
      </c>
      <c r="F33" s="23">
        <f t="shared" si="0"/>
        <v>36.030689669789325</v>
      </c>
      <c r="G33" s="24">
        <v>2.3591000000000002</v>
      </c>
      <c r="H33" s="5">
        <v>0</v>
      </c>
      <c r="I33" s="5">
        <v>0</v>
      </c>
      <c r="J33" s="23">
        <f t="shared" si="1"/>
        <v>0</v>
      </c>
      <c r="K33" s="5">
        <v>0</v>
      </c>
      <c r="L33" s="10"/>
      <c r="M33" s="5">
        <v>15</v>
      </c>
      <c r="N33" s="6" t="s">
        <v>489</v>
      </c>
      <c r="O33" s="5" t="s">
        <v>490</v>
      </c>
    </row>
    <row r="34" spans="1:15" x14ac:dyDescent="0.25">
      <c r="A34" s="6" t="s">
        <v>492</v>
      </c>
      <c r="B34" s="5" t="s">
        <v>165</v>
      </c>
      <c r="C34" s="5">
        <v>0</v>
      </c>
      <c r="D34" s="5">
        <v>102</v>
      </c>
      <c r="E34" s="5">
        <v>0</v>
      </c>
      <c r="F34" s="23">
        <f t="shared" si="0"/>
        <v>13.051656408747169</v>
      </c>
      <c r="G34" s="24">
        <v>7.8151000000000002</v>
      </c>
      <c r="H34" s="5">
        <v>0</v>
      </c>
      <c r="I34" s="5">
        <v>0</v>
      </c>
      <c r="J34" s="23">
        <f t="shared" si="1"/>
        <v>0</v>
      </c>
      <c r="K34" s="5">
        <v>0</v>
      </c>
      <c r="L34" s="10"/>
      <c r="M34" s="5">
        <v>0</v>
      </c>
      <c r="N34" s="6" t="s">
        <v>493</v>
      </c>
      <c r="O34" s="5" t="s">
        <v>494</v>
      </c>
    </row>
    <row r="35" spans="1:15" x14ac:dyDescent="0.25">
      <c r="A35" s="6" t="s">
        <v>495</v>
      </c>
      <c r="B35" s="5" t="s">
        <v>165</v>
      </c>
      <c r="C35" s="5">
        <v>0</v>
      </c>
      <c r="D35" s="5">
        <v>102</v>
      </c>
      <c r="E35" s="5">
        <v>0</v>
      </c>
      <c r="F35" s="23">
        <f t="shared" si="0"/>
        <v>13.051656408747169</v>
      </c>
      <c r="G35" s="24">
        <v>7.8151000000000002</v>
      </c>
      <c r="H35" s="5">
        <v>0</v>
      </c>
      <c r="I35" s="5">
        <v>0</v>
      </c>
      <c r="J35" s="23">
        <f t="shared" si="1"/>
        <v>0</v>
      </c>
      <c r="K35" s="5">
        <v>0</v>
      </c>
      <c r="L35" s="10"/>
      <c r="M35" s="5">
        <v>0</v>
      </c>
      <c r="N35" s="6" t="s">
        <v>493</v>
      </c>
      <c r="O35" s="5" t="s">
        <v>494</v>
      </c>
    </row>
    <row r="36" spans="1:15" x14ac:dyDescent="0.25">
      <c r="A36" s="6" t="s">
        <v>496</v>
      </c>
      <c r="B36" s="5" t="s">
        <v>165</v>
      </c>
      <c r="C36" s="5">
        <v>0</v>
      </c>
      <c r="D36" s="5">
        <v>102</v>
      </c>
      <c r="E36" s="5">
        <v>0</v>
      </c>
      <c r="F36" s="23">
        <f t="shared" si="0"/>
        <v>13.051656408747169</v>
      </c>
      <c r="G36" s="24">
        <v>7.8151000000000002</v>
      </c>
      <c r="H36" s="5">
        <v>0</v>
      </c>
      <c r="I36" s="5">
        <v>0</v>
      </c>
      <c r="J36" s="23">
        <f t="shared" si="1"/>
        <v>0</v>
      </c>
      <c r="K36" s="5">
        <v>0</v>
      </c>
      <c r="L36" s="10"/>
      <c r="M36" s="5">
        <v>0</v>
      </c>
      <c r="N36" s="6" t="s">
        <v>493</v>
      </c>
      <c r="O36" s="5" t="s">
        <v>494</v>
      </c>
    </row>
    <row r="37" spans="1:15" x14ac:dyDescent="0.25">
      <c r="A37" s="6" t="s">
        <v>497</v>
      </c>
      <c r="B37" s="5" t="s">
        <v>165</v>
      </c>
      <c r="C37" s="5">
        <v>0</v>
      </c>
      <c r="D37" s="5">
        <v>69</v>
      </c>
      <c r="E37" s="5">
        <v>0</v>
      </c>
      <c r="F37" s="23">
        <f t="shared" si="0"/>
        <v>39.870565121923036</v>
      </c>
      <c r="G37" s="24">
        <v>1.7305999999999999</v>
      </c>
      <c r="H37" s="5">
        <v>0</v>
      </c>
      <c r="I37" s="24">
        <v>19.57</v>
      </c>
      <c r="J37" s="23">
        <f t="shared" si="1"/>
        <v>19.57</v>
      </c>
      <c r="K37" s="5">
        <v>0</v>
      </c>
      <c r="L37" s="10"/>
      <c r="M37" s="5">
        <v>49</v>
      </c>
      <c r="N37" s="6" t="s">
        <v>236</v>
      </c>
      <c r="O37" s="5" t="s">
        <v>498</v>
      </c>
    </row>
    <row r="38" spans="1:15" x14ac:dyDescent="0.25">
      <c r="A38" s="6" t="s">
        <v>499</v>
      </c>
      <c r="B38" s="5" t="s">
        <v>165</v>
      </c>
      <c r="C38" s="5">
        <v>0</v>
      </c>
      <c r="D38" s="5">
        <v>69</v>
      </c>
      <c r="E38" s="5">
        <v>0</v>
      </c>
      <c r="F38" s="23">
        <f t="shared" si="0"/>
        <v>39.870565121923036</v>
      </c>
      <c r="G38" s="24">
        <v>1.7305999999999999</v>
      </c>
      <c r="H38" s="5">
        <v>0</v>
      </c>
      <c r="I38" s="24">
        <v>19.57</v>
      </c>
      <c r="J38" s="23">
        <f t="shared" si="1"/>
        <v>19.57</v>
      </c>
      <c r="K38" s="5">
        <v>0</v>
      </c>
      <c r="L38" s="10"/>
      <c r="M38" s="5">
        <v>49</v>
      </c>
      <c r="N38" s="6" t="s">
        <v>236</v>
      </c>
      <c r="O38" s="5" t="s">
        <v>498</v>
      </c>
    </row>
    <row r="39" spans="1:15" x14ac:dyDescent="0.25">
      <c r="A39" s="6" t="s">
        <v>500</v>
      </c>
      <c r="B39" s="5" t="s">
        <v>165</v>
      </c>
      <c r="C39" s="5">
        <v>0</v>
      </c>
      <c r="D39" s="5">
        <v>69</v>
      </c>
      <c r="E39" s="5">
        <v>0</v>
      </c>
      <c r="F39" s="23">
        <f t="shared" si="0"/>
        <v>39.870565121923036</v>
      </c>
      <c r="G39" s="24">
        <v>1.7305999999999999</v>
      </c>
      <c r="H39" s="5">
        <v>0</v>
      </c>
      <c r="I39" s="24">
        <v>19.57</v>
      </c>
      <c r="J39" s="23">
        <f t="shared" si="1"/>
        <v>19.57</v>
      </c>
      <c r="K39" s="5">
        <v>0</v>
      </c>
      <c r="L39" s="10"/>
      <c r="M39" s="5">
        <v>49</v>
      </c>
      <c r="N39" s="6" t="s">
        <v>236</v>
      </c>
      <c r="O39" s="5" t="s">
        <v>498</v>
      </c>
    </row>
    <row r="40" spans="1:15" x14ac:dyDescent="0.25">
      <c r="A40" s="6" t="s">
        <v>501</v>
      </c>
      <c r="B40" s="5" t="s">
        <v>165</v>
      </c>
      <c r="C40" s="5">
        <v>0</v>
      </c>
      <c r="D40" s="5">
        <v>135</v>
      </c>
      <c r="E40" s="5">
        <v>0</v>
      </c>
      <c r="F40" s="23">
        <f t="shared" si="0"/>
        <v>62.989921612541984</v>
      </c>
      <c r="G40" s="24">
        <v>2.1432000000000002</v>
      </c>
      <c r="H40" s="5">
        <v>0</v>
      </c>
      <c r="I40" s="24">
        <v>38.79</v>
      </c>
      <c r="J40" s="23">
        <f t="shared" si="1"/>
        <v>38.79</v>
      </c>
      <c r="K40" s="5">
        <v>0</v>
      </c>
      <c r="L40" s="10"/>
      <c r="M40" s="5">
        <v>75</v>
      </c>
      <c r="N40" s="6" t="s">
        <v>502</v>
      </c>
      <c r="O40" s="5" t="s">
        <v>503</v>
      </c>
    </row>
    <row r="41" spans="1:15" x14ac:dyDescent="0.25">
      <c r="A41" s="6" t="s">
        <v>504</v>
      </c>
      <c r="B41" s="5" t="s">
        <v>165</v>
      </c>
      <c r="C41" s="5">
        <v>0</v>
      </c>
      <c r="D41" s="5">
        <v>135</v>
      </c>
      <c r="E41" s="5">
        <v>0</v>
      </c>
      <c r="F41" s="23">
        <f t="shared" si="0"/>
        <v>62.989921612541984</v>
      </c>
      <c r="G41" s="24">
        <v>2.1432000000000002</v>
      </c>
      <c r="H41" s="5">
        <v>0</v>
      </c>
      <c r="I41" s="24">
        <v>38.79</v>
      </c>
      <c r="J41" s="23">
        <f t="shared" si="1"/>
        <v>38.79</v>
      </c>
      <c r="K41" s="5">
        <v>0</v>
      </c>
      <c r="L41" s="10"/>
      <c r="M41" s="5">
        <v>75</v>
      </c>
      <c r="N41" s="6" t="s">
        <v>502</v>
      </c>
      <c r="O41" s="5" t="s">
        <v>503</v>
      </c>
    </row>
    <row r="42" spans="1:15" x14ac:dyDescent="0.25">
      <c r="A42" s="6" t="s">
        <v>505</v>
      </c>
      <c r="B42" s="5" t="s">
        <v>165</v>
      </c>
      <c r="C42" s="5">
        <v>0</v>
      </c>
      <c r="D42" s="5">
        <v>135</v>
      </c>
      <c r="E42" s="5">
        <v>0</v>
      </c>
      <c r="F42" s="23">
        <f t="shared" si="0"/>
        <v>62.989921612541984</v>
      </c>
      <c r="G42" s="24">
        <v>2.1432000000000002</v>
      </c>
      <c r="H42" s="5">
        <v>0</v>
      </c>
      <c r="I42" s="24">
        <v>38.79</v>
      </c>
      <c r="J42" s="23">
        <f t="shared" si="1"/>
        <v>38.79</v>
      </c>
      <c r="K42" s="5">
        <v>0</v>
      </c>
      <c r="L42" s="10"/>
      <c r="M42" s="5">
        <v>75</v>
      </c>
      <c r="N42" s="6" t="s">
        <v>502</v>
      </c>
      <c r="O42" s="5" t="s">
        <v>503</v>
      </c>
    </row>
    <row r="43" spans="1:15" x14ac:dyDescent="0.25">
      <c r="A43" s="6" t="s">
        <v>506</v>
      </c>
      <c r="B43" s="5" t="s">
        <v>165</v>
      </c>
      <c r="C43" s="5">
        <v>0</v>
      </c>
      <c r="D43" s="5">
        <v>180</v>
      </c>
      <c r="E43" s="5">
        <v>0</v>
      </c>
      <c r="F43" s="23">
        <f t="shared" si="0"/>
        <v>58.810076126376316</v>
      </c>
      <c r="G43" s="24">
        <v>3.0607000000000002</v>
      </c>
      <c r="H43" s="5">
        <v>0</v>
      </c>
      <c r="I43" s="24">
        <v>29.45</v>
      </c>
      <c r="J43" s="23">
        <f t="shared" si="1"/>
        <v>29.45</v>
      </c>
      <c r="K43" s="5">
        <v>0</v>
      </c>
      <c r="L43" s="10"/>
      <c r="M43" s="5">
        <v>125</v>
      </c>
      <c r="N43" s="6" t="s">
        <v>313</v>
      </c>
      <c r="O43" s="5" t="s">
        <v>507</v>
      </c>
    </row>
    <row r="44" spans="1:15" x14ac:dyDescent="0.25">
      <c r="A44" s="6" t="s">
        <v>508</v>
      </c>
      <c r="B44" s="5" t="s">
        <v>165</v>
      </c>
      <c r="C44" s="5">
        <v>0</v>
      </c>
      <c r="D44" s="5">
        <v>180</v>
      </c>
      <c r="E44" s="5">
        <v>0</v>
      </c>
      <c r="F44" s="23">
        <f t="shared" si="0"/>
        <v>58.810076126376316</v>
      </c>
      <c r="G44" s="24">
        <v>3.0607000000000002</v>
      </c>
      <c r="H44" s="5">
        <v>0</v>
      </c>
      <c r="I44" s="24">
        <v>29.45</v>
      </c>
      <c r="J44" s="23">
        <f t="shared" si="1"/>
        <v>29.45</v>
      </c>
      <c r="K44" s="5">
        <v>0</v>
      </c>
      <c r="L44" s="10"/>
      <c r="M44" s="5">
        <v>125</v>
      </c>
      <c r="N44" s="6" t="s">
        <v>313</v>
      </c>
      <c r="O44" s="5" t="s">
        <v>507</v>
      </c>
    </row>
    <row r="45" spans="1:15" x14ac:dyDescent="0.25">
      <c r="A45" s="6" t="s">
        <v>509</v>
      </c>
      <c r="B45" s="5" t="s">
        <v>165</v>
      </c>
      <c r="C45" s="5">
        <v>0</v>
      </c>
      <c r="D45" s="5">
        <v>180</v>
      </c>
      <c r="E45" s="5">
        <v>0</v>
      </c>
      <c r="F45" s="23">
        <f t="shared" si="0"/>
        <v>58.810076126376316</v>
      </c>
      <c r="G45" s="24">
        <v>3.0607000000000002</v>
      </c>
      <c r="H45" s="5">
        <v>0</v>
      </c>
      <c r="I45" s="24">
        <v>29.45</v>
      </c>
      <c r="J45" s="23">
        <f t="shared" si="1"/>
        <v>29.45</v>
      </c>
      <c r="K45" s="5">
        <v>0</v>
      </c>
      <c r="L45" s="10"/>
      <c r="M45" s="5">
        <v>125</v>
      </c>
      <c r="N45" s="6" t="s">
        <v>313</v>
      </c>
      <c r="O45" s="5" t="s">
        <v>507</v>
      </c>
    </row>
    <row r="46" spans="1:15" x14ac:dyDescent="0.25">
      <c r="A46" s="6" t="s">
        <v>510</v>
      </c>
      <c r="B46" s="5" t="s">
        <v>165</v>
      </c>
      <c r="C46" s="5">
        <v>0</v>
      </c>
      <c r="D46" s="5">
        <v>190</v>
      </c>
      <c r="E46" s="5">
        <v>0</v>
      </c>
      <c r="F46" s="23">
        <f t="shared" si="0"/>
        <v>62.077302577841664</v>
      </c>
      <c r="G46" s="24">
        <v>3.0607000000000002</v>
      </c>
      <c r="H46" s="5">
        <v>0</v>
      </c>
      <c r="I46" s="24">
        <v>29.45</v>
      </c>
      <c r="J46" s="23">
        <f t="shared" si="1"/>
        <v>29.45</v>
      </c>
      <c r="K46" s="5">
        <v>0</v>
      </c>
      <c r="L46" s="10"/>
      <c r="M46" s="5">
        <v>125</v>
      </c>
      <c r="N46" s="6" t="s">
        <v>313</v>
      </c>
      <c r="O46" s="5" t="s">
        <v>507</v>
      </c>
    </row>
    <row r="47" spans="1:15" x14ac:dyDescent="0.25">
      <c r="A47" s="6" t="s">
        <v>511</v>
      </c>
      <c r="B47" s="5" t="s">
        <v>165</v>
      </c>
      <c r="C47" s="5">
        <v>0</v>
      </c>
      <c r="D47" s="5">
        <v>155</v>
      </c>
      <c r="E47" s="5">
        <v>0</v>
      </c>
      <c r="F47" s="23">
        <f t="shared" si="0"/>
        <v>28.704766843216415</v>
      </c>
      <c r="G47" s="24">
        <v>5.3997999999999999</v>
      </c>
      <c r="H47" s="5">
        <v>0</v>
      </c>
      <c r="I47" s="5">
        <v>0</v>
      </c>
      <c r="J47" s="23">
        <f t="shared" si="1"/>
        <v>0</v>
      </c>
      <c r="K47" s="5">
        <v>0</v>
      </c>
      <c r="L47" s="10"/>
      <c r="M47" s="5">
        <v>22</v>
      </c>
      <c r="N47" s="6" t="s">
        <v>315</v>
      </c>
      <c r="O47" s="5" t="s">
        <v>512</v>
      </c>
    </row>
    <row r="48" spans="1:15" x14ac:dyDescent="0.25">
      <c r="A48" s="6" t="s">
        <v>513</v>
      </c>
      <c r="B48" s="5" t="s">
        <v>165</v>
      </c>
      <c r="C48" s="5">
        <v>0</v>
      </c>
      <c r="D48" s="5">
        <v>155</v>
      </c>
      <c r="E48" s="5">
        <v>0</v>
      </c>
      <c r="F48" s="23">
        <f t="shared" si="0"/>
        <v>28.704766843216415</v>
      </c>
      <c r="G48" s="24">
        <v>5.3997999999999999</v>
      </c>
      <c r="H48" s="5">
        <v>0</v>
      </c>
      <c r="I48" s="5">
        <v>0</v>
      </c>
      <c r="J48" s="23">
        <f t="shared" si="1"/>
        <v>0</v>
      </c>
      <c r="K48" s="5">
        <v>0</v>
      </c>
      <c r="L48" s="10"/>
      <c r="M48" s="5">
        <v>22</v>
      </c>
      <c r="N48" s="6" t="s">
        <v>315</v>
      </c>
      <c r="O48" s="5" t="s">
        <v>512</v>
      </c>
    </row>
    <row r="49" spans="1:15" x14ac:dyDescent="0.25">
      <c r="A49" s="6" t="s">
        <v>514</v>
      </c>
      <c r="B49" s="5" t="s">
        <v>165</v>
      </c>
      <c r="C49" s="5">
        <v>0</v>
      </c>
      <c r="D49" s="5">
        <v>155</v>
      </c>
      <c r="E49" s="5">
        <v>0</v>
      </c>
      <c r="F49" s="23">
        <f t="shared" si="0"/>
        <v>28.704766843216415</v>
      </c>
      <c r="G49" s="24">
        <v>5.3997999999999999</v>
      </c>
      <c r="H49" s="5">
        <v>0</v>
      </c>
      <c r="I49" s="5">
        <v>0</v>
      </c>
      <c r="J49" s="23">
        <f t="shared" si="1"/>
        <v>0</v>
      </c>
      <c r="K49" s="5">
        <v>0</v>
      </c>
      <c r="L49" s="10"/>
      <c r="M49" s="5">
        <v>22</v>
      </c>
      <c r="N49" s="6" t="s">
        <v>315</v>
      </c>
      <c r="O49" s="5" t="s">
        <v>512</v>
      </c>
    </row>
    <row r="50" spans="1:15" x14ac:dyDescent="0.25">
      <c r="A50" s="6" t="s">
        <v>515</v>
      </c>
      <c r="B50" s="5" t="s">
        <v>165</v>
      </c>
      <c r="C50" s="5">
        <v>0</v>
      </c>
      <c r="D50" s="5">
        <v>155</v>
      </c>
      <c r="E50" s="5">
        <v>0</v>
      </c>
      <c r="F50" s="23">
        <f t="shared" si="0"/>
        <v>28.704766843216415</v>
      </c>
      <c r="G50" s="24">
        <v>5.3997999999999999</v>
      </c>
      <c r="H50" s="5">
        <v>0</v>
      </c>
      <c r="I50" s="5">
        <v>0</v>
      </c>
      <c r="J50" s="23">
        <f t="shared" si="1"/>
        <v>0</v>
      </c>
      <c r="K50" s="5">
        <v>0</v>
      </c>
      <c r="L50" s="10"/>
      <c r="M50" s="5">
        <v>22</v>
      </c>
      <c r="N50" s="6" t="s">
        <v>315</v>
      </c>
      <c r="O50" s="5" t="s">
        <v>512</v>
      </c>
    </row>
    <row r="51" spans="1:15" x14ac:dyDescent="0.25">
      <c r="A51" s="6" t="s">
        <v>516</v>
      </c>
      <c r="B51" s="5" t="s">
        <v>165</v>
      </c>
      <c r="C51" s="5">
        <v>0</v>
      </c>
      <c r="D51" s="5">
        <v>155</v>
      </c>
      <c r="E51" s="5">
        <v>0</v>
      </c>
      <c r="F51" s="23">
        <f t="shared" si="0"/>
        <v>28.704766843216415</v>
      </c>
      <c r="G51" s="24">
        <v>5.3997999999999999</v>
      </c>
      <c r="H51" s="5">
        <v>0</v>
      </c>
      <c r="I51" s="5">
        <v>0</v>
      </c>
      <c r="J51" s="23">
        <f t="shared" si="1"/>
        <v>0</v>
      </c>
      <c r="K51" s="5">
        <v>0</v>
      </c>
      <c r="L51" s="10"/>
      <c r="M51" s="5">
        <v>22</v>
      </c>
      <c r="N51" s="6" t="s">
        <v>315</v>
      </c>
      <c r="O51" s="5" t="s">
        <v>512</v>
      </c>
    </row>
    <row r="52" spans="1:15" x14ac:dyDescent="0.25">
      <c r="A52" s="6" t="s">
        <v>517</v>
      </c>
      <c r="B52" s="5" t="s">
        <v>165</v>
      </c>
      <c r="C52" s="5">
        <v>0</v>
      </c>
      <c r="D52" s="5">
        <v>155</v>
      </c>
      <c r="E52" s="5">
        <v>0</v>
      </c>
      <c r="F52" s="23">
        <f t="shared" si="0"/>
        <v>28.704766843216415</v>
      </c>
      <c r="G52" s="24">
        <v>5.3997999999999999</v>
      </c>
      <c r="H52" s="5">
        <v>0</v>
      </c>
      <c r="I52" s="5">
        <v>0</v>
      </c>
      <c r="J52" s="23">
        <f t="shared" si="1"/>
        <v>0</v>
      </c>
      <c r="K52" s="5">
        <v>0</v>
      </c>
      <c r="L52" s="10"/>
      <c r="M52" s="5">
        <v>22</v>
      </c>
      <c r="N52" s="6" t="s">
        <v>315</v>
      </c>
      <c r="O52" s="5" t="s">
        <v>512</v>
      </c>
    </row>
    <row r="53" spans="1:15" x14ac:dyDescent="0.25">
      <c r="A53" s="6" t="s">
        <v>518</v>
      </c>
      <c r="B53" s="5" t="s">
        <v>165</v>
      </c>
      <c r="C53" s="5">
        <v>0</v>
      </c>
      <c r="D53" s="5">
        <v>155</v>
      </c>
      <c r="E53" s="5">
        <v>0</v>
      </c>
      <c r="F53" s="23">
        <f t="shared" si="0"/>
        <v>28.704766843216415</v>
      </c>
      <c r="G53" s="24">
        <v>5.3997999999999999</v>
      </c>
      <c r="H53" s="5">
        <v>0</v>
      </c>
      <c r="I53" s="5">
        <v>0</v>
      </c>
      <c r="J53" s="23">
        <f t="shared" si="1"/>
        <v>0</v>
      </c>
      <c r="K53" s="5">
        <v>0</v>
      </c>
      <c r="L53" s="10"/>
      <c r="M53" s="5">
        <v>22</v>
      </c>
      <c r="N53" s="6" t="s">
        <v>315</v>
      </c>
      <c r="O53" s="5" t="s">
        <v>512</v>
      </c>
    </row>
    <row r="54" spans="1:15" x14ac:dyDescent="0.25">
      <c r="A54" s="6" t="s">
        <v>519</v>
      </c>
      <c r="B54" s="5" t="s">
        <v>165</v>
      </c>
      <c r="C54" s="5">
        <v>0</v>
      </c>
      <c r="D54" s="5">
        <v>155</v>
      </c>
      <c r="E54" s="5">
        <v>0</v>
      </c>
      <c r="F54" s="23">
        <f t="shared" si="0"/>
        <v>28.704766843216415</v>
      </c>
      <c r="G54" s="24">
        <v>5.3997999999999999</v>
      </c>
      <c r="H54" s="5">
        <v>0</v>
      </c>
      <c r="I54" s="5">
        <v>0</v>
      </c>
      <c r="J54" s="23">
        <f t="shared" si="1"/>
        <v>0</v>
      </c>
      <c r="K54" s="5">
        <v>0</v>
      </c>
      <c r="L54" s="10"/>
      <c r="M54" s="5">
        <v>22</v>
      </c>
      <c r="N54" s="6" t="s">
        <v>315</v>
      </c>
      <c r="O54" s="5" t="s">
        <v>512</v>
      </c>
    </row>
    <row r="55" spans="1:15" x14ac:dyDescent="0.25">
      <c r="A55" s="6" t="s">
        <v>520</v>
      </c>
      <c r="B55" s="5" t="s">
        <v>165</v>
      </c>
      <c r="C55" s="5">
        <v>0</v>
      </c>
      <c r="D55" s="5">
        <v>25</v>
      </c>
      <c r="E55" s="5">
        <v>0</v>
      </c>
      <c r="F55" s="23">
        <f t="shared" si="0"/>
        <v>16.741445121542892</v>
      </c>
      <c r="G55" s="24">
        <v>1.4933000000000001</v>
      </c>
      <c r="H55" s="5">
        <v>0</v>
      </c>
      <c r="I55" s="5">
        <v>0</v>
      </c>
      <c r="J55" s="23">
        <f t="shared" si="1"/>
        <v>0</v>
      </c>
      <c r="K55" s="5">
        <v>0</v>
      </c>
      <c r="L55" s="10"/>
      <c r="M55" s="5">
        <v>9.4499999999999993</v>
      </c>
      <c r="N55" s="6" t="s">
        <v>318</v>
      </c>
      <c r="O55" s="5" t="s">
        <v>521</v>
      </c>
    </row>
    <row r="56" spans="1:15" x14ac:dyDescent="0.25">
      <c r="A56" s="6" t="s">
        <v>522</v>
      </c>
      <c r="B56" s="5" t="s">
        <v>165</v>
      </c>
      <c r="C56" s="5">
        <v>0</v>
      </c>
      <c r="D56" s="5">
        <v>25</v>
      </c>
      <c r="E56" s="5">
        <v>0</v>
      </c>
      <c r="F56" s="23">
        <f t="shared" si="0"/>
        <v>16.741445121542892</v>
      </c>
      <c r="G56" s="24">
        <v>1.4933000000000001</v>
      </c>
      <c r="H56" s="5">
        <v>0</v>
      </c>
      <c r="I56" s="5">
        <v>0</v>
      </c>
      <c r="J56" s="23">
        <f t="shared" si="1"/>
        <v>0</v>
      </c>
      <c r="K56" s="5">
        <v>0</v>
      </c>
      <c r="L56" s="10"/>
      <c r="M56" s="5">
        <v>9.4499999999999993</v>
      </c>
      <c r="N56" s="6" t="s">
        <v>318</v>
      </c>
      <c r="O56" s="5" t="s">
        <v>521</v>
      </c>
    </row>
    <row r="57" spans="1:15" x14ac:dyDescent="0.25">
      <c r="A57" s="6" t="s">
        <v>523</v>
      </c>
      <c r="B57" s="5" t="s">
        <v>165</v>
      </c>
      <c r="C57" s="5">
        <v>0</v>
      </c>
      <c r="D57" s="5">
        <v>20</v>
      </c>
      <c r="E57" s="5">
        <v>0</v>
      </c>
      <c r="F57" s="23">
        <f t="shared" si="0"/>
        <v>30.152268958239109</v>
      </c>
      <c r="G57" s="24">
        <v>0.6633</v>
      </c>
      <c r="H57" s="5">
        <v>0</v>
      </c>
      <c r="I57" s="24">
        <v>8.4499999999999993</v>
      </c>
      <c r="J57" s="23">
        <f t="shared" si="1"/>
        <v>8.4499999999999993</v>
      </c>
      <c r="K57" s="5">
        <v>0</v>
      </c>
      <c r="L57" s="10"/>
      <c r="M57" s="5">
        <v>1</v>
      </c>
      <c r="N57" s="6" t="s">
        <v>524</v>
      </c>
      <c r="O57" s="5">
        <v>0</v>
      </c>
    </row>
    <row r="58" spans="1:15" x14ac:dyDescent="0.25">
      <c r="A58" s="6" t="s">
        <v>525</v>
      </c>
      <c r="B58" s="5" t="s">
        <v>165</v>
      </c>
      <c r="C58" s="5">
        <v>0</v>
      </c>
      <c r="D58" s="5">
        <v>20</v>
      </c>
      <c r="E58" s="5">
        <v>0</v>
      </c>
      <c r="F58" s="23">
        <f t="shared" si="0"/>
        <v>30.152268958239109</v>
      </c>
      <c r="G58" s="24">
        <v>0.6633</v>
      </c>
      <c r="H58" s="5">
        <v>0</v>
      </c>
      <c r="I58" s="24">
        <v>8.4499999999999993</v>
      </c>
      <c r="J58" s="23">
        <f t="shared" si="1"/>
        <v>8.4499999999999993</v>
      </c>
      <c r="K58" s="5">
        <v>0</v>
      </c>
      <c r="L58" s="10"/>
      <c r="M58" s="5">
        <v>0</v>
      </c>
      <c r="N58" s="6" t="s">
        <v>524</v>
      </c>
      <c r="O58" s="5">
        <v>0</v>
      </c>
    </row>
    <row r="59" spans="1:15" x14ac:dyDescent="0.25">
      <c r="A59" s="6" t="s">
        <v>526</v>
      </c>
      <c r="B59" s="5" t="s">
        <v>168</v>
      </c>
      <c r="C59" s="5">
        <v>0</v>
      </c>
      <c r="D59" s="5">
        <v>125</v>
      </c>
      <c r="E59" s="5">
        <v>0</v>
      </c>
      <c r="F59" s="23">
        <f t="shared" si="0"/>
        <v>17.899846777311588</v>
      </c>
      <c r="G59" s="24">
        <v>6.9832999999999998</v>
      </c>
      <c r="H59" s="5">
        <v>0</v>
      </c>
      <c r="I59" s="5">
        <v>0</v>
      </c>
      <c r="J59" s="23">
        <f t="shared" si="1"/>
        <v>0</v>
      </c>
      <c r="K59" s="5">
        <v>0</v>
      </c>
      <c r="L59" s="10"/>
      <c r="M59" s="5">
        <v>10</v>
      </c>
      <c r="N59" s="6" t="s">
        <v>527</v>
      </c>
      <c r="O59" s="5" t="s">
        <v>528</v>
      </c>
    </row>
    <row r="60" spans="1:15" x14ac:dyDescent="0.25">
      <c r="A60" s="6" t="s">
        <v>529</v>
      </c>
      <c r="B60" s="5" t="s">
        <v>168</v>
      </c>
      <c r="C60" s="5">
        <v>0</v>
      </c>
      <c r="D60" s="5">
        <v>125</v>
      </c>
      <c r="E60" s="5">
        <v>0</v>
      </c>
      <c r="F60" s="23">
        <f t="shared" si="0"/>
        <v>17.899846777311588</v>
      </c>
      <c r="G60" s="24">
        <v>6.9832999999999998</v>
      </c>
      <c r="H60" s="5">
        <v>0</v>
      </c>
      <c r="I60" s="5">
        <v>0</v>
      </c>
      <c r="J60" s="23">
        <f t="shared" si="1"/>
        <v>0</v>
      </c>
      <c r="K60" s="5">
        <v>0</v>
      </c>
      <c r="L60" s="10"/>
      <c r="M60" s="5">
        <v>10</v>
      </c>
      <c r="N60" s="6" t="s">
        <v>527</v>
      </c>
      <c r="O60" s="5" t="s">
        <v>528</v>
      </c>
    </row>
    <row r="61" spans="1:15" x14ac:dyDescent="0.25">
      <c r="A61" s="6" t="s">
        <v>530</v>
      </c>
      <c r="B61" s="5" t="s">
        <v>168</v>
      </c>
      <c r="C61" s="5">
        <v>0</v>
      </c>
      <c r="D61" s="5">
        <v>125</v>
      </c>
      <c r="E61" s="5">
        <v>0</v>
      </c>
      <c r="F61" s="23">
        <f t="shared" si="0"/>
        <v>17.899846777311588</v>
      </c>
      <c r="G61" s="24">
        <v>6.9832999999999998</v>
      </c>
      <c r="H61" s="5">
        <v>0</v>
      </c>
      <c r="I61" s="5">
        <v>0</v>
      </c>
      <c r="J61" s="23">
        <f t="shared" si="1"/>
        <v>0</v>
      </c>
      <c r="K61" s="5">
        <v>0</v>
      </c>
      <c r="L61" s="10"/>
      <c r="M61" s="5">
        <v>10</v>
      </c>
      <c r="N61" s="6" t="s">
        <v>527</v>
      </c>
      <c r="O61" s="5" t="s">
        <v>528</v>
      </c>
    </row>
    <row r="62" spans="1:15" x14ac:dyDescent="0.25">
      <c r="A62" s="6" t="s">
        <v>531</v>
      </c>
      <c r="B62" s="5" t="s">
        <v>168</v>
      </c>
      <c r="C62" s="5">
        <v>0</v>
      </c>
      <c r="D62" s="5">
        <v>125</v>
      </c>
      <c r="E62" s="5">
        <v>0</v>
      </c>
      <c r="F62" s="23">
        <f t="shared" si="0"/>
        <v>17.899846777311588</v>
      </c>
      <c r="G62" s="24">
        <v>6.9832999999999998</v>
      </c>
      <c r="H62" s="5">
        <v>0</v>
      </c>
      <c r="I62" s="5">
        <v>0</v>
      </c>
      <c r="J62" s="23">
        <f t="shared" si="1"/>
        <v>0</v>
      </c>
      <c r="K62" s="5">
        <v>0</v>
      </c>
      <c r="L62" s="10"/>
      <c r="M62" s="5">
        <v>10</v>
      </c>
      <c r="N62" s="6" t="s">
        <v>527</v>
      </c>
      <c r="O62" s="5" t="s">
        <v>528</v>
      </c>
    </row>
    <row r="63" spans="1:15" x14ac:dyDescent="0.25">
      <c r="A63" s="6" t="s">
        <v>532</v>
      </c>
      <c r="B63" s="5" t="s">
        <v>168</v>
      </c>
      <c r="C63" s="5">
        <v>0</v>
      </c>
      <c r="D63" s="5">
        <v>125</v>
      </c>
      <c r="E63" s="5">
        <v>0</v>
      </c>
      <c r="F63" s="23">
        <f t="shared" si="0"/>
        <v>17.899846777311588</v>
      </c>
      <c r="G63" s="24">
        <v>6.9832999999999998</v>
      </c>
      <c r="H63" s="5">
        <v>0</v>
      </c>
      <c r="I63" s="5">
        <v>0</v>
      </c>
      <c r="J63" s="23">
        <f t="shared" si="1"/>
        <v>0</v>
      </c>
      <c r="K63" s="5">
        <v>0</v>
      </c>
      <c r="L63" s="10"/>
      <c r="M63" s="5">
        <v>10</v>
      </c>
      <c r="N63" s="6" t="s">
        <v>527</v>
      </c>
      <c r="O63" s="5" t="s">
        <v>528</v>
      </c>
    </row>
    <row r="64" spans="1:15" x14ac:dyDescent="0.25">
      <c r="A64" s="6" t="s">
        <v>533</v>
      </c>
      <c r="B64" s="5" t="s">
        <v>168</v>
      </c>
      <c r="C64" s="5">
        <v>0</v>
      </c>
      <c r="D64" s="5">
        <v>125</v>
      </c>
      <c r="E64" s="5">
        <v>0</v>
      </c>
      <c r="F64" s="23">
        <f t="shared" si="0"/>
        <v>17.899846777311588</v>
      </c>
      <c r="G64" s="24">
        <v>6.9832999999999998</v>
      </c>
      <c r="H64" s="5">
        <v>0</v>
      </c>
      <c r="I64" s="5">
        <v>0</v>
      </c>
      <c r="J64" s="23">
        <f t="shared" si="1"/>
        <v>0</v>
      </c>
      <c r="K64" s="5">
        <v>0</v>
      </c>
      <c r="L64" s="10"/>
      <c r="M64" s="5">
        <v>10</v>
      </c>
      <c r="N64" s="6" t="s">
        <v>527</v>
      </c>
      <c r="O64" s="5" t="s">
        <v>528</v>
      </c>
    </row>
    <row r="65" spans="1:15" x14ac:dyDescent="0.25">
      <c r="A65" s="6" t="s">
        <v>534</v>
      </c>
      <c r="B65" s="5" t="s">
        <v>168</v>
      </c>
      <c r="C65" s="5">
        <v>0</v>
      </c>
      <c r="D65" s="5">
        <v>125</v>
      </c>
      <c r="E65" s="5">
        <v>0</v>
      </c>
      <c r="F65" s="23">
        <f t="shared" si="0"/>
        <v>17.899846777311588</v>
      </c>
      <c r="G65" s="24">
        <v>6.9832999999999998</v>
      </c>
      <c r="H65" s="5">
        <v>0</v>
      </c>
      <c r="I65" s="5">
        <v>0</v>
      </c>
      <c r="J65" s="23">
        <f t="shared" si="1"/>
        <v>0</v>
      </c>
      <c r="K65" s="5">
        <v>0</v>
      </c>
      <c r="L65" s="10"/>
      <c r="M65" s="5">
        <v>10</v>
      </c>
      <c r="N65" s="6" t="s">
        <v>527</v>
      </c>
      <c r="O65" s="5" t="s">
        <v>528</v>
      </c>
    </row>
    <row r="66" spans="1:15" x14ac:dyDescent="0.25">
      <c r="A66" s="6" t="s">
        <v>535</v>
      </c>
      <c r="B66" s="5" t="s">
        <v>168</v>
      </c>
      <c r="C66" s="5">
        <v>0</v>
      </c>
      <c r="D66" s="5">
        <v>125</v>
      </c>
      <c r="E66" s="5">
        <v>0</v>
      </c>
      <c r="F66" s="23">
        <f t="shared" si="0"/>
        <v>17.899846777311588</v>
      </c>
      <c r="G66" s="24">
        <v>6.9832999999999998</v>
      </c>
      <c r="H66" s="5">
        <v>0</v>
      </c>
      <c r="I66" s="5">
        <v>0</v>
      </c>
      <c r="J66" s="23">
        <f t="shared" si="1"/>
        <v>0</v>
      </c>
      <c r="K66" s="5">
        <v>0</v>
      </c>
      <c r="L66" s="10"/>
      <c r="M66" s="5">
        <v>10</v>
      </c>
      <c r="N66" s="6" t="s">
        <v>527</v>
      </c>
      <c r="O66" s="5" t="s">
        <v>528</v>
      </c>
    </row>
    <row r="67" spans="1:15" x14ac:dyDescent="0.25">
      <c r="A67" s="6" t="s">
        <v>536</v>
      </c>
      <c r="B67" s="5" t="s">
        <v>168</v>
      </c>
      <c r="C67" s="5">
        <v>0</v>
      </c>
      <c r="D67" s="5">
        <v>50</v>
      </c>
      <c r="E67" s="5">
        <v>0</v>
      </c>
      <c r="F67" s="23">
        <f t="shared" si="0"/>
        <v>6.272896070657902</v>
      </c>
      <c r="G67" s="24">
        <v>7.9707999999999997</v>
      </c>
      <c r="H67" s="5">
        <v>0</v>
      </c>
      <c r="I67" s="5">
        <v>0</v>
      </c>
      <c r="J67" s="23">
        <f t="shared" si="1"/>
        <v>0</v>
      </c>
      <c r="K67" s="5">
        <v>0</v>
      </c>
      <c r="L67" s="10"/>
      <c r="M67" s="5">
        <v>5</v>
      </c>
      <c r="N67" s="6" t="s">
        <v>537</v>
      </c>
      <c r="O67" s="5" t="s">
        <v>538</v>
      </c>
    </row>
    <row r="68" spans="1:15" x14ac:dyDescent="0.25">
      <c r="A68" s="6" t="s">
        <v>539</v>
      </c>
      <c r="B68" s="5" t="s">
        <v>168</v>
      </c>
      <c r="C68" s="5">
        <v>0</v>
      </c>
      <c r="D68" s="5">
        <v>50</v>
      </c>
      <c r="E68" s="5">
        <v>0</v>
      </c>
      <c r="F68" s="23">
        <f t="shared" si="0"/>
        <v>6.272896070657902</v>
      </c>
      <c r="G68" s="24">
        <v>7.9707999999999997</v>
      </c>
      <c r="H68" s="5">
        <v>0</v>
      </c>
      <c r="I68" s="5">
        <v>0</v>
      </c>
      <c r="J68" s="23">
        <f t="shared" si="1"/>
        <v>0</v>
      </c>
      <c r="K68" s="5">
        <v>0</v>
      </c>
      <c r="L68" s="10"/>
      <c r="M68" s="5">
        <v>30</v>
      </c>
      <c r="N68" s="6" t="s">
        <v>537</v>
      </c>
      <c r="O68" s="5" t="s">
        <v>538</v>
      </c>
    </row>
    <row r="69" spans="1:15" x14ac:dyDescent="0.25">
      <c r="A69" s="6" t="s">
        <v>540</v>
      </c>
      <c r="B69" s="5" t="s">
        <v>168</v>
      </c>
      <c r="C69" s="5">
        <v>0</v>
      </c>
      <c r="D69" s="5">
        <v>50</v>
      </c>
      <c r="E69" s="5">
        <v>0</v>
      </c>
      <c r="F69" s="23">
        <f t="shared" si="0"/>
        <v>6.272896070657902</v>
      </c>
      <c r="G69" s="24">
        <v>7.9707999999999997</v>
      </c>
      <c r="H69" s="5">
        <v>0</v>
      </c>
      <c r="I69" s="5">
        <v>0</v>
      </c>
      <c r="J69" s="23">
        <f t="shared" si="1"/>
        <v>0</v>
      </c>
      <c r="K69" s="5">
        <v>0</v>
      </c>
      <c r="L69" s="10"/>
      <c r="M69" s="5">
        <v>5</v>
      </c>
      <c r="N69" s="6" t="s">
        <v>537</v>
      </c>
      <c r="O69" s="5" t="s">
        <v>538</v>
      </c>
    </row>
    <row r="70" spans="1:15" x14ac:dyDescent="0.25">
      <c r="A70" s="6" t="s">
        <v>541</v>
      </c>
      <c r="B70" s="5" t="s">
        <v>168</v>
      </c>
      <c r="C70" s="5">
        <v>0</v>
      </c>
      <c r="D70" s="5">
        <v>250</v>
      </c>
      <c r="E70" s="5">
        <v>0</v>
      </c>
      <c r="F70" s="23">
        <f t="shared" si="0"/>
        <v>25.391795403069359</v>
      </c>
      <c r="G70" s="24">
        <v>9.8457000000000008</v>
      </c>
      <c r="H70" s="5">
        <v>0</v>
      </c>
      <c r="I70" s="24">
        <v>18.47</v>
      </c>
      <c r="J70" s="23">
        <f t="shared" si="1"/>
        <v>18.47</v>
      </c>
      <c r="K70" s="5">
        <v>0</v>
      </c>
      <c r="L70" s="10"/>
      <c r="M70" s="5">
        <v>60</v>
      </c>
      <c r="N70" s="6" t="s">
        <v>234</v>
      </c>
      <c r="O70" s="5" t="s">
        <v>542</v>
      </c>
    </row>
    <row r="71" spans="1:15" x14ac:dyDescent="0.25">
      <c r="A71" s="6" t="s">
        <v>543</v>
      </c>
      <c r="B71" s="5" t="s">
        <v>168</v>
      </c>
      <c r="C71" s="5">
        <v>0</v>
      </c>
      <c r="D71" s="5">
        <v>250</v>
      </c>
      <c r="E71" s="5">
        <v>0</v>
      </c>
      <c r="F71" s="23">
        <f t="shared" ref="F71:F124" si="2">D71/G71</f>
        <v>25.391795403069359</v>
      </c>
      <c r="G71" s="24">
        <v>9.8457000000000008</v>
      </c>
      <c r="H71" s="5">
        <v>0</v>
      </c>
      <c r="I71" s="24">
        <v>18.47</v>
      </c>
      <c r="J71" s="23">
        <f t="shared" ref="J71:J124" si="3">H71+1/1*(I71-H71)</f>
        <v>18.47</v>
      </c>
      <c r="K71" s="5">
        <v>0</v>
      </c>
      <c r="L71" s="10"/>
      <c r="M71" s="5">
        <v>60</v>
      </c>
      <c r="N71" s="6" t="s">
        <v>234</v>
      </c>
      <c r="O71" s="5" t="s">
        <v>542</v>
      </c>
    </row>
    <row r="72" spans="1:15" x14ac:dyDescent="0.25">
      <c r="A72" s="6" t="s">
        <v>544</v>
      </c>
      <c r="B72" s="5" t="s">
        <v>168</v>
      </c>
      <c r="C72" s="5">
        <v>0</v>
      </c>
      <c r="D72" s="5">
        <v>250</v>
      </c>
      <c r="E72" s="5">
        <v>0</v>
      </c>
      <c r="F72" s="23">
        <f t="shared" si="2"/>
        <v>25.391795403069359</v>
      </c>
      <c r="G72" s="24">
        <v>9.8457000000000008</v>
      </c>
      <c r="H72" s="5">
        <v>0</v>
      </c>
      <c r="I72" s="24">
        <v>18.47</v>
      </c>
      <c r="J72" s="23">
        <f t="shared" si="3"/>
        <v>18.47</v>
      </c>
      <c r="K72" s="5">
        <v>0</v>
      </c>
      <c r="L72" s="10"/>
      <c r="M72" s="5">
        <v>60</v>
      </c>
      <c r="N72" s="6" t="s">
        <v>234</v>
      </c>
      <c r="O72" s="5" t="s">
        <v>542</v>
      </c>
    </row>
    <row r="73" spans="1:15" x14ac:dyDescent="0.25">
      <c r="A73" s="6" t="s">
        <v>545</v>
      </c>
      <c r="B73" s="5" t="s">
        <v>168</v>
      </c>
      <c r="C73" s="5">
        <v>0</v>
      </c>
      <c r="D73" s="5">
        <v>250</v>
      </c>
      <c r="E73" s="5">
        <v>0</v>
      </c>
      <c r="F73" s="23">
        <f t="shared" si="2"/>
        <v>25.391795403069359</v>
      </c>
      <c r="G73" s="24">
        <v>9.8457000000000008</v>
      </c>
      <c r="H73" s="5">
        <v>0</v>
      </c>
      <c r="I73" s="24">
        <v>18.47</v>
      </c>
      <c r="J73" s="23">
        <f t="shared" si="3"/>
        <v>18.47</v>
      </c>
      <c r="K73" s="5">
        <v>0</v>
      </c>
      <c r="L73" s="10"/>
      <c r="M73" s="5">
        <v>60</v>
      </c>
      <c r="N73" s="6" t="s">
        <v>234</v>
      </c>
      <c r="O73" s="5" t="s">
        <v>542</v>
      </c>
    </row>
    <row r="74" spans="1:15" x14ac:dyDescent="0.25">
      <c r="A74" s="6" t="s">
        <v>546</v>
      </c>
      <c r="B74" s="5" t="s">
        <v>168</v>
      </c>
      <c r="C74" s="5">
        <v>0</v>
      </c>
      <c r="D74" s="5">
        <v>250</v>
      </c>
      <c r="E74" s="5">
        <v>0</v>
      </c>
      <c r="F74" s="23">
        <f t="shared" si="2"/>
        <v>25.391795403069359</v>
      </c>
      <c r="G74" s="24">
        <v>9.8457000000000008</v>
      </c>
      <c r="H74" s="5">
        <v>0</v>
      </c>
      <c r="I74" s="24">
        <v>18.47</v>
      </c>
      <c r="J74" s="23">
        <f t="shared" si="3"/>
        <v>18.47</v>
      </c>
      <c r="K74" s="5">
        <v>0</v>
      </c>
      <c r="L74" s="10"/>
      <c r="M74" s="5">
        <v>60</v>
      </c>
      <c r="N74" s="6" t="s">
        <v>234</v>
      </c>
      <c r="O74" s="5" t="s">
        <v>542</v>
      </c>
    </row>
    <row r="75" spans="1:15" x14ac:dyDescent="0.25">
      <c r="A75" s="6" t="s">
        <v>547</v>
      </c>
      <c r="B75" s="5" t="s">
        <v>168</v>
      </c>
      <c r="C75" s="5">
        <v>0</v>
      </c>
      <c r="D75" s="5">
        <v>108</v>
      </c>
      <c r="E75" s="5">
        <v>0</v>
      </c>
      <c r="F75" s="23">
        <f t="shared" si="2"/>
        <v>12.47372433069229</v>
      </c>
      <c r="G75" s="24">
        <v>8.6582000000000008</v>
      </c>
      <c r="H75" s="5">
        <v>0</v>
      </c>
      <c r="I75" s="5">
        <v>0</v>
      </c>
      <c r="J75" s="23">
        <f t="shared" si="3"/>
        <v>0</v>
      </c>
      <c r="K75" s="5">
        <v>0</v>
      </c>
      <c r="L75" s="10"/>
      <c r="M75" s="5">
        <v>40</v>
      </c>
      <c r="N75" s="6" t="s">
        <v>548</v>
      </c>
      <c r="O75" s="5">
        <v>0</v>
      </c>
    </row>
    <row r="76" spans="1:15" x14ac:dyDescent="0.25">
      <c r="A76" s="6" t="s">
        <v>549</v>
      </c>
      <c r="B76" s="5" t="s">
        <v>168</v>
      </c>
      <c r="C76" s="5">
        <v>0</v>
      </c>
      <c r="D76" s="5">
        <v>108</v>
      </c>
      <c r="E76" s="5">
        <v>0</v>
      </c>
      <c r="F76" s="23">
        <f t="shared" si="2"/>
        <v>12.47372433069229</v>
      </c>
      <c r="G76" s="24">
        <v>8.6582000000000008</v>
      </c>
      <c r="H76" s="5">
        <v>0</v>
      </c>
      <c r="I76" s="5">
        <v>0</v>
      </c>
      <c r="J76" s="23">
        <f t="shared" si="3"/>
        <v>0</v>
      </c>
      <c r="K76" s="5">
        <v>0</v>
      </c>
      <c r="L76" s="10"/>
      <c r="M76" s="5">
        <v>40</v>
      </c>
      <c r="N76" s="6" t="s">
        <v>548</v>
      </c>
      <c r="O76" s="5">
        <v>0</v>
      </c>
    </row>
    <row r="77" spans="1:15" x14ac:dyDescent="0.25">
      <c r="A77" s="6" t="s">
        <v>550</v>
      </c>
      <c r="B77" s="5" t="s">
        <v>168</v>
      </c>
      <c r="C77" s="5">
        <v>0</v>
      </c>
      <c r="D77" s="5">
        <v>108</v>
      </c>
      <c r="E77" s="5">
        <v>0</v>
      </c>
      <c r="F77" s="23">
        <f t="shared" si="2"/>
        <v>12.47372433069229</v>
      </c>
      <c r="G77" s="24">
        <v>8.6582000000000008</v>
      </c>
      <c r="H77" s="5">
        <v>0</v>
      </c>
      <c r="I77" s="5">
        <v>0</v>
      </c>
      <c r="J77" s="23">
        <f t="shared" si="3"/>
        <v>0</v>
      </c>
      <c r="K77" s="5">
        <v>0</v>
      </c>
      <c r="L77" s="10"/>
      <c r="M77" s="5">
        <v>40</v>
      </c>
      <c r="N77" s="6" t="s">
        <v>548</v>
      </c>
      <c r="O77" s="5">
        <v>0</v>
      </c>
    </row>
    <row r="78" spans="1:15" x14ac:dyDescent="0.25">
      <c r="A78" s="6" t="s">
        <v>551</v>
      </c>
      <c r="B78" s="5" t="s">
        <v>168</v>
      </c>
      <c r="C78" s="5">
        <v>0</v>
      </c>
      <c r="D78" s="5">
        <v>92</v>
      </c>
      <c r="E78" s="5">
        <v>0</v>
      </c>
      <c r="F78" s="23">
        <f t="shared" si="2"/>
        <v>12.478806375042389</v>
      </c>
      <c r="G78" s="24">
        <v>7.3724999999999996</v>
      </c>
      <c r="H78" s="5">
        <v>0</v>
      </c>
      <c r="I78" s="5">
        <v>0</v>
      </c>
      <c r="J78" s="23">
        <f t="shared" si="3"/>
        <v>0</v>
      </c>
      <c r="K78" s="5">
        <v>0</v>
      </c>
      <c r="L78" s="10"/>
      <c r="M78" s="5">
        <v>34</v>
      </c>
      <c r="N78" s="6" t="s">
        <v>552</v>
      </c>
      <c r="O78" s="5">
        <v>0</v>
      </c>
    </row>
    <row r="79" spans="1:15" x14ac:dyDescent="0.25">
      <c r="A79" s="6" t="s">
        <v>553</v>
      </c>
      <c r="B79" s="5" t="s">
        <v>168</v>
      </c>
      <c r="C79" s="5">
        <v>0</v>
      </c>
      <c r="D79" s="5">
        <v>92</v>
      </c>
      <c r="E79" s="5">
        <v>0</v>
      </c>
      <c r="F79" s="23">
        <f t="shared" si="2"/>
        <v>12.478806375042389</v>
      </c>
      <c r="G79" s="24">
        <v>7.3724999999999996</v>
      </c>
      <c r="H79" s="5">
        <v>0</v>
      </c>
      <c r="I79" s="5">
        <v>0</v>
      </c>
      <c r="J79" s="23">
        <f t="shared" si="3"/>
        <v>0</v>
      </c>
      <c r="K79" s="5">
        <v>0</v>
      </c>
      <c r="L79" s="10"/>
      <c r="M79" s="5">
        <v>34</v>
      </c>
      <c r="N79" s="6" t="s">
        <v>552</v>
      </c>
      <c r="O79" s="5">
        <v>0</v>
      </c>
    </row>
    <row r="80" spans="1:15" x14ac:dyDescent="0.25">
      <c r="A80" s="6" t="s">
        <v>554</v>
      </c>
      <c r="B80" s="5" t="s">
        <v>168</v>
      </c>
      <c r="C80" s="5">
        <v>0</v>
      </c>
      <c r="D80" s="5">
        <v>92</v>
      </c>
      <c r="E80" s="5">
        <v>0</v>
      </c>
      <c r="F80" s="23">
        <f t="shared" si="2"/>
        <v>12.478806375042389</v>
      </c>
      <c r="G80" s="24">
        <v>7.3724999999999996</v>
      </c>
      <c r="H80" s="5">
        <v>0</v>
      </c>
      <c r="I80" s="5">
        <v>0</v>
      </c>
      <c r="J80" s="23">
        <f t="shared" si="3"/>
        <v>0</v>
      </c>
      <c r="K80" s="5">
        <v>0</v>
      </c>
      <c r="L80" s="10"/>
      <c r="M80" s="5">
        <v>34</v>
      </c>
      <c r="N80" s="6" t="s">
        <v>552</v>
      </c>
      <c r="O80" s="5">
        <v>0</v>
      </c>
    </row>
    <row r="81" spans="1:15" x14ac:dyDescent="0.25">
      <c r="A81" s="6" t="s">
        <v>555</v>
      </c>
      <c r="B81" s="5" t="s">
        <v>168</v>
      </c>
      <c r="C81" s="5">
        <v>0</v>
      </c>
      <c r="D81" s="5">
        <v>35</v>
      </c>
      <c r="E81" s="5">
        <v>0</v>
      </c>
      <c r="F81" s="23">
        <f t="shared" si="2"/>
        <v>10.374673938819065</v>
      </c>
      <c r="G81" s="24">
        <v>3.3736000000000002</v>
      </c>
      <c r="H81" s="5">
        <v>0</v>
      </c>
      <c r="I81" s="5">
        <v>0</v>
      </c>
      <c r="J81" s="23">
        <f t="shared" si="3"/>
        <v>0</v>
      </c>
      <c r="K81" s="5">
        <v>0</v>
      </c>
      <c r="L81" s="10"/>
      <c r="M81" s="5">
        <v>5</v>
      </c>
      <c r="N81" s="6" t="s">
        <v>556</v>
      </c>
      <c r="O81" s="5" t="s">
        <v>557</v>
      </c>
    </row>
    <row r="82" spans="1:15" x14ac:dyDescent="0.25">
      <c r="A82" s="6" t="s">
        <v>558</v>
      </c>
      <c r="B82" s="5" t="s">
        <v>168</v>
      </c>
      <c r="C82" s="5">
        <v>0</v>
      </c>
      <c r="D82" s="5">
        <v>10</v>
      </c>
      <c r="E82" s="5">
        <v>0</v>
      </c>
      <c r="F82" s="23">
        <f t="shared" si="2"/>
        <v>4.0559724193875484</v>
      </c>
      <c r="G82" s="24">
        <v>2.4655</v>
      </c>
      <c r="H82" s="5">
        <v>0</v>
      </c>
      <c r="I82" s="5">
        <v>0</v>
      </c>
      <c r="J82" s="23">
        <f t="shared" si="3"/>
        <v>0</v>
      </c>
      <c r="K82" s="5">
        <v>0</v>
      </c>
      <c r="L82" s="10"/>
      <c r="M82" s="5">
        <v>4.0999999999999996</v>
      </c>
      <c r="N82" s="6" t="s">
        <v>559</v>
      </c>
      <c r="O82" s="5" t="s">
        <v>560</v>
      </c>
    </row>
    <row r="83" spans="1:15" x14ac:dyDescent="0.25">
      <c r="A83" s="6" t="s">
        <v>561</v>
      </c>
      <c r="B83" s="5" t="s">
        <v>168</v>
      </c>
      <c r="C83" s="5">
        <v>0</v>
      </c>
      <c r="D83" s="5">
        <v>9</v>
      </c>
      <c r="E83" s="5">
        <v>0</v>
      </c>
      <c r="F83" s="23">
        <f t="shared" si="2"/>
        <v>3.6503751774487934</v>
      </c>
      <c r="G83" s="24">
        <v>2.4655</v>
      </c>
      <c r="H83" s="5">
        <v>0</v>
      </c>
      <c r="I83" s="5">
        <v>0</v>
      </c>
      <c r="J83" s="23">
        <f t="shared" si="3"/>
        <v>0</v>
      </c>
      <c r="K83" s="5">
        <v>0</v>
      </c>
      <c r="L83" s="10"/>
      <c r="M83" s="5">
        <v>4.0999999999999996</v>
      </c>
      <c r="N83" s="6" t="s">
        <v>559</v>
      </c>
      <c r="O83" s="5" t="s">
        <v>560</v>
      </c>
    </row>
    <row r="84" spans="1:15" x14ac:dyDescent="0.25">
      <c r="A84" s="6" t="s">
        <v>562</v>
      </c>
      <c r="B84" s="5" t="s">
        <v>173</v>
      </c>
      <c r="C84" s="5">
        <v>0</v>
      </c>
      <c r="D84" s="5">
        <v>200</v>
      </c>
      <c r="E84" s="5">
        <v>0</v>
      </c>
      <c r="F84" s="23">
        <f t="shared" si="2"/>
        <v>181.7355747387551</v>
      </c>
      <c r="G84" s="24">
        <v>1.1005</v>
      </c>
      <c r="H84" s="5">
        <v>0</v>
      </c>
      <c r="I84" s="24">
        <v>453.72</v>
      </c>
      <c r="J84" s="23">
        <f t="shared" si="3"/>
        <v>453.72</v>
      </c>
      <c r="K84" s="5">
        <v>0</v>
      </c>
      <c r="L84" s="10"/>
      <c r="M84" s="5">
        <v>0</v>
      </c>
      <c r="N84" s="6" t="s">
        <v>232</v>
      </c>
      <c r="O84" s="5" t="s">
        <v>563</v>
      </c>
    </row>
    <row r="85" spans="1:15" x14ac:dyDescent="0.25">
      <c r="A85" s="6" t="s">
        <v>564</v>
      </c>
      <c r="B85" s="5" t="s">
        <v>173</v>
      </c>
      <c r="C85" s="5">
        <v>0</v>
      </c>
      <c r="D85" s="5">
        <v>200</v>
      </c>
      <c r="E85" s="5">
        <v>0</v>
      </c>
      <c r="F85" s="23">
        <f t="shared" si="2"/>
        <v>181.7355747387551</v>
      </c>
      <c r="G85" s="24">
        <v>1.1005</v>
      </c>
      <c r="H85" s="5">
        <v>0</v>
      </c>
      <c r="I85" s="24">
        <v>453.72</v>
      </c>
      <c r="J85" s="23">
        <f t="shared" si="3"/>
        <v>453.72</v>
      </c>
      <c r="K85" s="5">
        <v>0</v>
      </c>
      <c r="L85" s="10"/>
      <c r="M85" s="5">
        <v>0</v>
      </c>
      <c r="N85" s="6" t="s">
        <v>232</v>
      </c>
      <c r="O85" s="5" t="s">
        <v>563</v>
      </c>
    </row>
    <row r="86" spans="1:15" x14ac:dyDescent="0.25">
      <c r="A86" s="6" t="s">
        <v>565</v>
      </c>
      <c r="B86" s="5" t="s">
        <v>175</v>
      </c>
      <c r="C86" s="5">
        <v>0</v>
      </c>
      <c r="D86" s="5">
        <v>83</v>
      </c>
      <c r="E86" s="5">
        <v>0</v>
      </c>
      <c r="F86" s="23">
        <f t="shared" si="2"/>
        <v>174.51640033641715</v>
      </c>
      <c r="G86" s="24">
        <v>0.47560000000000002</v>
      </c>
      <c r="H86" s="5">
        <v>0</v>
      </c>
      <c r="I86" s="24">
        <v>354.01</v>
      </c>
      <c r="J86" s="23">
        <f t="shared" si="3"/>
        <v>354.01</v>
      </c>
      <c r="K86" s="5">
        <v>0</v>
      </c>
      <c r="L86" s="10"/>
      <c r="M86" s="5">
        <v>30</v>
      </c>
      <c r="N86" s="6" t="s">
        <v>239</v>
      </c>
      <c r="O86" s="5" t="s">
        <v>566</v>
      </c>
    </row>
    <row r="87" spans="1:15" x14ac:dyDescent="0.25">
      <c r="A87" s="6" t="s">
        <v>567</v>
      </c>
      <c r="B87" s="5" t="s">
        <v>175</v>
      </c>
      <c r="C87" s="5">
        <v>0</v>
      </c>
      <c r="D87" s="5">
        <v>85</v>
      </c>
      <c r="E87" s="5">
        <v>0</v>
      </c>
      <c r="F87" s="23">
        <f t="shared" si="2"/>
        <v>178.72161480235491</v>
      </c>
      <c r="G87" s="24">
        <v>0.47560000000000002</v>
      </c>
      <c r="H87" s="5">
        <v>0</v>
      </c>
      <c r="I87" s="24">
        <v>354.01</v>
      </c>
      <c r="J87" s="23">
        <f t="shared" si="3"/>
        <v>354.01</v>
      </c>
      <c r="K87" s="5">
        <v>0</v>
      </c>
      <c r="L87" s="10"/>
      <c r="M87" s="5">
        <v>30</v>
      </c>
      <c r="N87" s="6" t="s">
        <v>239</v>
      </c>
      <c r="O87" s="5" t="s">
        <v>566</v>
      </c>
    </row>
    <row r="88" spans="1:15" x14ac:dyDescent="0.25">
      <c r="A88" s="6" t="s">
        <v>568</v>
      </c>
      <c r="B88" s="5" t="s">
        <v>175</v>
      </c>
      <c r="C88" s="5">
        <v>0</v>
      </c>
      <c r="D88" s="5">
        <v>85</v>
      </c>
      <c r="E88" s="5">
        <v>0</v>
      </c>
      <c r="F88" s="23">
        <f t="shared" si="2"/>
        <v>178.72161480235491</v>
      </c>
      <c r="G88" s="24">
        <v>0.47560000000000002</v>
      </c>
      <c r="H88" s="5">
        <v>0</v>
      </c>
      <c r="I88" s="24">
        <v>354.01</v>
      </c>
      <c r="J88" s="23">
        <f t="shared" si="3"/>
        <v>354.01</v>
      </c>
      <c r="K88" s="5">
        <v>0</v>
      </c>
      <c r="L88" s="10"/>
      <c r="M88" s="5">
        <v>30</v>
      </c>
      <c r="N88" s="6" t="s">
        <v>239</v>
      </c>
      <c r="O88" s="5" t="s">
        <v>566</v>
      </c>
    </row>
    <row r="89" spans="1:15" x14ac:dyDescent="0.25">
      <c r="A89" s="6" t="s">
        <v>569</v>
      </c>
      <c r="B89" s="5" t="s">
        <v>175</v>
      </c>
      <c r="C89" s="5">
        <v>0</v>
      </c>
      <c r="D89" s="5">
        <v>85</v>
      </c>
      <c r="E89" s="5">
        <v>0</v>
      </c>
      <c r="F89" s="23">
        <f t="shared" si="2"/>
        <v>178.72161480235491</v>
      </c>
      <c r="G89" s="24">
        <v>0.47560000000000002</v>
      </c>
      <c r="H89" s="5">
        <v>0</v>
      </c>
      <c r="I89" s="24">
        <v>354.01</v>
      </c>
      <c r="J89" s="23">
        <f t="shared" si="3"/>
        <v>354.01</v>
      </c>
      <c r="K89" s="5">
        <v>0</v>
      </c>
      <c r="L89" s="10"/>
      <c r="M89" s="5">
        <v>30</v>
      </c>
      <c r="N89" s="6" t="s">
        <v>239</v>
      </c>
      <c r="O89" s="5" t="s">
        <v>566</v>
      </c>
    </row>
    <row r="90" spans="1:15" x14ac:dyDescent="0.25">
      <c r="A90" s="6" t="s">
        <v>570</v>
      </c>
      <c r="B90" s="5" t="s">
        <v>171</v>
      </c>
      <c r="C90" s="5">
        <v>0</v>
      </c>
      <c r="D90" s="5">
        <v>15</v>
      </c>
      <c r="E90" s="5">
        <v>0</v>
      </c>
      <c r="F90" s="23">
        <f t="shared" si="2"/>
        <v>11.419870574800154</v>
      </c>
      <c r="G90" s="24">
        <v>1.3134999999999999</v>
      </c>
      <c r="H90" s="5">
        <v>0</v>
      </c>
      <c r="I90" s="24">
        <v>67.7</v>
      </c>
      <c r="J90" s="23">
        <f t="shared" si="3"/>
        <v>67.7</v>
      </c>
      <c r="K90" s="5">
        <v>0</v>
      </c>
      <c r="L90" s="10"/>
      <c r="M90" s="5">
        <v>0</v>
      </c>
      <c r="N90" s="6" t="s">
        <v>233</v>
      </c>
      <c r="O90" s="5" t="s">
        <v>571</v>
      </c>
    </row>
    <row r="91" spans="1:15" x14ac:dyDescent="0.25">
      <c r="A91" s="6" t="s">
        <v>572</v>
      </c>
      <c r="B91" s="5" t="s">
        <v>171</v>
      </c>
      <c r="C91" s="5">
        <v>0</v>
      </c>
      <c r="D91" s="5">
        <v>15</v>
      </c>
      <c r="E91" s="5">
        <v>0</v>
      </c>
      <c r="F91" s="23">
        <f t="shared" si="2"/>
        <v>11.419870574800154</v>
      </c>
      <c r="G91" s="24">
        <v>1.3134999999999999</v>
      </c>
      <c r="H91" s="5">
        <v>0</v>
      </c>
      <c r="I91" s="24">
        <v>67.7</v>
      </c>
      <c r="J91" s="23">
        <f t="shared" si="3"/>
        <v>67.7</v>
      </c>
      <c r="K91" s="5">
        <v>0</v>
      </c>
      <c r="L91" s="10"/>
      <c r="M91" s="5">
        <v>0</v>
      </c>
      <c r="N91" s="6" t="s">
        <v>233</v>
      </c>
      <c r="O91" s="5" t="s">
        <v>571</v>
      </c>
    </row>
    <row r="92" spans="1:15" x14ac:dyDescent="0.25">
      <c r="A92" s="6" t="s">
        <v>573</v>
      </c>
      <c r="B92" s="5" t="s">
        <v>171</v>
      </c>
      <c r="C92" s="5">
        <v>0</v>
      </c>
      <c r="D92" s="5">
        <v>132</v>
      </c>
      <c r="E92" s="5">
        <v>0</v>
      </c>
      <c r="F92" s="23">
        <f t="shared" si="2"/>
        <v>63.851400377303733</v>
      </c>
      <c r="G92" s="24">
        <v>2.0672999999999999</v>
      </c>
      <c r="H92" s="5">
        <v>0</v>
      </c>
      <c r="I92" s="5">
        <v>0</v>
      </c>
      <c r="J92" s="23">
        <f t="shared" si="3"/>
        <v>0</v>
      </c>
      <c r="K92" s="5">
        <v>0</v>
      </c>
      <c r="L92" s="10"/>
      <c r="M92" s="5">
        <v>20</v>
      </c>
      <c r="N92" s="6" t="s">
        <v>311</v>
      </c>
      <c r="O92" s="5" t="s">
        <v>574</v>
      </c>
    </row>
    <row r="93" spans="1:15" x14ac:dyDescent="0.25">
      <c r="A93" s="6" t="s">
        <v>575</v>
      </c>
      <c r="B93" s="5" t="s">
        <v>171</v>
      </c>
      <c r="C93" s="5">
        <v>0</v>
      </c>
      <c r="D93" s="5">
        <v>132</v>
      </c>
      <c r="E93" s="5">
        <v>0</v>
      </c>
      <c r="F93" s="23">
        <f t="shared" si="2"/>
        <v>63.851400377303733</v>
      </c>
      <c r="G93" s="24">
        <v>2.0672999999999999</v>
      </c>
      <c r="H93" s="5">
        <v>0</v>
      </c>
      <c r="I93" s="5">
        <v>0</v>
      </c>
      <c r="J93" s="23">
        <f t="shared" si="3"/>
        <v>0</v>
      </c>
      <c r="K93" s="5">
        <v>0</v>
      </c>
      <c r="L93" s="10"/>
      <c r="M93" s="5">
        <v>20</v>
      </c>
      <c r="N93" s="6" t="s">
        <v>311</v>
      </c>
      <c r="O93" s="5" t="s">
        <v>574</v>
      </c>
    </row>
    <row r="94" spans="1:15" x14ac:dyDescent="0.25">
      <c r="A94" s="6" t="s">
        <v>576</v>
      </c>
      <c r="B94" s="5" t="s">
        <v>171</v>
      </c>
      <c r="C94" s="5">
        <v>0</v>
      </c>
      <c r="D94" s="5">
        <v>132</v>
      </c>
      <c r="E94" s="5">
        <v>0</v>
      </c>
      <c r="F94" s="23">
        <f t="shared" si="2"/>
        <v>63.851400377303733</v>
      </c>
      <c r="G94" s="24">
        <v>2.0672999999999999</v>
      </c>
      <c r="H94" s="5">
        <v>0</v>
      </c>
      <c r="I94" s="5">
        <v>0</v>
      </c>
      <c r="J94" s="23">
        <f t="shared" si="3"/>
        <v>0</v>
      </c>
      <c r="K94" s="5">
        <v>0</v>
      </c>
      <c r="L94" s="10"/>
      <c r="M94" s="5">
        <v>20</v>
      </c>
      <c r="N94" s="6" t="s">
        <v>311</v>
      </c>
      <c r="O94" s="5" t="s">
        <v>574</v>
      </c>
    </row>
    <row r="95" spans="1:15" x14ac:dyDescent="0.25">
      <c r="A95" s="6" t="s">
        <v>577</v>
      </c>
      <c r="B95" s="5" t="s">
        <v>171</v>
      </c>
      <c r="C95" s="5">
        <v>0</v>
      </c>
      <c r="D95" s="5">
        <v>45</v>
      </c>
      <c r="E95" s="5">
        <v>0</v>
      </c>
      <c r="F95" s="23">
        <f t="shared" si="2"/>
        <v>28.515303212724159</v>
      </c>
      <c r="G95" s="24">
        <v>1.5781000000000001</v>
      </c>
      <c r="H95" s="5">
        <v>0</v>
      </c>
      <c r="I95" s="5">
        <v>0</v>
      </c>
      <c r="J95" s="23">
        <f t="shared" si="3"/>
        <v>0</v>
      </c>
      <c r="K95" s="5">
        <v>0</v>
      </c>
      <c r="L95" s="10"/>
      <c r="M95" s="5">
        <v>12</v>
      </c>
      <c r="N95" s="6" t="s">
        <v>317</v>
      </c>
      <c r="O95" s="5" t="s">
        <v>578</v>
      </c>
    </row>
    <row r="96" spans="1:15" x14ac:dyDescent="0.25">
      <c r="A96" s="6" t="s">
        <v>579</v>
      </c>
      <c r="B96" s="5" t="s">
        <v>171</v>
      </c>
      <c r="C96" s="5">
        <v>0</v>
      </c>
      <c r="D96" s="5">
        <v>45</v>
      </c>
      <c r="E96" s="5">
        <v>0</v>
      </c>
      <c r="F96" s="23">
        <f t="shared" si="2"/>
        <v>28.515303212724159</v>
      </c>
      <c r="G96" s="24">
        <v>1.5781000000000001</v>
      </c>
      <c r="H96" s="5">
        <v>0</v>
      </c>
      <c r="I96" s="5">
        <v>0</v>
      </c>
      <c r="J96" s="23">
        <f t="shared" si="3"/>
        <v>0</v>
      </c>
      <c r="K96" s="5">
        <v>0</v>
      </c>
      <c r="L96" s="10"/>
      <c r="M96" s="5">
        <v>12</v>
      </c>
      <c r="N96" s="6" t="s">
        <v>317</v>
      </c>
      <c r="O96" s="5" t="s">
        <v>578</v>
      </c>
    </row>
    <row r="97" spans="1:15" x14ac:dyDescent="0.25">
      <c r="A97" s="6" t="s">
        <v>580</v>
      </c>
      <c r="B97" s="5" t="s">
        <v>171</v>
      </c>
      <c r="C97" s="5">
        <v>0</v>
      </c>
      <c r="D97" s="5">
        <v>45</v>
      </c>
      <c r="E97" s="5">
        <v>0</v>
      </c>
      <c r="F97" s="23">
        <f t="shared" si="2"/>
        <v>28.515303212724159</v>
      </c>
      <c r="G97" s="24">
        <v>1.5781000000000001</v>
      </c>
      <c r="H97" s="5">
        <v>0</v>
      </c>
      <c r="I97" s="5">
        <v>0</v>
      </c>
      <c r="J97" s="23">
        <f t="shared" si="3"/>
        <v>0</v>
      </c>
      <c r="K97" s="5">
        <v>0</v>
      </c>
      <c r="L97" s="10"/>
      <c r="M97" s="5">
        <v>12</v>
      </c>
      <c r="N97" s="6" t="s">
        <v>317</v>
      </c>
      <c r="O97" s="5" t="s">
        <v>578</v>
      </c>
    </row>
    <row r="98" spans="1:15" x14ac:dyDescent="0.25">
      <c r="A98" s="6" t="s">
        <v>581</v>
      </c>
      <c r="B98" s="5" t="s">
        <v>177</v>
      </c>
      <c r="C98" s="5">
        <v>0</v>
      </c>
      <c r="D98" s="5">
        <v>40</v>
      </c>
      <c r="E98" s="5">
        <v>0</v>
      </c>
      <c r="F98" s="23">
        <f t="shared" si="2"/>
        <v>8.2399472643375073</v>
      </c>
      <c r="G98" s="24">
        <v>4.8544</v>
      </c>
      <c r="H98" s="5">
        <v>0</v>
      </c>
      <c r="I98" s="5">
        <v>0</v>
      </c>
      <c r="J98" s="23">
        <f t="shared" si="3"/>
        <v>0</v>
      </c>
      <c r="K98" s="5">
        <v>0</v>
      </c>
      <c r="L98" s="10"/>
      <c r="M98" s="5">
        <v>6.6</v>
      </c>
      <c r="N98" s="6" t="s">
        <v>582</v>
      </c>
      <c r="O98" s="5" t="s">
        <v>583</v>
      </c>
    </row>
    <row r="99" spans="1:15" x14ac:dyDescent="0.25">
      <c r="A99" s="6" t="s">
        <v>584</v>
      </c>
      <c r="B99" s="5" t="s">
        <v>177</v>
      </c>
      <c r="C99" s="5">
        <v>0</v>
      </c>
      <c r="D99" s="5">
        <v>40</v>
      </c>
      <c r="E99" s="5">
        <v>0</v>
      </c>
      <c r="F99" s="23">
        <f t="shared" si="2"/>
        <v>8.2399472643375073</v>
      </c>
      <c r="G99" s="24">
        <v>4.8544</v>
      </c>
      <c r="H99" s="5">
        <v>0</v>
      </c>
      <c r="I99" s="5">
        <v>0</v>
      </c>
      <c r="J99" s="23">
        <f t="shared" si="3"/>
        <v>0</v>
      </c>
      <c r="K99" s="5">
        <v>0</v>
      </c>
      <c r="L99" s="10"/>
      <c r="M99" s="5">
        <v>6.6</v>
      </c>
      <c r="N99" s="6" t="s">
        <v>582</v>
      </c>
      <c r="O99" s="5" t="s">
        <v>583</v>
      </c>
    </row>
    <row r="100" spans="1:15" x14ac:dyDescent="0.25">
      <c r="A100" s="6" t="s">
        <v>585</v>
      </c>
      <c r="B100" s="5" t="s">
        <v>177</v>
      </c>
      <c r="C100" s="5">
        <v>0</v>
      </c>
      <c r="D100" s="5">
        <v>180</v>
      </c>
      <c r="E100" s="5">
        <v>0</v>
      </c>
      <c r="F100" s="23">
        <f t="shared" si="2"/>
        <v>305.34351145038164</v>
      </c>
      <c r="G100" s="24">
        <v>0.58950000000000002</v>
      </c>
      <c r="H100" s="5">
        <v>0</v>
      </c>
      <c r="I100" s="24">
        <v>448.19</v>
      </c>
      <c r="J100" s="23">
        <f t="shared" si="3"/>
        <v>448.19</v>
      </c>
      <c r="K100" s="5">
        <v>0</v>
      </c>
      <c r="L100" s="10"/>
      <c r="M100" s="5">
        <v>60</v>
      </c>
      <c r="N100" s="6" t="s">
        <v>230</v>
      </c>
      <c r="O100" s="5" t="s">
        <v>586</v>
      </c>
    </row>
    <row r="101" spans="1:15" x14ac:dyDescent="0.25">
      <c r="A101" s="6" t="s">
        <v>587</v>
      </c>
      <c r="B101" s="5" t="s">
        <v>177</v>
      </c>
      <c r="C101" s="5">
        <v>0</v>
      </c>
      <c r="D101" s="5">
        <v>180</v>
      </c>
      <c r="E101" s="5">
        <v>0</v>
      </c>
      <c r="F101" s="23">
        <f t="shared" si="2"/>
        <v>305.34351145038164</v>
      </c>
      <c r="G101" s="24">
        <v>0.58950000000000002</v>
      </c>
      <c r="H101" s="5">
        <v>0</v>
      </c>
      <c r="I101" s="24">
        <v>448.19</v>
      </c>
      <c r="J101" s="23">
        <f t="shared" si="3"/>
        <v>448.19</v>
      </c>
      <c r="K101" s="5">
        <v>0</v>
      </c>
      <c r="L101" s="10"/>
      <c r="M101" s="5">
        <v>60</v>
      </c>
      <c r="N101" s="6" t="s">
        <v>230</v>
      </c>
      <c r="O101" s="5" t="s">
        <v>586</v>
      </c>
    </row>
    <row r="102" spans="1:15" x14ac:dyDescent="0.25">
      <c r="A102" s="6" t="s">
        <v>588</v>
      </c>
      <c r="B102" s="5" t="s">
        <v>177</v>
      </c>
      <c r="C102" s="5">
        <v>0</v>
      </c>
      <c r="D102" s="5">
        <v>180</v>
      </c>
      <c r="E102" s="5">
        <v>0</v>
      </c>
      <c r="F102" s="23">
        <f t="shared" si="2"/>
        <v>305.34351145038164</v>
      </c>
      <c r="G102" s="24">
        <v>0.58950000000000002</v>
      </c>
      <c r="H102" s="5">
        <v>0</v>
      </c>
      <c r="I102" s="24">
        <v>448.19</v>
      </c>
      <c r="J102" s="23">
        <f t="shared" si="3"/>
        <v>448.19</v>
      </c>
      <c r="K102" s="5">
        <v>0</v>
      </c>
      <c r="L102" s="10"/>
      <c r="M102" s="5">
        <v>60</v>
      </c>
      <c r="N102" s="6" t="s">
        <v>230</v>
      </c>
      <c r="O102" s="5" t="s">
        <v>586</v>
      </c>
    </row>
    <row r="103" spans="1:15" x14ac:dyDescent="0.25">
      <c r="A103" s="6" t="s">
        <v>589</v>
      </c>
      <c r="B103" s="5" t="s">
        <v>177</v>
      </c>
      <c r="C103" s="5">
        <v>0</v>
      </c>
      <c r="D103" s="5">
        <v>28</v>
      </c>
      <c r="E103" s="5">
        <v>0</v>
      </c>
      <c r="F103" s="23">
        <f t="shared" si="2"/>
        <v>4.7077812899320728</v>
      </c>
      <c r="G103" s="24">
        <v>5.9476000000000004</v>
      </c>
      <c r="H103" s="5">
        <v>0</v>
      </c>
      <c r="I103" s="5">
        <v>0</v>
      </c>
      <c r="J103" s="23">
        <f t="shared" si="3"/>
        <v>0</v>
      </c>
      <c r="K103" s="5">
        <v>0</v>
      </c>
      <c r="L103" s="10"/>
      <c r="M103" s="5">
        <v>3</v>
      </c>
      <c r="N103" s="6" t="s">
        <v>298</v>
      </c>
      <c r="O103" s="5" t="s">
        <v>590</v>
      </c>
    </row>
    <row r="104" spans="1:15" x14ac:dyDescent="0.25">
      <c r="A104" s="6" t="s">
        <v>591</v>
      </c>
      <c r="B104" s="5" t="s">
        <v>177</v>
      </c>
      <c r="C104" s="5">
        <v>0</v>
      </c>
      <c r="D104" s="5">
        <v>28</v>
      </c>
      <c r="E104" s="5">
        <v>0</v>
      </c>
      <c r="F104" s="23">
        <f t="shared" si="2"/>
        <v>4.7077812899320728</v>
      </c>
      <c r="G104" s="24">
        <v>5.9476000000000004</v>
      </c>
      <c r="H104" s="5">
        <v>0</v>
      </c>
      <c r="I104" s="5">
        <v>0</v>
      </c>
      <c r="J104" s="23">
        <f t="shared" si="3"/>
        <v>0</v>
      </c>
      <c r="K104" s="5">
        <v>0</v>
      </c>
      <c r="L104" s="10"/>
      <c r="M104" s="5">
        <v>3</v>
      </c>
      <c r="N104" s="6" t="s">
        <v>298</v>
      </c>
      <c r="O104" s="5" t="s">
        <v>590</v>
      </c>
    </row>
    <row r="105" spans="1:15" x14ac:dyDescent="0.25">
      <c r="A105" s="6" t="s">
        <v>592</v>
      </c>
      <c r="B105" s="5" t="s">
        <v>177</v>
      </c>
      <c r="C105" s="5">
        <v>0</v>
      </c>
      <c r="D105" s="5">
        <v>17</v>
      </c>
      <c r="E105" s="5">
        <v>0</v>
      </c>
      <c r="F105" s="23">
        <f t="shared" si="2"/>
        <v>34.115994380895039</v>
      </c>
      <c r="G105" s="24">
        <v>0.49830000000000002</v>
      </c>
      <c r="H105" s="5">
        <v>0</v>
      </c>
      <c r="I105" s="24">
        <v>327.82</v>
      </c>
      <c r="J105" s="23">
        <f t="shared" si="3"/>
        <v>327.82</v>
      </c>
      <c r="K105" s="5">
        <v>0</v>
      </c>
      <c r="L105" s="10"/>
      <c r="M105" s="5">
        <v>1</v>
      </c>
      <c r="N105" s="6" t="s">
        <v>237</v>
      </c>
      <c r="O105" s="5" t="s">
        <v>593</v>
      </c>
    </row>
    <row r="106" spans="1:15" x14ac:dyDescent="0.25">
      <c r="A106" s="6" t="s">
        <v>594</v>
      </c>
      <c r="B106" s="5" t="s">
        <v>177</v>
      </c>
      <c r="C106" s="5">
        <v>0</v>
      </c>
      <c r="D106" s="5">
        <v>17</v>
      </c>
      <c r="E106" s="5">
        <v>0</v>
      </c>
      <c r="F106" s="23">
        <f t="shared" si="2"/>
        <v>34.115994380895039</v>
      </c>
      <c r="G106" s="24">
        <v>0.49830000000000002</v>
      </c>
      <c r="H106" s="5">
        <v>0</v>
      </c>
      <c r="I106" s="24">
        <v>327.82</v>
      </c>
      <c r="J106" s="23">
        <f t="shared" si="3"/>
        <v>327.82</v>
      </c>
      <c r="K106" s="5">
        <v>0</v>
      </c>
      <c r="L106" s="10"/>
      <c r="M106" s="5">
        <v>1</v>
      </c>
      <c r="N106" s="6" t="s">
        <v>237</v>
      </c>
      <c r="O106" s="5" t="s">
        <v>593</v>
      </c>
    </row>
    <row r="107" spans="1:15" x14ac:dyDescent="0.25">
      <c r="A107" s="6" t="s">
        <v>595</v>
      </c>
      <c r="B107" s="5" t="s">
        <v>177</v>
      </c>
      <c r="C107" s="5">
        <v>0</v>
      </c>
      <c r="D107" s="5">
        <v>17</v>
      </c>
      <c r="E107" s="5">
        <v>0</v>
      </c>
      <c r="F107" s="23">
        <f t="shared" si="2"/>
        <v>34.115994380895039</v>
      </c>
      <c r="G107" s="24">
        <v>0.49830000000000002</v>
      </c>
      <c r="H107" s="5">
        <v>0</v>
      </c>
      <c r="I107" s="24">
        <v>327.82</v>
      </c>
      <c r="J107" s="23">
        <f t="shared" si="3"/>
        <v>327.82</v>
      </c>
      <c r="K107" s="5">
        <v>0</v>
      </c>
      <c r="L107" s="10"/>
      <c r="M107" s="5">
        <v>1</v>
      </c>
      <c r="N107" s="6" t="s">
        <v>237</v>
      </c>
      <c r="O107" s="5" t="s">
        <v>593</v>
      </c>
    </row>
    <row r="108" spans="1:15" x14ac:dyDescent="0.25">
      <c r="A108" s="6" t="s">
        <v>596</v>
      </c>
      <c r="B108" s="5" t="s">
        <v>181</v>
      </c>
      <c r="C108" s="5">
        <v>0</v>
      </c>
      <c r="D108" s="5">
        <v>273</v>
      </c>
      <c r="E108" s="5">
        <v>0</v>
      </c>
      <c r="F108" s="23">
        <f t="shared" si="2"/>
        <v>195.40476701739317</v>
      </c>
      <c r="G108" s="24">
        <v>1.3971</v>
      </c>
      <c r="H108" s="5">
        <v>0</v>
      </c>
      <c r="I108" s="5">
        <v>0</v>
      </c>
      <c r="J108" s="23">
        <f t="shared" si="3"/>
        <v>0</v>
      </c>
      <c r="K108" s="5">
        <v>0</v>
      </c>
      <c r="L108" s="10"/>
      <c r="M108" s="5">
        <v>120</v>
      </c>
      <c r="N108" s="6" t="s">
        <v>320</v>
      </c>
      <c r="O108" s="5" t="s">
        <v>597</v>
      </c>
    </row>
    <row r="109" spans="1:15" x14ac:dyDescent="0.25">
      <c r="A109" s="6" t="s">
        <v>598</v>
      </c>
      <c r="B109" s="5" t="s">
        <v>181</v>
      </c>
      <c r="C109" s="5">
        <v>0</v>
      </c>
      <c r="D109" s="5">
        <v>273</v>
      </c>
      <c r="E109" s="5">
        <v>0</v>
      </c>
      <c r="F109" s="23">
        <f t="shared" si="2"/>
        <v>195.40476701739317</v>
      </c>
      <c r="G109" s="24">
        <v>1.3971</v>
      </c>
      <c r="H109" s="5">
        <v>0</v>
      </c>
      <c r="I109" s="5">
        <v>0</v>
      </c>
      <c r="J109" s="23">
        <f t="shared" si="3"/>
        <v>0</v>
      </c>
      <c r="K109" s="5">
        <v>0</v>
      </c>
      <c r="L109" s="10"/>
      <c r="M109" s="5">
        <v>120</v>
      </c>
      <c r="N109" s="6" t="s">
        <v>320</v>
      </c>
      <c r="O109" s="5" t="s">
        <v>597</v>
      </c>
    </row>
    <row r="110" spans="1:15" x14ac:dyDescent="0.25">
      <c r="A110" s="6" t="s">
        <v>599</v>
      </c>
      <c r="B110" s="5" t="s">
        <v>181</v>
      </c>
      <c r="C110" s="5">
        <v>0</v>
      </c>
      <c r="D110" s="5">
        <v>273</v>
      </c>
      <c r="E110" s="5">
        <v>0</v>
      </c>
      <c r="F110" s="23">
        <f t="shared" si="2"/>
        <v>195.40476701739317</v>
      </c>
      <c r="G110" s="24">
        <v>1.3971</v>
      </c>
      <c r="H110" s="5">
        <v>0</v>
      </c>
      <c r="I110" s="5">
        <v>0</v>
      </c>
      <c r="J110" s="23">
        <f t="shared" si="3"/>
        <v>0</v>
      </c>
      <c r="K110" s="5">
        <v>0</v>
      </c>
      <c r="L110" s="10"/>
      <c r="M110" s="5">
        <v>120</v>
      </c>
      <c r="N110" s="6" t="s">
        <v>320</v>
      </c>
      <c r="O110" s="5" t="s">
        <v>597</v>
      </c>
    </row>
    <row r="111" spans="1:15" x14ac:dyDescent="0.25">
      <c r="A111" s="6" t="s">
        <v>600</v>
      </c>
      <c r="B111" s="5" t="s">
        <v>182</v>
      </c>
      <c r="C111" s="5">
        <v>0</v>
      </c>
      <c r="D111" s="5">
        <v>115</v>
      </c>
      <c r="E111" s="5">
        <v>0</v>
      </c>
      <c r="F111" s="23">
        <f t="shared" si="2"/>
        <v>32.771001937763593</v>
      </c>
      <c r="G111" s="24">
        <v>3.5091999999999999</v>
      </c>
      <c r="H111" s="5">
        <v>0</v>
      </c>
      <c r="I111" s="5">
        <v>0</v>
      </c>
      <c r="J111" s="23">
        <f t="shared" si="3"/>
        <v>0</v>
      </c>
      <c r="K111" s="5">
        <v>0</v>
      </c>
      <c r="L111" s="10"/>
      <c r="M111" s="5">
        <v>30</v>
      </c>
      <c r="N111" s="6" t="s">
        <v>601</v>
      </c>
      <c r="O111" s="5">
        <v>0</v>
      </c>
    </row>
    <row r="112" spans="1:15" x14ac:dyDescent="0.25">
      <c r="A112" s="6" t="s">
        <v>602</v>
      </c>
      <c r="B112" s="5" t="s">
        <v>182</v>
      </c>
      <c r="C112" s="5">
        <v>0</v>
      </c>
      <c r="D112" s="5">
        <v>120</v>
      </c>
      <c r="E112" s="5">
        <v>0</v>
      </c>
      <c r="F112" s="23">
        <f t="shared" si="2"/>
        <v>34.195828108970709</v>
      </c>
      <c r="G112" s="24">
        <v>3.5091999999999999</v>
      </c>
      <c r="H112" s="5">
        <v>0</v>
      </c>
      <c r="I112" s="5">
        <v>0</v>
      </c>
      <c r="J112" s="23">
        <f t="shared" si="3"/>
        <v>0</v>
      </c>
      <c r="K112" s="5">
        <v>0</v>
      </c>
      <c r="L112" s="10"/>
      <c r="M112" s="5">
        <v>30</v>
      </c>
      <c r="N112" s="6" t="s">
        <v>601</v>
      </c>
      <c r="O112" s="5">
        <v>0</v>
      </c>
    </row>
    <row r="113" spans="1:15" x14ac:dyDescent="0.25">
      <c r="A113" s="6" t="s">
        <v>603</v>
      </c>
      <c r="B113" s="5" t="s">
        <v>182</v>
      </c>
      <c r="C113" s="5">
        <v>0</v>
      </c>
      <c r="D113" s="5">
        <v>120</v>
      </c>
      <c r="E113" s="5">
        <v>0</v>
      </c>
      <c r="F113" s="23">
        <f t="shared" si="2"/>
        <v>34.195828108970709</v>
      </c>
      <c r="G113" s="24">
        <v>3.5091999999999999</v>
      </c>
      <c r="H113" s="5">
        <v>0</v>
      </c>
      <c r="I113" s="5">
        <v>0</v>
      </c>
      <c r="J113" s="23">
        <f t="shared" si="3"/>
        <v>0</v>
      </c>
      <c r="K113" s="5">
        <v>0</v>
      </c>
      <c r="L113" s="10"/>
      <c r="M113" s="5">
        <v>30</v>
      </c>
      <c r="N113" s="6" t="s">
        <v>601</v>
      </c>
      <c r="O113" s="5">
        <v>0</v>
      </c>
    </row>
    <row r="114" spans="1:15" x14ac:dyDescent="0.25">
      <c r="A114" s="6" t="s">
        <v>604</v>
      </c>
      <c r="B114" s="5" t="s">
        <v>182</v>
      </c>
      <c r="C114" s="5">
        <v>0</v>
      </c>
      <c r="D114" s="5">
        <v>12</v>
      </c>
      <c r="E114" s="5">
        <v>0</v>
      </c>
      <c r="F114" s="23">
        <f t="shared" si="2"/>
        <v>20.321761219305671</v>
      </c>
      <c r="G114" s="24">
        <v>0.59050000000000002</v>
      </c>
      <c r="H114" s="5">
        <v>0</v>
      </c>
      <c r="I114" s="5">
        <v>0</v>
      </c>
      <c r="J114" s="23">
        <f t="shared" si="3"/>
        <v>0</v>
      </c>
      <c r="K114" s="5">
        <v>0</v>
      </c>
      <c r="L114" s="10"/>
      <c r="M114" s="5">
        <v>1</v>
      </c>
      <c r="N114" s="6" t="s">
        <v>605</v>
      </c>
      <c r="O114" s="5">
        <v>0</v>
      </c>
    </row>
    <row r="115" spans="1:15" x14ac:dyDescent="0.25">
      <c r="A115" s="6" t="s">
        <v>606</v>
      </c>
      <c r="B115" s="5" t="s">
        <v>182</v>
      </c>
      <c r="C115" s="5">
        <v>0</v>
      </c>
      <c r="D115" s="5">
        <v>12</v>
      </c>
      <c r="E115" s="5">
        <v>0</v>
      </c>
      <c r="F115" s="23">
        <f t="shared" si="2"/>
        <v>20.321761219305671</v>
      </c>
      <c r="G115" s="24">
        <v>0.59050000000000002</v>
      </c>
      <c r="H115" s="5">
        <v>0</v>
      </c>
      <c r="I115" s="5">
        <v>0</v>
      </c>
      <c r="J115" s="23">
        <f t="shared" si="3"/>
        <v>0</v>
      </c>
      <c r="K115" s="5">
        <v>0</v>
      </c>
      <c r="L115" s="10"/>
      <c r="M115" s="5">
        <v>1</v>
      </c>
      <c r="N115" s="6" t="s">
        <v>605</v>
      </c>
      <c r="O115" s="5">
        <v>0</v>
      </c>
    </row>
    <row r="116" spans="1:15" x14ac:dyDescent="0.25">
      <c r="A116" s="6" t="s">
        <v>607</v>
      </c>
      <c r="B116" s="5" t="s">
        <v>182</v>
      </c>
      <c r="C116" s="5">
        <v>0</v>
      </c>
      <c r="D116" s="5">
        <v>24</v>
      </c>
      <c r="E116" s="5">
        <v>0</v>
      </c>
      <c r="F116" s="23">
        <f t="shared" si="2"/>
        <v>40.643522438611342</v>
      </c>
      <c r="G116" s="24">
        <v>0.59050000000000002</v>
      </c>
      <c r="H116" s="5">
        <v>0</v>
      </c>
      <c r="I116" s="5">
        <v>0</v>
      </c>
      <c r="J116" s="23">
        <f t="shared" si="3"/>
        <v>0</v>
      </c>
      <c r="K116" s="5">
        <v>0</v>
      </c>
      <c r="L116" s="10"/>
      <c r="M116" s="5">
        <v>3</v>
      </c>
      <c r="N116" s="6" t="s">
        <v>605</v>
      </c>
      <c r="O116" s="5">
        <v>0</v>
      </c>
    </row>
    <row r="117" spans="1:15" x14ac:dyDescent="0.25">
      <c r="A117" s="6" t="s">
        <v>608</v>
      </c>
      <c r="B117" s="5" t="s">
        <v>182</v>
      </c>
      <c r="C117" s="5">
        <v>0</v>
      </c>
      <c r="D117" s="5">
        <v>24</v>
      </c>
      <c r="E117" s="5">
        <v>0</v>
      </c>
      <c r="F117" s="23">
        <f t="shared" si="2"/>
        <v>40.643522438611342</v>
      </c>
      <c r="G117" s="24">
        <v>0.59050000000000002</v>
      </c>
      <c r="H117" s="5">
        <v>0</v>
      </c>
      <c r="I117" s="5">
        <v>0</v>
      </c>
      <c r="J117" s="23">
        <f t="shared" si="3"/>
        <v>0</v>
      </c>
      <c r="K117" s="5">
        <v>0</v>
      </c>
      <c r="L117" s="10"/>
      <c r="M117" s="5">
        <v>3</v>
      </c>
      <c r="N117" s="6" t="s">
        <v>605</v>
      </c>
      <c r="O117" s="5">
        <v>0</v>
      </c>
    </row>
    <row r="118" spans="1:15" x14ac:dyDescent="0.25">
      <c r="A118" s="6" t="s">
        <v>609</v>
      </c>
      <c r="B118" s="5" t="s">
        <v>182</v>
      </c>
      <c r="C118" s="5">
        <v>0</v>
      </c>
      <c r="D118" s="5">
        <v>33</v>
      </c>
      <c r="E118" s="5">
        <v>0</v>
      </c>
      <c r="F118" s="23">
        <f t="shared" si="2"/>
        <v>16.696180116367316</v>
      </c>
      <c r="G118" s="24">
        <v>1.9764999999999999</v>
      </c>
      <c r="H118" s="5">
        <v>0</v>
      </c>
      <c r="I118" s="24">
        <v>104.36</v>
      </c>
      <c r="J118" s="23">
        <f t="shared" si="3"/>
        <v>104.36</v>
      </c>
      <c r="K118" s="5">
        <v>0</v>
      </c>
      <c r="L118" s="10"/>
      <c r="M118" s="5">
        <v>16</v>
      </c>
      <c r="N118" s="6" t="s">
        <v>231</v>
      </c>
      <c r="O118" s="5" t="s">
        <v>610</v>
      </c>
    </row>
    <row r="119" spans="1:15" x14ac:dyDescent="0.25">
      <c r="A119" s="6" t="s">
        <v>611</v>
      </c>
      <c r="B119" s="5" t="s">
        <v>182</v>
      </c>
      <c r="C119" s="5">
        <v>0</v>
      </c>
      <c r="D119" s="5">
        <v>33</v>
      </c>
      <c r="E119" s="5">
        <v>0</v>
      </c>
      <c r="F119" s="23">
        <f t="shared" si="2"/>
        <v>16.696180116367316</v>
      </c>
      <c r="G119" s="24">
        <v>1.9764999999999999</v>
      </c>
      <c r="H119" s="5">
        <v>0</v>
      </c>
      <c r="I119" s="24">
        <v>104.36</v>
      </c>
      <c r="J119" s="23">
        <f t="shared" si="3"/>
        <v>104.36</v>
      </c>
      <c r="K119" s="5">
        <v>0</v>
      </c>
      <c r="L119" s="10"/>
      <c r="M119" s="5">
        <v>16</v>
      </c>
      <c r="N119" s="6" t="s">
        <v>231</v>
      </c>
      <c r="O119" s="5" t="s">
        <v>610</v>
      </c>
    </row>
    <row r="120" spans="1:15" x14ac:dyDescent="0.25">
      <c r="A120" s="6" t="s">
        <v>612</v>
      </c>
      <c r="B120" s="5" t="s">
        <v>182</v>
      </c>
      <c r="C120" s="5">
        <v>0</v>
      </c>
      <c r="D120" s="5">
        <v>33</v>
      </c>
      <c r="E120" s="5">
        <v>0</v>
      </c>
      <c r="F120" s="23">
        <f t="shared" si="2"/>
        <v>16.696180116367316</v>
      </c>
      <c r="G120" s="24">
        <v>1.9764999999999999</v>
      </c>
      <c r="H120" s="5">
        <v>0</v>
      </c>
      <c r="I120" s="24">
        <v>104.36</v>
      </c>
      <c r="J120" s="23">
        <f t="shared" si="3"/>
        <v>104.36</v>
      </c>
      <c r="K120" s="5">
        <v>0</v>
      </c>
      <c r="L120" s="10"/>
      <c r="M120" s="5">
        <v>16</v>
      </c>
      <c r="N120" s="6" t="s">
        <v>231</v>
      </c>
      <c r="O120" s="5" t="s">
        <v>610</v>
      </c>
    </row>
    <row r="121" spans="1:15" x14ac:dyDescent="0.25">
      <c r="A121" s="6" t="s">
        <v>613</v>
      </c>
      <c r="B121" s="5" t="s">
        <v>182</v>
      </c>
      <c r="C121" s="5">
        <v>0</v>
      </c>
      <c r="D121" s="5">
        <v>33</v>
      </c>
      <c r="E121" s="5">
        <v>0</v>
      </c>
      <c r="F121" s="23">
        <f t="shared" si="2"/>
        <v>16.696180116367316</v>
      </c>
      <c r="G121" s="24">
        <v>1.9764999999999999</v>
      </c>
      <c r="H121" s="5">
        <v>0</v>
      </c>
      <c r="I121" s="24">
        <v>104.36</v>
      </c>
      <c r="J121" s="23">
        <f t="shared" si="3"/>
        <v>104.36</v>
      </c>
      <c r="K121" s="5">
        <v>0</v>
      </c>
      <c r="L121" s="10"/>
      <c r="M121" s="5">
        <v>16</v>
      </c>
      <c r="N121" s="6" t="s">
        <v>231</v>
      </c>
      <c r="O121" s="5" t="s">
        <v>610</v>
      </c>
    </row>
    <row r="122" spans="1:15" x14ac:dyDescent="0.25">
      <c r="A122" s="6" t="s">
        <v>614</v>
      </c>
      <c r="B122" s="5" t="s">
        <v>182</v>
      </c>
      <c r="C122" s="5">
        <v>0</v>
      </c>
      <c r="D122" s="5">
        <v>125</v>
      </c>
      <c r="E122" s="5">
        <v>0</v>
      </c>
      <c r="F122" s="23">
        <f t="shared" si="2"/>
        <v>145.16316339565671</v>
      </c>
      <c r="G122" s="24">
        <v>0.86109999999999998</v>
      </c>
      <c r="H122" s="5">
        <v>0</v>
      </c>
      <c r="I122" s="24">
        <v>91.45</v>
      </c>
      <c r="J122" s="23">
        <f t="shared" si="3"/>
        <v>91.45</v>
      </c>
      <c r="K122" s="5">
        <v>0</v>
      </c>
      <c r="L122" s="10"/>
      <c r="M122" s="5">
        <v>30</v>
      </c>
      <c r="N122" s="6" t="s">
        <v>238</v>
      </c>
      <c r="O122" s="5" t="s">
        <v>615</v>
      </c>
    </row>
    <row r="123" spans="1:15" x14ac:dyDescent="0.25">
      <c r="A123" s="6" t="s">
        <v>616</v>
      </c>
      <c r="B123" s="5" t="s">
        <v>182</v>
      </c>
      <c r="C123" s="5">
        <v>0</v>
      </c>
      <c r="D123" s="5">
        <v>95</v>
      </c>
      <c r="E123" s="5">
        <v>0</v>
      </c>
      <c r="F123" s="23">
        <f t="shared" si="2"/>
        <v>110.32400418069911</v>
      </c>
      <c r="G123" s="24">
        <v>0.86109999999999998</v>
      </c>
      <c r="H123" s="5">
        <v>0</v>
      </c>
      <c r="I123" s="24">
        <v>91.45</v>
      </c>
      <c r="J123" s="23">
        <f t="shared" si="3"/>
        <v>91.45</v>
      </c>
      <c r="K123" s="5">
        <v>0</v>
      </c>
      <c r="L123" s="10"/>
      <c r="M123" s="5">
        <v>30</v>
      </c>
      <c r="N123" s="6" t="s">
        <v>238</v>
      </c>
      <c r="O123" s="5" t="s">
        <v>615</v>
      </c>
    </row>
    <row r="124" spans="1:15" x14ac:dyDescent="0.25">
      <c r="A124" s="6" t="s">
        <v>617</v>
      </c>
      <c r="B124" s="5" t="s">
        <v>182</v>
      </c>
      <c r="C124" s="5">
        <v>0</v>
      </c>
      <c r="D124" s="5">
        <v>95</v>
      </c>
      <c r="E124" s="5">
        <v>0</v>
      </c>
      <c r="F124" s="23">
        <f t="shared" si="2"/>
        <v>110.32400418069911</v>
      </c>
      <c r="G124" s="24">
        <v>0.86109999999999998</v>
      </c>
      <c r="H124" s="5">
        <v>0</v>
      </c>
      <c r="I124" s="24">
        <v>91.45</v>
      </c>
      <c r="J124" s="23">
        <f t="shared" si="3"/>
        <v>91.45</v>
      </c>
      <c r="K124" s="5">
        <v>0</v>
      </c>
      <c r="L124" s="10"/>
      <c r="M124" s="5">
        <v>30</v>
      </c>
      <c r="N124" s="6" t="s">
        <v>238</v>
      </c>
      <c r="O124" s="5" t="s">
        <v>615</v>
      </c>
    </row>
  </sheetData>
  <pageMargins left="0.75" right="0.75" top="1" bottom="1" header="0.5" footer="0.5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7FFE28-5F4C-4310-A2D6-C5E29AFC3BC7}">
  <sheetPr>
    <tabColor theme="8" tint="0.79998168889431442"/>
  </sheetPr>
  <dimension ref="A1:AR29"/>
  <sheetViews>
    <sheetView workbookViewId="0">
      <selection activeCell="I11" sqref="I11"/>
    </sheetView>
  </sheetViews>
  <sheetFormatPr defaultRowHeight="15" x14ac:dyDescent="0.25"/>
  <cols>
    <col min="1" max="1" width="9.7109375" bestFit="1" customWidth="1"/>
    <col min="2" max="2" width="8.42578125" customWidth="1"/>
    <col min="3" max="3" width="15.85546875" bestFit="1" customWidth="1"/>
    <col min="4" max="4" width="16.28515625" bestFit="1" customWidth="1"/>
    <col min="5" max="5" width="8" bestFit="1" customWidth="1"/>
    <col min="6" max="6" width="9" bestFit="1" customWidth="1"/>
    <col min="7" max="7" width="11.42578125" bestFit="1" customWidth="1"/>
    <col min="8" max="8" width="9" bestFit="1" customWidth="1"/>
    <col min="9" max="9" width="12.85546875" bestFit="1" customWidth="1"/>
    <col min="10" max="10" width="9" bestFit="1" customWidth="1"/>
    <col min="11" max="11" width="14.7109375" bestFit="1" customWidth="1"/>
    <col min="12" max="12" width="14.5703125" bestFit="1" customWidth="1"/>
    <col min="13" max="13" width="17.7109375" bestFit="1" customWidth="1"/>
    <col min="14" max="14" width="11.140625" bestFit="1" customWidth="1"/>
    <col min="15" max="15" width="9" bestFit="1" customWidth="1"/>
    <col min="16" max="16" width="12.85546875" bestFit="1" customWidth="1"/>
    <col min="17" max="17" width="10.140625" bestFit="1" customWidth="1"/>
    <col min="18" max="18" width="14.7109375" bestFit="1" customWidth="1"/>
    <col min="19" max="19" width="13.5703125" bestFit="1" customWidth="1"/>
    <col min="20" max="20" width="26.5703125" bestFit="1" customWidth="1"/>
    <col min="21" max="21" width="15.42578125" bestFit="1" customWidth="1"/>
    <col min="22" max="22" width="13.7109375" bestFit="1" customWidth="1"/>
    <col min="23" max="23" width="18.85546875" bestFit="1" customWidth="1"/>
    <col min="24" max="24" width="7" bestFit="1" customWidth="1"/>
    <col min="25" max="25" width="11.140625" bestFit="1" customWidth="1"/>
    <col min="26" max="26" width="18.28515625" bestFit="1" customWidth="1"/>
    <col min="28" max="28" width="8.5703125" bestFit="1" customWidth="1"/>
    <col min="29" max="29" width="12.140625" bestFit="1" customWidth="1"/>
    <col min="30" max="30" width="9.5703125" bestFit="1" customWidth="1"/>
    <col min="31" max="31" width="8.42578125" bestFit="1" customWidth="1"/>
    <col min="32" max="32" width="9.5703125" bestFit="1" customWidth="1"/>
    <col min="33" max="33" width="6.28515625" bestFit="1" customWidth="1"/>
    <col min="34" max="34" width="8.5703125" bestFit="1" customWidth="1"/>
    <col min="35" max="35" width="9" bestFit="1" customWidth="1"/>
    <col min="36" max="36" width="10.5703125" bestFit="1" customWidth="1"/>
    <col min="37" max="37" width="7.28515625" bestFit="1" customWidth="1"/>
    <col min="38" max="38" width="12" bestFit="1" customWidth="1"/>
    <col min="39" max="39" width="13.5703125" bestFit="1" customWidth="1"/>
    <col min="40" max="40" width="15.42578125" bestFit="1" customWidth="1"/>
    <col min="41" max="41" width="12.28515625" bestFit="1" customWidth="1"/>
    <col min="42" max="42" width="10.85546875" bestFit="1" customWidth="1"/>
    <col min="43" max="43" width="11.85546875" bestFit="1" customWidth="1"/>
    <col min="44" max="44" width="7.85546875" bestFit="1" customWidth="1"/>
  </cols>
  <sheetData>
    <row r="1" spans="1:44" ht="18.75" x14ac:dyDescent="0.3">
      <c r="A1" s="1" t="s">
        <v>228</v>
      </c>
    </row>
    <row r="2" spans="1:44" x14ac:dyDescent="0.25">
      <c r="A2" s="2" t="s">
        <v>229</v>
      </c>
    </row>
    <row r="4" spans="1:44" x14ac:dyDescent="0.25">
      <c r="A4" s="12" t="s">
        <v>322</v>
      </c>
      <c r="B4" s="3" t="s">
        <v>119</v>
      </c>
      <c r="C4" s="3" t="s">
        <v>285</v>
      </c>
      <c r="D4" s="3" t="s">
        <v>286</v>
      </c>
      <c r="E4" s="3" t="s">
        <v>287</v>
      </c>
      <c r="F4" s="3" t="s">
        <v>288</v>
      </c>
      <c r="G4" s="3" t="s">
        <v>289</v>
      </c>
      <c r="H4" s="3" t="s">
        <v>290</v>
      </c>
      <c r="I4" s="3" t="s">
        <v>291</v>
      </c>
      <c r="J4" s="3" t="s">
        <v>231</v>
      </c>
      <c r="K4" s="3" t="s">
        <v>292</v>
      </c>
      <c r="L4" s="3" t="s">
        <v>293</v>
      </c>
      <c r="M4" s="3" t="s">
        <v>294</v>
      </c>
      <c r="N4" s="3" t="s">
        <v>295</v>
      </c>
      <c r="O4" s="3" t="s">
        <v>296</v>
      </c>
      <c r="P4" s="3" t="s">
        <v>297</v>
      </c>
      <c r="Q4" s="3" t="s">
        <v>298</v>
      </c>
      <c r="R4" s="3" t="s">
        <v>299</v>
      </c>
      <c r="S4" s="3" t="s">
        <v>300</v>
      </c>
      <c r="T4" s="3" t="s">
        <v>301</v>
      </c>
      <c r="U4" s="3" t="s">
        <v>302</v>
      </c>
      <c r="V4" s="3" t="s">
        <v>303</v>
      </c>
      <c r="W4" s="3" t="s">
        <v>304</v>
      </c>
      <c r="X4" s="3" t="s">
        <v>305</v>
      </c>
      <c r="Y4" s="3" t="s">
        <v>232</v>
      </c>
      <c r="Z4" s="3" t="s">
        <v>306</v>
      </c>
      <c r="AA4" s="3" t="s">
        <v>307</v>
      </c>
      <c r="AB4" s="3" t="s">
        <v>308</v>
      </c>
      <c r="AC4" s="3" t="s">
        <v>309</v>
      </c>
      <c r="AD4" s="3" t="s">
        <v>310</v>
      </c>
      <c r="AE4" s="3" t="s">
        <v>234</v>
      </c>
      <c r="AF4" s="3" t="s">
        <v>235</v>
      </c>
      <c r="AG4" s="3" t="s">
        <v>311</v>
      </c>
      <c r="AH4" s="3" t="s">
        <v>312</v>
      </c>
      <c r="AI4" s="3" t="s">
        <v>313</v>
      </c>
      <c r="AJ4" s="3" t="s">
        <v>314</v>
      </c>
      <c r="AK4" s="3" t="s">
        <v>237</v>
      </c>
      <c r="AL4" s="3" t="s">
        <v>315</v>
      </c>
      <c r="AM4" s="3" t="s">
        <v>316</v>
      </c>
      <c r="AN4" s="3" t="s">
        <v>317</v>
      </c>
      <c r="AO4" s="3" t="s">
        <v>318</v>
      </c>
      <c r="AP4" s="3" t="s">
        <v>319</v>
      </c>
      <c r="AQ4" s="3" t="s">
        <v>320</v>
      </c>
      <c r="AR4" s="3" t="s">
        <v>321</v>
      </c>
    </row>
    <row r="5" spans="1:44" x14ac:dyDescent="0.25">
      <c r="B5" s="4"/>
      <c r="C5" s="17" t="s">
        <v>284</v>
      </c>
      <c r="D5" s="4" t="s">
        <v>284</v>
      </c>
      <c r="E5" s="4" t="s">
        <v>284</v>
      </c>
      <c r="F5" s="4" t="s">
        <v>284</v>
      </c>
      <c r="G5" s="4" t="s">
        <v>284</v>
      </c>
      <c r="H5" s="4" t="s">
        <v>284</v>
      </c>
      <c r="I5" s="4" t="s">
        <v>284</v>
      </c>
      <c r="J5" s="4" t="s">
        <v>284</v>
      </c>
      <c r="K5" s="4" t="s">
        <v>284</v>
      </c>
      <c r="L5" s="4" t="s">
        <v>284</v>
      </c>
      <c r="M5" s="4" t="s">
        <v>284</v>
      </c>
      <c r="N5" s="4" t="s">
        <v>284</v>
      </c>
      <c r="O5" s="4" t="s">
        <v>284</v>
      </c>
      <c r="P5" s="4" t="s">
        <v>284</v>
      </c>
      <c r="Q5" s="4" t="s">
        <v>284</v>
      </c>
      <c r="R5" s="4" t="s">
        <v>284</v>
      </c>
      <c r="S5" s="4" t="s">
        <v>284</v>
      </c>
      <c r="T5" s="4" t="s">
        <v>284</v>
      </c>
      <c r="U5" s="4" t="s">
        <v>284</v>
      </c>
      <c r="V5" s="4" t="s">
        <v>284</v>
      </c>
      <c r="W5" s="4" t="s">
        <v>284</v>
      </c>
      <c r="X5" s="4" t="s">
        <v>284</v>
      </c>
      <c r="Y5" s="4" t="s">
        <v>284</v>
      </c>
      <c r="Z5" s="4" t="s">
        <v>284</v>
      </c>
      <c r="AA5" s="4" t="s">
        <v>284</v>
      </c>
      <c r="AB5" s="4" t="s">
        <v>284</v>
      </c>
      <c r="AC5" s="4" t="s">
        <v>284</v>
      </c>
      <c r="AD5" s="4" t="s">
        <v>284</v>
      </c>
      <c r="AE5" s="4" t="s">
        <v>284</v>
      </c>
      <c r="AF5" s="4" t="s">
        <v>284</v>
      </c>
      <c r="AG5" s="4" t="s">
        <v>284</v>
      </c>
      <c r="AH5" s="4" t="s">
        <v>284</v>
      </c>
      <c r="AI5" s="4" t="s">
        <v>284</v>
      </c>
      <c r="AJ5" s="4" t="s">
        <v>284</v>
      </c>
      <c r="AK5" s="4" t="s">
        <v>284</v>
      </c>
      <c r="AL5" s="4" t="s">
        <v>284</v>
      </c>
      <c r="AM5" s="4" t="s">
        <v>284</v>
      </c>
      <c r="AN5" s="4" t="s">
        <v>284</v>
      </c>
      <c r="AO5" s="4" t="s">
        <v>284</v>
      </c>
      <c r="AP5" s="4" t="s">
        <v>284</v>
      </c>
      <c r="AQ5" s="4" t="s">
        <v>284</v>
      </c>
      <c r="AR5" s="4" t="s">
        <v>284</v>
      </c>
    </row>
    <row r="6" spans="1:44" x14ac:dyDescent="0.25">
      <c r="A6" s="18">
        <v>46209</v>
      </c>
      <c r="B6" s="5">
        <v>1</v>
      </c>
      <c r="C6" s="5">
        <v>20.149999999999999</v>
      </c>
      <c r="D6" s="5">
        <v>18.190000000000001</v>
      </c>
      <c r="E6" s="5">
        <v>19.79</v>
      </c>
      <c r="F6" s="5">
        <v>184.39</v>
      </c>
      <c r="G6" s="5">
        <v>199.45</v>
      </c>
      <c r="H6" s="5">
        <v>0</v>
      </c>
      <c r="I6" s="5">
        <v>44.09</v>
      </c>
      <c r="J6" s="5">
        <v>3.9</v>
      </c>
      <c r="K6" s="5">
        <v>3.98</v>
      </c>
      <c r="L6" s="5">
        <v>19.59</v>
      </c>
      <c r="M6" s="5">
        <v>77.97</v>
      </c>
      <c r="N6" s="5">
        <v>10.25</v>
      </c>
      <c r="O6" s="5">
        <v>23.14</v>
      </c>
      <c r="P6" s="5">
        <v>4.6900000000000004</v>
      </c>
      <c r="Q6" s="5">
        <v>5.5</v>
      </c>
      <c r="R6" s="5">
        <v>8.9700000000000006</v>
      </c>
      <c r="S6" s="5">
        <v>3.9</v>
      </c>
      <c r="T6" s="5">
        <v>10.98</v>
      </c>
      <c r="U6" s="5">
        <v>0</v>
      </c>
      <c r="V6" s="5">
        <v>0</v>
      </c>
      <c r="W6" s="5">
        <v>1.26</v>
      </c>
      <c r="X6" s="5">
        <v>17.43</v>
      </c>
      <c r="Y6" s="5">
        <v>330.44</v>
      </c>
      <c r="Z6" s="5">
        <v>17.72</v>
      </c>
      <c r="AA6" s="5">
        <v>1.22</v>
      </c>
      <c r="AB6" s="5">
        <v>14.67</v>
      </c>
      <c r="AC6" s="5">
        <v>21.72</v>
      </c>
      <c r="AD6" s="5">
        <v>34.22</v>
      </c>
      <c r="AE6" s="5">
        <v>102.21</v>
      </c>
      <c r="AF6" s="5">
        <v>327.26</v>
      </c>
      <c r="AG6" s="5">
        <v>24.65</v>
      </c>
      <c r="AH6" s="5">
        <v>10.09</v>
      </c>
      <c r="AI6" s="5">
        <v>6.45</v>
      </c>
      <c r="AJ6" s="5">
        <v>21.98</v>
      </c>
      <c r="AK6" s="5">
        <v>18.07</v>
      </c>
      <c r="AL6" s="5">
        <v>18.559999999999999</v>
      </c>
      <c r="AM6" s="5">
        <v>5.26</v>
      </c>
      <c r="AN6" s="5">
        <v>1.99</v>
      </c>
      <c r="AO6" s="5">
        <v>20.39</v>
      </c>
      <c r="AP6" s="5">
        <v>302.57</v>
      </c>
      <c r="AQ6" s="5">
        <v>441.21</v>
      </c>
      <c r="AR6" s="5">
        <v>2.57</v>
      </c>
    </row>
    <row r="7" spans="1:44" x14ac:dyDescent="0.25">
      <c r="A7" s="18">
        <v>46209</v>
      </c>
      <c r="B7" s="5">
        <v>2</v>
      </c>
      <c r="C7" s="5">
        <v>20.149999999999999</v>
      </c>
      <c r="D7" s="5">
        <v>18.190000000000001</v>
      </c>
      <c r="E7" s="5">
        <v>19.79</v>
      </c>
      <c r="F7" s="5">
        <v>184.39</v>
      </c>
      <c r="G7" s="5">
        <v>199.45</v>
      </c>
      <c r="H7" s="5">
        <v>0</v>
      </c>
      <c r="I7" s="5">
        <v>44.09</v>
      </c>
      <c r="J7" s="5">
        <v>3.9</v>
      </c>
      <c r="K7" s="5">
        <v>3.98</v>
      </c>
      <c r="L7" s="5">
        <v>19.59</v>
      </c>
      <c r="M7" s="5">
        <v>77.97</v>
      </c>
      <c r="N7" s="5">
        <v>10.25</v>
      </c>
      <c r="O7" s="5">
        <v>23.14</v>
      </c>
      <c r="P7" s="5">
        <v>4.6900000000000004</v>
      </c>
      <c r="Q7" s="5">
        <v>5.5</v>
      </c>
      <c r="R7" s="5">
        <v>8.9700000000000006</v>
      </c>
      <c r="S7" s="5">
        <v>3.9</v>
      </c>
      <c r="T7" s="5">
        <v>10.98</v>
      </c>
      <c r="U7" s="5">
        <v>0</v>
      </c>
      <c r="V7" s="5">
        <v>0</v>
      </c>
      <c r="W7" s="5">
        <v>1.26</v>
      </c>
      <c r="X7" s="5">
        <v>17.43</v>
      </c>
      <c r="Y7" s="5">
        <v>330.44</v>
      </c>
      <c r="Z7" s="5">
        <v>17.72</v>
      </c>
      <c r="AA7" s="5">
        <v>1.22</v>
      </c>
      <c r="AB7" s="5">
        <v>14.67</v>
      </c>
      <c r="AC7" s="5">
        <v>21.72</v>
      </c>
      <c r="AD7" s="5">
        <v>34.22</v>
      </c>
      <c r="AE7" s="5">
        <v>102.21</v>
      </c>
      <c r="AF7" s="5">
        <v>327.26</v>
      </c>
      <c r="AG7" s="5">
        <v>24.65</v>
      </c>
      <c r="AH7" s="5">
        <v>10.09</v>
      </c>
      <c r="AI7" s="5">
        <v>6.45</v>
      </c>
      <c r="AJ7" s="5">
        <v>21.98</v>
      </c>
      <c r="AK7" s="5">
        <v>18.07</v>
      </c>
      <c r="AL7" s="5">
        <v>18.559999999999999</v>
      </c>
      <c r="AM7" s="5">
        <v>5.26</v>
      </c>
      <c r="AN7" s="5">
        <v>1.99</v>
      </c>
      <c r="AO7" s="5">
        <v>20.39</v>
      </c>
      <c r="AP7" s="5">
        <v>302.57</v>
      </c>
      <c r="AQ7" s="5">
        <v>441.21</v>
      </c>
      <c r="AR7" s="5">
        <v>2.57</v>
      </c>
    </row>
    <row r="8" spans="1:44" x14ac:dyDescent="0.25">
      <c r="A8" s="18">
        <v>46209</v>
      </c>
      <c r="B8" s="5">
        <v>3</v>
      </c>
      <c r="C8" s="5">
        <v>20.149999999999999</v>
      </c>
      <c r="D8" s="5">
        <v>18.190000000000001</v>
      </c>
      <c r="E8" s="5">
        <v>19.79</v>
      </c>
      <c r="F8" s="5">
        <v>184.39</v>
      </c>
      <c r="G8" s="5">
        <v>199.45</v>
      </c>
      <c r="H8" s="5">
        <v>0</v>
      </c>
      <c r="I8" s="5">
        <v>44.09</v>
      </c>
      <c r="J8" s="5">
        <v>3.9</v>
      </c>
      <c r="K8" s="5">
        <v>3.98</v>
      </c>
      <c r="L8" s="5">
        <v>19.59</v>
      </c>
      <c r="M8" s="5">
        <v>77.97</v>
      </c>
      <c r="N8" s="5">
        <v>10.25</v>
      </c>
      <c r="O8" s="5">
        <v>23.14</v>
      </c>
      <c r="P8" s="5">
        <v>4.6900000000000004</v>
      </c>
      <c r="Q8" s="5">
        <v>5.5</v>
      </c>
      <c r="R8" s="5">
        <v>8.9700000000000006</v>
      </c>
      <c r="S8" s="5">
        <v>3.9</v>
      </c>
      <c r="T8" s="5">
        <v>10.98</v>
      </c>
      <c r="U8" s="5">
        <v>0</v>
      </c>
      <c r="V8" s="5">
        <v>0</v>
      </c>
      <c r="W8" s="5">
        <v>1.26</v>
      </c>
      <c r="X8" s="5">
        <v>17.43</v>
      </c>
      <c r="Y8" s="5">
        <v>330.44</v>
      </c>
      <c r="Z8" s="5">
        <v>17.72</v>
      </c>
      <c r="AA8" s="5">
        <v>1.22</v>
      </c>
      <c r="AB8" s="5">
        <v>14.67</v>
      </c>
      <c r="AC8" s="5">
        <v>21.72</v>
      </c>
      <c r="AD8" s="5">
        <v>34.22</v>
      </c>
      <c r="AE8" s="5">
        <v>102.21</v>
      </c>
      <c r="AF8" s="5">
        <v>327.26</v>
      </c>
      <c r="AG8" s="5">
        <v>24.65</v>
      </c>
      <c r="AH8" s="5">
        <v>10.09</v>
      </c>
      <c r="AI8" s="5">
        <v>6.45</v>
      </c>
      <c r="AJ8" s="5">
        <v>21.98</v>
      </c>
      <c r="AK8" s="5">
        <v>18.07</v>
      </c>
      <c r="AL8" s="5">
        <v>18.559999999999999</v>
      </c>
      <c r="AM8" s="5">
        <v>5.26</v>
      </c>
      <c r="AN8" s="5">
        <v>1.99</v>
      </c>
      <c r="AO8" s="5">
        <v>20.39</v>
      </c>
      <c r="AP8" s="5">
        <v>302.57</v>
      </c>
      <c r="AQ8" s="5">
        <v>441.21</v>
      </c>
      <c r="AR8" s="5">
        <v>2.57</v>
      </c>
    </row>
    <row r="9" spans="1:44" x14ac:dyDescent="0.25">
      <c r="A9" s="18">
        <v>46209</v>
      </c>
      <c r="B9" s="5">
        <v>4</v>
      </c>
      <c r="C9" s="5">
        <v>20.149999999999999</v>
      </c>
      <c r="D9" s="5">
        <v>18.190000000000001</v>
      </c>
      <c r="E9" s="5">
        <v>19.79</v>
      </c>
      <c r="F9" s="5">
        <v>184.39</v>
      </c>
      <c r="G9" s="5">
        <v>199.45</v>
      </c>
      <c r="H9" s="5">
        <v>0</v>
      </c>
      <c r="I9" s="5">
        <v>44.09</v>
      </c>
      <c r="J9" s="5">
        <v>3.9</v>
      </c>
      <c r="K9" s="5">
        <v>3.98</v>
      </c>
      <c r="L9" s="5">
        <v>19.59</v>
      </c>
      <c r="M9" s="5">
        <v>77.97</v>
      </c>
      <c r="N9" s="5">
        <v>10.25</v>
      </c>
      <c r="O9" s="5">
        <v>23.14</v>
      </c>
      <c r="P9" s="5">
        <v>4.6900000000000004</v>
      </c>
      <c r="Q9" s="5">
        <v>5.5</v>
      </c>
      <c r="R9" s="5">
        <v>8.9700000000000006</v>
      </c>
      <c r="S9" s="5">
        <v>3.9</v>
      </c>
      <c r="T9" s="5">
        <v>10.98</v>
      </c>
      <c r="U9" s="5">
        <v>0</v>
      </c>
      <c r="V9" s="5">
        <v>0</v>
      </c>
      <c r="W9" s="5">
        <v>1.26</v>
      </c>
      <c r="X9" s="5">
        <v>17.43</v>
      </c>
      <c r="Y9" s="5">
        <v>330.44</v>
      </c>
      <c r="Z9" s="5">
        <v>17.72</v>
      </c>
      <c r="AA9" s="5">
        <v>1.22</v>
      </c>
      <c r="AB9" s="5">
        <v>14.67</v>
      </c>
      <c r="AC9" s="5">
        <v>21.72</v>
      </c>
      <c r="AD9" s="5">
        <v>34.22</v>
      </c>
      <c r="AE9" s="5">
        <v>102.21</v>
      </c>
      <c r="AF9" s="5">
        <v>327.26</v>
      </c>
      <c r="AG9" s="5">
        <v>24.65</v>
      </c>
      <c r="AH9" s="5">
        <v>10.09</v>
      </c>
      <c r="AI9" s="5">
        <v>6.45</v>
      </c>
      <c r="AJ9" s="5">
        <v>21.98</v>
      </c>
      <c r="AK9" s="5">
        <v>18.07</v>
      </c>
      <c r="AL9" s="5">
        <v>18.559999999999999</v>
      </c>
      <c r="AM9" s="5">
        <v>5.26</v>
      </c>
      <c r="AN9" s="5">
        <v>1.99</v>
      </c>
      <c r="AO9" s="5">
        <v>20.39</v>
      </c>
      <c r="AP9" s="5">
        <v>302.57</v>
      </c>
      <c r="AQ9" s="5">
        <v>441.21</v>
      </c>
      <c r="AR9" s="5">
        <v>2.57</v>
      </c>
    </row>
    <row r="10" spans="1:44" x14ac:dyDescent="0.25">
      <c r="A10" s="18">
        <v>46209</v>
      </c>
      <c r="B10" s="5">
        <v>5</v>
      </c>
      <c r="C10" s="5">
        <v>20.149999999999999</v>
      </c>
      <c r="D10" s="5">
        <v>18.190000000000001</v>
      </c>
      <c r="E10" s="5">
        <v>19.79</v>
      </c>
      <c r="F10" s="5">
        <v>184.39</v>
      </c>
      <c r="G10" s="5">
        <v>199.45</v>
      </c>
      <c r="H10" s="5">
        <v>0</v>
      </c>
      <c r="I10" s="5">
        <v>44.09</v>
      </c>
      <c r="J10" s="5">
        <v>3.9</v>
      </c>
      <c r="K10" s="5">
        <v>3.98</v>
      </c>
      <c r="L10" s="5">
        <v>19.59</v>
      </c>
      <c r="M10" s="5">
        <v>77.97</v>
      </c>
      <c r="N10" s="5">
        <v>10.25</v>
      </c>
      <c r="O10" s="5">
        <v>23.14</v>
      </c>
      <c r="P10" s="5">
        <v>4.6900000000000004</v>
      </c>
      <c r="Q10" s="5">
        <v>5.5</v>
      </c>
      <c r="R10" s="5">
        <v>8.9700000000000006</v>
      </c>
      <c r="S10" s="5">
        <v>3.9</v>
      </c>
      <c r="T10" s="5">
        <v>10.98</v>
      </c>
      <c r="U10" s="5">
        <v>0</v>
      </c>
      <c r="V10" s="5">
        <v>0</v>
      </c>
      <c r="W10" s="5">
        <v>1.26</v>
      </c>
      <c r="X10" s="5">
        <v>17.43</v>
      </c>
      <c r="Y10" s="5">
        <v>330.44</v>
      </c>
      <c r="Z10" s="5">
        <v>17.72</v>
      </c>
      <c r="AA10" s="5">
        <v>1.22</v>
      </c>
      <c r="AB10" s="5">
        <v>14.67</v>
      </c>
      <c r="AC10" s="5">
        <v>21.72</v>
      </c>
      <c r="AD10" s="5">
        <v>34.22</v>
      </c>
      <c r="AE10" s="5">
        <v>102.21</v>
      </c>
      <c r="AF10" s="5">
        <v>327.26</v>
      </c>
      <c r="AG10" s="5">
        <v>24.65</v>
      </c>
      <c r="AH10" s="5">
        <v>10.09</v>
      </c>
      <c r="AI10" s="5">
        <v>6.45</v>
      </c>
      <c r="AJ10" s="5">
        <v>21.98</v>
      </c>
      <c r="AK10" s="5">
        <v>18.07</v>
      </c>
      <c r="AL10" s="5">
        <v>18.559999999999999</v>
      </c>
      <c r="AM10" s="5">
        <v>5.26</v>
      </c>
      <c r="AN10" s="5">
        <v>1.99</v>
      </c>
      <c r="AO10" s="5">
        <v>20.39</v>
      </c>
      <c r="AP10" s="5">
        <v>302.57</v>
      </c>
      <c r="AQ10" s="5">
        <v>441.21</v>
      </c>
      <c r="AR10" s="5">
        <v>2.57</v>
      </c>
    </row>
    <row r="11" spans="1:44" x14ac:dyDescent="0.25">
      <c r="A11" s="18">
        <v>46209</v>
      </c>
      <c r="B11" s="5">
        <v>6</v>
      </c>
      <c r="C11" s="5">
        <v>20.149999999999999</v>
      </c>
      <c r="D11" s="5">
        <v>18.190000000000001</v>
      </c>
      <c r="E11" s="5">
        <v>19.79</v>
      </c>
      <c r="F11" s="5">
        <v>184.39</v>
      </c>
      <c r="G11" s="5">
        <v>199.45</v>
      </c>
      <c r="H11" s="5">
        <v>0</v>
      </c>
      <c r="I11" s="5">
        <v>44.09</v>
      </c>
      <c r="J11" s="5">
        <v>3.9</v>
      </c>
      <c r="K11" s="5">
        <v>3.98</v>
      </c>
      <c r="L11" s="5">
        <v>19.59</v>
      </c>
      <c r="M11" s="5">
        <v>77.97</v>
      </c>
      <c r="N11" s="5">
        <v>10.25</v>
      </c>
      <c r="O11" s="5">
        <v>23.14</v>
      </c>
      <c r="P11" s="5">
        <v>4.6900000000000004</v>
      </c>
      <c r="Q11" s="5">
        <v>5.5</v>
      </c>
      <c r="R11" s="5">
        <v>8.9700000000000006</v>
      </c>
      <c r="S11" s="5">
        <v>3.9</v>
      </c>
      <c r="T11" s="5">
        <v>10.98</v>
      </c>
      <c r="U11" s="5">
        <v>0</v>
      </c>
      <c r="V11" s="5">
        <v>0</v>
      </c>
      <c r="W11" s="5">
        <v>1.26</v>
      </c>
      <c r="X11" s="5">
        <v>17.43</v>
      </c>
      <c r="Y11" s="5">
        <v>330.44</v>
      </c>
      <c r="Z11" s="5">
        <v>17.72</v>
      </c>
      <c r="AA11" s="5">
        <v>1.22</v>
      </c>
      <c r="AB11" s="5">
        <v>14.67</v>
      </c>
      <c r="AC11" s="5">
        <v>21.72</v>
      </c>
      <c r="AD11" s="5">
        <v>34.22</v>
      </c>
      <c r="AE11" s="5">
        <v>102.21</v>
      </c>
      <c r="AF11" s="5">
        <v>327.26</v>
      </c>
      <c r="AG11" s="5">
        <v>24.65</v>
      </c>
      <c r="AH11" s="5">
        <v>10.09</v>
      </c>
      <c r="AI11" s="5">
        <v>6.45</v>
      </c>
      <c r="AJ11" s="5">
        <v>21.98</v>
      </c>
      <c r="AK11" s="5">
        <v>18.07</v>
      </c>
      <c r="AL11" s="5">
        <v>18.559999999999999</v>
      </c>
      <c r="AM11" s="5">
        <v>5.26</v>
      </c>
      <c r="AN11" s="5">
        <v>1.99</v>
      </c>
      <c r="AO11" s="5">
        <v>20.39</v>
      </c>
      <c r="AP11" s="5">
        <v>302.57</v>
      </c>
      <c r="AQ11" s="5">
        <v>441.21</v>
      </c>
      <c r="AR11" s="5">
        <v>2.57</v>
      </c>
    </row>
    <row r="12" spans="1:44" x14ac:dyDescent="0.25">
      <c r="A12" s="18">
        <v>46209</v>
      </c>
      <c r="B12" s="5">
        <v>7</v>
      </c>
      <c r="C12" s="5">
        <v>20.149999999999999</v>
      </c>
      <c r="D12" s="5">
        <v>18.190000000000001</v>
      </c>
      <c r="E12" s="5">
        <v>19.79</v>
      </c>
      <c r="F12" s="5">
        <v>184.39</v>
      </c>
      <c r="G12" s="5">
        <v>199.45</v>
      </c>
      <c r="H12" s="5">
        <v>0</v>
      </c>
      <c r="I12" s="5">
        <v>44.09</v>
      </c>
      <c r="J12" s="5">
        <v>3.9</v>
      </c>
      <c r="K12" s="5">
        <v>3.98</v>
      </c>
      <c r="L12" s="5">
        <v>19.59</v>
      </c>
      <c r="M12" s="5">
        <v>77.97</v>
      </c>
      <c r="N12" s="5">
        <v>10.25</v>
      </c>
      <c r="O12" s="5">
        <v>23.14</v>
      </c>
      <c r="P12" s="5">
        <v>4.6900000000000004</v>
      </c>
      <c r="Q12" s="5">
        <v>5.5</v>
      </c>
      <c r="R12" s="5">
        <v>8.9700000000000006</v>
      </c>
      <c r="S12" s="5">
        <v>3.9</v>
      </c>
      <c r="T12" s="5">
        <v>10.98</v>
      </c>
      <c r="U12" s="5">
        <v>0</v>
      </c>
      <c r="V12" s="5">
        <v>0</v>
      </c>
      <c r="W12" s="5">
        <v>1.26</v>
      </c>
      <c r="X12" s="5">
        <v>17.43</v>
      </c>
      <c r="Y12" s="5">
        <v>330.44</v>
      </c>
      <c r="Z12" s="5">
        <v>17.72</v>
      </c>
      <c r="AA12" s="5">
        <v>1.22</v>
      </c>
      <c r="AB12" s="5">
        <v>14.67</v>
      </c>
      <c r="AC12" s="5">
        <v>21.72</v>
      </c>
      <c r="AD12" s="5">
        <v>34.22</v>
      </c>
      <c r="AE12" s="5">
        <v>102.21</v>
      </c>
      <c r="AF12" s="5">
        <v>327.26</v>
      </c>
      <c r="AG12" s="5">
        <v>24.65</v>
      </c>
      <c r="AH12" s="5">
        <v>10.09</v>
      </c>
      <c r="AI12" s="5">
        <v>6.45</v>
      </c>
      <c r="AJ12" s="5">
        <v>21.98</v>
      </c>
      <c r="AK12" s="5">
        <v>18.07</v>
      </c>
      <c r="AL12" s="5">
        <v>18.559999999999999</v>
      </c>
      <c r="AM12" s="5">
        <v>5.26</v>
      </c>
      <c r="AN12" s="5">
        <v>1.99</v>
      </c>
      <c r="AO12" s="5">
        <v>20.39</v>
      </c>
      <c r="AP12" s="5">
        <v>302.57</v>
      </c>
      <c r="AQ12" s="5">
        <v>441.21</v>
      </c>
      <c r="AR12" s="5">
        <v>2.57</v>
      </c>
    </row>
    <row r="13" spans="1:44" x14ac:dyDescent="0.25">
      <c r="A13" s="18">
        <v>46209</v>
      </c>
      <c r="B13" s="5">
        <v>8</v>
      </c>
      <c r="C13" s="5">
        <v>20.149999999999999</v>
      </c>
      <c r="D13" s="5">
        <v>18.190000000000001</v>
      </c>
      <c r="E13" s="5">
        <v>19.79</v>
      </c>
      <c r="F13" s="5">
        <v>184.39</v>
      </c>
      <c r="G13" s="5">
        <v>199.45</v>
      </c>
      <c r="H13" s="5">
        <v>0</v>
      </c>
      <c r="I13" s="5">
        <v>44.09</v>
      </c>
      <c r="J13" s="5">
        <v>3.9</v>
      </c>
      <c r="K13" s="5">
        <v>3.98</v>
      </c>
      <c r="L13" s="5">
        <v>19.59</v>
      </c>
      <c r="M13" s="5">
        <v>77.97</v>
      </c>
      <c r="N13" s="5">
        <v>10.25</v>
      </c>
      <c r="O13" s="5">
        <v>23.14</v>
      </c>
      <c r="P13" s="5">
        <v>4.6900000000000004</v>
      </c>
      <c r="Q13" s="5">
        <v>5.5</v>
      </c>
      <c r="R13" s="5">
        <v>8.9700000000000006</v>
      </c>
      <c r="S13" s="5">
        <v>3.9</v>
      </c>
      <c r="T13" s="5">
        <v>10.98</v>
      </c>
      <c r="U13" s="5">
        <v>0</v>
      </c>
      <c r="V13" s="5">
        <v>0</v>
      </c>
      <c r="W13" s="5">
        <v>1.26</v>
      </c>
      <c r="X13" s="5">
        <v>17.43</v>
      </c>
      <c r="Y13" s="5">
        <v>330.44</v>
      </c>
      <c r="Z13" s="5">
        <v>17.72</v>
      </c>
      <c r="AA13" s="5">
        <v>1.22</v>
      </c>
      <c r="AB13" s="5">
        <v>14.67</v>
      </c>
      <c r="AC13" s="5">
        <v>21.72</v>
      </c>
      <c r="AD13" s="5">
        <v>34.22</v>
      </c>
      <c r="AE13" s="5">
        <v>102.21</v>
      </c>
      <c r="AF13" s="5">
        <v>327.26</v>
      </c>
      <c r="AG13" s="5">
        <v>24.65</v>
      </c>
      <c r="AH13" s="5">
        <v>10.09</v>
      </c>
      <c r="AI13" s="5">
        <v>6.45</v>
      </c>
      <c r="AJ13" s="5">
        <v>21.98</v>
      </c>
      <c r="AK13" s="5">
        <v>18.07</v>
      </c>
      <c r="AL13" s="5">
        <v>18.559999999999999</v>
      </c>
      <c r="AM13" s="5">
        <v>5.26</v>
      </c>
      <c r="AN13" s="5">
        <v>1.99</v>
      </c>
      <c r="AO13" s="5">
        <v>20.39</v>
      </c>
      <c r="AP13" s="5">
        <v>302.57</v>
      </c>
      <c r="AQ13" s="5">
        <v>441.21</v>
      </c>
      <c r="AR13" s="5">
        <v>2.57</v>
      </c>
    </row>
    <row r="14" spans="1:44" x14ac:dyDescent="0.25">
      <c r="A14" s="18">
        <v>46209</v>
      </c>
      <c r="B14" s="5">
        <v>9</v>
      </c>
      <c r="C14" s="5">
        <v>20.149999999999999</v>
      </c>
      <c r="D14" s="5">
        <v>18.190000000000001</v>
      </c>
      <c r="E14" s="5">
        <v>19.79</v>
      </c>
      <c r="F14" s="5">
        <v>184.39</v>
      </c>
      <c r="G14" s="5">
        <v>199.45</v>
      </c>
      <c r="H14" s="5">
        <v>0</v>
      </c>
      <c r="I14" s="5">
        <v>44.09</v>
      </c>
      <c r="J14" s="5">
        <v>3.9</v>
      </c>
      <c r="K14" s="5">
        <v>3.98</v>
      </c>
      <c r="L14" s="5">
        <v>19.59</v>
      </c>
      <c r="M14" s="5">
        <v>77.97</v>
      </c>
      <c r="N14" s="5">
        <v>10.25</v>
      </c>
      <c r="O14" s="5">
        <v>23.14</v>
      </c>
      <c r="P14" s="5">
        <v>4.6900000000000004</v>
      </c>
      <c r="Q14" s="5">
        <v>5.5</v>
      </c>
      <c r="R14" s="5">
        <v>8.9700000000000006</v>
      </c>
      <c r="S14" s="5">
        <v>3.9</v>
      </c>
      <c r="T14" s="5">
        <v>10.98</v>
      </c>
      <c r="U14" s="5">
        <v>0</v>
      </c>
      <c r="V14" s="5">
        <v>0</v>
      </c>
      <c r="W14" s="5">
        <v>1.26</v>
      </c>
      <c r="X14" s="5">
        <v>17.43</v>
      </c>
      <c r="Y14" s="5">
        <v>330.44</v>
      </c>
      <c r="Z14" s="5">
        <v>17.72</v>
      </c>
      <c r="AA14" s="5">
        <v>1.22</v>
      </c>
      <c r="AB14" s="5">
        <v>14.67</v>
      </c>
      <c r="AC14" s="5">
        <v>21.72</v>
      </c>
      <c r="AD14" s="5">
        <v>34.22</v>
      </c>
      <c r="AE14" s="5">
        <v>102.21</v>
      </c>
      <c r="AF14" s="5">
        <v>327.26</v>
      </c>
      <c r="AG14" s="5">
        <v>24.65</v>
      </c>
      <c r="AH14" s="5">
        <v>10.09</v>
      </c>
      <c r="AI14" s="5">
        <v>6.45</v>
      </c>
      <c r="AJ14" s="5">
        <v>21.98</v>
      </c>
      <c r="AK14" s="5">
        <v>18.07</v>
      </c>
      <c r="AL14" s="5">
        <v>18.559999999999999</v>
      </c>
      <c r="AM14" s="5">
        <v>5.26</v>
      </c>
      <c r="AN14" s="5">
        <v>1.99</v>
      </c>
      <c r="AO14" s="5">
        <v>20.39</v>
      </c>
      <c r="AP14" s="5">
        <v>302.57</v>
      </c>
      <c r="AQ14" s="5">
        <v>441.21</v>
      </c>
      <c r="AR14" s="5">
        <v>2.57</v>
      </c>
    </row>
    <row r="15" spans="1:44" x14ac:dyDescent="0.25">
      <c r="A15" s="18">
        <v>46209</v>
      </c>
      <c r="B15" s="5">
        <v>10</v>
      </c>
      <c r="C15" s="5">
        <v>20.149999999999999</v>
      </c>
      <c r="D15" s="5">
        <v>18.190000000000001</v>
      </c>
      <c r="E15" s="5">
        <v>19.79</v>
      </c>
      <c r="F15" s="5">
        <v>184.39</v>
      </c>
      <c r="G15" s="5">
        <v>199.45</v>
      </c>
      <c r="H15" s="5">
        <v>0</v>
      </c>
      <c r="I15" s="5">
        <v>44.09</v>
      </c>
      <c r="J15" s="5">
        <v>3.9</v>
      </c>
      <c r="K15" s="5">
        <v>3.98</v>
      </c>
      <c r="L15" s="5">
        <v>19.59</v>
      </c>
      <c r="M15" s="5">
        <v>77.97</v>
      </c>
      <c r="N15" s="5">
        <v>10.25</v>
      </c>
      <c r="O15" s="5">
        <v>23.14</v>
      </c>
      <c r="P15" s="5">
        <v>4.6900000000000004</v>
      </c>
      <c r="Q15" s="5">
        <v>5.5</v>
      </c>
      <c r="R15" s="5">
        <v>8.9700000000000006</v>
      </c>
      <c r="S15" s="5">
        <v>3.9</v>
      </c>
      <c r="T15" s="5">
        <v>10.98</v>
      </c>
      <c r="U15" s="5">
        <v>0</v>
      </c>
      <c r="V15" s="5">
        <v>0</v>
      </c>
      <c r="W15" s="5">
        <v>1.26</v>
      </c>
      <c r="X15" s="5">
        <v>17.43</v>
      </c>
      <c r="Y15" s="5">
        <v>330.44</v>
      </c>
      <c r="Z15" s="5">
        <v>17.72</v>
      </c>
      <c r="AA15" s="5">
        <v>1.22</v>
      </c>
      <c r="AB15" s="5">
        <v>14.67</v>
      </c>
      <c r="AC15" s="5">
        <v>21.72</v>
      </c>
      <c r="AD15" s="5">
        <v>34.22</v>
      </c>
      <c r="AE15" s="5">
        <v>102.21</v>
      </c>
      <c r="AF15" s="5">
        <v>327.26</v>
      </c>
      <c r="AG15" s="5">
        <v>24.65</v>
      </c>
      <c r="AH15" s="5">
        <v>10.09</v>
      </c>
      <c r="AI15" s="5">
        <v>6.45</v>
      </c>
      <c r="AJ15" s="5">
        <v>21.98</v>
      </c>
      <c r="AK15" s="5">
        <v>18.07</v>
      </c>
      <c r="AL15" s="5">
        <v>18.559999999999999</v>
      </c>
      <c r="AM15" s="5">
        <v>5.26</v>
      </c>
      <c r="AN15" s="5">
        <v>1.99</v>
      </c>
      <c r="AO15" s="5">
        <v>20.39</v>
      </c>
      <c r="AP15" s="5">
        <v>302.57</v>
      </c>
      <c r="AQ15" s="5">
        <v>441.21</v>
      </c>
      <c r="AR15" s="5">
        <v>2.57</v>
      </c>
    </row>
    <row r="16" spans="1:44" x14ac:dyDescent="0.25">
      <c r="A16" s="18">
        <v>46209</v>
      </c>
      <c r="B16" s="5">
        <v>11</v>
      </c>
      <c r="C16" s="5">
        <v>20.149999999999999</v>
      </c>
      <c r="D16" s="5">
        <v>18.190000000000001</v>
      </c>
      <c r="E16" s="5">
        <v>19.79</v>
      </c>
      <c r="F16" s="5">
        <v>184.39</v>
      </c>
      <c r="G16" s="5">
        <v>199.45</v>
      </c>
      <c r="H16" s="5">
        <v>0</v>
      </c>
      <c r="I16" s="5">
        <v>44.09</v>
      </c>
      <c r="J16" s="5">
        <v>3.9</v>
      </c>
      <c r="K16" s="5">
        <v>3.98</v>
      </c>
      <c r="L16" s="5">
        <v>19.59</v>
      </c>
      <c r="M16" s="5">
        <v>77.97</v>
      </c>
      <c r="N16" s="5">
        <v>10.25</v>
      </c>
      <c r="O16" s="5">
        <v>23.14</v>
      </c>
      <c r="P16" s="5">
        <v>4.6900000000000004</v>
      </c>
      <c r="Q16" s="5">
        <v>5.5</v>
      </c>
      <c r="R16" s="5">
        <v>8.9700000000000006</v>
      </c>
      <c r="S16" s="5">
        <v>3.9</v>
      </c>
      <c r="T16" s="5">
        <v>10.98</v>
      </c>
      <c r="U16" s="5">
        <v>0</v>
      </c>
      <c r="V16" s="5">
        <v>0</v>
      </c>
      <c r="W16" s="5">
        <v>1.26</v>
      </c>
      <c r="X16" s="5">
        <v>17.43</v>
      </c>
      <c r="Y16" s="5">
        <v>330.44</v>
      </c>
      <c r="Z16" s="5">
        <v>17.72</v>
      </c>
      <c r="AA16" s="5">
        <v>1.22</v>
      </c>
      <c r="AB16" s="5">
        <v>14.67</v>
      </c>
      <c r="AC16" s="5">
        <v>21.72</v>
      </c>
      <c r="AD16" s="5">
        <v>34.22</v>
      </c>
      <c r="AE16" s="5">
        <v>102.21</v>
      </c>
      <c r="AF16" s="5">
        <v>327.26</v>
      </c>
      <c r="AG16" s="5">
        <v>24.65</v>
      </c>
      <c r="AH16" s="5">
        <v>10.09</v>
      </c>
      <c r="AI16" s="5">
        <v>6.45</v>
      </c>
      <c r="AJ16" s="5">
        <v>21.98</v>
      </c>
      <c r="AK16" s="5">
        <v>18.07</v>
      </c>
      <c r="AL16" s="5">
        <v>18.559999999999999</v>
      </c>
      <c r="AM16" s="5">
        <v>5.26</v>
      </c>
      <c r="AN16" s="5">
        <v>1.99</v>
      </c>
      <c r="AO16" s="5">
        <v>20.39</v>
      </c>
      <c r="AP16" s="5">
        <v>302.57</v>
      </c>
      <c r="AQ16" s="5">
        <v>441.21</v>
      </c>
      <c r="AR16" s="5">
        <v>2.57</v>
      </c>
    </row>
    <row r="17" spans="1:44" x14ac:dyDescent="0.25">
      <c r="A17" s="18">
        <v>46209</v>
      </c>
      <c r="B17" s="5">
        <v>12</v>
      </c>
      <c r="C17" s="5">
        <v>20.149999999999999</v>
      </c>
      <c r="D17" s="5">
        <v>18.190000000000001</v>
      </c>
      <c r="E17" s="5">
        <v>19.79</v>
      </c>
      <c r="F17" s="5">
        <v>184.39</v>
      </c>
      <c r="G17" s="5">
        <v>199.45</v>
      </c>
      <c r="H17" s="5">
        <v>0</v>
      </c>
      <c r="I17" s="5">
        <v>44.09</v>
      </c>
      <c r="J17" s="5">
        <v>3.9</v>
      </c>
      <c r="K17" s="5">
        <v>3.98</v>
      </c>
      <c r="L17" s="5">
        <v>19.59</v>
      </c>
      <c r="M17" s="5">
        <v>77.97</v>
      </c>
      <c r="N17" s="5">
        <v>10.25</v>
      </c>
      <c r="O17" s="5">
        <v>23.14</v>
      </c>
      <c r="P17" s="5">
        <v>4.6900000000000004</v>
      </c>
      <c r="Q17" s="5">
        <v>5.5</v>
      </c>
      <c r="R17" s="5">
        <v>8.9700000000000006</v>
      </c>
      <c r="S17" s="5">
        <v>3.9</v>
      </c>
      <c r="T17" s="5">
        <v>10.98</v>
      </c>
      <c r="U17" s="5">
        <v>0</v>
      </c>
      <c r="V17" s="5">
        <v>0</v>
      </c>
      <c r="W17" s="5">
        <v>1.26</v>
      </c>
      <c r="X17" s="5">
        <v>17.43</v>
      </c>
      <c r="Y17" s="5">
        <v>330.44</v>
      </c>
      <c r="Z17" s="5">
        <v>17.72</v>
      </c>
      <c r="AA17" s="5">
        <v>1.22</v>
      </c>
      <c r="AB17" s="5">
        <v>14.67</v>
      </c>
      <c r="AC17" s="5">
        <v>21.72</v>
      </c>
      <c r="AD17" s="5">
        <v>34.22</v>
      </c>
      <c r="AE17" s="5">
        <v>102.21</v>
      </c>
      <c r="AF17" s="5">
        <v>327.26</v>
      </c>
      <c r="AG17" s="5">
        <v>24.65</v>
      </c>
      <c r="AH17" s="5">
        <v>10.09</v>
      </c>
      <c r="AI17" s="5">
        <v>6.45</v>
      </c>
      <c r="AJ17" s="5">
        <v>21.98</v>
      </c>
      <c r="AK17" s="5">
        <v>18.07</v>
      </c>
      <c r="AL17" s="5">
        <v>18.559999999999999</v>
      </c>
      <c r="AM17" s="5">
        <v>5.26</v>
      </c>
      <c r="AN17" s="5">
        <v>1.99</v>
      </c>
      <c r="AO17" s="5">
        <v>20.39</v>
      </c>
      <c r="AP17" s="5">
        <v>302.57</v>
      </c>
      <c r="AQ17" s="5">
        <v>441.21</v>
      </c>
      <c r="AR17" s="5">
        <v>2.57</v>
      </c>
    </row>
    <row r="18" spans="1:44" x14ac:dyDescent="0.25">
      <c r="A18" s="18">
        <v>46209</v>
      </c>
      <c r="B18" s="5">
        <v>13</v>
      </c>
      <c r="C18" s="5">
        <v>20.149999999999999</v>
      </c>
      <c r="D18" s="5">
        <v>18.190000000000001</v>
      </c>
      <c r="E18" s="5">
        <v>19.79</v>
      </c>
      <c r="F18" s="5">
        <v>184.39</v>
      </c>
      <c r="G18" s="5">
        <v>199.45</v>
      </c>
      <c r="H18" s="5">
        <v>0</v>
      </c>
      <c r="I18" s="5">
        <v>44.09</v>
      </c>
      <c r="J18" s="5">
        <v>3.9</v>
      </c>
      <c r="K18" s="5">
        <v>3.98</v>
      </c>
      <c r="L18" s="5">
        <v>19.59</v>
      </c>
      <c r="M18" s="5">
        <v>77.97</v>
      </c>
      <c r="N18" s="5">
        <v>10.25</v>
      </c>
      <c r="O18" s="5">
        <v>23.14</v>
      </c>
      <c r="P18" s="5">
        <v>4.6900000000000004</v>
      </c>
      <c r="Q18" s="5">
        <v>5.5</v>
      </c>
      <c r="R18" s="5">
        <v>8.9700000000000006</v>
      </c>
      <c r="S18" s="5">
        <v>3.9</v>
      </c>
      <c r="T18" s="5">
        <v>10.98</v>
      </c>
      <c r="U18" s="5">
        <v>0</v>
      </c>
      <c r="V18" s="5">
        <v>0</v>
      </c>
      <c r="W18" s="5">
        <v>1.26</v>
      </c>
      <c r="X18" s="5">
        <v>17.43</v>
      </c>
      <c r="Y18" s="5">
        <v>330.44</v>
      </c>
      <c r="Z18" s="5">
        <v>17.72</v>
      </c>
      <c r="AA18" s="5">
        <v>1.22</v>
      </c>
      <c r="AB18" s="5">
        <v>14.67</v>
      </c>
      <c r="AC18" s="5">
        <v>21.72</v>
      </c>
      <c r="AD18" s="5">
        <v>34.22</v>
      </c>
      <c r="AE18" s="5">
        <v>102.21</v>
      </c>
      <c r="AF18" s="5">
        <v>327.26</v>
      </c>
      <c r="AG18" s="5">
        <v>24.65</v>
      </c>
      <c r="AH18" s="5">
        <v>10.09</v>
      </c>
      <c r="AI18" s="5">
        <v>6.45</v>
      </c>
      <c r="AJ18" s="5">
        <v>21.98</v>
      </c>
      <c r="AK18" s="5">
        <v>18.07</v>
      </c>
      <c r="AL18" s="5">
        <v>18.559999999999999</v>
      </c>
      <c r="AM18" s="5">
        <v>5.26</v>
      </c>
      <c r="AN18" s="5">
        <v>1.99</v>
      </c>
      <c r="AO18" s="5">
        <v>20.39</v>
      </c>
      <c r="AP18" s="5">
        <v>302.57</v>
      </c>
      <c r="AQ18" s="5">
        <v>441.21</v>
      </c>
      <c r="AR18" s="5">
        <v>2.57</v>
      </c>
    </row>
    <row r="19" spans="1:44" x14ac:dyDescent="0.25">
      <c r="A19" s="18">
        <v>46209</v>
      </c>
      <c r="B19" s="5">
        <v>14</v>
      </c>
      <c r="C19" s="5">
        <v>20.149999999999999</v>
      </c>
      <c r="D19" s="5">
        <v>18.190000000000001</v>
      </c>
      <c r="E19" s="5">
        <v>19.79</v>
      </c>
      <c r="F19" s="5">
        <v>184.39</v>
      </c>
      <c r="G19" s="5">
        <v>199.45</v>
      </c>
      <c r="H19" s="5">
        <v>0</v>
      </c>
      <c r="I19" s="5">
        <v>44.09</v>
      </c>
      <c r="J19" s="5">
        <v>3.9</v>
      </c>
      <c r="K19" s="5">
        <v>3.98</v>
      </c>
      <c r="L19" s="5">
        <v>19.59</v>
      </c>
      <c r="M19" s="5">
        <v>77.97</v>
      </c>
      <c r="N19" s="5">
        <v>10.25</v>
      </c>
      <c r="O19" s="5">
        <v>23.14</v>
      </c>
      <c r="P19" s="5">
        <v>4.6900000000000004</v>
      </c>
      <c r="Q19" s="5">
        <v>5.5</v>
      </c>
      <c r="R19" s="5">
        <v>8.9700000000000006</v>
      </c>
      <c r="S19" s="5">
        <v>3.9</v>
      </c>
      <c r="T19" s="5">
        <v>10.98</v>
      </c>
      <c r="U19" s="5">
        <v>0</v>
      </c>
      <c r="V19" s="5">
        <v>0</v>
      </c>
      <c r="W19" s="5">
        <v>1.26</v>
      </c>
      <c r="X19" s="5">
        <v>17.43</v>
      </c>
      <c r="Y19" s="5">
        <v>330.44</v>
      </c>
      <c r="Z19" s="5">
        <v>17.72</v>
      </c>
      <c r="AA19" s="5">
        <v>1.22</v>
      </c>
      <c r="AB19" s="5">
        <v>14.67</v>
      </c>
      <c r="AC19" s="5">
        <v>21.72</v>
      </c>
      <c r="AD19" s="5">
        <v>34.22</v>
      </c>
      <c r="AE19" s="5">
        <v>102.21</v>
      </c>
      <c r="AF19" s="5">
        <v>327.26</v>
      </c>
      <c r="AG19" s="5">
        <v>24.65</v>
      </c>
      <c r="AH19" s="5">
        <v>10.09</v>
      </c>
      <c r="AI19" s="5">
        <v>6.45</v>
      </c>
      <c r="AJ19" s="5">
        <v>21.98</v>
      </c>
      <c r="AK19" s="5">
        <v>18.07</v>
      </c>
      <c r="AL19" s="5">
        <v>18.559999999999999</v>
      </c>
      <c r="AM19" s="5">
        <v>5.26</v>
      </c>
      <c r="AN19" s="5">
        <v>1.99</v>
      </c>
      <c r="AO19" s="5">
        <v>20.39</v>
      </c>
      <c r="AP19" s="5">
        <v>302.57</v>
      </c>
      <c r="AQ19" s="5">
        <v>441.21</v>
      </c>
      <c r="AR19" s="5">
        <v>2.57</v>
      </c>
    </row>
    <row r="20" spans="1:44" x14ac:dyDescent="0.25">
      <c r="A20" s="18">
        <v>46209</v>
      </c>
      <c r="B20" s="5">
        <v>15</v>
      </c>
      <c r="C20" s="5">
        <v>20.149999999999999</v>
      </c>
      <c r="D20" s="5">
        <v>18.190000000000001</v>
      </c>
      <c r="E20" s="5">
        <v>19.79</v>
      </c>
      <c r="F20" s="5">
        <v>184.39</v>
      </c>
      <c r="G20" s="5">
        <v>199.45</v>
      </c>
      <c r="H20" s="5">
        <v>0</v>
      </c>
      <c r="I20" s="5">
        <v>44.09</v>
      </c>
      <c r="J20" s="5">
        <v>3.9</v>
      </c>
      <c r="K20" s="5">
        <v>3.98</v>
      </c>
      <c r="L20" s="5">
        <v>19.59</v>
      </c>
      <c r="M20" s="5">
        <v>77.97</v>
      </c>
      <c r="N20" s="5">
        <v>10.25</v>
      </c>
      <c r="O20" s="5">
        <v>23.14</v>
      </c>
      <c r="P20" s="5">
        <v>4.6900000000000004</v>
      </c>
      <c r="Q20" s="5">
        <v>5.5</v>
      </c>
      <c r="R20" s="5">
        <v>8.9700000000000006</v>
      </c>
      <c r="S20" s="5">
        <v>3.9</v>
      </c>
      <c r="T20" s="5">
        <v>10.98</v>
      </c>
      <c r="U20" s="5">
        <v>0</v>
      </c>
      <c r="V20" s="5">
        <v>0</v>
      </c>
      <c r="W20" s="5">
        <v>1.26</v>
      </c>
      <c r="X20" s="5">
        <v>17.43</v>
      </c>
      <c r="Y20" s="5">
        <v>330.44</v>
      </c>
      <c r="Z20" s="5">
        <v>17.72</v>
      </c>
      <c r="AA20" s="5">
        <v>1.22</v>
      </c>
      <c r="AB20" s="5">
        <v>14.67</v>
      </c>
      <c r="AC20" s="5">
        <v>21.72</v>
      </c>
      <c r="AD20" s="5">
        <v>34.22</v>
      </c>
      <c r="AE20" s="5">
        <v>102.21</v>
      </c>
      <c r="AF20" s="5">
        <v>327.26</v>
      </c>
      <c r="AG20" s="5">
        <v>24.65</v>
      </c>
      <c r="AH20" s="5">
        <v>10.09</v>
      </c>
      <c r="AI20" s="5">
        <v>6.45</v>
      </c>
      <c r="AJ20" s="5">
        <v>21.98</v>
      </c>
      <c r="AK20" s="5">
        <v>18.07</v>
      </c>
      <c r="AL20" s="5">
        <v>18.559999999999999</v>
      </c>
      <c r="AM20" s="5">
        <v>5.26</v>
      </c>
      <c r="AN20" s="5">
        <v>1.99</v>
      </c>
      <c r="AO20" s="5">
        <v>20.39</v>
      </c>
      <c r="AP20" s="5">
        <v>302.57</v>
      </c>
      <c r="AQ20" s="5">
        <v>441.21</v>
      </c>
      <c r="AR20" s="5">
        <v>2.57</v>
      </c>
    </row>
    <row r="21" spans="1:44" x14ac:dyDescent="0.25">
      <c r="A21" s="18">
        <v>46209</v>
      </c>
      <c r="B21" s="5">
        <v>16</v>
      </c>
      <c r="C21" s="5">
        <v>20.149999999999999</v>
      </c>
      <c r="D21" s="5">
        <v>18.190000000000001</v>
      </c>
      <c r="E21" s="5">
        <v>19.79</v>
      </c>
      <c r="F21" s="5">
        <v>184.39</v>
      </c>
      <c r="G21" s="5">
        <v>199.45</v>
      </c>
      <c r="H21" s="5">
        <v>0</v>
      </c>
      <c r="I21" s="5">
        <v>44.09</v>
      </c>
      <c r="J21" s="5">
        <v>3.9</v>
      </c>
      <c r="K21" s="5">
        <v>3.98</v>
      </c>
      <c r="L21" s="5">
        <v>19.59</v>
      </c>
      <c r="M21" s="5">
        <v>77.97</v>
      </c>
      <c r="N21" s="5">
        <v>10.25</v>
      </c>
      <c r="O21" s="5">
        <v>23.14</v>
      </c>
      <c r="P21" s="5">
        <v>4.6900000000000004</v>
      </c>
      <c r="Q21" s="5">
        <v>5.5</v>
      </c>
      <c r="R21" s="5">
        <v>8.9700000000000006</v>
      </c>
      <c r="S21" s="5">
        <v>3.9</v>
      </c>
      <c r="T21" s="5">
        <v>10.98</v>
      </c>
      <c r="U21" s="5">
        <v>0</v>
      </c>
      <c r="V21" s="5">
        <v>0</v>
      </c>
      <c r="W21" s="5">
        <v>1.26</v>
      </c>
      <c r="X21" s="5">
        <v>17.43</v>
      </c>
      <c r="Y21" s="5">
        <v>330.44</v>
      </c>
      <c r="Z21" s="5">
        <v>17.72</v>
      </c>
      <c r="AA21" s="5">
        <v>1.22</v>
      </c>
      <c r="AB21" s="5">
        <v>14.67</v>
      </c>
      <c r="AC21" s="5">
        <v>21.72</v>
      </c>
      <c r="AD21" s="5">
        <v>34.22</v>
      </c>
      <c r="AE21" s="5">
        <v>102.21</v>
      </c>
      <c r="AF21" s="5">
        <v>327.26</v>
      </c>
      <c r="AG21" s="5">
        <v>24.65</v>
      </c>
      <c r="AH21" s="5">
        <v>10.09</v>
      </c>
      <c r="AI21" s="5">
        <v>6.45</v>
      </c>
      <c r="AJ21" s="5">
        <v>21.98</v>
      </c>
      <c r="AK21" s="5">
        <v>18.07</v>
      </c>
      <c r="AL21" s="5">
        <v>18.559999999999999</v>
      </c>
      <c r="AM21" s="5">
        <v>5.26</v>
      </c>
      <c r="AN21" s="5">
        <v>1.99</v>
      </c>
      <c r="AO21" s="5">
        <v>20.39</v>
      </c>
      <c r="AP21" s="5">
        <v>302.57</v>
      </c>
      <c r="AQ21" s="5">
        <v>441.21</v>
      </c>
      <c r="AR21" s="5">
        <v>2.57</v>
      </c>
    </row>
    <row r="22" spans="1:44" x14ac:dyDescent="0.25">
      <c r="A22" s="18">
        <v>46209</v>
      </c>
      <c r="B22" s="5">
        <v>17</v>
      </c>
      <c r="C22" s="5">
        <v>20.149999999999999</v>
      </c>
      <c r="D22" s="5">
        <v>18.190000000000001</v>
      </c>
      <c r="E22" s="5">
        <v>19.79</v>
      </c>
      <c r="F22" s="5">
        <v>184.39</v>
      </c>
      <c r="G22" s="5">
        <v>199.45</v>
      </c>
      <c r="H22" s="5">
        <v>0</v>
      </c>
      <c r="I22" s="5">
        <v>44.09</v>
      </c>
      <c r="J22" s="5">
        <v>3.9</v>
      </c>
      <c r="K22" s="5">
        <v>3.98</v>
      </c>
      <c r="L22" s="5">
        <v>19.59</v>
      </c>
      <c r="M22" s="5">
        <v>77.97</v>
      </c>
      <c r="N22" s="5">
        <v>10.25</v>
      </c>
      <c r="O22" s="5">
        <v>23.14</v>
      </c>
      <c r="P22" s="5">
        <v>4.6900000000000004</v>
      </c>
      <c r="Q22" s="5">
        <v>5.5</v>
      </c>
      <c r="R22" s="5">
        <v>8.9700000000000006</v>
      </c>
      <c r="S22" s="5">
        <v>3.9</v>
      </c>
      <c r="T22" s="5">
        <v>10.98</v>
      </c>
      <c r="U22" s="5">
        <v>0</v>
      </c>
      <c r="V22" s="5">
        <v>0</v>
      </c>
      <c r="W22" s="5">
        <v>1.26</v>
      </c>
      <c r="X22" s="5">
        <v>17.43</v>
      </c>
      <c r="Y22" s="5">
        <v>330.44</v>
      </c>
      <c r="Z22" s="5">
        <v>17.72</v>
      </c>
      <c r="AA22" s="5">
        <v>1.22</v>
      </c>
      <c r="AB22" s="5">
        <v>14.67</v>
      </c>
      <c r="AC22" s="5">
        <v>21.72</v>
      </c>
      <c r="AD22" s="5">
        <v>34.22</v>
      </c>
      <c r="AE22" s="5">
        <v>102.21</v>
      </c>
      <c r="AF22" s="5">
        <v>327.26</v>
      </c>
      <c r="AG22" s="5">
        <v>24.65</v>
      </c>
      <c r="AH22" s="5">
        <v>10.09</v>
      </c>
      <c r="AI22" s="5">
        <v>6.45</v>
      </c>
      <c r="AJ22" s="5">
        <v>21.98</v>
      </c>
      <c r="AK22" s="5">
        <v>18.07</v>
      </c>
      <c r="AL22" s="5">
        <v>18.559999999999999</v>
      </c>
      <c r="AM22" s="5">
        <v>5.26</v>
      </c>
      <c r="AN22" s="5">
        <v>1.99</v>
      </c>
      <c r="AO22" s="5">
        <v>20.39</v>
      </c>
      <c r="AP22" s="5">
        <v>302.57</v>
      </c>
      <c r="AQ22" s="5">
        <v>441.21</v>
      </c>
      <c r="AR22" s="5">
        <v>2.57</v>
      </c>
    </row>
    <row r="23" spans="1:44" x14ac:dyDescent="0.25">
      <c r="A23" s="18">
        <v>46209</v>
      </c>
      <c r="B23" s="5">
        <v>18</v>
      </c>
      <c r="C23" s="5">
        <v>20.149999999999999</v>
      </c>
      <c r="D23" s="5">
        <v>18.190000000000001</v>
      </c>
      <c r="E23" s="5">
        <v>19.79</v>
      </c>
      <c r="F23" s="5">
        <v>184.39</v>
      </c>
      <c r="G23" s="5">
        <v>199.45</v>
      </c>
      <c r="H23" s="5">
        <v>0</v>
      </c>
      <c r="I23" s="5">
        <v>44.09</v>
      </c>
      <c r="J23" s="5">
        <v>3.9</v>
      </c>
      <c r="K23" s="5">
        <v>3.98</v>
      </c>
      <c r="L23" s="5">
        <v>19.59</v>
      </c>
      <c r="M23" s="5">
        <v>77.97</v>
      </c>
      <c r="N23" s="5">
        <v>10.25</v>
      </c>
      <c r="O23" s="5">
        <v>23.14</v>
      </c>
      <c r="P23" s="5">
        <v>4.6900000000000004</v>
      </c>
      <c r="Q23" s="5">
        <v>5.5</v>
      </c>
      <c r="R23" s="5">
        <v>8.9700000000000006</v>
      </c>
      <c r="S23" s="5">
        <v>3.9</v>
      </c>
      <c r="T23" s="5">
        <v>10.98</v>
      </c>
      <c r="U23" s="5">
        <v>0</v>
      </c>
      <c r="V23" s="5">
        <v>0</v>
      </c>
      <c r="W23" s="5">
        <v>1.26</v>
      </c>
      <c r="X23" s="5">
        <v>17.43</v>
      </c>
      <c r="Y23" s="5">
        <v>330.44</v>
      </c>
      <c r="Z23" s="5">
        <v>17.72</v>
      </c>
      <c r="AA23" s="5">
        <v>1.22</v>
      </c>
      <c r="AB23" s="5">
        <v>14.67</v>
      </c>
      <c r="AC23" s="5">
        <v>21.72</v>
      </c>
      <c r="AD23" s="5">
        <v>34.22</v>
      </c>
      <c r="AE23" s="5">
        <v>102.21</v>
      </c>
      <c r="AF23" s="5">
        <v>327.26</v>
      </c>
      <c r="AG23" s="5">
        <v>24.65</v>
      </c>
      <c r="AH23" s="5">
        <v>10.09</v>
      </c>
      <c r="AI23" s="5">
        <v>6.45</v>
      </c>
      <c r="AJ23" s="5">
        <v>21.98</v>
      </c>
      <c r="AK23" s="5">
        <v>18.07</v>
      </c>
      <c r="AL23" s="5">
        <v>18.559999999999999</v>
      </c>
      <c r="AM23" s="5">
        <v>5.26</v>
      </c>
      <c r="AN23" s="5">
        <v>1.99</v>
      </c>
      <c r="AO23" s="5">
        <v>20.39</v>
      </c>
      <c r="AP23" s="5">
        <v>302.57</v>
      </c>
      <c r="AQ23" s="5">
        <v>441.21</v>
      </c>
      <c r="AR23" s="5">
        <v>2.57</v>
      </c>
    </row>
    <row r="24" spans="1:44" x14ac:dyDescent="0.25">
      <c r="A24" s="18">
        <v>46209</v>
      </c>
      <c r="B24" s="5">
        <v>19</v>
      </c>
      <c r="C24" s="5">
        <v>20.149999999999999</v>
      </c>
      <c r="D24" s="5">
        <v>18.190000000000001</v>
      </c>
      <c r="E24" s="5">
        <v>19.79</v>
      </c>
      <c r="F24" s="5">
        <v>184.39</v>
      </c>
      <c r="G24" s="5">
        <v>199.45</v>
      </c>
      <c r="H24" s="5">
        <v>0</v>
      </c>
      <c r="I24" s="5">
        <v>44.09</v>
      </c>
      <c r="J24" s="5">
        <v>3.9</v>
      </c>
      <c r="K24" s="5">
        <v>3.98</v>
      </c>
      <c r="L24" s="5">
        <v>19.59</v>
      </c>
      <c r="M24" s="5">
        <v>77.97</v>
      </c>
      <c r="N24" s="5">
        <v>10.25</v>
      </c>
      <c r="O24" s="5">
        <v>23.14</v>
      </c>
      <c r="P24" s="5">
        <v>4.6900000000000004</v>
      </c>
      <c r="Q24" s="5">
        <v>5.5</v>
      </c>
      <c r="R24" s="5">
        <v>8.9700000000000006</v>
      </c>
      <c r="S24" s="5">
        <v>3.9</v>
      </c>
      <c r="T24" s="5">
        <v>10.98</v>
      </c>
      <c r="U24" s="5">
        <v>0</v>
      </c>
      <c r="V24" s="5">
        <v>0</v>
      </c>
      <c r="W24" s="5">
        <v>1.26</v>
      </c>
      <c r="X24" s="5">
        <v>17.43</v>
      </c>
      <c r="Y24" s="5">
        <v>330.44</v>
      </c>
      <c r="Z24" s="5">
        <v>17.72</v>
      </c>
      <c r="AA24" s="5">
        <v>1.22</v>
      </c>
      <c r="AB24" s="5">
        <v>14.67</v>
      </c>
      <c r="AC24" s="5">
        <v>21.72</v>
      </c>
      <c r="AD24" s="5">
        <v>34.22</v>
      </c>
      <c r="AE24" s="5">
        <v>102.21</v>
      </c>
      <c r="AF24" s="5">
        <v>327.26</v>
      </c>
      <c r="AG24" s="5">
        <v>24.65</v>
      </c>
      <c r="AH24" s="5">
        <v>10.09</v>
      </c>
      <c r="AI24" s="5">
        <v>6.45</v>
      </c>
      <c r="AJ24" s="5">
        <v>21.98</v>
      </c>
      <c r="AK24" s="5">
        <v>18.07</v>
      </c>
      <c r="AL24" s="5">
        <v>18.559999999999999</v>
      </c>
      <c r="AM24" s="5">
        <v>5.26</v>
      </c>
      <c r="AN24" s="5">
        <v>1.99</v>
      </c>
      <c r="AO24" s="5">
        <v>20.39</v>
      </c>
      <c r="AP24" s="5">
        <v>302.57</v>
      </c>
      <c r="AQ24" s="5">
        <v>441.21</v>
      </c>
      <c r="AR24" s="5">
        <v>2.57</v>
      </c>
    </row>
    <row r="25" spans="1:44" x14ac:dyDescent="0.25">
      <c r="A25" s="18">
        <v>46209</v>
      </c>
      <c r="B25" s="5">
        <v>20</v>
      </c>
      <c r="C25" s="5">
        <v>20.149999999999999</v>
      </c>
      <c r="D25" s="5">
        <v>18.190000000000001</v>
      </c>
      <c r="E25" s="5">
        <v>19.79</v>
      </c>
      <c r="F25" s="5">
        <v>184.39</v>
      </c>
      <c r="G25" s="5">
        <v>199.45</v>
      </c>
      <c r="H25" s="5">
        <v>0</v>
      </c>
      <c r="I25" s="5">
        <v>44.09</v>
      </c>
      <c r="J25" s="5">
        <v>3.9</v>
      </c>
      <c r="K25" s="5">
        <v>3.98</v>
      </c>
      <c r="L25" s="5">
        <v>19.59</v>
      </c>
      <c r="M25" s="5">
        <v>77.97</v>
      </c>
      <c r="N25" s="5">
        <v>10.25</v>
      </c>
      <c r="O25" s="5">
        <v>23.14</v>
      </c>
      <c r="P25" s="5">
        <v>4.6900000000000004</v>
      </c>
      <c r="Q25" s="5">
        <v>5.5</v>
      </c>
      <c r="R25" s="5">
        <v>8.9700000000000006</v>
      </c>
      <c r="S25" s="5">
        <v>3.9</v>
      </c>
      <c r="T25" s="5">
        <v>10.98</v>
      </c>
      <c r="U25" s="5">
        <v>0</v>
      </c>
      <c r="V25" s="5">
        <v>0</v>
      </c>
      <c r="W25" s="5">
        <v>1.26</v>
      </c>
      <c r="X25" s="5">
        <v>17.43</v>
      </c>
      <c r="Y25" s="5">
        <v>330.44</v>
      </c>
      <c r="Z25" s="5">
        <v>17.72</v>
      </c>
      <c r="AA25" s="5">
        <v>1.22</v>
      </c>
      <c r="AB25" s="5">
        <v>14.67</v>
      </c>
      <c r="AC25" s="5">
        <v>21.72</v>
      </c>
      <c r="AD25" s="5">
        <v>34.22</v>
      </c>
      <c r="AE25" s="5">
        <v>102.21</v>
      </c>
      <c r="AF25" s="5">
        <v>327.26</v>
      </c>
      <c r="AG25" s="5">
        <v>24.65</v>
      </c>
      <c r="AH25" s="5">
        <v>10.09</v>
      </c>
      <c r="AI25" s="5">
        <v>6.45</v>
      </c>
      <c r="AJ25" s="5">
        <v>21.98</v>
      </c>
      <c r="AK25" s="5">
        <v>18.07</v>
      </c>
      <c r="AL25" s="5">
        <v>18.559999999999999</v>
      </c>
      <c r="AM25" s="5">
        <v>5.26</v>
      </c>
      <c r="AN25" s="5">
        <v>1.99</v>
      </c>
      <c r="AO25" s="5">
        <v>20.39</v>
      </c>
      <c r="AP25" s="5">
        <v>302.57</v>
      </c>
      <c r="AQ25" s="5">
        <v>441.21</v>
      </c>
      <c r="AR25" s="5">
        <v>2.57</v>
      </c>
    </row>
    <row r="26" spans="1:44" x14ac:dyDescent="0.25">
      <c r="A26" s="18">
        <v>46209</v>
      </c>
      <c r="B26" s="5">
        <v>21</v>
      </c>
      <c r="C26" s="5">
        <v>20.149999999999999</v>
      </c>
      <c r="D26" s="5">
        <v>18.190000000000001</v>
      </c>
      <c r="E26" s="5">
        <v>19.79</v>
      </c>
      <c r="F26" s="5">
        <v>184.39</v>
      </c>
      <c r="G26" s="5">
        <v>199.45</v>
      </c>
      <c r="H26" s="5">
        <v>0</v>
      </c>
      <c r="I26" s="5">
        <v>44.09</v>
      </c>
      <c r="J26" s="5">
        <v>3.9</v>
      </c>
      <c r="K26" s="5">
        <v>3.98</v>
      </c>
      <c r="L26" s="5">
        <v>19.59</v>
      </c>
      <c r="M26" s="5">
        <v>77.97</v>
      </c>
      <c r="N26" s="5">
        <v>10.25</v>
      </c>
      <c r="O26" s="5">
        <v>23.14</v>
      </c>
      <c r="P26" s="5">
        <v>4.6900000000000004</v>
      </c>
      <c r="Q26" s="5">
        <v>5.5</v>
      </c>
      <c r="R26" s="5">
        <v>8.9700000000000006</v>
      </c>
      <c r="S26" s="5">
        <v>3.9</v>
      </c>
      <c r="T26" s="5">
        <v>10.98</v>
      </c>
      <c r="U26" s="5">
        <v>0</v>
      </c>
      <c r="V26" s="5">
        <v>0</v>
      </c>
      <c r="W26" s="5">
        <v>1.26</v>
      </c>
      <c r="X26" s="5">
        <v>17.43</v>
      </c>
      <c r="Y26" s="5">
        <v>330.44</v>
      </c>
      <c r="Z26" s="5">
        <v>17.72</v>
      </c>
      <c r="AA26" s="5">
        <v>1.22</v>
      </c>
      <c r="AB26" s="5">
        <v>14.67</v>
      </c>
      <c r="AC26" s="5">
        <v>21.72</v>
      </c>
      <c r="AD26" s="5">
        <v>34.22</v>
      </c>
      <c r="AE26" s="5">
        <v>102.21</v>
      </c>
      <c r="AF26" s="5">
        <v>327.26</v>
      </c>
      <c r="AG26" s="5">
        <v>24.65</v>
      </c>
      <c r="AH26" s="5">
        <v>10.09</v>
      </c>
      <c r="AI26" s="5">
        <v>6.45</v>
      </c>
      <c r="AJ26" s="5">
        <v>21.98</v>
      </c>
      <c r="AK26" s="5">
        <v>18.07</v>
      </c>
      <c r="AL26" s="5">
        <v>18.559999999999999</v>
      </c>
      <c r="AM26" s="5">
        <v>5.26</v>
      </c>
      <c r="AN26" s="5">
        <v>1.99</v>
      </c>
      <c r="AO26" s="5">
        <v>20.39</v>
      </c>
      <c r="AP26" s="5">
        <v>302.57</v>
      </c>
      <c r="AQ26" s="5">
        <v>441.21</v>
      </c>
      <c r="AR26" s="5">
        <v>2.57</v>
      </c>
    </row>
    <row r="27" spans="1:44" x14ac:dyDescent="0.25">
      <c r="A27" s="18">
        <v>46209</v>
      </c>
      <c r="B27" s="5">
        <v>22</v>
      </c>
      <c r="C27" s="5">
        <v>20.149999999999999</v>
      </c>
      <c r="D27" s="5">
        <v>18.190000000000001</v>
      </c>
      <c r="E27" s="5">
        <v>19.79</v>
      </c>
      <c r="F27" s="5">
        <v>184.39</v>
      </c>
      <c r="G27" s="5">
        <v>199.45</v>
      </c>
      <c r="H27" s="5">
        <v>0</v>
      </c>
      <c r="I27" s="5">
        <v>44.09</v>
      </c>
      <c r="J27" s="5">
        <v>3.9</v>
      </c>
      <c r="K27" s="5">
        <v>3.98</v>
      </c>
      <c r="L27" s="5">
        <v>19.59</v>
      </c>
      <c r="M27" s="5">
        <v>77.97</v>
      </c>
      <c r="N27" s="5">
        <v>10.25</v>
      </c>
      <c r="O27" s="5">
        <v>23.14</v>
      </c>
      <c r="P27" s="5">
        <v>4.6900000000000004</v>
      </c>
      <c r="Q27" s="5">
        <v>5.5</v>
      </c>
      <c r="R27" s="5">
        <v>8.9700000000000006</v>
      </c>
      <c r="S27" s="5">
        <v>3.9</v>
      </c>
      <c r="T27" s="5">
        <v>10.98</v>
      </c>
      <c r="U27" s="5">
        <v>0</v>
      </c>
      <c r="V27" s="5">
        <v>0</v>
      </c>
      <c r="W27" s="5">
        <v>1.26</v>
      </c>
      <c r="X27" s="5">
        <v>17.43</v>
      </c>
      <c r="Y27" s="5">
        <v>330.44</v>
      </c>
      <c r="Z27" s="5">
        <v>17.72</v>
      </c>
      <c r="AA27" s="5">
        <v>1.22</v>
      </c>
      <c r="AB27" s="5">
        <v>14.67</v>
      </c>
      <c r="AC27" s="5">
        <v>21.72</v>
      </c>
      <c r="AD27" s="5">
        <v>34.22</v>
      </c>
      <c r="AE27" s="5">
        <v>102.21</v>
      </c>
      <c r="AF27" s="5">
        <v>327.26</v>
      </c>
      <c r="AG27" s="5">
        <v>24.65</v>
      </c>
      <c r="AH27" s="5">
        <v>10.09</v>
      </c>
      <c r="AI27" s="5">
        <v>6.45</v>
      </c>
      <c r="AJ27" s="5">
        <v>21.98</v>
      </c>
      <c r="AK27" s="5">
        <v>18.07</v>
      </c>
      <c r="AL27" s="5">
        <v>18.559999999999999</v>
      </c>
      <c r="AM27" s="5">
        <v>5.26</v>
      </c>
      <c r="AN27" s="5">
        <v>1.99</v>
      </c>
      <c r="AO27" s="5">
        <v>20.39</v>
      </c>
      <c r="AP27" s="5">
        <v>302.57</v>
      </c>
      <c r="AQ27" s="5">
        <v>441.21</v>
      </c>
      <c r="AR27" s="5">
        <v>2.57</v>
      </c>
    </row>
    <row r="28" spans="1:44" x14ac:dyDescent="0.25">
      <c r="A28" s="18">
        <v>46209</v>
      </c>
      <c r="B28" s="5">
        <v>23</v>
      </c>
      <c r="C28" s="5">
        <v>20.149999999999999</v>
      </c>
      <c r="D28" s="5">
        <v>18.190000000000001</v>
      </c>
      <c r="E28" s="5">
        <v>19.79</v>
      </c>
      <c r="F28" s="5">
        <v>184.39</v>
      </c>
      <c r="G28" s="5">
        <v>199.45</v>
      </c>
      <c r="H28" s="5">
        <v>0</v>
      </c>
      <c r="I28" s="5">
        <v>44.09</v>
      </c>
      <c r="J28" s="5">
        <v>3.9</v>
      </c>
      <c r="K28" s="5">
        <v>3.98</v>
      </c>
      <c r="L28" s="5">
        <v>19.59</v>
      </c>
      <c r="M28" s="5">
        <v>77.97</v>
      </c>
      <c r="N28" s="5">
        <v>10.25</v>
      </c>
      <c r="O28" s="5">
        <v>23.14</v>
      </c>
      <c r="P28" s="5">
        <v>4.6900000000000004</v>
      </c>
      <c r="Q28" s="5">
        <v>5.5</v>
      </c>
      <c r="R28" s="5">
        <v>8.9700000000000006</v>
      </c>
      <c r="S28" s="5">
        <v>3.9</v>
      </c>
      <c r="T28" s="5">
        <v>10.98</v>
      </c>
      <c r="U28" s="5">
        <v>0</v>
      </c>
      <c r="V28" s="5">
        <v>0</v>
      </c>
      <c r="W28" s="5">
        <v>1.26</v>
      </c>
      <c r="X28" s="5">
        <v>17.43</v>
      </c>
      <c r="Y28" s="5">
        <v>330.44</v>
      </c>
      <c r="Z28" s="5">
        <v>17.72</v>
      </c>
      <c r="AA28" s="5">
        <v>1.22</v>
      </c>
      <c r="AB28" s="5">
        <v>14.67</v>
      </c>
      <c r="AC28" s="5">
        <v>21.72</v>
      </c>
      <c r="AD28" s="5">
        <v>34.22</v>
      </c>
      <c r="AE28" s="5">
        <v>102.21</v>
      </c>
      <c r="AF28" s="5">
        <v>327.26</v>
      </c>
      <c r="AG28" s="5">
        <v>24.65</v>
      </c>
      <c r="AH28" s="5">
        <v>10.09</v>
      </c>
      <c r="AI28" s="5">
        <v>6.45</v>
      </c>
      <c r="AJ28" s="5">
        <v>21.98</v>
      </c>
      <c r="AK28" s="5">
        <v>18.07</v>
      </c>
      <c r="AL28" s="5">
        <v>18.559999999999999</v>
      </c>
      <c r="AM28" s="5">
        <v>5.26</v>
      </c>
      <c r="AN28" s="5">
        <v>1.99</v>
      </c>
      <c r="AO28" s="5">
        <v>20.39</v>
      </c>
      <c r="AP28" s="5">
        <v>302.57</v>
      </c>
      <c r="AQ28" s="5">
        <v>441.21</v>
      </c>
      <c r="AR28" s="5">
        <v>2.57</v>
      </c>
    </row>
    <row r="29" spans="1:44" x14ac:dyDescent="0.25">
      <c r="A29" s="18">
        <v>46209</v>
      </c>
      <c r="B29" s="5">
        <v>24</v>
      </c>
      <c r="C29" s="5">
        <v>20.149999999999999</v>
      </c>
      <c r="D29" s="5">
        <v>18.190000000000001</v>
      </c>
      <c r="E29" s="5">
        <v>19.79</v>
      </c>
      <c r="F29" s="5">
        <v>184.39</v>
      </c>
      <c r="G29" s="5">
        <v>199.45</v>
      </c>
      <c r="H29" s="5">
        <v>0</v>
      </c>
      <c r="I29" s="5">
        <v>44.09</v>
      </c>
      <c r="J29" s="5">
        <v>3.9</v>
      </c>
      <c r="K29" s="5">
        <v>3.98</v>
      </c>
      <c r="L29" s="5">
        <v>19.59</v>
      </c>
      <c r="M29" s="5">
        <v>77.97</v>
      </c>
      <c r="N29" s="5">
        <v>10.25</v>
      </c>
      <c r="O29" s="5">
        <v>23.14</v>
      </c>
      <c r="P29" s="5">
        <v>4.6900000000000004</v>
      </c>
      <c r="Q29" s="5">
        <v>5.5</v>
      </c>
      <c r="R29" s="5">
        <v>8.9700000000000006</v>
      </c>
      <c r="S29" s="5">
        <v>3.9</v>
      </c>
      <c r="T29" s="5">
        <v>10.98</v>
      </c>
      <c r="U29" s="5">
        <v>0</v>
      </c>
      <c r="V29" s="5">
        <v>0</v>
      </c>
      <c r="W29" s="5">
        <v>1.26</v>
      </c>
      <c r="X29" s="5">
        <v>17.43</v>
      </c>
      <c r="Y29" s="5">
        <v>330.44</v>
      </c>
      <c r="Z29" s="5">
        <v>17.72</v>
      </c>
      <c r="AA29" s="5">
        <v>1.22</v>
      </c>
      <c r="AB29" s="5">
        <v>14.67</v>
      </c>
      <c r="AC29" s="5">
        <v>21.72</v>
      </c>
      <c r="AD29" s="5">
        <v>34.22</v>
      </c>
      <c r="AE29" s="5">
        <v>102.21</v>
      </c>
      <c r="AF29" s="5">
        <v>327.26</v>
      </c>
      <c r="AG29" s="5">
        <v>24.65</v>
      </c>
      <c r="AH29" s="5">
        <v>10.09</v>
      </c>
      <c r="AI29" s="5">
        <v>6.45</v>
      </c>
      <c r="AJ29" s="5">
        <v>21.98</v>
      </c>
      <c r="AK29" s="5">
        <v>18.07</v>
      </c>
      <c r="AL29" s="5">
        <v>18.559999999999999</v>
      </c>
      <c r="AM29" s="5">
        <v>5.26</v>
      </c>
      <c r="AN29" s="5">
        <v>1.99</v>
      </c>
      <c r="AO29" s="5">
        <v>20.39</v>
      </c>
      <c r="AP29" s="5">
        <v>302.57</v>
      </c>
      <c r="AQ29" s="5">
        <v>441.21</v>
      </c>
      <c r="AR29" s="5">
        <v>2.57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6" tint="0.79998168889431442"/>
  </sheetPr>
  <dimension ref="A1:G17"/>
  <sheetViews>
    <sheetView tabSelected="1" workbookViewId="0">
      <selection activeCell="D27" sqref="D27"/>
    </sheetView>
  </sheetViews>
  <sheetFormatPr defaultRowHeight="15" x14ac:dyDescent="0.25"/>
  <cols>
    <col min="1" max="1" width="33.140625" customWidth="1"/>
    <col min="2" max="2" width="27.7109375" customWidth="1"/>
    <col min="3" max="4" width="16" customWidth="1"/>
  </cols>
  <sheetData>
    <row r="1" spans="1:7" ht="18.75" x14ac:dyDescent="0.3">
      <c r="A1" s="1" t="s">
        <v>206</v>
      </c>
    </row>
    <row r="2" spans="1:7" x14ac:dyDescent="0.25">
      <c r="A2" s="2" t="s">
        <v>71</v>
      </c>
    </row>
    <row r="4" spans="1:7" x14ac:dyDescent="0.25">
      <c r="A4" s="3" t="s">
        <v>35</v>
      </c>
      <c r="B4" s="3" t="s">
        <v>46</v>
      </c>
      <c r="C4" s="3" t="s">
        <v>36</v>
      </c>
      <c r="D4" s="3" t="s">
        <v>45</v>
      </c>
      <c r="E4" s="12" t="s">
        <v>327</v>
      </c>
      <c r="F4" s="12" t="s">
        <v>328</v>
      </c>
      <c r="G4" s="12" t="s">
        <v>329</v>
      </c>
    </row>
    <row r="5" spans="1:7" x14ac:dyDescent="0.25">
      <c r="A5" s="4"/>
      <c r="B5" s="4"/>
      <c r="C5" s="4" t="s">
        <v>72</v>
      </c>
      <c r="D5" s="4" t="s">
        <v>38</v>
      </c>
      <c r="E5" s="4"/>
      <c r="F5" s="4" t="s">
        <v>330</v>
      </c>
      <c r="G5" s="4" t="s">
        <v>330</v>
      </c>
    </row>
    <row r="6" spans="1:7" x14ac:dyDescent="0.25">
      <c r="A6" s="6" t="s">
        <v>331</v>
      </c>
      <c r="B6" s="6" t="s">
        <v>167</v>
      </c>
      <c r="C6" s="5" t="s">
        <v>157</v>
      </c>
      <c r="D6" s="20">
        <v>50</v>
      </c>
      <c r="E6" s="20" t="str">
        <f>_xlfn.XLOOKUP(A6,[1]Renovables_traz!B46:B339,[1]Renovables_traz!A46:A339)</f>
        <v>3INX</v>
      </c>
    </row>
    <row r="7" spans="1:7" x14ac:dyDescent="0.25">
      <c r="A7" s="6" t="s">
        <v>332</v>
      </c>
      <c r="B7" s="6" t="s">
        <v>167</v>
      </c>
      <c r="C7" s="5" t="s">
        <v>157</v>
      </c>
      <c r="D7" s="20">
        <v>370</v>
      </c>
      <c r="E7" s="20" t="str">
        <f>_xlfn.XLOOKUP(A7,[1]Renovables_traz!B47:B340,[1]Renovables_traz!A47:A340)</f>
        <v>GYPO</v>
      </c>
    </row>
    <row r="8" spans="1:7" x14ac:dyDescent="0.25">
      <c r="A8" s="6" t="s">
        <v>333</v>
      </c>
      <c r="B8" s="6" t="s">
        <v>167</v>
      </c>
      <c r="C8" s="5" t="s">
        <v>157</v>
      </c>
      <c r="D8" s="20">
        <v>200</v>
      </c>
      <c r="E8" s="20" t="str">
        <f>_xlfn.XLOOKUP(A8,[1]Renovables_traz!B48:B341,[1]Renovables_traz!A48:A341)</f>
        <v>GYP3</v>
      </c>
    </row>
    <row r="9" spans="1:7" x14ac:dyDescent="0.25">
      <c r="A9" s="6" t="s">
        <v>334</v>
      </c>
      <c r="B9" s="6" t="s">
        <v>175</v>
      </c>
      <c r="C9" s="5" t="s">
        <v>157</v>
      </c>
      <c r="D9" s="20">
        <v>100</v>
      </c>
      <c r="E9" s="20" t="str">
        <f>_xlfn.XLOOKUP(A9,[1]Renovables_traz!B49:B342,[1]Renovables_traz!A49:A342)</f>
        <v>3IZ6</v>
      </c>
    </row>
    <row r="10" spans="1:7" x14ac:dyDescent="0.25">
      <c r="A10" s="6" t="s">
        <v>335</v>
      </c>
      <c r="B10" s="6" t="s">
        <v>171</v>
      </c>
      <c r="C10" s="5" t="s">
        <v>157</v>
      </c>
      <c r="D10" s="20">
        <v>300</v>
      </c>
      <c r="E10" s="20" t="str">
        <f>_xlfn.XLOOKUP(A10,[1]Renovables_traz!B50:B343,[1]Renovables_traz!A50:A343)</f>
        <v>PORO</v>
      </c>
    </row>
    <row r="11" spans="1:7" x14ac:dyDescent="0.25">
      <c r="A11" s="6" t="s">
        <v>336</v>
      </c>
      <c r="B11" s="6" t="s">
        <v>171</v>
      </c>
      <c r="C11" s="5" t="s">
        <v>157</v>
      </c>
      <c r="D11" s="20">
        <v>83</v>
      </c>
      <c r="E11" s="20" t="str">
        <f>_xlfn.XLOOKUP(A11,[1]Renovables_traz!B51:B344,[1]Renovables_traz!A51:A344)</f>
        <v>TPUY</v>
      </c>
    </row>
    <row r="12" spans="1:7" x14ac:dyDescent="0.25">
      <c r="A12" s="6" t="s">
        <v>337</v>
      </c>
      <c r="B12" s="6" t="s">
        <v>176</v>
      </c>
      <c r="C12" s="5" t="s">
        <v>157</v>
      </c>
      <c r="D12" s="20">
        <v>68</v>
      </c>
      <c r="E12" s="20" t="str">
        <f>_xlfn.XLOOKUP(A12,[1]Renovables_traz!B52:B345,[1]Renovables_traz!A52:A345)</f>
        <v>EPFV</v>
      </c>
    </row>
    <row r="13" spans="1:7" x14ac:dyDescent="0.25">
      <c r="A13" s="6" t="s">
        <v>338</v>
      </c>
      <c r="B13" s="6" t="s">
        <v>176</v>
      </c>
      <c r="C13" s="5" t="s">
        <v>157</v>
      </c>
      <c r="D13" s="20">
        <v>100</v>
      </c>
      <c r="E13" s="20" t="str">
        <f>_xlfn.XLOOKUP(A13,[1]Renovables_traz!B53:B346,[1]Renovables_traz!A53:A346)</f>
        <v>3HF5</v>
      </c>
    </row>
    <row r="14" spans="1:7" x14ac:dyDescent="0.25">
      <c r="A14" s="6" t="s">
        <v>339</v>
      </c>
      <c r="B14" s="6" t="s">
        <v>176</v>
      </c>
      <c r="C14" s="5" t="s">
        <v>157</v>
      </c>
      <c r="D14" s="20">
        <v>150</v>
      </c>
      <c r="E14" s="20" t="str">
        <f>_xlfn.XLOOKUP(A14,[1]Renovables_traz!B54:B347,[1]Renovables_traz!A54:A347)</f>
        <v>3DDT</v>
      </c>
    </row>
    <row r="15" spans="1:7" x14ac:dyDescent="0.25">
      <c r="A15" s="6" t="s">
        <v>340</v>
      </c>
      <c r="B15" s="6" t="s">
        <v>177</v>
      </c>
      <c r="C15" s="5" t="s">
        <v>157</v>
      </c>
      <c r="D15" s="20">
        <v>160</v>
      </c>
      <c r="E15" s="20" t="str">
        <f>_xlfn.XLOOKUP(A15,[1]Renovables_traz!B55:B348,[1]Renovables_traz!A55:A348)</f>
        <v>4YCF</v>
      </c>
    </row>
    <row r="16" spans="1:7" x14ac:dyDescent="0.25">
      <c r="A16" s="6" t="s">
        <v>341</v>
      </c>
      <c r="B16" s="6" t="s">
        <v>179</v>
      </c>
      <c r="C16" s="5" t="s">
        <v>157</v>
      </c>
      <c r="D16" s="20">
        <v>80</v>
      </c>
      <c r="E16" s="20" t="str">
        <f>_xlfn.XLOOKUP(A16,[1]Renovables_traz!B56:B349,[1]Renovables_traz!A56:A349)</f>
        <v>MATA</v>
      </c>
    </row>
    <row r="17" spans="1:5" x14ac:dyDescent="0.25">
      <c r="A17" s="6" t="s">
        <v>342</v>
      </c>
      <c r="B17" s="6" t="s">
        <v>179</v>
      </c>
      <c r="C17" s="5" t="s">
        <v>157</v>
      </c>
      <c r="D17" s="20">
        <v>35</v>
      </c>
      <c r="E17" s="20" t="str">
        <f>_xlfn.XLOOKUP(A17,[1]Renovables_traz!B57:B350,[1]Renovables_traz!A57:A350)</f>
        <v>3IQA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D3EA66-4F5E-46CE-A032-3EC4111EFABF}">
  <sheetPr>
    <tabColor theme="6" tint="0.79998168889431442"/>
  </sheetPr>
  <dimension ref="A1:N29"/>
  <sheetViews>
    <sheetView workbookViewId="0">
      <selection activeCell="G21" sqref="G21"/>
    </sheetView>
  </sheetViews>
  <sheetFormatPr defaultRowHeight="15" x14ac:dyDescent="0.25"/>
  <cols>
    <col min="1" max="1" width="14.140625" customWidth="1"/>
    <col min="2" max="2" width="7.85546875" customWidth="1"/>
    <col min="3" max="3" width="10.85546875" bestFit="1" customWidth="1"/>
    <col min="4" max="4" width="11" bestFit="1" customWidth="1"/>
    <col min="5" max="5" width="12" bestFit="1" customWidth="1"/>
    <col min="6" max="6" width="24.28515625" bestFit="1" customWidth="1"/>
    <col min="7" max="7" width="29.85546875" bestFit="1" customWidth="1"/>
    <col min="8" max="8" width="21" bestFit="1" customWidth="1"/>
    <col min="9" max="9" width="11" bestFit="1" customWidth="1"/>
    <col min="10" max="10" width="12" bestFit="1" customWidth="1"/>
    <col min="11" max="11" width="22.28515625" bestFit="1" customWidth="1"/>
    <col min="12" max="12" width="11.7109375" bestFit="1" customWidth="1"/>
    <col min="13" max="14" width="11" bestFit="1" customWidth="1"/>
  </cols>
  <sheetData>
    <row r="1" spans="1:14" ht="18.75" x14ac:dyDescent="0.3">
      <c r="A1" s="1" t="s">
        <v>204</v>
      </c>
    </row>
    <row r="2" spans="1:14" x14ac:dyDescent="0.25">
      <c r="A2" s="2" t="s">
        <v>205</v>
      </c>
    </row>
    <row r="3" spans="1:14" x14ac:dyDescent="0.25">
      <c r="C3" s="5" t="s">
        <v>343</v>
      </c>
      <c r="D3" s="5" t="s">
        <v>344</v>
      </c>
      <c r="E3" s="5" t="s">
        <v>345</v>
      </c>
      <c r="F3" s="5" t="s">
        <v>346</v>
      </c>
      <c r="G3" s="5" t="s">
        <v>347</v>
      </c>
      <c r="H3" s="5" t="s">
        <v>348</v>
      </c>
      <c r="I3" s="5" t="s">
        <v>349</v>
      </c>
      <c r="J3" s="5" t="s">
        <v>350</v>
      </c>
      <c r="K3" s="5" t="s">
        <v>351</v>
      </c>
      <c r="L3" s="5" t="s">
        <v>352</v>
      </c>
      <c r="M3" s="5" t="s">
        <v>353</v>
      </c>
      <c r="N3" s="5" t="s">
        <v>354</v>
      </c>
    </row>
    <row r="4" spans="1:14" x14ac:dyDescent="0.25">
      <c r="A4" s="12" t="s">
        <v>322</v>
      </c>
      <c r="B4" s="3" t="s">
        <v>119</v>
      </c>
      <c r="C4" s="3" t="s">
        <v>331</v>
      </c>
      <c r="D4" s="3" t="s">
        <v>332</v>
      </c>
      <c r="E4" s="3" t="s">
        <v>333</v>
      </c>
      <c r="F4" s="3" t="s">
        <v>334</v>
      </c>
      <c r="G4" s="3" t="s">
        <v>335</v>
      </c>
      <c r="H4" s="3" t="s">
        <v>336</v>
      </c>
      <c r="I4" s="3" t="s">
        <v>337</v>
      </c>
      <c r="J4" s="3" t="s">
        <v>338</v>
      </c>
      <c r="K4" s="3" t="s">
        <v>339</v>
      </c>
      <c r="L4" s="3" t="s">
        <v>340</v>
      </c>
      <c r="M4" s="3" t="s">
        <v>341</v>
      </c>
      <c r="N4" s="3" t="s">
        <v>342</v>
      </c>
    </row>
    <row r="5" spans="1:14" x14ac:dyDescent="0.25">
      <c r="B5" s="4"/>
      <c r="C5" s="4" t="s">
        <v>86</v>
      </c>
      <c r="D5" s="4" t="s">
        <v>86</v>
      </c>
      <c r="E5" s="4" t="s">
        <v>86</v>
      </c>
      <c r="F5" s="4" t="s">
        <v>86</v>
      </c>
      <c r="G5" s="4" t="s">
        <v>86</v>
      </c>
      <c r="H5" s="4" t="s">
        <v>86</v>
      </c>
      <c r="I5" s="4" t="s">
        <v>86</v>
      </c>
      <c r="J5" s="4" t="s">
        <v>86</v>
      </c>
      <c r="K5" s="4" t="s">
        <v>86</v>
      </c>
      <c r="L5" s="4" t="s">
        <v>86</v>
      </c>
      <c r="M5" s="4" t="s">
        <v>86</v>
      </c>
      <c r="N5" s="4" t="s">
        <v>86</v>
      </c>
    </row>
    <row r="6" spans="1:14" x14ac:dyDescent="0.25">
      <c r="A6" s="18">
        <v>46209</v>
      </c>
      <c r="B6" s="5">
        <v>1</v>
      </c>
      <c r="C6" s="5">
        <v>0</v>
      </c>
      <c r="D6" s="5">
        <v>0</v>
      </c>
      <c r="E6" s="5">
        <v>0</v>
      </c>
      <c r="F6" s="5">
        <v>0</v>
      </c>
      <c r="G6" s="5">
        <v>0</v>
      </c>
      <c r="H6" s="5">
        <v>0</v>
      </c>
      <c r="I6" s="5">
        <v>0</v>
      </c>
      <c r="J6" s="5">
        <v>0</v>
      </c>
      <c r="K6" s="5">
        <v>0</v>
      </c>
      <c r="L6" s="5">
        <v>0</v>
      </c>
      <c r="M6" s="5">
        <v>0</v>
      </c>
      <c r="N6" s="5">
        <v>0</v>
      </c>
    </row>
    <row r="7" spans="1:14" x14ac:dyDescent="0.25">
      <c r="A7" s="18">
        <v>46209</v>
      </c>
      <c r="B7" s="5">
        <v>2</v>
      </c>
      <c r="C7" s="5">
        <v>0</v>
      </c>
      <c r="D7" s="5">
        <v>0</v>
      </c>
      <c r="E7" s="5">
        <v>0</v>
      </c>
      <c r="F7" s="5">
        <v>0</v>
      </c>
      <c r="G7" s="5">
        <v>0</v>
      </c>
      <c r="H7" s="5">
        <v>0</v>
      </c>
      <c r="I7" s="5">
        <v>0</v>
      </c>
      <c r="J7" s="5">
        <v>0</v>
      </c>
      <c r="K7" s="5">
        <v>0</v>
      </c>
      <c r="L7" s="5">
        <v>0</v>
      </c>
      <c r="M7" s="5">
        <v>0</v>
      </c>
      <c r="N7" s="5">
        <v>0</v>
      </c>
    </row>
    <row r="8" spans="1:14" x14ac:dyDescent="0.25">
      <c r="A8" s="18">
        <v>46209</v>
      </c>
      <c r="B8" s="5">
        <v>3</v>
      </c>
      <c r="C8" s="5">
        <v>0</v>
      </c>
      <c r="D8" s="5">
        <v>0</v>
      </c>
      <c r="E8" s="5">
        <v>0</v>
      </c>
      <c r="F8" s="5">
        <v>0</v>
      </c>
      <c r="G8" s="5">
        <v>0</v>
      </c>
      <c r="H8" s="5">
        <v>0</v>
      </c>
      <c r="I8" s="5">
        <v>0</v>
      </c>
      <c r="J8" s="5">
        <v>0</v>
      </c>
      <c r="K8" s="5">
        <v>0</v>
      </c>
      <c r="L8" s="5">
        <v>0</v>
      </c>
      <c r="M8" s="5">
        <v>0</v>
      </c>
      <c r="N8" s="5">
        <v>0</v>
      </c>
    </row>
    <row r="9" spans="1:14" x14ac:dyDescent="0.25">
      <c r="A9" s="18">
        <v>46209</v>
      </c>
      <c r="B9" s="5">
        <v>4</v>
      </c>
      <c r="C9" s="5">
        <v>0</v>
      </c>
      <c r="D9" s="5">
        <v>0</v>
      </c>
      <c r="E9" s="5">
        <v>0</v>
      </c>
      <c r="F9" s="5">
        <v>0</v>
      </c>
      <c r="G9" s="5">
        <v>0</v>
      </c>
      <c r="H9" s="5">
        <v>0</v>
      </c>
      <c r="I9" s="5">
        <v>0</v>
      </c>
      <c r="J9" s="5">
        <v>0</v>
      </c>
      <c r="K9" s="5">
        <v>0</v>
      </c>
      <c r="L9" s="5">
        <v>0</v>
      </c>
      <c r="M9" s="5">
        <v>0</v>
      </c>
      <c r="N9" s="5">
        <v>0</v>
      </c>
    </row>
    <row r="10" spans="1:14" x14ac:dyDescent="0.25">
      <c r="A10" s="18">
        <v>46209</v>
      </c>
      <c r="B10" s="5">
        <v>5</v>
      </c>
      <c r="C10" s="5">
        <v>0</v>
      </c>
      <c r="D10" s="5">
        <v>0</v>
      </c>
      <c r="E10" s="5">
        <v>0</v>
      </c>
      <c r="F10" s="5">
        <v>0</v>
      </c>
      <c r="G10" s="5">
        <v>0</v>
      </c>
      <c r="H10" s="5">
        <v>0</v>
      </c>
      <c r="I10" s="5">
        <v>0</v>
      </c>
      <c r="J10" s="5">
        <v>0</v>
      </c>
      <c r="K10" s="5">
        <v>0</v>
      </c>
      <c r="L10" s="5">
        <v>0</v>
      </c>
      <c r="M10" s="5">
        <v>0</v>
      </c>
      <c r="N10" s="5">
        <v>0</v>
      </c>
    </row>
    <row r="11" spans="1:14" x14ac:dyDescent="0.25">
      <c r="A11" s="18">
        <v>46209</v>
      </c>
      <c r="B11" s="5">
        <v>6</v>
      </c>
      <c r="C11" s="5">
        <v>6.9199999999999998E-2</v>
      </c>
      <c r="D11" s="5">
        <v>0.13655999999999999</v>
      </c>
      <c r="E11" s="5">
        <v>0</v>
      </c>
      <c r="F11" s="5">
        <v>3.8440000000000002E-2</v>
      </c>
      <c r="G11" s="5">
        <v>0</v>
      </c>
      <c r="H11" s="5">
        <v>0</v>
      </c>
      <c r="I11" s="5">
        <v>7.9650000000000012E-2</v>
      </c>
      <c r="J11" s="5">
        <v>0.34272000000000002</v>
      </c>
      <c r="K11" s="5">
        <v>0</v>
      </c>
      <c r="L11" s="5">
        <v>0</v>
      </c>
      <c r="M11" s="5">
        <v>0</v>
      </c>
      <c r="N11" s="5">
        <v>0</v>
      </c>
    </row>
    <row r="12" spans="1:14" x14ac:dyDescent="0.25">
      <c r="A12" s="18">
        <v>46209</v>
      </c>
      <c r="B12" s="5">
        <v>7</v>
      </c>
      <c r="C12" s="5">
        <v>5.1605400000000001</v>
      </c>
      <c r="D12" s="5">
        <v>56.342930000000003</v>
      </c>
      <c r="E12" s="5">
        <v>0</v>
      </c>
      <c r="F12" s="5">
        <v>17.06981</v>
      </c>
      <c r="G12" s="5">
        <v>42.759920000000001</v>
      </c>
      <c r="H12" s="5">
        <v>17.447340000000001</v>
      </c>
      <c r="I12" s="5">
        <v>13.60181</v>
      </c>
      <c r="J12" s="5">
        <v>17.102969999999999</v>
      </c>
      <c r="K12" s="5">
        <v>18.443619999999999</v>
      </c>
      <c r="L12" s="5">
        <v>9.3641500000000004</v>
      </c>
      <c r="M12" s="5">
        <v>7.7311000000000014</v>
      </c>
      <c r="N12" s="5">
        <v>1.47672</v>
      </c>
    </row>
    <row r="13" spans="1:14" x14ac:dyDescent="0.25">
      <c r="A13" s="18">
        <v>46209</v>
      </c>
      <c r="B13" s="5">
        <v>8</v>
      </c>
      <c r="C13" s="5">
        <v>20.86347</v>
      </c>
      <c r="D13" s="5">
        <v>173.1985</v>
      </c>
      <c r="E13" s="5">
        <v>19.817250000000001</v>
      </c>
      <c r="F13" s="5">
        <v>58.68383</v>
      </c>
      <c r="G13" s="5">
        <v>171.75228000000001</v>
      </c>
      <c r="H13" s="5">
        <v>59.299589999999988</v>
      </c>
      <c r="I13" s="5">
        <v>31.745259999999998</v>
      </c>
      <c r="J13" s="5">
        <v>58.488690000000013</v>
      </c>
      <c r="K13" s="5">
        <v>37.227230000000013</v>
      </c>
      <c r="L13" s="5">
        <v>77.598130000000012</v>
      </c>
      <c r="M13" s="5">
        <v>42.191870000000002</v>
      </c>
      <c r="N13" s="5">
        <v>8.7656499999999991</v>
      </c>
    </row>
    <row r="14" spans="1:14" x14ac:dyDescent="0.25">
      <c r="A14" s="18">
        <v>46209</v>
      </c>
      <c r="B14" s="5">
        <v>9</v>
      </c>
      <c r="C14" s="5">
        <v>28.784960000000002</v>
      </c>
      <c r="D14" s="5">
        <v>244.69049000000001</v>
      </c>
      <c r="E14" s="5">
        <v>138.49542</v>
      </c>
      <c r="F14" s="5">
        <v>83.834980000000002</v>
      </c>
      <c r="G14" s="5">
        <v>232.43136999999999</v>
      </c>
      <c r="H14" s="5">
        <v>72.599869999999996</v>
      </c>
      <c r="I14" s="5">
        <v>50.069110000000002</v>
      </c>
      <c r="J14" s="5">
        <v>74.658799999999999</v>
      </c>
      <c r="K14" s="5">
        <v>84.578749999999999</v>
      </c>
      <c r="L14" s="5">
        <v>134.81639999999999</v>
      </c>
      <c r="M14" s="5">
        <v>65.584860000000006</v>
      </c>
      <c r="N14" s="5">
        <v>18.404789999999998</v>
      </c>
    </row>
    <row r="15" spans="1:14" x14ac:dyDescent="0.25">
      <c r="A15" s="18">
        <v>46209</v>
      </c>
      <c r="B15" s="5">
        <v>10</v>
      </c>
      <c r="C15" s="5">
        <v>26.482589999999998</v>
      </c>
      <c r="D15" s="5">
        <v>204.43931000000001</v>
      </c>
      <c r="E15" s="5">
        <v>119.87685999999999</v>
      </c>
      <c r="F15" s="5">
        <v>90.415970000000002</v>
      </c>
      <c r="G15" s="5">
        <v>253.27748</v>
      </c>
      <c r="H15" s="5">
        <v>70.171250000000001</v>
      </c>
      <c r="I15" s="5">
        <v>54.935180000000003</v>
      </c>
      <c r="J15" s="5">
        <v>80.366749999999996</v>
      </c>
      <c r="K15" s="5">
        <v>75.486050000000006</v>
      </c>
      <c r="L15" s="5">
        <v>147.87395000000001</v>
      </c>
      <c r="M15" s="5">
        <v>72.559780000000003</v>
      </c>
      <c r="N15" s="5">
        <v>25.34581</v>
      </c>
    </row>
    <row r="16" spans="1:14" x14ac:dyDescent="0.25">
      <c r="A16" s="18">
        <v>46209</v>
      </c>
      <c r="B16" s="5">
        <v>11</v>
      </c>
      <c r="C16" s="5">
        <v>34.308010000000003</v>
      </c>
      <c r="D16" s="5">
        <v>256.74932999999999</v>
      </c>
      <c r="E16" s="5">
        <v>154.16726</v>
      </c>
      <c r="F16" s="5">
        <v>51.553280000000001</v>
      </c>
      <c r="G16" s="5">
        <v>271.85611999999998</v>
      </c>
      <c r="H16" s="5">
        <v>81.047229999999999</v>
      </c>
      <c r="I16" s="5">
        <v>58.42342</v>
      </c>
      <c r="J16" s="5">
        <v>80.405369999999991</v>
      </c>
      <c r="K16" s="5">
        <v>101.46762</v>
      </c>
      <c r="L16" s="5">
        <v>144.06465</v>
      </c>
      <c r="M16" s="5">
        <v>77.27846000000001</v>
      </c>
      <c r="N16" s="5">
        <v>25.513719999999999</v>
      </c>
    </row>
    <row r="17" spans="1:14" x14ac:dyDescent="0.25">
      <c r="A17" s="18">
        <v>46209</v>
      </c>
      <c r="B17" s="5">
        <v>12</v>
      </c>
      <c r="C17" s="5">
        <v>37.749049999999997</v>
      </c>
      <c r="D17" s="5">
        <v>286.33301</v>
      </c>
      <c r="E17" s="5">
        <v>171.74569</v>
      </c>
      <c r="F17" s="5">
        <v>89.806190000000001</v>
      </c>
      <c r="G17" s="5">
        <v>280.11626999999999</v>
      </c>
      <c r="H17" s="5">
        <v>82.85466000000001</v>
      </c>
      <c r="I17" s="5">
        <v>62.286479999999997</v>
      </c>
      <c r="J17" s="5">
        <v>80.413060000000002</v>
      </c>
      <c r="K17" s="5">
        <v>101.38636</v>
      </c>
      <c r="L17" s="5">
        <v>153.98557</v>
      </c>
      <c r="M17" s="5">
        <v>69.837000000000003</v>
      </c>
      <c r="N17" s="5">
        <v>18.187259999999998</v>
      </c>
    </row>
    <row r="18" spans="1:14" x14ac:dyDescent="0.25">
      <c r="A18" s="18">
        <v>46209</v>
      </c>
      <c r="B18" s="5">
        <v>13</v>
      </c>
      <c r="C18" s="5">
        <v>43.331480000000013</v>
      </c>
      <c r="D18" s="5">
        <v>315.59777000000003</v>
      </c>
      <c r="E18" s="5">
        <v>188.70415</v>
      </c>
      <c r="F18" s="5">
        <v>92.111000000000004</v>
      </c>
      <c r="G18" s="5">
        <v>276.63742999999999</v>
      </c>
      <c r="H18" s="5">
        <v>82.233059999999995</v>
      </c>
      <c r="I18" s="5">
        <v>60.031739999999999</v>
      </c>
      <c r="J18" s="5">
        <v>50.908550000000012</v>
      </c>
      <c r="K18" s="5">
        <v>99.000140000000002</v>
      </c>
      <c r="L18" s="5">
        <v>153.38834</v>
      </c>
      <c r="M18" s="5">
        <v>50.538249999999998</v>
      </c>
      <c r="N18" s="5">
        <v>13.403359999999999</v>
      </c>
    </row>
    <row r="19" spans="1:14" x14ac:dyDescent="0.25">
      <c r="A19" s="18">
        <v>46209</v>
      </c>
      <c r="B19" s="5">
        <v>14</v>
      </c>
      <c r="C19" s="5">
        <v>40.589919999999999</v>
      </c>
      <c r="D19" s="5">
        <v>313.81011000000001</v>
      </c>
      <c r="E19" s="5">
        <v>187.50425999999999</v>
      </c>
      <c r="F19" s="5">
        <v>83.265339999999995</v>
      </c>
      <c r="G19" s="5">
        <v>266.65224000000001</v>
      </c>
      <c r="H19" s="5">
        <v>80.440750000000008</v>
      </c>
      <c r="I19" s="5">
        <v>50.797330000000002</v>
      </c>
      <c r="J19" s="5">
        <v>80.391550000000009</v>
      </c>
      <c r="K19" s="5">
        <v>98.974330000000009</v>
      </c>
      <c r="L19" s="5">
        <v>151.64182</v>
      </c>
      <c r="M19" s="5">
        <v>47.387590000000003</v>
      </c>
      <c r="N19" s="5">
        <v>10.965070000000001</v>
      </c>
    </row>
    <row r="20" spans="1:14" x14ac:dyDescent="0.25">
      <c r="A20" s="18">
        <v>46209</v>
      </c>
      <c r="B20" s="5">
        <v>15</v>
      </c>
      <c r="C20" s="5">
        <v>38.954659999999997</v>
      </c>
      <c r="D20" s="5">
        <v>263.84674000000001</v>
      </c>
      <c r="E20" s="5">
        <v>168.23183</v>
      </c>
      <c r="F20" s="5">
        <v>87.657460000000015</v>
      </c>
      <c r="G20" s="5">
        <v>252.57158999999999</v>
      </c>
      <c r="H20" s="5">
        <v>78.909100000000009</v>
      </c>
      <c r="I20" s="5">
        <v>36.604140000000001</v>
      </c>
      <c r="J20" s="5">
        <v>80.004170000000002</v>
      </c>
      <c r="K20" s="5">
        <v>86.729020000000006</v>
      </c>
      <c r="L20" s="5">
        <v>146.73988</v>
      </c>
      <c r="M20" s="5">
        <v>57.258710000000001</v>
      </c>
      <c r="N20" s="5">
        <v>7.3373699999999999</v>
      </c>
    </row>
    <row r="21" spans="1:14" x14ac:dyDescent="0.25">
      <c r="A21" s="18">
        <v>46209</v>
      </c>
      <c r="B21" s="5">
        <v>16</v>
      </c>
      <c r="C21" s="5">
        <v>34.61871</v>
      </c>
      <c r="D21" s="5">
        <v>261.30545000000001</v>
      </c>
      <c r="E21" s="5">
        <v>168.08983000000001</v>
      </c>
      <c r="F21" s="5">
        <v>86.244820000000004</v>
      </c>
      <c r="G21" s="5">
        <v>235.63457</v>
      </c>
      <c r="H21" s="5">
        <v>74.704009999999997</v>
      </c>
      <c r="I21" s="5">
        <v>30.671720000000001</v>
      </c>
      <c r="J21" s="5">
        <v>78.159649999999999</v>
      </c>
      <c r="K21" s="5">
        <v>57.057080000000013</v>
      </c>
      <c r="L21" s="5">
        <v>131.83337</v>
      </c>
      <c r="M21" s="5">
        <v>55.60689</v>
      </c>
      <c r="N21" s="5">
        <v>9.4702599999999997</v>
      </c>
    </row>
    <row r="22" spans="1:14" x14ac:dyDescent="0.25">
      <c r="A22" s="18">
        <v>46209</v>
      </c>
      <c r="B22" s="5">
        <v>17</v>
      </c>
      <c r="C22" s="5">
        <v>24.135529999999999</v>
      </c>
      <c r="D22" s="5">
        <v>150.50147999999999</v>
      </c>
      <c r="E22" s="5">
        <v>69.669150000000002</v>
      </c>
      <c r="F22" s="5">
        <v>58.465769999999999</v>
      </c>
      <c r="G22" s="5">
        <v>177.12624</v>
      </c>
      <c r="H22" s="5">
        <v>62.113610000000001</v>
      </c>
      <c r="I22" s="5">
        <v>11.454650000000001</v>
      </c>
      <c r="J22" s="5">
        <v>63.077050000000007</v>
      </c>
      <c r="K22" s="5">
        <v>41.499169999999999</v>
      </c>
      <c r="L22" s="5">
        <v>82.911280000000005</v>
      </c>
      <c r="M22" s="5">
        <v>9.8548799999999996</v>
      </c>
      <c r="N22" s="5">
        <v>4.3602600000000002</v>
      </c>
    </row>
    <row r="23" spans="1:14" x14ac:dyDescent="0.25">
      <c r="A23" s="18">
        <v>46209</v>
      </c>
      <c r="B23" s="5">
        <v>18</v>
      </c>
      <c r="C23" s="5">
        <v>7.97241</v>
      </c>
      <c r="D23" s="5">
        <v>33.292119999999997</v>
      </c>
      <c r="E23" s="5">
        <v>33.907120000000013</v>
      </c>
      <c r="F23" s="5">
        <v>20.57771</v>
      </c>
      <c r="G23" s="5">
        <v>51.480230000000013</v>
      </c>
      <c r="H23" s="5">
        <v>13.91872</v>
      </c>
      <c r="I23" s="5">
        <v>7.7686400000000004</v>
      </c>
      <c r="J23" s="5">
        <v>23.773599999999998</v>
      </c>
      <c r="K23" s="5">
        <v>11.35004</v>
      </c>
      <c r="L23" s="5">
        <v>19.324960000000001</v>
      </c>
      <c r="M23" s="5">
        <v>3.5546700000000002</v>
      </c>
      <c r="N23" s="5">
        <v>1.07681</v>
      </c>
    </row>
    <row r="24" spans="1:14" x14ac:dyDescent="0.25">
      <c r="A24" s="18">
        <v>46209</v>
      </c>
      <c r="B24" s="5">
        <v>19</v>
      </c>
      <c r="C24" s="5">
        <v>0.32085000000000002</v>
      </c>
      <c r="D24" s="5">
        <v>2.5993300000000001</v>
      </c>
      <c r="E24" s="5">
        <v>0.68400000000000005</v>
      </c>
      <c r="F24" s="5">
        <v>0</v>
      </c>
      <c r="G24" s="5">
        <v>0</v>
      </c>
      <c r="H24" s="5">
        <v>2.7E-4</v>
      </c>
      <c r="I24" s="5">
        <v>0.35519000000000001</v>
      </c>
      <c r="J24" s="5">
        <v>1.19597</v>
      </c>
      <c r="K24" s="5">
        <v>0.11415</v>
      </c>
      <c r="L24" s="5">
        <v>0</v>
      </c>
      <c r="M24" s="5">
        <v>0.17158000000000001</v>
      </c>
      <c r="N24" s="5">
        <v>0</v>
      </c>
    </row>
    <row r="25" spans="1:14" x14ac:dyDescent="0.25">
      <c r="A25" s="18">
        <v>46209</v>
      </c>
      <c r="B25" s="5">
        <v>20</v>
      </c>
      <c r="C25" s="5">
        <v>0</v>
      </c>
      <c r="D25" s="5">
        <v>0</v>
      </c>
      <c r="E25" s="5">
        <v>0</v>
      </c>
      <c r="F25" s="5">
        <v>0</v>
      </c>
      <c r="G25" s="5">
        <v>0</v>
      </c>
      <c r="H25" s="5">
        <v>0</v>
      </c>
      <c r="I25" s="5">
        <v>0</v>
      </c>
      <c r="J25" s="5">
        <v>0</v>
      </c>
      <c r="K25" s="5">
        <v>0</v>
      </c>
      <c r="L25" s="5">
        <v>0</v>
      </c>
      <c r="M25" s="5">
        <v>0</v>
      </c>
      <c r="N25" s="5">
        <v>0</v>
      </c>
    </row>
    <row r="26" spans="1:14" x14ac:dyDescent="0.25">
      <c r="A26" s="18">
        <v>46209</v>
      </c>
      <c r="B26" s="5">
        <v>21</v>
      </c>
      <c r="C26" s="5">
        <v>0</v>
      </c>
      <c r="D26" s="5">
        <v>0</v>
      </c>
      <c r="E26" s="5">
        <v>0</v>
      </c>
      <c r="F26" s="5">
        <v>0</v>
      </c>
      <c r="G26" s="5">
        <v>0</v>
      </c>
      <c r="H26" s="5">
        <v>0</v>
      </c>
      <c r="I26" s="5">
        <v>0</v>
      </c>
      <c r="J26" s="5">
        <v>0</v>
      </c>
      <c r="K26" s="5">
        <v>0</v>
      </c>
      <c r="L26" s="5">
        <v>0</v>
      </c>
      <c r="M26" s="5">
        <v>0</v>
      </c>
      <c r="N26" s="5">
        <v>0</v>
      </c>
    </row>
    <row r="27" spans="1:14" x14ac:dyDescent="0.25">
      <c r="A27" s="18">
        <v>46209</v>
      </c>
      <c r="B27" s="5">
        <v>22</v>
      </c>
      <c r="C27" s="5">
        <v>0</v>
      </c>
      <c r="D27" s="5">
        <v>0</v>
      </c>
      <c r="E27" s="5">
        <v>0</v>
      </c>
      <c r="F27" s="5">
        <v>0</v>
      </c>
      <c r="G27" s="5">
        <v>0</v>
      </c>
      <c r="H27" s="5">
        <v>0</v>
      </c>
      <c r="I27" s="5">
        <v>0</v>
      </c>
      <c r="J27" s="5">
        <v>0</v>
      </c>
      <c r="K27" s="5">
        <v>0</v>
      </c>
      <c r="L27" s="5">
        <v>0</v>
      </c>
      <c r="M27" s="5">
        <v>0</v>
      </c>
      <c r="N27" s="5">
        <v>0</v>
      </c>
    </row>
    <row r="28" spans="1:14" x14ac:dyDescent="0.25">
      <c r="A28" s="18">
        <v>46209</v>
      </c>
      <c r="B28" s="5">
        <v>23</v>
      </c>
      <c r="C28" s="5">
        <v>0</v>
      </c>
      <c r="D28" s="5">
        <v>0</v>
      </c>
      <c r="E28" s="5">
        <v>0</v>
      </c>
      <c r="F28" s="5">
        <v>0</v>
      </c>
      <c r="G28" s="5">
        <v>0</v>
      </c>
      <c r="H28" s="5">
        <v>0</v>
      </c>
      <c r="I28" s="5">
        <v>0</v>
      </c>
      <c r="J28" s="5">
        <v>0</v>
      </c>
      <c r="K28" s="5">
        <v>0</v>
      </c>
      <c r="L28" s="5">
        <v>0</v>
      </c>
      <c r="M28" s="5">
        <v>0</v>
      </c>
      <c r="N28" s="5">
        <v>0</v>
      </c>
    </row>
    <row r="29" spans="1:14" x14ac:dyDescent="0.25">
      <c r="A29" s="18">
        <v>46209</v>
      </c>
      <c r="B29" s="5">
        <v>24</v>
      </c>
      <c r="C29" s="5">
        <v>0</v>
      </c>
      <c r="D29" s="5">
        <v>0</v>
      </c>
      <c r="E29" s="5">
        <v>0</v>
      </c>
      <c r="F29" s="5">
        <v>0</v>
      </c>
      <c r="G29" s="5">
        <v>0</v>
      </c>
      <c r="H29" s="5">
        <v>0</v>
      </c>
      <c r="I29" s="5">
        <v>0</v>
      </c>
      <c r="J29" s="5">
        <v>0</v>
      </c>
      <c r="K29" s="5">
        <v>0</v>
      </c>
      <c r="L29" s="5">
        <v>0</v>
      </c>
      <c r="M29" s="5">
        <v>0</v>
      </c>
      <c r="N29" s="5">
        <v>0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S29"/>
  <sheetViews>
    <sheetView workbookViewId="0">
      <selection activeCell="C10" sqref="C10"/>
    </sheetView>
  </sheetViews>
  <sheetFormatPr defaultRowHeight="15" x14ac:dyDescent="0.25"/>
  <cols>
    <col min="1" max="3" width="16" customWidth="1"/>
  </cols>
  <sheetData>
    <row r="1" spans="1:19" ht="18.75" x14ac:dyDescent="0.3">
      <c r="A1" s="1" t="s">
        <v>90</v>
      </c>
    </row>
    <row r="2" spans="1:19" x14ac:dyDescent="0.25">
      <c r="A2" s="2" t="s">
        <v>91</v>
      </c>
    </row>
    <row r="4" spans="1:19" x14ac:dyDescent="0.25">
      <c r="A4" s="3" t="s">
        <v>119</v>
      </c>
      <c r="B4" s="3" t="s">
        <v>139</v>
      </c>
      <c r="C4" s="3" t="s">
        <v>153</v>
      </c>
      <c r="D4" s="3" t="s">
        <v>140</v>
      </c>
      <c r="E4" s="3" t="s">
        <v>141</v>
      </c>
      <c r="F4" s="3" t="s">
        <v>142</v>
      </c>
      <c r="G4" s="3" t="s">
        <v>143</v>
      </c>
      <c r="H4" s="3" t="s">
        <v>144</v>
      </c>
      <c r="I4" s="3" t="s">
        <v>155</v>
      </c>
      <c r="J4" s="3" t="s">
        <v>145</v>
      </c>
      <c r="K4" s="3" t="s">
        <v>146</v>
      </c>
      <c r="L4" s="3" t="s">
        <v>147</v>
      </c>
      <c r="M4" s="3" t="s">
        <v>148</v>
      </c>
      <c r="N4" s="3" t="s">
        <v>149</v>
      </c>
      <c r="O4" s="3" t="s">
        <v>154</v>
      </c>
      <c r="P4" s="3" t="s">
        <v>150</v>
      </c>
      <c r="Q4" s="3" t="s">
        <v>156</v>
      </c>
      <c r="R4" s="3" t="s">
        <v>151</v>
      </c>
      <c r="S4" s="3" t="s">
        <v>152</v>
      </c>
    </row>
    <row r="5" spans="1:19" x14ac:dyDescent="0.25">
      <c r="A5" s="4"/>
      <c r="B5" s="4" t="s">
        <v>38</v>
      </c>
      <c r="C5" s="4" t="s">
        <v>38</v>
      </c>
      <c r="D5" s="4" t="s">
        <v>38</v>
      </c>
      <c r="E5" s="4" t="s">
        <v>38</v>
      </c>
      <c r="F5" s="4" t="s">
        <v>38</v>
      </c>
      <c r="G5" s="4" t="s">
        <v>38</v>
      </c>
      <c r="H5" s="4" t="s">
        <v>38</v>
      </c>
      <c r="I5" s="4" t="s">
        <v>38</v>
      </c>
      <c r="J5" s="4" t="s">
        <v>38</v>
      </c>
      <c r="K5" s="4" t="s">
        <v>38</v>
      </c>
      <c r="L5" s="4" t="s">
        <v>38</v>
      </c>
    </row>
    <row r="6" spans="1:19" x14ac:dyDescent="0.25">
      <c r="A6" s="5">
        <v>1</v>
      </c>
      <c r="B6" s="5">
        <v>1381.6924192872</v>
      </c>
      <c r="C6" s="5">
        <v>37.933382318100001</v>
      </c>
      <c r="D6" s="5">
        <v>786.47027547940002</v>
      </c>
      <c r="E6" s="5">
        <v>1768.0263535775</v>
      </c>
      <c r="F6" s="5">
        <v>464.48451758599998</v>
      </c>
      <c r="G6" s="5">
        <v>313.80867880059998</v>
      </c>
      <c r="H6" s="5">
        <v>414.5805391252</v>
      </c>
      <c r="I6" s="5">
        <v>36.740026315100003</v>
      </c>
      <c r="J6" s="5">
        <v>217.10985442539999</v>
      </c>
      <c r="K6" s="5">
        <v>0</v>
      </c>
      <c r="L6" s="5">
        <v>614.41867457599994</v>
      </c>
      <c r="M6" s="5">
        <v>934.39567103750005</v>
      </c>
      <c r="N6" s="5">
        <v>346.40687504380003</v>
      </c>
      <c r="O6" s="5">
        <v>261.51251271109999</v>
      </c>
      <c r="P6" s="5">
        <v>213.52239811839999</v>
      </c>
      <c r="Q6" s="5">
        <v>25.601155718800001</v>
      </c>
      <c r="R6" s="5">
        <v>346.33187643090002</v>
      </c>
      <c r="S6" s="5">
        <v>954.73528944899999</v>
      </c>
    </row>
    <row r="7" spans="1:19" x14ac:dyDescent="0.25">
      <c r="A7" s="5">
        <v>2</v>
      </c>
      <c r="B7" s="5">
        <v>1340.9406547389001</v>
      </c>
      <c r="C7" s="5">
        <v>36.8145716167</v>
      </c>
      <c r="D7" s="5">
        <v>763.27404812580005</v>
      </c>
      <c r="E7" s="5">
        <v>1715.880020088</v>
      </c>
      <c r="F7" s="5">
        <v>450.7849680823</v>
      </c>
      <c r="G7" s="5">
        <v>304.55317648099998</v>
      </c>
      <c r="H7" s="5">
        <v>402.35286219739999</v>
      </c>
      <c r="I7" s="5">
        <v>35.656412566500002</v>
      </c>
      <c r="J7" s="5">
        <v>210.7063962135</v>
      </c>
      <c r="K7" s="5">
        <v>0</v>
      </c>
      <c r="L7" s="5">
        <v>596.29695311989997</v>
      </c>
      <c r="M7" s="5">
        <v>906.83651832780004</v>
      </c>
      <c r="N7" s="5">
        <v>336.18991849640003</v>
      </c>
      <c r="O7" s="5">
        <v>253.7994383715</v>
      </c>
      <c r="P7" s="5">
        <v>207.22474867599999</v>
      </c>
      <c r="Q7" s="5">
        <v>24.846072854100001</v>
      </c>
      <c r="R7" s="5">
        <v>336.1171318996</v>
      </c>
      <c r="S7" s="5">
        <v>926.57623814459998</v>
      </c>
    </row>
    <row r="8" spans="1:19" x14ac:dyDescent="0.25">
      <c r="A8" s="5">
        <v>3</v>
      </c>
      <c r="B8" s="5">
        <v>1304.6042086937</v>
      </c>
      <c r="C8" s="5">
        <v>35.816980343300003</v>
      </c>
      <c r="D8" s="5">
        <v>742.59105505709999</v>
      </c>
      <c r="E8" s="5">
        <v>1669.3835688470001</v>
      </c>
      <c r="F8" s="5">
        <v>438.56971932170001</v>
      </c>
      <c r="G8" s="5">
        <v>296.3004771345</v>
      </c>
      <c r="H8" s="5">
        <v>391.45001350180002</v>
      </c>
      <c r="I8" s="5">
        <v>34.690204772900003</v>
      </c>
      <c r="J8" s="5">
        <v>204.9967314566</v>
      </c>
      <c r="K8" s="5">
        <v>0</v>
      </c>
      <c r="L8" s="5">
        <v>580.13866006839999</v>
      </c>
      <c r="M8" s="5">
        <v>882.26330839219997</v>
      </c>
      <c r="N8" s="5">
        <v>327.07993529829997</v>
      </c>
      <c r="O8" s="5">
        <v>246.92205005</v>
      </c>
      <c r="P8" s="5">
        <v>201.6094286595</v>
      </c>
      <c r="Q8" s="5">
        <v>24.172800713000001</v>
      </c>
      <c r="R8" s="5">
        <v>327.00912105290001</v>
      </c>
      <c r="S8" s="5">
        <v>901.4681266371</v>
      </c>
    </row>
    <row r="9" spans="1:19" x14ac:dyDescent="0.25">
      <c r="A9" s="5">
        <v>4</v>
      </c>
      <c r="B9" s="5">
        <v>1287.5414507749999</v>
      </c>
      <c r="C9" s="5">
        <v>35.3485344646</v>
      </c>
      <c r="D9" s="5">
        <v>732.87879802120005</v>
      </c>
      <c r="E9" s="5">
        <v>1647.5499065618001</v>
      </c>
      <c r="F9" s="5">
        <v>432.83371992719998</v>
      </c>
      <c r="G9" s="5">
        <v>292.42519965269997</v>
      </c>
      <c r="H9" s="5">
        <v>386.33028694170002</v>
      </c>
      <c r="I9" s="5">
        <v>34.236495853199997</v>
      </c>
      <c r="J9" s="5">
        <v>202.31560443000001</v>
      </c>
      <c r="K9" s="5">
        <v>0</v>
      </c>
      <c r="L9" s="5">
        <v>572.55109791730001</v>
      </c>
      <c r="M9" s="5">
        <v>870.72429514099997</v>
      </c>
      <c r="N9" s="5">
        <v>322.8020970705</v>
      </c>
      <c r="O9" s="5">
        <v>243.6925869403</v>
      </c>
      <c r="P9" s="5">
        <v>198.97260374940001</v>
      </c>
      <c r="Q9" s="5">
        <v>23.856647626899999</v>
      </c>
      <c r="R9" s="5">
        <v>322.73220899590001</v>
      </c>
      <c r="S9" s="5">
        <v>889.67793593119995</v>
      </c>
    </row>
    <row r="10" spans="1:19" x14ac:dyDescent="0.25">
      <c r="A10" s="5">
        <v>5</v>
      </c>
      <c r="B10" s="5">
        <v>1300.8411039186001</v>
      </c>
      <c r="C10" s="5">
        <v>35.713666979099997</v>
      </c>
      <c r="D10" s="5">
        <v>740.4490659951</v>
      </c>
      <c r="E10" s="5">
        <v>1664.5682652956</v>
      </c>
      <c r="F10" s="5">
        <v>437.30467372859999</v>
      </c>
      <c r="G10" s="5">
        <v>295.44580432800001</v>
      </c>
      <c r="H10" s="5">
        <v>390.32088375870001</v>
      </c>
      <c r="I10" s="5">
        <v>34.590141570299998</v>
      </c>
      <c r="J10" s="5">
        <v>204.40542248040001</v>
      </c>
      <c r="K10" s="5">
        <v>0</v>
      </c>
      <c r="L10" s="5">
        <v>578.46526169410004</v>
      </c>
      <c r="M10" s="5">
        <v>879.71843750599999</v>
      </c>
      <c r="N10" s="5">
        <v>326.13647975970002</v>
      </c>
      <c r="O10" s="5">
        <v>246.20980832999999</v>
      </c>
      <c r="P10" s="5">
        <v>201.02789029050001</v>
      </c>
      <c r="Q10" s="5">
        <v>24.1030747523</v>
      </c>
      <c r="R10" s="5">
        <v>326.06586977659998</v>
      </c>
      <c r="S10" s="5">
        <v>898.86785983640004</v>
      </c>
    </row>
    <row r="11" spans="1:19" x14ac:dyDescent="0.25">
      <c r="A11" s="5">
        <v>6</v>
      </c>
      <c r="B11" s="5">
        <v>1336.7858747042001</v>
      </c>
      <c r="C11" s="5">
        <v>36.700505086900002</v>
      </c>
      <c r="D11" s="5">
        <v>760.90911440180003</v>
      </c>
      <c r="E11" s="5">
        <v>1710.5635252645</v>
      </c>
      <c r="F11" s="5">
        <v>449.38825274009997</v>
      </c>
      <c r="G11" s="5">
        <v>303.6095467591</v>
      </c>
      <c r="H11" s="5">
        <v>401.10620923559998</v>
      </c>
      <c r="I11" s="5">
        <v>35.545934484900002</v>
      </c>
      <c r="J11" s="5">
        <v>210.05354202109999</v>
      </c>
      <c r="K11" s="5">
        <v>0</v>
      </c>
      <c r="L11" s="5">
        <v>594.44938241130001</v>
      </c>
      <c r="M11" s="5">
        <v>904.02676962800001</v>
      </c>
      <c r="N11" s="5">
        <v>335.14826526870002</v>
      </c>
      <c r="O11" s="5">
        <v>253.0130643917</v>
      </c>
      <c r="P11" s="5">
        <v>206.58268204500001</v>
      </c>
      <c r="Q11" s="5">
        <v>24.769089605800001</v>
      </c>
      <c r="R11" s="5">
        <v>335.07570419429999</v>
      </c>
      <c r="S11" s="5">
        <v>923.70532775699996</v>
      </c>
    </row>
    <row r="12" spans="1:19" x14ac:dyDescent="0.25">
      <c r="A12" s="5">
        <v>7</v>
      </c>
      <c r="B12" s="5">
        <v>1378.621958687</v>
      </c>
      <c r="C12" s="5">
        <v>37.849085006899998</v>
      </c>
      <c r="D12" s="5">
        <v>784.72254497129995</v>
      </c>
      <c r="E12" s="5">
        <v>1764.0973638958001</v>
      </c>
      <c r="F12" s="5">
        <v>463.45231867500001</v>
      </c>
      <c r="G12" s="5">
        <v>313.11131868569998</v>
      </c>
      <c r="H12" s="5">
        <v>413.659239136</v>
      </c>
      <c r="I12" s="5">
        <v>36.658380934699998</v>
      </c>
      <c r="J12" s="5">
        <v>216.62738289660001</v>
      </c>
      <c r="K12" s="5">
        <v>0</v>
      </c>
      <c r="L12" s="5">
        <v>613.05328506830006</v>
      </c>
      <c r="M12" s="5">
        <v>932.31921389499996</v>
      </c>
      <c r="N12" s="5">
        <v>345.63707371420003</v>
      </c>
      <c r="O12" s="5">
        <v>260.93136754779999</v>
      </c>
      <c r="P12" s="5">
        <v>213.04789880039999</v>
      </c>
      <c r="Q12" s="5">
        <v>25.544263650200001</v>
      </c>
      <c r="R12" s="5">
        <v>345.56224176670003</v>
      </c>
      <c r="S12" s="5">
        <v>952.61363266859996</v>
      </c>
    </row>
    <row r="13" spans="1:19" x14ac:dyDescent="0.25">
      <c r="A13" s="5">
        <v>8</v>
      </c>
      <c r="B13" s="5">
        <v>1467.8977123609</v>
      </c>
      <c r="C13" s="5">
        <v>40.300087305600002</v>
      </c>
      <c r="D13" s="5">
        <v>835.5390115056</v>
      </c>
      <c r="E13" s="5">
        <v>1878.3354410739</v>
      </c>
      <c r="F13" s="5">
        <v>493.46421191439998</v>
      </c>
      <c r="G13" s="5">
        <v>333.38754363869998</v>
      </c>
      <c r="H13" s="5">
        <v>440.44666995080001</v>
      </c>
      <c r="I13" s="5">
        <v>39.032276523500002</v>
      </c>
      <c r="J13" s="5">
        <v>230.65557441979999</v>
      </c>
      <c r="K13" s="5">
        <v>0</v>
      </c>
      <c r="L13" s="5">
        <v>652.75292406050005</v>
      </c>
      <c r="M13" s="5">
        <v>992.69363340910002</v>
      </c>
      <c r="N13" s="5">
        <v>368.01957680650003</v>
      </c>
      <c r="O13" s="5">
        <v>277.828562858</v>
      </c>
      <c r="P13" s="5">
        <v>226.84429281120001</v>
      </c>
      <c r="Q13" s="5">
        <v>27.198439673599999</v>
      </c>
      <c r="R13" s="5">
        <v>367.93989894859999</v>
      </c>
      <c r="S13" s="5">
        <v>1014.3022627391</v>
      </c>
    </row>
    <row r="14" spans="1:19" x14ac:dyDescent="0.25">
      <c r="A14" s="5">
        <v>9</v>
      </c>
      <c r="B14" s="5">
        <v>1542.4734191929001</v>
      </c>
      <c r="C14" s="5">
        <v>42.347510277200001</v>
      </c>
      <c r="D14" s="5">
        <v>877.98809487430003</v>
      </c>
      <c r="E14" s="5">
        <v>1973.7632028355999</v>
      </c>
      <c r="F14" s="5">
        <v>518.53438001250004</v>
      </c>
      <c r="G14" s="5">
        <v>350.32510782079999</v>
      </c>
      <c r="H14" s="5">
        <v>462.82331204019999</v>
      </c>
      <c r="I14" s="5">
        <v>41.015289090700001</v>
      </c>
      <c r="J14" s="5">
        <v>242.37389944489999</v>
      </c>
      <c r="K14" s="5">
        <v>0</v>
      </c>
      <c r="L14" s="5">
        <v>685.91566441259999</v>
      </c>
      <c r="M14" s="5">
        <v>1043.126867793</v>
      </c>
      <c r="N14" s="5">
        <v>386.71660169950002</v>
      </c>
      <c r="O14" s="5">
        <v>291.94348468039999</v>
      </c>
      <c r="P14" s="5">
        <v>238.36898784600001</v>
      </c>
      <c r="Q14" s="5">
        <v>28.5802409028</v>
      </c>
      <c r="R14" s="5">
        <v>386.63287585339998</v>
      </c>
      <c r="S14" s="5">
        <v>1065.833311223</v>
      </c>
    </row>
    <row r="15" spans="1:19" x14ac:dyDescent="0.25">
      <c r="A15" s="5">
        <v>10</v>
      </c>
      <c r="B15" s="5">
        <v>1590.3584511705001</v>
      </c>
      <c r="C15" s="5">
        <v>43.6621597607</v>
      </c>
      <c r="D15" s="5">
        <v>905.2446345825</v>
      </c>
      <c r="E15" s="5">
        <v>2035.0373310688001</v>
      </c>
      <c r="F15" s="5">
        <v>534.63192507190001</v>
      </c>
      <c r="G15" s="5">
        <v>361.20071110959998</v>
      </c>
      <c r="H15" s="5">
        <v>477.19134511049998</v>
      </c>
      <c r="I15" s="5">
        <v>42.288580678899997</v>
      </c>
      <c r="J15" s="5">
        <v>249.89823132710001</v>
      </c>
      <c r="K15" s="5">
        <v>0</v>
      </c>
      <c r="L15" s="5">
        <v>707.20944692820001</v>
      </c>
      <c r="M15" s="5">
        <v>1075.5100277225999</v>
      </c>
      <c r="N15" s="5">
        <v>398.72195401760001</v>
      </c>
      <c r="O15" s="5">
        <v>301.00667042200001</v>
      </c>
      <c r="P15" s="5">
        <v>245.76898998760001</v>
      </c>
      <c r="Q15" s="5">
        <v>29.467494927800001</v>
      </c>
      <c r="R15" s="5">
        <v>398.63562895989998</v>
      </c>
      <c r="S15" s="5">
        <v>1098.9213771537</v>
      </c>
    </row>
    <row r="16" spans="1:19" x14ac:dyDescent="0.25">
      <c r="A16" s="5">
        <v>11</v>
      </c>
      <c r="B16" s="5">
        <v>1655.4867839251999</v>
      </c>
      <c r="C16" s="5">
        <v>45.450211798600002</v>
      </c>
      <c r="D16" s="5">
        <v>942.31619775249999</v>
      </c>
      <c r="E16" s="5">
        <v>2118.3761458928998</v>
      </c>
      <c r="F16" s="5">
        <v>556.52616274629997</v>
      </c>
      <c r="G16" s="5">
        <v>375.99259660370001</v>
      </c>
      <c r="H16" s="5">
        <v>496.73327711280001</v>
      </c>
      <c r="I16" s="5">
        <v>44.020381929199999</v>
      </c>
      <c r="J16" s="5">
        <v>260.13205952639998</v>
      </c>
      <c r="K16" s="5">
        <v>0</v>
      </c>
      <c r="L16" s="5">
        <v>736.17107639790004</v>
      </c>
      <c r="M16" s="5">
        <v>1119.5542964312999</v>
      </c>
      <c r="N16" s="5">
        <v>415.05040882520001</v>
      </c>
      <c r="O16" s="5">
        <v>313.33349056629999</v>
      </c>
      <c r="P16" s="5">
        <v>255.83371756459999</v>
      </c>
      <c r="Q16" s="5">
        <v>30.6742472884</v>
      </c>
      <c r="R16" s="5">
        <v>414.9605485852</v>
      </c>
      <c r="S16" s="5">
        <v>1143.9243870537</v>
      </c>
    </row>
    <row r="17" spans="1:19" x14ac:dyDescent="0.25">
      <c r="A17" s="5">
        <v>12</v>
      </c>
      <c r="B17" s="5">
        <v>1701.0917523579999</v>
      </c>
      <c r="C17" s="5">
        <v>46.702263759700003</v>
      </c>
      <c r="D17" s="5">
        <v>968.27490722059997</v>
      </c>
      <c r="E17" s="5">
        <v>2176.7326838008998</v>
      </c>
      <c r="F17" s="5">
        <v>571.85721723159998</v>
      </c>
      <c r="G17" s="5">
        <v>386.35035401110002</v>
      </c>
      <c r="H17" s="5">
        <v>510.41717096330001</v>
      </c>
      <c r="I17" s="5">
        <v>45.233045266600001</v>
      </c>
      <c r="J17" s="5">
        <v>267.29811755740002</v>
      </c>
      <c r="K17" s="5">
        <v>0</v>
      </c>
      <c r="L17" s="5">
        <v>756.4509475671</v>
      </c>
      <c r="M17" s="5">
        <v>1150.395520199</v>
      </c>
      <c r="N17" s="5">
        <v>426.4841218432</v>
      </c>
      <c r="O17" s="5">
        <v>321.96512935980002</v>
      </c>
      <c r="P17" s="5">
        <v>262.88136586169998</v>
      </c>
      <c r="Q17" s="5">
        <v>31.519254384100002</v>
      </c>
      <c r="R17" s="5">
        <v>426.39178615399999</v>
      </c>
      <c r="S17" s="5">
        <v>1175.4369524619999</v>
      </c>
    </row>
    <row r="18" spans="1:19" x14ac:dyDescent="0.25">
      <c r="A18" s="5">
        <v>13</v>
      </c>
      <c r="B18" s="5">
        <v>1703.9456297203001</v>
      </c>
      <c r="C18" s="5">
        <v>46.780614932200002</v>
      </c>
      <c r="D18" s="5">
        <v>969.89935683329998</v>
      </c>
      <c r="E18" s="5">
        <v>2180.3845315754002</v>
      </c>
      <c r="F18" s="5">
        <v>572.81660720249999</v>
      </c>
      <c r="G18" s="5">
        <v>386.99852394530001</v>
      </c>
      <c r="H18" s="5">
        <v>511.27348456750002</v>
      </c>
      <c r="I18" s="5">
        <v>45.308931569400002</v>
      </c>
      <c r="J18" s="5">
        <v>267.7465566528</v>
      </c>
      <c r="K18" s="5">
        <v>0</v>
      </c>
      <c r="L18" s="5">
        <v>757.72002563529998</v>
      </c>
      <c r="M18" s="5">
        <v>1152.3255088244</v>
      </c>
      <c r="N18" s="5">
        <v>427.19962315520002</v>
      </c>
      <c r="O18" s="5">
        <v>322.50528187830002</v>
      </c>
      <c r="P18" s="5">
        <v>263.32239508769999</v>
      </c>
      <c r="Q18" s="5">
        <v>31.572133416900002</v>
      </c>
      <c r="R18" s="5">
        <v>427.10713255680002</v>
      </c>
      <c r="S18" s="5">
        <v>1177.4089524466001</v>
      </c>
    </row>
    <row r="19" spans="1:19" x14ac:dyDescent="0.25">
      <c r="A19" s="5">
        <v>14</v>
      </c>
      <c r="B19" s="5">
        <v>1736.7613430343999</v>
      </c>
      <c r="C19" s="5">
        <v>47.681546993300003</v>
      </c>
      <c r="D19" s="5">
        <v>988.57832092829995</v>
      </c>
      <c r="E19" s="5">
        <v>2222.3758207660999</v>
      </c>
      <c r="F19" s="5">
        <v>583.84828875129995</v>
      </c>
      <c r="G19" s="5">
        <v>394.4515977954</v>
      </c>
      <c r="H19" s="5">
        <v>521.1199279059</v>
      </c>
      <c r="I19" s="5">
        <v>46.181520977799998</v>
      </c>
      <c r="J19" s="5">
        <v>272.90299714640003</v>
      </c>
      <c r="K19" s="5">
        <v>0</v>
      </c>
      <c r="L19" s="5">
        <v>772.31269966189996</v>
      </c>
      <c r="M19" s="5">
        <v>1174.5177565597</v>
      </c>
      <c r="N19" s="5">
        <v>435.42691639560002</v>
      </c>
      <c r="O19" s="5">
        <v>328.71630216429998</v>
      </c>
      <c r="P19" s="5">
        <v>268.39363214809998</v>
      </c>
      <c r="Q19" s="5">
        <v>32.180170469700002</v>
      </c>
      <c r="R19" s="5">
        <v>435.33264455199998</v>
      </c>
      <c r="S19" s="5">
        <v>1200.0842737498001</v>
      </c>
    </row>
    <row r="20" spans="1:19" x14ac:dyDescent="0.25">
      <c r="A20" s="5">
        <v>15</v>
      </c>
      <c r="B20" s="5">
        <v>1794.3824873398</v>
      </c>
      <c r="C20" s="5">
        <v>49.263494513600001</v>
      </c>
      <c r="D20" s="5">
        <v>1021.3767329357</v>
      </c>
      <c r="E20" s="5">
        <v>2296.1083680632</v>
      </c>
      <c r="F20" s="5">
        <v>603.21882957629998</v>
      </c>
      <c r="G20" s="5">
        <v>407.53845773109998</v>
      </c>
      <c r="H20" s="5">
        <v>538.40930775460004</v>
      </c>
      <c r="I20" s="5">
        <v>47.713701605399997</v>
      </c>
      <c r="J20" s="5">
        <v>281.95719624119999</v>
      </c>
      <c r="K20" s="5">
        <v>0</v>
      </c>
      <c r="L20" s="5">
        <v>797.93599079199998</v>
      </c>
      <c r="M20" s="5">
        <v>1213.4851468758</v>
      </c>
      <c r="N20" s="5">
        <v>449.87322894440001</v>
      </c>
      <c r="O20" s="5">
        <v>339.62223898650001</v>
      </c>
      <c r="P20" s="5">
        <v>277.29822244820002</v>
      </c>
      <c r="Q20" s="5">
        <v>33.247823347800001</v>
      </c>
      <c r="R20" s="5">
        <v>449.77582941050002</v>
      </c>
      <c r="S20" s="5">
        <v>1239.8998934338999</v>
      </c>
    </row>
    <row r="21" spans="1:19" x14ac:dyDescent="0.25">
      <c r="A21" s="5">
        <v>16</v>
      </c>
      <c r="B21" s="5">
        <v>1811.4100731941001</v>
      </c>
      <c r="C21" s="5">
        <v>49.730974768400003</v>
      </c>
      <c r="D21" s="5">
        <v>1031.0689697538</v>
      </c>
      <c r="E21" s="5">
        <v>2317.8970238508</v>
      </c>
      <c r="F21" s="5">
        <v>608.94300515309999</v>
      </c>
      <c r="G21" s="5">
        <v>411.4057469668</v>
      </c>
      <c r="H21" s="5">
        <v>543.51848084189999</v>
      </c>
      <c r="I21" s="5">
        <v>48.166475278900002</v>
      </c>
      <c r="J21" s="5">
        <v>284.63279656610001</v>
      </c>
      <c r="K21" s="5">
        <v>0</v>
      </c>
      <c r="L21" s="5">
        <v>805.50791243380002</v>
      </c>
      <c r="M21" s="5">
        <v>1225.0003743522</v>
      </c>
      <c r="N21" s="5">
        <v>454.1422491134</v>
      </c>
      <c r="O21" s="5">
        <v>342.84504509009997</v>
      </c>
      <c r="P21" s="5">
        <v>279.9296119782</v>
      </c>
      <c r="Q21" s="5">
        <v>33.5633247365</v>
      </c>
      <c r="R21" s="5">
        <v>454.0439253179</v>
      </c>
      <c r="S21" s="5">
        <v>1251.6657806041001</v>
      </c>
    </row>
    <row r="22" spans="1:19" x14ac:dyDescent="0.25">
      <c r="A22" s="5">
        <v>17</v>
      </c>
      <c r="B22" s="5">
        <v>1787.8203575596999</v>
      </c>
      <c r="C22" s="5">
        <v>49.083335909399999</v>
      </c>
      <c r="D22" s="5">
        <v>1017.6415166575</v>
      </c>
      <c r="E22" s="5">
        <v>2287.7114063191002</v>
      </c>
      <c r="F22" s="5">
        <v>601.01283376799995</v>
      </c>
      <c r="G22" s="5">
        <v>406.04807300610003</v>
      </c>
      <c r="H22" s="5">
        <v>536.44032300510003</v>
      </c>
      <c r="I22" s="5">
        <v>47.539210656900003</v>
      </c>
      <c r="J22" s="5">
        <v>280.9260673</v>
      </c>
      <c r="K22" s="5">
        <v>0</v>
      </c>
      <c r="L22" s="5">
        <v>795.017906401</v>
      </c>
      <c r="M22" s="5">
        <v>1209.0473823099001</v>
      </c>
      <c r="N22" s="5">
        <v>448.22802423820002</v>
      </c>
      <c r="O22" s="5">
        <v>338.38022663740003</v>
      </c>
      <c r="P22" s="5">
        <v>276.28413156379997</v>
      </c>
      <c r="Q22" s="5">
        <v>33.126234704799998</v>
      </c>
      <c r="R22" s="5">
        <v>448.13098089840003</v>
      </c>
      <c r="S22" s="5">
        <v>1235.3655290648001</v>
      </c>
    </row>
    <row r="23" spans="1:19" x14ac:dyDescent="0.25">
      <c r="A23" s="5">
        <v>18</v>
      </c>
      <c r="B23" s="5">
        <v>1743.7101579145001</v>
      </c>
      <c r="C23" s="5">
        <v>47.872321761899997</v>
      </c>
      <c r="D23" s="5">
        <v>992.53364142989994</v>
      </c>
      <c r="E23" s="5">
        <v>2231.2675883277998</v>
      </c>
      <c r="F23" s="5">
        <v>586.18427676299996</v>
      </c>
      <c r="G23" s="5">
        <v>396.02980607550001</v>
      </c>
      <c r="H23" s="5">
        <v>523.20493856320002</v>
      </c>
      <c r="I23" s="5">
        <v>46.366294113999999</v>
      </c>
      <c r="J23" s="5">
        <v>273.99488718359999</v>
      </c>
      <c r="K23" s="5">
        <v>0</v>
      </c>
      <c r="L23" s="5">
        <v>775.40273733519996</v>
      </c>
      <c r="M23" s="5">
        <v>1179.2170242492</v>
      </c>
      <c r="N23" s="5">
        <v>437.16906769809998</v>
      </c>
      <c r="O23" s="5">
        <v>330.0315022872</v>
      </c>
      <c r="P23" s="5">
        <v>269.46748013090001</v>
      </c>
      <c r="Q23" s="5">
        <v>32.308923938500001</v>
      </c>
      <c r="R23" s="5">
        <v>437.07441867109998</v>
      </c>
      <c r="S23" s="5">
        <v>1204.8858335565999</v>
      </c>
    </row>
    <row r="24" spans="1:19" x14ac:dyDescent="0.25">
      <c r="A24" s="5">
        <v>19</v>
      </c>
      <c r="B24" s="5">
        <v>1791.1359224411999</v>
      </c>
      <c r="C24" s="5">
        <v>49.174362384200002</v>
      </c>
      <c r="D24" s="5">
        <v>1019.5287624652</v>
      </c>
      <c r="E24" s="5">
        <v>2291.9540336982</v>
      </c>
      <c r="F24" s="5">
        <v>602.12742955869999</v>
      </c>
      <c r="G24" s="5">
        <v>406.8011009741</v>
      </c>
      <c r="H24" s="5">
        <v>537.43516719540003</v>
      </c>
      <c r="I24" s="5">
        <v>47.6273735065</v>
      </c>
      <c r="J24" s="5">
        <v>281.4470528672</v>
      </c>
      <c r="K24" s="5">
        <v>0</v>
      </c>
      <c r="L24" s="5">
        <v>796.49229024479996</v>
      </c>
      <c r="M24" s="5">
        <v>1211.2895958655999</v>
      </c>
      <c r="N24" s="5">
        <v>449.0592761533</v>
      </c>
      <c r="O24" s="5">
        <v>339.00776261509998</v>
      </c>
      <c r="P24" s="5">
        <v>276.79650852610001</v>
      </c>
      <c r="Q24" s="5">
        <v>33.187668271100002</v>
      </c>
      <c r="R24" s="5">
        <v>448.9620528438</v>
      </c>
      <c r="S24" s="5">
        <v>1237.6565503895999</v>
      </c>
    </row>
    <row r="25" spans="1:19" x14ac:dyDescent="0.25">
      <c r="A25" s="5">
        <v>20</v>
      </c>
      <c r="B25" s="5">
        <v>1848.0838013032001</v>
      </c>
      <c r="C25" s="5">
        <v>50.737825880800003</v>
      </c>
      <c r="D25" s="5">
        <v>1051.9439464463001</v>
      </c>
      <c r="E25" s="5">
        <v>2364.8250643289998</v>
      </c>
      <c r="F25" s="5">
        <v>621.27163826349999</v>
      </c>
      <c r="G25" s="5">
        <v>419.73504949739998</v>
      </c>
      <c r="H25" s="5">
        <v>554.52253193089996</v>
      </c>
      <c r="I25" s="5">
        <v>49.141651604000003</v>
      </c>
      <c r="J25" s="5">
        <v>290.3954595582</v>
      </c>
      <c r="K25" s="5">
        <v>0</v>
      </c>
      <c r="L25" s="5">
        <v>821.81618995049996</v>
      </c>
      <c r="M25" s="5">
        <v>1249.8016776723</v>
      </c>
      <c r="N25" s="5">
        <v>463.33679297359998</v>
      </c>
      <c r="O25" s="5">
        <v>349.78627068740002</v>
      </c>
      <c r="P25" s="5">
        <v>285.5970545033</v>
      </c>
      <c r="Q25" s="5">
        <v>34.242846322399998</v>
      </c>
      <c r="R25" s="5">
        <v>463.23647851890001</v>
      </c>
      <c r="S25" s="5">
        <v>1277.0069505581</v>
      </c>
    </row>
    <row r="26" spans="1:19" x14ac:dyDescent="0.25">
      <c r="A26" s="5">
        <v>21</v>
      </c>
      <c r="B26" s="5">
        <v>1811.8589314717999</v>
      </c>
      <c r="C26" s="5">
        <v>49.743297853100003</v>
      </c>
      <c r="D26" s="5">
        <v>1031.3244634427999</v>
      </c>
      <c r="E26" s="5">
        <v>2318.4713870396999</v>
      </c>
      <c r="F26" s="5">
        <v>609.09389815769998</v>
      </c>
      <c r="G26" s="5">
        <v>411.5076912353</v>
      </c>
      <c r="H26" s="5">
        <v>543.65316197940001</v>
      </c>
      <c r="I26" s="5">
        <v>48.178410688500001</v>
      </c>
      <c r="J26" s="5">
        <v>284.70332713720001</v>
      </c>
      <c r="K26" s="5">
        <v>0</v>
      </c>
      <c r="L26" s="5">
        <v>805.70751323069999</v>
      </c>
      <c r="M26" s="5">
        <v>1225.3039232649</v>
      </c>
      <c r="N26" s="5">
        <v>454.25478327159999</v>
      </c>
      <c r="O26" s="5">
        <v>342.93000036270001</v>
      </c>
      <c r="P26" s="5">
        <v>279.99897712379999</v>
      </c>
      <c r="Q26" s="5">
        <v>33.571641559</v>
      </c>
      <c r="R26" s="5">
        <v>454.156435112</v>
      </c>
      <c r="S26" s="5">
        <v>1251.9759370699001</v>
      </c>
    </row>
    <row r="27" spans="1:19" x14ac:dyDescent="0.25">
      <c r="A27" s="5">
        <v>22</v>
      </c>
      <c r="B27" s="5">
        <v>1739.2264864975</v>
      </c>
      <c r="C27" s="5">
        <v>47.749225753200001</v>
      </c>
      <c r="D27" s="5">
        <v>989.98150012459996</v>
      </c>
      <c r="E27" s="5">
        <v>2225.5302410605</v>
      </c>
      <c r="F27" s="5">
        <v>584.67699777229996</v>
      </c>
      <c r="G27" s="5">
        <v>395.0114788532</v>
      </c>
      <c r="H27" s="5">
        <v>521.85960085459999</v>
      </c>
      <c r="I27" s="5">
        <v>46.247070614199998</v>
      </c>
      <c r="J27" s="5">
        <v>273.29035321129999</v>
      </c>
      <c r="K27" s="5">
        <v>0</v>
      </c>
      <c r="L27" s="5">
        <v>773.40891337640005</v>
      </c>
      <c r="M27" s="5">
        <v>1176.1848565222001</v>
      </c>
      <c r="N27" s="5">
        <v>436.04495745280002</v>
      </c>
      <c r="O27" s="5">
        <v>329.18287913339998</v>
      </c>
      <c r="P27" s="5">
        <v>268.77458766080002</v>
      </c>
      <c r="Q27" s="5">
        <v>32.225846714900001</v>
      </c>
      <c r="R27" s="5">
        <v>435.9505518007</v>
      </c>
      <c r="S27" s="5">
        <v>1201.7876625972999</v>
      </c>
    </row>
    <row r="28" spans="1:19" x14ac:dyDescent="0.25">
      <c r="A28" s="5">
        <v>23</v>
      </c>
      <c r="B28" s="5">
        <v>1643.2556311219</v>
      </c>
      <c r="C28" s="5">
        <v>45.114414200699997</v>
      </c>
      <c r="D28" s="5">
        <v>935.35412864049999</v>
      </c>
      <c r="E28" s="5">
        <v>2102.725050042</v>
      </c>
      <c r="F28" s="5">
        <v>552.41440745980003</v>
      </c>
      <c r="G28" s="5">
        <v>373.21466871770002</v>
      </c>
      <c r="H28" s="5">
        <v>493.06328670639999</v>
      </c>
      <c r="I28" s="5">
        <v>43.695148274099999</v>
      </c>
      <c r="J28" s="5">
        <v>258.21013843349999</v>
      </c>
      <c r="K28" s="5">
        <v>0</v>
      </c>
      <c r="L28" s="5">
        <v>730.73205929899996</v>
      </c>
      <c r="M28" s="5">
        <v>1111.2827476614</v>
      </c>
      <c r="N28" s="5">
        <v>411.98391199740001</v>
      </c>
      <c r="O28" s="5">
        <v>311.01850391789998</v>
      </c>
      <c r="P28" s="5">
        <v>253.94355370330001</v>
      </c>
      <c r="Q28" s="5">
        <v>30.4476182332</v>
      </c>
      <c r="R28" s="5">
        <v>411.89471566740002</v>
      </c>
      <c r="S28" s="5">
        <v>1135.4727859238999</v>
      </c>
    </row>
    <row r="29" spans="1:19" x14ac:dyDescent="0.25">
      <c r="A29" s="5">
        <v>24</v>
      </c>
      <c r="B29" s="5">
        <v>1548.2184553965001</v>
      </c>
      <c r="C29" s="5">
        <v>42.505236158700001</v>
      </c>
      <c r="D29" s="5">
        <v>881.2582150129</v>
      </c>
      <c r="E29" s="5">
        <v>1981.1146041087</v>
      </c>
      <c r="F29" s="5">
        <v>520.46569289540003</v>
      </c>
      <c r="G29" s="5">
        <v>351.62991502360001</v>
      </c>
      <c r="H29" s="5">
        <v>464.54712565699998</v>
      </c>
      <c r="I29" s="5">
        <v>41.168053033200003</v>
      </c>
      <c r="J29" s="5">
        <v>243.2766357966</v>
      </c>
      <c r="K29" s="5">
        <v>0</v>
      </c>
      <c r="L29" s="5">
        <v>688.47039908459999</v>
      </c>
      <c r="M29" s="5">
        <v>1047.0120573500999</v>
      </c>
      <c r="N29" s="5">
        <v>388.15695123789999</v>
      </c>
      <c r="O29" s="5">
        <v>293.03084597169999</v>
      </c>
      <c r="P29" s="5">
        <v>239.25680766049999</v>
      </c>
      <c r="Q29" s="5">
        <v>28.686689750900001</v>
      </c>
      <c r="R29" s="5">
        <v>388.07291354979998</v>
      </c>
      <c r="S29" s="5">
        <v>1069.8030723116999</v>
      </c>
    </row>
  </sheetData>
  <phoneticPr fontId="6" type="noConversion"/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I5"/>
  <sheetViews>
    <sheetView workbookViewId="0">
      <selection activeCell="D10" sqref="D10"/>
    </sheetView>
  </sheetViews>
  <sheetFormatPr defaultRowHeight="15" x14ac:dyDescent="0.25"/>
  <cols>
    <col min="1" max="9" width="16" customWidth="1"/>
  </cols>
  <sheetData>
    <row r="1" spans="1:9" ht="18.75" x14ac:dyDescent="0.3">
      <c r="A1" s="1" t="s">
        <v>73</v>
      </c>
    </row>
    <row r="2" spans="1:9" x14ac:dyDescent="0.25">
      <c r="A2" s="2" t="s">
        <v>74</v>
      </c>
    </row>
    <row r="4" spans="1:9" x14ac:dyDescent="0.25">
      <c r="A4" s="3" t="s">
        <v>46</v>
      </c>
      <c r="B4" s="3" t="s">
        <v>75</v>
      </c>
      <c r="C4" s="3" t="s">
        <v>76</v>
      </c>
      <c r="D4" s="3" t="s">
        <v>77</v>
      </c>
      <c r="E4" s="3" t="s">
        <v>78</v>
      </c>
      <c r="F4" s="3" t="s">
        <v>79</v>
      </c>
      <c r="G4" s="3" t="s">
        <v>80</v>
      </c>
      <c r="H4" s="3" t="s">
        <v>81</v>
      </c>
      <c r="I4" s="3" t="s">
        <v>82</v>
      </c>
    </row>
    <row r="5" spans="1:9" x14ac:dyDescent="0.25">
      <c r="A5" s="4"/>
      <c r="B5" s="4" t="s">
        <v>51</v>
      </c>
      <c r="C5" s="4" t="s">
        <v>83</v>
      </c>
      <c r="D5" s="4" t="s">
        <v>84</v>
      </c>
      <c r="E5" s="4" t="s">
        <v>85</v>
      </c>
      <c r="F5" s="4" t="s">
        <v>85</v>
      </c>
      <c r="G5" s="4" t="s">
        <v>85</v>
      </c>
      <c r="H5" s="4" t="s">
        <v>86</v>
      </c>
      <c r="I5" s="4" t="s">
        <v>67</v>
      </c>
    </row>
  </sheetData>
  <phoneticPr fontId="6" type="noConversion"/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B5"/>
  <sheetViews>
    <sheetView workbookViewId="0">
      <selection activeCell="K37" sqref="K37"/>
    </sheetView>
  </sheetViews>
  <sheetFormatPr defaultRowHeight="15" x14ac:dyDescent="0.25"/>
  <cols>
    <col min="1" max="2" width="16" customWidth="1"/>
  </cols>
  <sheetData>
    <row r="1" spans="1:2" ht="18.75" x14ac:dyDescent="0.3">
      <c r="A1" s="1" t="s">
        <v>87</v>
      </c>
    </row>
    <row r="2" spans="1:2" x14ac:dyDescent="0.25">
      <c r="A2" s="2" t="s">
        <v>88</v>
      </c>
    </row>
    <row r="4" spans="1:2" x14ac:dyDescent="0.25">
      <c r="A4" s="3" t="s">
        <v>89</v>
      </c>
      <c r="B4" s="3" t="s">
        <v>123</v>
      </c>
    </row>
    <row r="5" spans="1:2" x14ac:dyDescent="0.25">
      <c r="A5" s="4"/>
      <c r="B5" s="4"/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134728-CEF0-4EB7-8C2A-A3C2932BF31E}">
  <dimension ref="A1:G23"/>
  <sheetViews>
    <sheetView workbookViewId="0">
      <selection activeCell="J23" sqref="J23"/>
    </sheetView>
  </sheetViews>
  <sheetFormatPr defaultRowHeight="15" x14ac:dyDescent="0.25"/>
  <cols>
    <col min="1" max="1" width="8" customWidth="1"/>
    <col min="2" max="2" width="30" customWidth="1"/>
    <col min="3" max="3" width="9" customWidth="1"/>
    <col min="4" max="4" width="21" bestFit="1" customWidth="1"/>
    <col min="5" max="6" width="15" customWidth="1"/>
    <col min="7" max="7" width="11" customWidth="1"/>
  </cols>
  <sheetData>
    <row r="1" spans="1:7" ht="18.75" x14ac:dyDescent="0.3">
      <c r="A1" s="1" t="s">
        <v>158</v>
      </c>
    </row>
    <row r="2" spans="1:7" x14ac:dyDescent="0.25">
      <c r="A2" s="2" t="s">
        <v>159</v>
      </c>
    </row>
    <row r="4" spans="1:7" x14ac:dyDescent="0.25">
      <c r="A4" s="3" t="s">
        <v>35</v>
      </c>
      <c r="B4" s="3" t="s">
        <v>160</v>
      </c>
      <c r="C4" s="3" t="s">
        <v>36</v>
      </c>
      <c r="D4" s="3" t="s">
        <v>161</v>
      </c>
      <c r="E4" s="3" t="s">
        <v>162</v>
      </c>
      <c r="F4" s="3" t="s">
        <v>163</v>
      </c>
      <c r="G4" s="3" t="s">
        <v>164</v>
      </c>
    </row>
    <row r="6" spans="1:7" x14ac:dyDescent="0.25">
      <c r="A6" s="5" t="s">
        <v>139</v>
      </c>
      <c r="B6" s="6" t="s">
        <v>165</v>
      </c>
      <c r="C6" s="5" t="s">
        <v>138</v>
      </c>
      <c r="D6" s="5">
        <v>1593.6727000000001</v>
      </c>
      <c r="E6" s="5">
        <v>3</v>
      </c>
      <c r="F6" s="5">
        <v>1</v>
      </c>
      <c r="G6" s="5">
        <v>4</v>
      </c>
    </row>
    <row r="7" spans="1:7" x14ac:dyDescent="0.25">
      <c r="A7" s="5" t="s">
        <v>153</v>
      </c>
      <c r="B7" s="6" t="s">
        <v>166</v>
      </c>
      <c r="C7" s="5">
        <v>0</v>
      </c>
      <c r="D7" s="5">
        <v>43.7532</v>
      </c>
      <c r="E7" s="5">
        <v>0</v>
      </c>
      <c r="F7" s="5">
        <v>0</v>
      </c>
      <c r="G7" s="5">
        <v>1</v>
      </c>
    </row>
    <row r="8" spans="1:7" x14ac:dyDescent="0.25">
      <c r="A8" s="5" t="s">
        <v>140</v>
      </c>
      <c r="B8" s="6" t="s">
        <v>167</v>
      </c>
      <c r="C8" s="5">
        <v>0</v>
      </c>
      <c r="D8" s="5">
        <v>907.13109999999995</v>
      </c>
      <c r="E8" s="5">
        <v>1</v>
      </c>
      <c r="F8" s="5">
        <v>3</v>
      </c>
      <c r="G8" s="5">
        <v>3</v>
      </c>
    </row>
    <row r="9" spans="1:7" x14ac:dyDescent="0.25">
      <c r="A9" s="5" t="s">
        <v>141</v>
      </c>
      <c r="B9" s="6" t="s">
        <v>168</v>
      </c>
      <c r="C9" s="5">
        <v>0</v>
      </c>
      <c r="D9" s="5">
        <v>2039.2782999999999</v>
      </c>
      <c r="E9" s="5">
        <v>2</v>
      </c>
      <c r="F9" s="5">
        <v>0</v>
      </c>
      <c r="G9" s="5">
        <v>5</v>
      </c>
    </row>
    <row r="10" spans="1:7" x14ac:dyDescent="0.25">
      <c r="A10" s="5" t="s">
        <v>142</v>
      </c>
      <c r="B10" s="6" t="s">
        <v>169</v>
      </c>
      <c r="C10" s="5">
        <v>0</v>
      </c>
      <c r="D10" s="5">
        <v>535.74609999999996</v>
      </c>
      <c r="E10" s="5">
        <v>3</v>
      </c>
      <c r="F10" s="5">
        <v>0</v>
      </c>
      <c r="G10" s="5">
        <v>3</v>
      </c>
    </row>
    <row r="11" spans="1:7" x14ac:dyDescent="0.25">
      <c r="A11" s="5" t="s">
        <v>143</v>
      </c>
      <c r="B11" s="6" t="s">
        <v>170</v>
      </c>
      <c r="C11" s="5">
        <v>0</v>
      </c>
      <c r="D11" s="5">
        <v>361.95339999999999</v>
      </c>
      <c r="E11" s="5">
        <v>3</v>
      </c>
      <c r="F11" s="5">
        <v>0</v>
      </c>
      <c r="G11" s="5">
        <v>2</v>
      </c>
    </row>
    <row r="12" spans="1:7" x14ac:dyDescent="0.25">
      <c r="A12" s="5" t="s">
        <v>144</v>
      </c>
      <c r="B12" s="6" t="s">
        <v>171</v>
      </c>
      <c r="C12" s="5">
        <v>0</v>
      </c>
      <c r="D12" s="5">
        <v>478.18579999999997</v>
      </c>
      <c r="E12" s="5">
        <v>2</v>
      </c>
      <c r="F12" s="5">
        <v>2</v>
      </c>
      <c r="G12" s="5">
        <v>3</v>
      </c>
    </row>
    <row r="13" spans="1:7" x14ac:dyDescent="0.25">
      <c r="A13" s="5" t="s">
        <v>155</v>
      </c>
      <c r="B13" s="6" t="s">
        <v>172</v>
      </c>
      <c r="C13" s="5">
        <v>0</v>
      </c>
      <c r="D13" s="5">
        <v>42.3767</v>
      </c>
      <c r="E13" s="5">
        <v>0</v>
      </c>
      <c r="F13" s="5">
        <v>0</v>
      </c>
      <c r="G13" s="5">
        <v>3</v>
      </c>
    </row>
    <row r="14" spans="1:7" x14ac:dyDescent="0.25">
      <c r="A14" s="5" t="s">
        <v>145</v>
      </c>
      <c r="B14" s="6" t="s">
        <v>173</v>
      </c>
      <c r="C14" s="5">
        <v>0</v>
      </c>
      <c r="D14" s="5">
        <v>250.41900000000001</v>
      </c>
      <c r="E14" s="5">
        <v>1</v>
      </c>
      <c r="F14" s="5">
        <v>0</v>
      </c>
      <c r="G14" s="5">
        <v>4</v>
      </c>
    </row>
    <row r="15" spans="1:7" x14ac:dyDescent="0.25">
      <c r="A15" s="5" t="s">
        <v>146</v>
      </c>
      <c r="B15" s="6" t="s">
        <v>174</v>
      </c>
      <c r="C15" s="5">
        <v>0</v>
      </c>
      <c r="D15" s="5">
        <v>0</v>
      </c>
      <c r="E15" s="5">
        <v>1</v>
      </c>
      <c r="F15" s="5">
        <v>0</v>
      </c>
      <c r="G15" s="5">
        <v>2</v>
      </c>
    </row>
    <row r="16" spans="1:7" x14ac:dyDescent="0.25">
      <c r="A16" s="5" t="s">
        <v>147</v>
      </c>
      <c r="B16" s="6" t="s">
        <v>175</v>
      </c>
      <c r="C16" s="5">
        <v>0</v>
      </c>
      <c r="D16" s="5">
        <v>708.68330000000003</v>
      </c>
      <c r="E16" s="5">
        <v>2</v>
      </c>
      <c r="F16" s="5">
        <v>1</v>
      </c>
      <c r="G16" s="5">
        <v>4</v>
      </c>
    </row>
    <row r="17" spans="1:7" x14ac:dyDescent="0.25">
      <c r="A17" s="5" t="s">
        <v>148</v>
      </c>
      <c r="B17" s="6" t="s">
        <v>176</v>
      </c>
      <c r="C17" s="5">
        <v>0</v>
      </c>
      <c r="D17" s="5">
        <v>1077.7514000000001</v>
      </c>
      <c r="E17" s="5">
        <v>2</v>
      </c>
      <c r="F17" s="5">
        <v>3</v>
      </c>
      <c r="G17" s="5">
        <v>4</v>
      </c>
    </row>
    <row r="18" spans="1:7" x14ac:dyDescent="0.25">
      <c r="A18" s="5" t="s">
        <v>149</v>
      </c>
      <c r="B18" s="6" t="s">
        <v>177</v>
      </c>
      <c r="C18" s="5">
        <v>0</v>
      </c>
      <c r="D18" s="5">
        <v>399.55290000000002</v>
      </c>
      <c r="E18" s="5">
        <v>1</v>
      </c>
      <c r="F18" s="5">
        <v>1</v>
      </c>
      <c r="G18" s="5">
        <v>3</v>
      </c>
    </row>
    <row r="19" spans="1:7" x14ac:dyDescent="0.25">
      <c r="A19" s="5" t="s">
        <v>154</v>
      </c>
      <c r="B19" s="6" t="s">
        <v>178</v>
      </c>
      <c r="C19" s="5">
        <v>0</v>
      </c>
      <c r="D19" s="5">
        <v>301.63400000000001</v>
      </c>
      <c r="E19" s="5">
        <v>0</v>
      </c>
      <c r="F19" s="5">
        <v>0</v>
      </c>
      <c r="G19" s="5">
        <v>1</v>
      </c>
    </row>
    <row r="20" spans="1:7" x14ac:dyDescent="0.25">
      <c r="A20" s="5" t="s">
        <v>150</v>
      </c>
      <c r="B20" s="6" t="s">
        <v>179</v>
      </c>
      <c r="C20" s="5">
        <v>0</v>
      </c>
      <c r="D20" s="5">
        <v>246.28120000000001</v>
      </c>
      <c r="E20" s="5">
        <v>1</v>
      </c>
      <c r="F20" s="5">
        <v>2</v>
      </c>
      <c r="G20" s="5">
        <v>2</v>
      </c>
    </row>
    <row r="21" spans="1:7" x14ac:dyDescent="0.25">
      <c r="A21" s="5" t="s">
        <v>156</v>
      </c>
      <c r="B21" s="6" t="s">
        <v>180</v>
      </c>
      <c r="C21" s="5">
        <v>0</v>
      </c>
      <c r="D21" s="5">
        <v>29.5289</v>
      </c>
      <c r="E21" s="5">
        <v>0</v>
      </c>
      <c r="F21" s="5">
        <v>0</v>
      </c>
      <c r="G21" s="5">
        <v>2</v>
      </c>
    </row>
    <row r="22" spans="1:7" x14ac:dyDescent="0.25">
      <c r="A22" s="5" t="s">
        <v>151</v>
      </c>
      <c r="B22" s="6" t="s">
        <v>181</v>
      </c>
      <c r="C22" s="5">
        <v>0</v>
      </c>
      <c r="D22" s="5">
        <v>399.46640000000002</v>
      </c>
      <c r="E22" s="5">
        <v>2</v>
      </c>
      <c r="F22" s="5">
        <v>0</v>
      </c>
      <c r="G22" s="5">
        <v>4</v>
      </c>
    </row>
    <row r="23" spans="1:7" x14ac:dyDescent="0.25">
      <c r="A23" s="5" t="s">
        <v>152</v>
      </c>
      <c r="B23" s="6" t="s">
        <v>182</v>
      </c>
      <c r="C23" s="5">
        <v>0</v>
      </c>
      <c r="D23" s="5">
        <v>1101.2114999999999</v>
      </c>
      <c r="E23" s="5">
        <v>2</v>
      </c>
      <c r="F23" s="5">
        <v>0</v>
      </c>
      <c r="G23" s="5">
        <v>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INSTRUCCIONES</vt:lpstr>
      <vt:lpstr>Config</vt:lpstr>
      <vt:lpstr>Nodos</vt:lpstr>
      <vt:lpstr>Lineas</vt:lpstr>
      <vt:lpstr>Lineas_Cand</vt:lpstr>
      <vt:lpstr>Generadores</vt:lpstr>
      <vt:lpstr>Hidraulicos</vt:lpstr>
      <vt:lpstr>Aportes</vt:lpstr>
      <vt:lpstr>Renovables</vt:lpstr>
      <vt:lpstr>Renov_Perfil</vt:lpstr>
      <vt:lpstr>Demanda</vt:lpstr>
      <vt:lpstr>BESS_Cand</vt:lpstr>
      <vt:lpstr>FACTS_Cand</vt:lpstr>
      <vt:lpstr>Nodos_Correspondencia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Daniel Lindo</cp:lastModifiedBy>
  <dcterms:created xsi:type="dcterms:W3CDTF">2026-07-06T00:10:18Z</dcterms:created>
  <dcterms:modified xsi:type="dcterms:W3CDTF">2026-08-23T02:14:29Z</dcterms:modified>
</cp:coreProperties>
</file>