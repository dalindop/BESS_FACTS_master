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My Drive\2. Universidad Nacional de Colombia\2. Postgraduate\1_SEMESTER\TESIS DE MAESTRIA\2nd Search\04_TESIS_DANIEL\03_CODIGO_TRABAJO_DANIEL\BESS_FACTS_master\01_Data\03_Test_Cases\IEEE118\"/>
    </mc:Choice>
  </mc:AlternateContent>
  <xr:revisionPtr revIDLastSave="0" documentId="13_ncr:1_{371CDAFB-C0F9-4C35-AE19-64F4BAAD0BF3}" xr6:coauthVersionLast="47" xr6:coauthVersionMax="47" xr10:uidLastSave="{00000000-0000-0000-0000-000000000000}"/>
  <bookViews>
    <workbookView xWindow="-120" yWindow="-120" windowWidth="29040" windowHeight="15720" activeTab="3" xr2:uid="{00000000-000D-0000-FFFF-FFFF00000000}"/>
  </bookViews>
  <sheets>
    <sheet name="INSTRUCCIONES" sheetId="1" r:id="rId1"/>
    <sheet name="Config" sheetId="2" r:id="rId2"/>
    <sheet name="Nodos" sheetId="3" r:id="rId3"/>
    <sheet name="Lineas" sheetId="4" r:id="rId4"/>
    <sheet name="Lineas_Cand" sheetId="5" state="hidden" r:id="rId5"/>
    <sheet name="Generadores" sheetId="6" r:id="rId6"/>
    <sheet name="Hidraulicos" sheetId="7" r:id="rId7"/>
    <sheet name="Renovables" sheetId="8" r:id="rId8"/>
    <sheet name="BESS_Cand" sheetId="9" r:id="rId9"/>
    <sheet name="FACTS_Cand" sheetId="10" r:id="rId10"/>
    <sheet name="Demanda"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1" i="6" l="1"/>
  <c r="E12" i="6"/>
  <c r="E13" i="6"/>
  <c r="E14" i="6"/>
  <c r="E15" i="6"/>
  <c r="E16" i="6"/>
  <c r="E17" i="6"/>
  <c r="E18" i="6"/>
  <c r="E19" i="6"/>
  <c r="E20" i="6"/>
  <c r="E21" i="6"/>
  <c r="E22" i="6"/>
  <c r="E23" i="6"/>
  <c r="E24" i="6"/>
  <c r="E25" i="6"/>
  <c r="E26" i="6"/>
  <c r="E27" i="6"/>
  <c r="E28" i="6"/>
  <c r="E29" i="6"/>
  <c r="E30" i="6"/>
  <c r="E31" i="6"/>
  <c r="E32" i="6"/>
  <c r="E33" i="6"/>
  <c r="E34" i="6"/>
  <c r="E35" i="6"/>
  <c r="E36" i="6"/>
  <c r="E37" i="6"/>
  <c r="E38" i="6"/>
  <c r="E39" i="6"/>
  <c r="E40" i="6"/>
  <c r="E41" i="6"/>
  <c r="E42" i="6"/>
  <c r="E43" i="6"/>
  <c r="E44" i="6"/>
  <c r="E45" i="6"/>
  <c r="E46" i="6"/>
  <c r="E47" i="6"/>
  <c r="E48" i="6"/>
  <c r="E49" i="6"/>
  <c r="E50" i="6"/>
  <c r="E51" i="6"/>
  <c r="E52" i="6"/>
  <c r="E53" i="6"/>
  <c r="E54" i="6"/>
  <c r="E55" i="6"/>
  <c r="E56" i="6"/>
  <c r="E57" i="6"/>
  <c r="E58" i="6"/>
  <c r="E59" i="6"/>
  <c r="E7" i="6"/>
  <c r="E8" i="6"/>
  <c r="E9" i="6"/>
  <c r="E10" i="6"/>
  <c r="E6" i="6"/>
  <c r="M7" i="6"/>
  <c r="M6"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tc={B6DC2CC3-29EA-4A10-A8D6-BBDEE50FBF22}</author>
  </authors>
  <commentList>
    <comment ref="E4" authorId="0" shapeId="0" xr:uid="{B6DC2CC3-29EA-4A10-A8D6-BBDEE50FBF22}">
      <text>
        <t>[Threaded comment]
Your version of Excel allows you to read this threaded comment; however, any edits to it will get removed if the file is opened in a newer version of Excel. Learn more: https://go.microsoft.com/fwlink/?linkid=870924
Comment:
    Se realiza suposiciones para la rampa ya que no lo trae el modelo IEEE comparativo de MATPOWER. 
1. Se puede fijar en Pmax para un despacho inmediato (solo para validacion de datos)
2. Si se requiere tiempo de despacho se puede poner 30%-50% de Pmax por hora</t>
      </text>
    </comment>
  </commentList>
</comments>
</file>

<file path=xl/sharedStrings.xml><?xml version="1.0" encoding="utf-8"?>
<sst xmlns="http://schemas.openxmlformats.org/spreadsheetml/2006/main" count="871" uniqueCount="475">
  <si>
    <t>Plantilla de datos - Modelo TEP con BESS y FACTS</t>
  </si>
  <si>
    <t>Esta plantilla define un CASO de estudio. Un archivo = un caso.</t>
  </si>
  <si>
    <t>Cada hoja corresponde a un tipo de dato. Llene solo las que aplican;</t>
  </si>
  <si>
    <t>las hojas vacias se interpretan como 'ese componente no existe'.</t>
  </si>
  <si>
    <t>HOJAS:</t>
  </si>
  <si>
    <t xml:space="preserve">  Config          -&gt; parametros globales (S_base, horizonte, etc.)</t>
  </si>
  <si>
    <t xml:space="preserve">  Nodos           -&gt; buses del sistema (id, tipo, demanda base)</t>
  </si>
  <si>
    <t xml:space="preserve">  Lineas          -&gt; lineas existentes (R, X, capacidad)</t>
  </si>
  <si>
    <t xml:space="preserve">  Lineas_Cand     -&gt; lineas candidatas a construir (con costo)</t>
  </si>
  <si>
    <t xml:space="preserve">  Generadores     -&gt; unidades termicas (limites, costos, rampas)</t>
  </si>
  <si>
    <t xml:space="preserve">  Hidraulicos     -&gt; unidades hidraulicas y embalses (opcional)</t>
  </si>
  <si>
    <t xml:space="preserve">  Renovables      -&gt; solar/eolica (opcional)</t>
  </si>
  <si>
    <t xml:space="preserve">  BESS_Cand       -&gt; nodos candidatos a instalar BESS</t>
  </si>
  <si>
    <t xml:space="preserve">  FACTS_Cand      -&gt; lineas candidatas a instalar TCSC</t>
  </si>
  <si>
    <t xml:space="preserve">  Demanda         -&gt; perfil horario {hora x nodo} (como XM/Alvaro)</t>
  </si>
  <si>
    <t>CONVENCION DE COLOR:</t>
  </si>
  <si>
    <t>NODO SLACK: en la hoja Nodos, marque tipo=slack en un unico nodo.</t>
  </si>
  <si>
    <t>Config - Parametros globales del caso</t>
  </si>
  <si>
    <t>Parametros generales que aplican a todo el sistema.</t>
  </si>
  <si>
    <t>parametro</t>
  </si>
  <si>
    <t>valor</t>
  </si>
  <si>
    <t>descripcion</t>
  </si>
  <si>
    <t>S_base</t>
  </si>
  <si>
    <t>Potencia base del sistema (MVA)</t>
  </si>
  <si>
    <t>horizonte</t>
  </si>
  <si>
    <t>Numero de horas a simular</t>
  </si>
  <si>
    <t>n_seg_costo</t>
  </si>
  <si>
    <t>Segmentos linealizacion costo termico</t>
  </si>
  <si>
    <t>n_seg_perdidas</t>
  </si>
  <si>
    <t>Segmentos linealizacion perdidas</t>
  </si>
  <si>
    <t>mip_gap</t>
  </si>
  <si>
    <t>Tolerancia de optimalidad del solver</t>
  </si>
  <si>
    <t>time_limit</t>
  </si>
  <si>
    <t>Limite de tiempo del solver (s)</t>
  </si>
  <si>
    <t>Nodos - Buses del sistema</t>
  </si>
  <si>
    <t>tipo: 'slack' (referencia, UNO solo), 'pv' (con gen), 'pq' (carga).</t>
  </si>
  <si>
    <t>id</t>
  </si>
  <si>
    <t>tipo</t>
  </si>
  <si>
    <t>demanda_base</t>
  </si>
  <si>
    <t>slack/pv/pq</t>
  </si>
  <si>
    <t>MW</t>
  </si>
  <si>
    <t>b4</t>
  </si>
  <si>
    <t>b5</t>
  </si>
  <si>
    <t>b6</t>
  </si>
  <si>
    <t>Lineas - Lineas de transmision existentes</t>
  </si>
  <si>
    <t>R y X en por unidad. La susceptancia se calcula como 1/X.</t>
  </si>
  <si>
    <t>desde</t>
  </si>
  <si>
    <t>hasta</t>
  </si>
  <si>
    <t>R</t>
  </si>
  <si>
    <t>X</t>
  </si>
  <si>
    <t>capacidad</t>
  </si>
  <si>
    <t>nodo</t>
  </si>
  <si>
    <t>p.u.</t>
  </si>
  <si>
    <t>Lineas_Cand - Lineas candidatas a construir (TEP)</t>
  </si>
  <si>
    <t>Vacia si no hay candidatas. 'costo' = costo de construccion.</t>
  </si>
  <si>
    <t>costo</t>
  </si>
  <si>
    <t>USD</t>
  </si>
  <si>
    <t>Generadores - Unidades termicas</t>
  </si>
  <si>
    <t>Costo cuadratico c2*P^2+c1*P+c0. min_on/off y cost_su/sd para UC.</t>
  </si>
  <si>
    <t>Pmin</t>
  </si>
  <si>
    <t>Pmax</t>
  </si>
  <si>
    <t>rampa</t>
  </si>
  <si>
    <t>c2</t>
  </si>
  <si>
    <t>c1</t>
  </si>
  <si>
    <t>c0</t>
  </si>
  <si>
    <t>min_on</t>
  </si>
  <si>
    <t>min_off</t>
  </si>
  <si>
    <t>cost_su</t>
  </si>
  <si>
    <t>cost_sd</t>
  </si>
  <si>
    <t>MW/h</t>
  </si>
  <si>
    <t>$/MW2</t>
  </si>
  <si>
    <t>$/MW</t>
  </si>
  <si>
    <t>$</t>
  </si>
  <si>
    <t>h</t>
  </si>
  <si>
    <t>Hidraulicos - Unidades hidraulicas y embalses (opcional)</t>
  </si>
  <si>
    <t>Vacia si el sistema no tiene hidraulica. Embalse: vol_min/max/ini.</t>
  </si>
  <si>
    <t>vol_min</t>
  </si>
  <si>
    <t>vol_max</t>
  </si>
  <si>
    <t>vol_ini</t>
  </si>
  <si>
    <t>$/MWh</t>
  </si>
  <si>
    <t>hm3</t>
  </si>
  <si>
    <t>Renovables - Generacion solar y eolica (opcional)</t>
  </si>
  <si>
    <t>La disponibilidad horaria va en la hoja Demanda o un perfil aparte.</t>
  </si>
  <si>
    <t>solar/eolica</t>
  </si>
  <si>
    <t>BESS_Cand - Nodos candidatos a instalar BESS</t>
  </si>
  <si>
    <t>Vacia si no se consideran BESS. duracion = relacion energia/potencia.</t>
  </si>
  <si>
    <t>costo_inst</t>
  </si>
  <si>
    <t>costo_pot</t>
  </si>
  <si>
    <t>costo_ene</t>
  </si>
  <si>
    <t>eff_ch</t>
  </si>
  <si>
    <t>eff_dis</t>
  </si>
  <si>
    <t>self_dis</t>
  </si>
  <si>
    <t>soc_ini</t>
  </si>
  <si>
    <t>duracion</t>
  </si>
  <si>
    <t>USD/MW</t>
  </si>
  <si>
    <t>USD/MWh</t>
  </si>
  <si>
    <t>0-1</t>
  </si>
  <si>
    <t>frac</t>
  </si>
  <si>
    <t>FACTS_Cand - Lineas candidatas a instalar TCSC</t>
  </si>
  <si>
    <t>Vacia si no se consideran FACTS. 'linea' debe existir en Lineas.</t>
  </si>
  <si>
    <t>linea</t>
  </si>
  <si>
    <t>dB_min</t>
  </si>
  <si>
    <t>dB_max</t>
  </si>
  <si>
    <t>Demanda - Perfil horario de demanda por nodo</t>
  </si>
  <si>
    <t>Estructura {hora x nodo}, igual a la hoja 'load' de XM/Alvaro. Solo columnas de nodos con carga. Filas = horas del horizonte.</t>
  </si>
  <si>
    <t xml:space="preserve">  Texto azul = dato de entrada (lo edita el usuario).</t>
  </si>
  <si>
    <t>UNIDADES: indicadas en la fila bajo cada encabezado. (No borrarlas ni modificarlas)</t>
  </si>
  <si>
    <t>vida_bess</t>
  </si>
  <si>
    <t>vida_facts</t>
  </si>
  <si>
    <t>años</t>
  </si>
  <si>
    <t>años NREL</t>
  </si>
  <si>
    <t>b1</t>
  </si>
  <si>
    <t>b2</t>
  </si>
  <si>
    <t>b3</t>
  </si>
  <si>
    <t>l1</t>
  </si>
  <si>
    <t>l2</t>
  </si>
  <si>
    <t>l3</t>
  </si>
  <si>
    <t>l4</t>
  </si>
  <si>
    <t>l5</t>
  </si>
  <si>
    <t>l6</t>
  </si>
  <si>
    <t>l7</t>
  </si>
  <si>
    <t>l8</t>
  </si>
  <si>
    <t>l9</t>
  </si>
  <si>
    <t>l10</t>
  </si>
  <si>
    <t>l11</t>
  </si>
  <si>
    <t>G1</t>
  </si>
  <si>
    <t>G2</t>
  </si>
  <si>
    <t>G3</t>
  </si>
  <si>
    <t>incluir_perdidas</t>
  </si>
  <si>
    <t xml:space="preserve">0 (sin pérdidas - validación DC); 1(con pérdidas) </t>
  </si>
  <si>
    <t>b7</t>
  </si>
  <si>
    <t>b8</t>
  </si>
  <si>
    <t>b9</t>
  </si>
  <si>
    <t>b10</t>
  </si>
  <si>
    <t>b11</t>
  </si>
  <si>
    <t>b12</t>
  </si>
  <si>
    <t>b13</t>
  </si>
  <si>
    <t>b14</t>
  </si>
  <si>
    <t>l12</t>
  </si>
  <si>
    <t>l13</t>
  </si>
  <si>
    <t>l14</t>
  </si>
  <si>
    <t>l15</t>
  </si>
  <si>
    <t>l16</t>
  </si>
  <si>
    <t>l17</t>
  </si>
  <si>
    <t>l18</t>
  </si>
  <si>
    <t>l19</t>
  </si>
  <si>
    <t>l20</t>
  </si>
  <si>
    <t>G4</t>
  </si>
  <si>
    <t>G5</t>
  </si>
  <si>
    <t>hora</t>
  </si>
  <si>
    <t>u_init</t>
  </si>
  <si>
    <t>tasa_descuento</t>
  </si>
  <si>
    <t>CREG</t>
  </si>
  <si>
    <t>b15</t>
  </si>
  <si>
    <t>b16</t>
  </si>
  <si>
    <t>b17</t>
  </si>
  <si>
    <t>b18</t>
  </si>
  <si>
    <t>b19</t>
  </si>
  <si>
    <t>b20</t>
  </si>
  <si>
    <t>b21</t>
  </si>
  <si>
    <t>b22</t>
  </si>
  <si>
    <t>b23</t>
  </si>
  <si>
    <t>b24</t>
  </si>
  <si>
    <t>b25</t>
  </si>
  <si>
    <t>b26</t>
  </si>
  <si>
    <t>b27</t>
  </si>
  <si>
    <t>b28</t>
  </si>
  <si>
    <t>b29</t>
  </si>
  <si>
    <t>b30</t>
  </si>
  <si>
    <t>b31</t>
  </si>
  <si>
    <t>b32</t>
  </si>
  <si>
    <t>b33</t>
  </si>
  <si>
    <t>b34</t>
  </si>
  <si>
    <t>b35</t>
  </si>
  <si>
    <t>b36</t>
  </si>
  <si>
    <t>b37</t>
  </si>
  <si>
    <t>b38</t>
  </si>
  <si>
    <t>b39</t>
  </si>
  <si>
    <t>b40</t>
  </si>
  <si>
    <t>b41</t>
  </si>
  <si>
    <t>b42</t>
  </si>
  <si>
    <t>b43</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</si>
  <si>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</si>
  <si>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</si>
  <si>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</si>
  <si>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</si>
  <si>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</si>
  <si>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</si>
  <si>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</si>
  <si>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</si>
  <si>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</si>
  <si>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</si>
  <si>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</si>
  <si>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</si>
  <si>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</si>
  <si>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</si>
  <si>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</si>
  <si>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</si>
  <si>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</si>
  <si>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</si>
  <si>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</si>
  <si>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</si>
  <si>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</si>
  <si>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</si>
  <si>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</si>
  <si>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</si>
  <si>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b68</t>
  </si>
  <si>
    <t>b69</t>
  </si>
  <si>
    <t>b70</t>
  </si>
  <si>
    <t>b71</t>
  </si>
  <si>
    <t>b72</t>
  </si>
  <si>
    <t>b73</t>
  </si>
  <si>
    <t>b74</t>
  </si>
  <si>
    <t>b75</t>
  </si>
  <si>
    <t>b76</t>
  </si>
  <si>
    <t>b77</t>
  </si>
  <si>
    <t>b78</t>
  </si>
  <si>
    <t>b79</t>
  </si>
  <si>
    <t>b80</t>
  </si>
  <si>
    <t>b81</t>
  </si>
  <si>
    <t>b82</t>
  </si>
  <si>
    <t>b83</t>
  </si>
  <si>
    <t>b84</t>
  </si>
  <si>
    <t>b85</t>
  </si>
  <si>
    <t>b86</t>
  </si>
  <si>
    <t>b87</t>
  </si>
  <si>
    <t>b88</t>
  </si>
  <si>
    <t>b89</t>
  </si>
  <si>
    <t>b90</t>
  </si>
  <si>
    <t>b91</t>
  </si>
  <si>
    <t>b92</t>
  </si>
  <si>
    <t>b93</t>
  </si>
  <si>
    <t>b94</t>
  </si>
  <si>
    <t>b95</t>
  </si>
  <si>
    <t>b96</t>
  </si>
  <si>
    <t>b97</t>
  </si>
  <si>
    <t>b98</t>
  </si>
  <si>
    <t>b99</t>
  </si>
  <si>
    <t>b100</t>
  </si>
  <si>
    <t>b101</t>
  </si>
  <si>
    <t>b102</t>
  </si>
  <si>
    <t>b103</t>
  </si>
  <si>
    <t>b104</t>
  </si>
  <si>
    <t>b105</t>
  </si>
  <si>
    <t>b106</t>
  </si>
  <si>
    <t>b107</t>
  </si>
  <si>
    <t>b108</t>
  </si>
  <si>
    <t>b109</t>
  </si>
  <si>
    <t>b110</t>
  </si>
  <si>
    <t>b111</t>
  </si>
  <si>
    <t>b112</t>
  </si>
  <si>
    <t>b113</t>
  </si>
  <si>
    <t>b114</t>
  </si>
  <si>
    <t>b115</t>
  </si>
  <si>
    <t>b116</t>
  </si>
  <si>
    <t>b117</t>
  </si>
  <si>
    <t>b118</t>
  </si>
  <si>
    <t>PV (generador)</t>
  </si>
  <si>
    <t>PQ (carga)</t>
  </si>
  <si>
    <t>Slack (referencia)</t>
  </si>
  <si>
    <t>l21</t>
  </si>
  <si>
    <t>l22</t>
  </si>
  <si>
    <t>l23</t>
  </si>
  <si>
    <t>l24</t>
  </si>
  <si>
    <t>l25</t>
  </si>
  <si>
    <t>l26</t>
  </si>
  <si>
    <t>l27</t>
  </si>
  <si>
    <t>l28</t>
  </si>
  <si>
    <t>l29</t>
  </si>
  <si>
    <t>l30</t>
  </si>
  <si>
    <t>l31</t>
  </si>
  <si>
    <t>l32</t>
  </si>
  <si>
    <t>l33</t>
  </si>
  <si>
    <t>l34</t>
  </si>
  <si>
    <t>l35</t>
  </si>
  <si>
    <t>l36</t>
  </si>
  <si>
    <t>l37</t>
  </si>
  <si>
    <t>l38</t>
  </si>
  <si>
    <t>l39</t>
  </si>
  <si>
    <t>l40</t>
  </si>
  <si>
    <t>l41</t>
  </si>
  <si>
    <t>l42</t>
  </si>
  <si>
    <t>l43</t>
  </si>
  <si>
    <t>l44</t>
  </si>
  <si>
    <t>l45</t>
  </si>
  <si>
    <t>l46</t>
  </si>
  <si>
    <t>l47</t>
  </si>
  <si>
    <t>l48</t>
  </si>
  <si>
    <t>l49</t>
  </si>
  <si>
    <t>l50</t>
  </si>
  <si>
    <t>l51</t>
  </si>
  <si>
    <t>l52</t>
  </si>
  <si>
    <t>l53</t>
  </si>
  <si>
    <t>l54</t>
  </si>
  <si>
    <t>l55</t>
  </si>
  <si>
    <t>l56</t>
  </si>
  <si>
    <t>l57</t>
  </si>
  <si>
    <t>l58</t>
  </si>
  <si>
    <t>l59</t>
  </si>
  <si>
    <t>l60</t>
  </si>
  <si>
    <t>l61</t>
  </si>
  <si>
    <t>l62</t>
  </si>
  <si>
    <t>l63</t>
  </si>
  <si>
    <t>l64</t>
  </si>
  <si>
    <t>l65</t>
  </si>
  <si>
    <t>l66</t>
  </si>
  <si>
    <t>l67</t>
  </si>
  <si>
    <t>l68</t>
  </si>
  <si>
    <t>l69</t>
  </si>
  <si>
    <t>l70</t>
  </si>
  <si>
    <t>l71</t>
  </si>
  <si>
    <t>l72</t>
  </si>
  <si>
    <t>l73</t>
  </si>
  <si>
    <t>l74</t>
  </si>
  <si>
    <t>l75</t>
  </si>
  <si>
    <t>l76</t>
  </si>
  <si>
    <t>l77</t>
  </si>
  <si>
    <t>l78</t>
  </si>
  <si>
    <t>l79</t>
  </si>
  <si>
    <t>l80</t>
  </si>
  <si>
    <t>l81</t>
  </si>
  <si>
    <t>l82</t>
  </si>
  <si>
    <t>l83</t>
  </si>
  <si>
    <t>l84</t>
  </si>
  <si>
    <t>l85</t>
  </si>
  <si>
    <t>l86</t>
  </si>
  <si>
    <t>l87</t>
  </si>
  <si>
    <t>l88</t>
  </si>
  <si>
    <t>l89</t>
  </si>
  <si>
    <t>l90</t>
  </si>
  <si>
    <t>l91</t>
  </si>
  <si>
    <t>l92</t>
  </si>
  <si>
    <t>l93</t>
  </si>
  <si>
    <t>l94</t>
  </si>
  <si>
    <t>l95</t>
  </si>
  <si>
    <t>l96</t>
  </si>
  <si>
    <t>l97</t>
  </si>
  <si>
    <t>l98</t>
  </si>
  <si>
    <t>l99</t>
  </si>
  <si>
    <t>l100</t>
  </si>
  <si>
    <t>l101</t>
  </si>
  <si>
    <t>l102</t>
  </si>
  <si>
    <t>l103</t>
  </si>
  <si>
    <t>l104</t>
  </si>
  <si>
    <t>l105</t>
  </si>
  <si>
    <t>l106</t>
  </si>
  <si>
    <t>l107</t>
  </si>
  <si>
    <t>l108</t>
  </si>
  <si>
    <t>l109</t>
  </si>
  <si>
    <t>l110</t>
  </si>
  <si>
    <t>l111</t>
  </si>
  <si>
    <t>l112</t>
  </si>
  <si>
    <t>l113</t>
  </si>
  <si>
    <t>l114</t>
  </si>
  <si>
    <t>l115</t>
  </si>
  <si>
    <t>l116</t>
  </si>
  <si>
    <t>l117</t>
  </si>
  <si>
    <t>l118</t>
  </si>
  <si>
    <t>l119</t>
  </si>
  <si>
    <t>l120</t>
  </si>
  <si>
    <t>l121</t>
  </si>
  <si>
    <t>l122</t>
  </si>
  <si>
    <t>l123</t>
  </si>
  <si>
    <t>l124</t>
  </si>
  <si>
    <t>l125</t>
  </si>
  <si>
    <t>l126</t>
  </si>
  <si>
    <t>l127</t>
  </si>
  <si>
    <t>l128</t>
  </si>
  <si>
    <t>l129</t>
  </si>
  <si>
    <t>l130</t>
  </si>
  <si>
    <t>l131</t>
  </si>
  <si>
    <t>l132</t>
  </si>
  <si>
    <t>l133</t>
  </si>
  <si>
    <t>l134</t>
  </si>
  <si>
    <t>l135</t>
  </si>
  <si>
    <t>l136</t>
  </si>
  <si>
    <t>l137</t>
  </si>
  <si>
    <t>l138</t>
  </si>
  <si>
    <t>l139</t>
  </si>
  <si>
    <t>l140</t>
  </si>
  <si>
    <t>l141</t>
  </si>
  <si>
    <t>l142</t>
  </si>
  <si>
    <t>l143</t>
  </si>
  <si>
    <t>l144</t>
  </si>
  <si>
    <t>l145</t>
  </si>
  <si>
    <t>l146</t>
  </si>
  <si>
    <t>l147</t>
  </si>
  <si>
    <t>l148</t>
  </si>
  <si>
    <t>l149</t>
  </si>
  <si>
    <t>l150</t>
  </si>
  <si>
    <t>l151</t>
  </si>
  <si>
    <t>l152</t>
  </si>
  <si>
    <t>l153</t>
  </si>
  <si>
    <t>l154</t>
  </si>
  <si>
    <t>l155</t>
  </si>
  <si>
    <t>l156</t>
  </si>
  <si>
    <t>l157</t>
  </si>
  <si>
    <t>l158</t>
  </si>
  <si>
    <t>l159</t>
  </si>
  <si>
    <t>l160</t>
  </si>
  <si>
    <t>l161</t>
  </si>
  <si>
    <t>l162</t>
  </si>
  <si>
    <t>l163</t>
  </si>
  <si>
    <t>l164</t>
  </si>
  <si>
    <t>l165</t>
  </si>
  <si>
    <t>l166</t>
  </si>
  <si>
    <t>l167</t>
  </si>
  <si>
    <t>l168</t>
  </si>
  <si>
    <t>l169</t>
  </si>
  <si>
    <t>l170</t>
  </si>
  <si>
    <t>l171</t>
  </si>
  <si>
    <t>l172</t>
  </si>
  <si>
    <t>l173</t>
  </si>
  <si>
    <t>l174</t>
  </si>
  <si>
    <t>l175</t>
  </si>
  <si>
    <t>l176</t>
  </si>
  <si>
    <t>l177</t>
  </si>
  <si>
    <t>l178</t>
  </si>
  <si>
    <t>l179</t>
  </si>
  <si>
    <t>l180</t>
  </si>
  <si>
    <t>l181</t>
  </si>
  <si>
    <t>l182</t>
  </si>
  <si>
    <t>l183</t>
  </si>
  <si>
    <t>l184</t>
  </si>
  <si>
    <t>l185</t>
  </si>
  <si>
    <t>l186</t>
  </si>
  <si>
    <t>G6</t>
  </si>
  <si>
    <t>G7</t>
  </si>
  <si>
    <t>G8</t>
  </si>
  <si>
    <t>G9</t>
  </si>
  <si>
    <t>G10</t>
  </si>
  <si>
    <t>G11</t>
  </si>
  <si>
    <t>G12</t>
  </si>
  <si>
    <t>G13</t>
  </si>
  <si>
    <t>G14</t>
  </si>
  <si>
    <t>G15</t>
  </si>
  <si>
    <t>G16</t>
  </si>
  <si>
    <t>G17</t>
  </si>
  <si>
    <t>G18</t>
  </si>
  <si>
    <t>G19</t>
  </si>
  <si>
    <t>G20</t>
  </si>
  <si>
    <t>G21</t>
  </si>
  <si>
    <t>G22</t>
  </si>
  <si>
    <t>G23</t>
  </si>
  <si>
    <t>G24</t>
  </si>
  <si>
    <t>G25</t>
  </si>
  <si>
    <t>G26</t>
  </si>
  <si>
    <t>G27</t>
  </si>
  <si>
    <t>G28</t>
  </si>
  <si>
    <t>G29</t>
  </si>
  <si>
    <t>G30</t>
  </si>
  <si>
    <t>G31</t>
  </si>
  <si>
    <t>G32</t>
  </si>
  <si>
    <t>G33</t>
  </si>
  <si>
    <t>G34</t>
  </si>
  <si>
    <t>G35</t>
  </si>
  <si>
    <t>G36</t>
  </si>
  <si>
    <t>G37</t>
  </si>
  <si>
    <t>G38</t>
  </si>
  <si>
    <t>G39</t>
  </si>
  <si>
    <t>G40</t>
  </si>
  <si>
    <t>G41</t>
  </si>
  <si>
    <t>G42</t>
  </si>
  <si>
    <t>G43</t>
  </si>
  <si>
    <t>G44</t>
  </si>
  <si>
    <t>G45</t>
  </si>
  <si>
    <t>G46</t>
  </si>
  <si>
    <t>G47</t>
  </si>
  <si>
    <t>G48</t>
  </si>
  <si>
    <t>G49</t>
  </si>
  <si>
    <t>G50</t>
  </si>
  <si>
    <t>G51</t>
  </si>
  <si>
    <t>G52</t>
  </si>
  <si>
    <t>G53</t>
  </si>
  <si>
    <t>G54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</si>
</sst>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00"/>
  </numFmts>
  <fonts count="9" x14ac:knownFonts="1">
    <font>
      <sz val="11"/>
      <color theme="1"/>
      <name val="Calibri"/>
      <family val="2"/>
      <scheme val="minor"/>
    </font>
    <font>
      <b/>
      <sz val="14"/>
      <color rgb="FF1F4E78"/>
      <name val="Calibri"/>
      <family val="2"/>
    </font>
    <font>
      <i/>
      <sz val="10"/>
      <color rgb="FF808080"/>
      <name val="Calibri"/>
      <family val="2"/>
    </font>
    <font>
      <b/>
      <sz val="11"/>
      <color rgb="FFFFFFFF"/>
      <name val="Calibri"/>
      <family val="2"/>
    </font>
    <font>
      <i/>
      <sz val="9"/>
      <color rgb="FF808080"/>
      <name val="Calibri"/>
      <family val="2"/>
    </font>
    <font>
      <sz val="11"/>
      <color rgb="FF0000FF"/>
      <name val="Calibri"/>
      <family val="2"/>
    </font>
    <font>
      <sz val="11"/>
      <color rgb="FF9C5700"/>
      <name val="Calibri"/>
      <family val="2"/>
      <scheme val="minor"/>
    </font>
    <font>
      <sz val="8"/>
      <name val="Calibri"/>
      <family val="2"/>
      <scheme val="minor"/>
    </font>
    <font>
      <sz val="11"/>
      <color rgb="FF0000FF"/>
      <name val="Calibri"/>
      <family val="2"/>
      <scheme val="minor"/>
    </font>
  </fonts>
  <fills count="4">
    <fill>
      <patternFill patternType="none"/>
    </fill>
    <fill>
      <patternFill patternType="gray125"/>
    </fill>
    <fill>
      <patternFill patternType="solid">
        <fgColor rgb="FF1F4E78"/>
      </patternFill>
    </fill>
    <fill>
      <patternFill patternType="solid">
        <fgColor rgb="FFFFEB9C"/>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2">
    <xf numFmtId="0" fontId="0" fillId="0" borderId="0"/>
    <xf numFmtId="0" fontId="6" fillId="3" borderId="0" applyNumberFormat="0" applyBorder="0" applyAlignment="0" applyProtection="0"/>
  </cellStyleXfs>
  <cellXfs count="16">
    <xf numFmtId="0" fontId="0" fillId="0" borderId="0" xfId="0"/>
    <xf numFmtId="0" fontId="1" fillId="0" borderId="0" xfId="0" applyFont="1"/>
    <xf numFmtId="0" fontId="2" fillId="0" borderId="0" xfId="0" applyFont="1"/>
    <xf numFmtId="0" fontId="3" fillId="2" borderId="1" xfId="0" applyFont="1" applyFill="1" applyBorder="1" applyAlignment="1">
      <alignment horizontal="center" vertical="center"/>
    </xf>
    <xf numFmtId="0" fontId="4" fillId="0" borderId="0" xfId="0" applyFont="1"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left" vertical="center"/>
    </xf>
    <xf numFmtId="0" fontId="5" fillId="0" borderId="0" xfId="0" applyFont="1" applyAlignment="1">
      <alignment horizontal="center"/>
    </xf>
    <xf numFmtId="0" fontId="5" fillId="0" borderId="0" xfId="0" applyFont="1" applyAlignment="1">
      <alignment horizontal="left"/>
    </xf>
    <xf numFmtId="0" fontId="6" fillId="3" borderId="1" xfId="1" applyBorder="1" applyAlignment="1">
      <alignment horizontal="center" vertical="center"/>
    </xf>
    <xf numFmtId="0" fontId="5" fillId="0" borderId="0" xfId="0" applyFont="1" applyAlignment="1">
      <alignment horizontal="left" vertical="center"/>
    </xf>
    <xf numFmtId="0" fontId="5" fillId="0" borderId="0" xfId="0" applyFont="1" applyAlignment="1">
      <alignment horizontal="center" vertical="center"/>
    </xf>
    <xf numFmtId="164" fontId="5" fillId="0" borderId="1" xfId="0" applyNumberFormat="1" applyFont="1" applyBorder="1" applyAlignment="1">
      <alignment horizontal="center" vertical="center"/>
    </xf>
    <xf numFmtId="2" fontId="5" fillId="0" borderId="1" xfId="0" applyNumberFormat="1" applyFont="1" applyBorder="1" applyAlignment="1">
      <alignment horizontal="center" vertical="center"/>
    </xf>
    <xf numFmtId="2" fontId="6" fillId="3" borderId="1" xfId="1" applyNumberFormat="1" applyBorder="1" applyAlignment="1">
      <alignment horizontal="center" vertical="center"/>
    </xf>
    <xf numFmtId="0" fontId="8" fillId="0" borderId="0" xfId="0" applyFont="1" applyAlignment="1">
      <alignment horizontal="center" vertical="center"/>
    </xf>
  </cellXfs>
  <cellStyles count="2">
    <cellStyle name="Neutral" xfId="1" builtinId="28"/>
    <cellStyle name="Normal" xfId="0" builtinId="0"/>
  </cellStyles>
  <dxfs count="0"/>
  <tableStyles count="0" defaultTableStyle="TableStyleMedium9"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Daniel Lindo" id="{18CA4A9A-668D-4DAC-B2F8-E20634DBE893}" userId="S::dalindop@unal.edu.co::bac517a2-50e1-4afb-8365-3aec15672be1"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4" dT="2026-08-01T22:40:11.33" personId="{18CA4A9A-668D-4DAC-B2F8-E20634DBE893}" id="{B6DC2CC3-29EA-4A10-A8D6-BBDEE50FBF22}">
    <text>Se realiza suposiciones para la rampa ya que no lo trae el modelo IEEE comparativo de MATPOWER. 
1. Se puede fijar en Pmax para un despacho inmediato (solo para validacion de datos)
2. Si se requiere tiempo de despacho se puede poner 30%-50% de Pmax por hora</text>
  </threadedComment>
</ThreadedComment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25"/>
  <sheetViews>
    <sheetView workbookViewId="0">
      <selection activeCell="A15" sqref="A15"/>
    </sheetView>
  </sheetViews>
  <sheetFormatPr defaultRowHeight="15" x14ac:dyDescent="0.25"/>
  <cols>
    <col min="1" max="1" width="70" customWidth="1"/>
  </cols>
  <sheetData>
    <row r="1" spans="1:1" ht="18.75" x14ac:dyDescent="0.3">
      <c r="A1" s="1" t="s">
        <v>0</v>
      </c>
    </row>
    <row r="3" spans="1:1" x14ac:dyDescent="0.25">
      <c r="A3" s="2"/>
    </row>
    <row r="4" spans="1:1" x14ac:dyDescent="0.25">
      <c r="A4" s="2" t="s">
        <v>1</v>
      </c>
    </row>
    <row r="5" spans="1:1" x14ac:dyDescent="0.25">
      <c r="A5" s="2" t="s">
        <v>2</v>
      </c>
    </row>
    <row r="6" spans="1:1" x14ac:dyDescent="0.25">
      <c r="A6" s="2" t="s">
        <v>3</v>
      </c>
    </row>
    <row r="7" spans="1:1" x14ac:dyDescent="0.25">
      <c r="A7" s="2"/>
    </row>
    <row r="8" spans="1:1" x14ac:dyDescent="0.25">
      <c r="A8" s="2" t="s">
        <v>4</v>
      </c>
    </row>
    <row r="9" spans="1:1" x14ac:dyDescent="0.25">
      <c r="A9" s="2" t="s">
        <v>5</v>
      </c>
    </row>
    <row r="10" spans="1:1" x14ac:dyDescent="0.25">
      <c r="A10" s="2" t="s">
        <v>6</v>
      </c>
    </row>
    <row r="11" spans="1:1" x14ac:dyDescent="0.25">
      <c r="A11" s="2" t="s">
        <v>7</v>
      </c>
    </row>
    <row r="12" spans="1:1" x14ac:dyDescent="0.25">
      <c r="A12" s="2" t="s">
        <v>8</v>
      </c>
    </row>
    <row r="13" spans="1:1" x14ac:dyDescent="0.25">
      <c r="A13" s="2" t="s">
        <v>9</v>
      </c>
    </row>
    <row r="14" spans="1:1" x14ac:dyDescent="0.25">
      <c r="A14" s="2" t="s">
        <v>10</v>
      </c>
    </row>
    <row r="15" spans="1:1" x14ac:dyDescent="0.25">
      <c r="A15" s="2" t="s">
        <v>11</v>
      </c>
    </row>
    <row r="16" spans="1:1" x14ac:dyDescent="0.25">
      <c r="A16" s="2" t="s">
        <v>12</v>
      </c>
    </row>
    <row r="17" spans="1:1" x14ac:dyDescent="0.25">
      <c r="A17" s="2" t="s">
        <v>13</v>
      </c>
    </row>
    <row r="18" spans="1:1" x14ac:dyDescent="0.25">
      <c r="A18" s="2" t="s">
        <v>14</v>
      </c>
    </row>
    <row r="19" spans="1:1" x14ac:dyDescent="0.25">
      <c r="A19" s="2"/>
    </row>
    <row r="20" spans="1:1" x14ac:dyDescent="0.25">
      <c r="A20" s="2" t="s">
        <v>15</v>
      </c>
    </row>
    <row r="21" spans="1:1" x14ac:dyDescent="0.25">
      <c r="A21" s="2" t="s">
        <v>105</v>
      </c>
    </row>
    <row r="22" spans="1:1" x14ac:dyDescent="0.25">
      <c r="A22" s="2"/>
    </row>
    <row r="23" spans="1:1" x14ac:dyDescent="0.25">
      <c r="A23" s="2" t="s">
        <v>16</v>
      </c>
    </row>
    <row r="24" spans="1:1" x14ac:dyDescent="0.25">
      <c r="A24" s="2" t="s">
        <v>106</v>
      </c>
    </row>
    <row r="25" spans="1:1" x14ac:dyDescent="0.25">
      <c r="A25" s="2"/>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5"/>
  <sheetViews>
    <sheetView workbookViewId="0">
      <selection activeCell="B14" sqref="B14"/>
    </sheetView>
  </sheetViews>
  <sheetFormatPr defaultRowHeight="15" x14ac:dyDescent="0.25"/>
  <cols>
    <col min="1" max="1" width="44.42578125" bestFit="1" customWidth="1"/>
    <col min="2" max="2" width="9.42578125" customWidth="1"/>
    <col min="3" max="3" width="35.7109375" bestFit="1" customWidth="1"/>
  </cols>
  <sheetData>
    <row r="1" spans="1:3" ht="18.75" x14ac:dyDescent="0.3">
      <c r="A1" s="1" t="s">
        <v>17</v>
      </c>
    </row>
    <row r="2" spans="1:3" x14ac:dyDescent="0.25">
      <c r="A2" s="2" t="s">
        <v>18</v>
      </c>
    </row>
    <row r="4" spans="1:3" x14ac:dyDescent="0.25">
      <c r="A4" s="3" t="s">
        <v>19</v>
      </c>
      <c r="B4" s="3" t="s">
        <v>20</v>
      </c>
      <c r="C4" s="3" t="s">
        <v>21</v>
      </c>
    </row>
    <row r="5" spans="1:3" x14ac:dyDescent="0.25">
      <c r="A5" s="4"/>
      <c r="B5" s="4"/>
      <c r="C5" s="4"/>
    </row>
    <row r="6" spans="1:3" x14ac:dyDescent="0.25">
      <c r="A6" s="6" t="s">
        <v>22</v>
      </c>
      <c r="B6" s="5">
        <v>100</v>
      </c>
      <c r="C6" s="6" t="s">
        <v>23</v>
      </c>
    </row>
    <row r="7" spans="1:3" x14ac:dyDescent="0.25">
      <c r="A7" s="6" t="s">
        <v>24</v>
      </c>
      <c r="B7" s="5">
        <v>24</v>
      </c>
      <c r="C7" s="6" t="s">
        <v>25</v>
      </c>
    </row>
    <row r="8" spans="1:3" x14ac:dyDescent="0.25">
      <c r="A8" s="6" t="s">
        <v>26</v>
      </c>
      <c r="B8" s="5">
        <v>3</v>
      </c>
      <c r="C8" s="6" t="s">
        <v>27</v>
      </c>
    </row>
    <row r="9" spans="1:3" x14ac:dyDescent="0.25">
      <c r="A9" s="6" t="s">
        <v>28</v>
      </c>
      <c r="B9" s="5">
        <v>4</v>
      </c>
      <c r="C9" s="6" t="s">
        <v>29</v>
      </c>
    </row>
    <row r="10" spans="1:3" x14ac:dyDescent="0.25">
      <c r="A10" s="6" t="s">
        <v>30</v>
      </c>
      <c r="B10" s="5">
        <v>1E-4</v>
      </c>
      <c r="C10" s="6" t="s">
        <v>31</v>
      </c>
    </row>
    <row r="11" spans="1:3" x14ac:dyDescent="0.25">
      <c r="A11" s="6" t="s">
        <v>32</v>
      </c>
      <c r="B11" s="5">
        <v>1800</v>
      </c>
      <c r="C11" s="6" t="s">
        <v>33</v>
      </c>
    </row>
    <row r="12" spans="1:3" x14ac:dyDescent="0.25">
      <c r="A12" s="8" t="s">
        <v>107</v>
      </c>
      <c r="B12" s="7">
        <v>15</v>
      </c>
      <c r="C12" s="8" t="s">
        <v>110</v>
      </c>
    </row>
    <row r="13" spans="1:3" x14ac:dyDescent="0.25">
      <c r="A13" s="8" t="s">
        <v>108</v>
      </c>
      <c r="B13" s="7">
        <v>20</v>
      </c>
      <c r="C13" s="8" t="s">
        <v>109</v>
      </c>
    </row>
    <row r="14" spans="1:3" x14ac:dyDescent="0.25">
      <c r="A14" s="10" t="s">
        <v>128</v>
      </c>
      <c r="B14" s="11">
        <v>1</v>
      </c>
      <c r="C14" s="10" t="s">
        <v>129</v>
      </c>
    </row>
    <row r="15" spans="1:3" x14ac:dyDescent="0.25">
      <c r="A15" s="10" t="s">
        <v>151</v>
      </c>
      <c r="B15" s="11">
        <v>0.115</v>
      </c>
      <c r="C15" s="10" t="s">
        <v>152</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23"/>
  <sheetViews>
    <sheetView topLeftCell="A87" workbookViewId="0">
      <selection activeCell="A6" sqref="A6:A123"/>
    </sheetView>
  </sheetViews>
  <sheetFormatPr defaultRowHeight="15" x14ac:dyDescent="0.25"/>
  <cols>
    <col min="1" max="3" width="16" customWidth="1"/>
  </cols>
  <sheetData>
    <row r="1" spans="1:3" ht="18.75" x14ac:dyDescent="0.3">
      <c r="A1" s="1" t="s">
        <v>34</v>
      </c>
    </row>
    <row r="2" spans="1:3" x14ac:dyDescent="0.25">
      <c r="A2" s="2" t="s">
        <v>35</v>
      </c>
    </row>
    <row r="4" spans="1:3" x14ac:dyDescent="0.25">
      <c r="A4" s="3" t="s">
        <v>36</v>
      </c>
      <c r="B4" s="3" t="s">
        <v>37</v>
      </c>
      <c r="C4" s="3" t="s">
        <v>38</v>
      </c>
    </row>
    <row r="5" spans="1:3" x14ac:dyDescent="0.25">
      <c r="A5" s="4"/>
      <c r="B5" s="4" t="s">
        <v>39</v>
      </c>
      <c r="C5" s="4" t="s">
        <v>40</v>
      </c>
    </row>
    <row r="6" spans="1:3" x14ac:dyDescent="0.25">
      <c r="A6" s="5" t="s">
        <v>111</v>
      </c>
      <c r="B6" s="5" t="s">
        <v>257</v>
      </c>
      <c r="C6" s="5">
        <v>51</v>
      </c>
    </row>
    <row r="7" spans="1:3" x14ac:dyDescent="0.25">
      <c r="A7" s="5" t="s">
        <v>112</v>
      </c>
      <c r="B7" s="5" t="s">
        <v>258</v>
      </c>
      <c r="C7" s="5">
        <v>20</v>
      </c>
    </row>
    <row r="8" spans="1:3" x14ac:dyDescent="0.25">
      <c r="A8" s="5" t="s">
        <v>113</v>
      </c>
      <c r="B8" s="5" t="s">
        <v>258</v>
      </c>
      <c r="C8" s="5">
        <v>39</v>
      </c>
    </row>
    <row r="9" spans="1:3" x14ac:dyDescent="0.25">
      <c r="A9" s="5" t="s">
        <v>41</v>
      </c>
      <c r="B9" s="5" t="s">
        <v>257</v>
      </c>
      <c r="C9" s="5">
        <v>39</v>
      </c>
    </row>
    <row r="10" spans="1:3" x14ac:dyDescent="0.25">
      <c r="A10" s="5" t="s">
        <v>42</v>
      </c>
      <c r="B10" s="5" t="s">
        <v>258</v>
      </c>
      <c r="C10" s="5">
        <v>0</v>
      </c>
    </row>
    <row r="11" spans="1:3" x14ac:dyDescent="0.25">
      <c r="A11" s="5" t="s">
        <v>43</v>
      </c>
      <c r="B11" s="5" t="s">
        <v>257</v>
      </c>
      <c r="C11" s="5">
        <v>52</v>
      </c>
    </row>
    <row r="12" spans="1:3" x14ac:dyDescent="0.25">
      <c r="A12" s="5" t="s">
        <v>130</v>
      </c>
      <c r="B12" s="5" t="s">
        <v>258</v>
      </c>
      <c r="C12" s="5">
        <v>19</v>
      </c>
    </row>
    <row r="13" spans="1:3" x14ac:dyDescent="0.25">
      <c r="A13" s="5" t="s">
        <v>131</v>
      </c>
      <c r="B13" s="5" t="s">
        <v>257</v>
      </c>
      <c r="C13" s="5">
        <v>28</v>
      </c>
    </row>
    <row r="14" spans="1:3" x14ac:dyDescent="0.25">
      <c r="A14" s="5" t="s">
        <v>132</v>
      </c>
      <c r="B14" s="5" t="s">
        <v>258</v>
      </c>
      <c r="C14" s="5">
        <v>0</v>
      </c>
    </row>
    <row r="15" spans="1:3" x14ac:dyDescent="0.25">
      <c r="A15" s="5" t="s">
        <v>133</v>
      </c>
      <c r="B15" s="5" t="s">
        <v>257</v>
      </c>
      <c r="C15" s="5">
        <v>0</v>
      </c>
    </row>
    <row r="16" spans="1:3" x14ac:dyDescent="0.25">
      <c r="A16" s="5" t="s">
        <v>134</v>
      </c>
      <c r="B16" s="5" t="s">
        <v>258</v>
      </c>
      <c r="C16" s="5">
        <v>70</v>
      </c>
    </row>
    <row r="17" spans="1:3" x14ac:dyDescent="0.25">
      <c r="A17" s="5" t="s">
        <v>135</v>
      </c>
      <c r="B17" s="5" t="s">
        <v>257</v>
      </c>
      <c r="C17" s="5">
        <v>47</v>
      </c>
    </row>
    <row r="18" spans="1:3" x14ac:dyDescent="0.25">
      <c r="A18" s="5" t="s">
        <v>136</v>
      </c>
      <c r="B18" s="5" t="s">
        <v>258</v>
      </c>
      <c r="C18" s="5">
        <v>34</v>
      </c>
    </row>
    <row r="19" spans="1:3" x14ac:dyDescent="0.25">
      <c r="A19" s="5" t="s">
        <v>137</v>
      </c>
      <c r="B19" s="5" t="s">
        <v>258</v>
      </c>
      <c r="C19" s="5">
        <v>14</v>
      </c>
    </row>
    <row r="20" spans="1:3" x14ac:dyDescent="0.25">
      <c r="A20" s="5" t="s">
        <v>153</v>
      </c>
      <c r="B20" s="5" t="s">
        <v>257</v>
      </c>
      <c r="C20" s="5">
        <v>90</v>
      </c>
    </row>
    <row r="21" spans="1:3" x14ac:dyDescent="0.25">
      <c r="A21" s="5" t="s">
        <v>154</v>
      </c>
      <c r="B21" s="5" t="s">
        <v>258</v>
      </c>
      <c r="C21" s="5">
        <v>25</v>
      </c>
    </row>
    <row r="22" spans="1:3" x14ac:dyDescent="0.25">
      <c r="A22" s="5" t="s">
        <v>155</v>
      </c>
      <c r="B22" s="5" t="s">
        <v>258</v>
      </c>
      <c r="C22" s="5">
        <v>11</v>
      </c>
    </row>
    <row r="23" spans="1:3" x14ac:dyDescent="0.25">
      <c r="A23" s="5" t="s">
        <v>156</v>
      </c>
      <c r="B23" s="5" t="s">
        <v>257</v>
      </c>
      <c r="C23" s="5">
        <v>60</v>
      </c>
    </row>
    <row r="24" spans="1:3" x14ac:dyDescent="0.25">
      <c r="A24" s="5" t="s">
        <v>157</v>
      </c>
      <c r="B24" s="5" t="s">
        <v>257</v>
      </c>
      <c r="C24" s="5">
        <v>45</v>
      </c>
    </row>
    <row r="25" spans="1:3" x14ac:dyDescent="0.25">
      <c r="A25" s="5" t="s">
        <v>158</v>
      </c>
      <c r="B25" s="5" t="s">
        <v>258</v>
      </c>
      <c r="C25" s="5">
        <v>18</v>
      </c>
    </row>
    <row r="26" spans="1:3" x14ac:dyDescent="0.25">
      <c r="A26" s="5" t="s">
        <v>159</v>
      </c>
      <c r="B26" s="5" t="s">
        <v>258</v>
      </c>
      <c r="C26" s="5">
        <v>14</v>
      </c>
    </row>
    <row r="27" spans="1:3" x14ac:dyDescent="0.25">
      <c r="A27" s="5" t="s">
        <v>160</v>
      </c>
      <c r="B27" s="5" t="s">
        <v>258</v>
      </c>
      <c r="C27" s="5">
        <v>10</v>
      </c>
    </row>
    <row r="28" spans="1:3" x14ac:dyDescent="0.25">
      <c r="A28" s="5" t="s">
        <v>161</v>
      </c>
      <c r="B28" s="5" t="s">
        <v>258</v>
      </c>
      <c r="C28" s="5">
        <v>7</v>
      </c>
    </row>
    <row r="29" spans="1:3" x14ac:dyDescent="0.25">
      <c r="A29" s="5" t="s">
        <v>162</v>
      </c>
      <c r="B29" s="5" t="s">
        <v>257</v>
      </c>
      <c r="C29" s="5">
        <v>13</v>
      </c>
    </row>
    <row r="30" spans="1:3" x14ac:dyDescent="0.25">
      <c r="A30" s="5" t="s">
        <v>163</v>
      </c>
      <c r="B30" s="5" t="s">
        <v>257</v>
      </c>
      <c r="C30" s="5">
        <v>0</v>
      </c>
    </row>
    <row r="31" spans="1:3" x14ac:dyDescent="0.25">
      <c r="A31" s="5" t="s">
        <v>164</v>
      </c>
      <c r="B31" s="5" t="s">
        <v>257</v>
      </c>
      <c r="C31" s="5">
        <v>0</v>
      </c>
    </row>
    <row r="32" spans="1:3" x14ac:dyDescent="0.25">
      <c r="A32" s="5" t="s">
        <v>165</v>
      </c>
      <c r="B32" s="5" t="s">
        <v>257</v>
      </c>
      <c r="C32" s="5">
        <v>71</v>
      </c>
    </row>
    <row r="33" spans="1:3" x14ac:dyDescent="0.25">
      <c r="A33" s="5" t="s">
        <v>166</v>
      </c>
      <c r="B33" s="5" t="s">
        <v>258</v>
      </c>
      <c r="C33" s="5">
        <v>17</v>
      </c>
    </row>
    <row r="34" spans="1:3" x14ac:dyDescent="0.25">
      <c r="A34" s="5" t="s">
        <v>167</v>
      </c>
      <c r="B34" s="5" t="s">
        <v>258</v>
      </c>
      <c r="C34" s="5">
        <v>24</v>
      </c>
    </row>
    <row r="35" spans="1:3" x14ac:dyDescent="0.25">
      <c r="A35" s="5" t="s">
        <v>168</v>
      </c>
      <c r="B35" s="5" t="s">
        <v>258</v>
      </c>
      <c r="C35" s="5">
        <v>0</v>
      </c>
    </row>
    <row r="36" spans="1:3" x14ac:dyDescent="0.25">
      <c r="A36" s="5" t="s">
        <v>169</v>
      </c>
      <c r="B36" s="5" t="s">
        <v>257</v>
      </c>
      <c r="C36" s="5">
        <v>43</v>
      </c>
    </row>
    <row r="37" spans="1:3" x14ac:dyDescent="0.25">
      <c r="A37" s="5" t="s">
        <v>170</v>
      </c>
      <c r="B37" s="5" t="s">
        <v>257</v>
      </c>
      <c r="C37" s="5">
        <v>59</v>
      </c>
    </row>
    <row r="38" spans="1:3" x14ac:dyDescent="0.25">
      <c r="A38" s="5" t="s">
        <v>171</v>
      </c>
      <c r="B38" s="5" t="s">
        <v>258</v>
      </c>
      <c r="C38" s="5">
        <v>23</v>
      </c>
    </row>
    <row r="39" spans="1:3" x14ac:dyDescent="0.25">
      <c r="A39" s="5" t="s">
        <v>172</v>
      </c>
      <c r="B39" s="5" t="s">
        <v>257</v>
      </c>
      <c r="C39" s="5">
        <v>59</v>
      </c>
    </row>
    <row r="40" spans="1:3" x14ac:dyDescent="0.25">
      <c r="A40" s="5" t="s">
        <v>173</v>
      </c>
      <c r="B40" s="5" t="s">
        <v>258</v>
      </c>
      <c r="C40" s="5">
        <v>33</v>
      </c>
    </row>
    <row r="41" spans="1:3" x14ac:dyDescent="0.25">
      <c r="A41" s="5" t="s">
        <v>174</v>
      </c>
      <c r="B41" s="5" t="s">
        <v>257</v>
      </c>
      <c r="C41" s="5">
        <v>31</v>
      </c>
    </row>
    <row r="42" spans="1:3" x14ac:dyDescent="0.25">
      <c r="A42" s="5" t="s">
        <v>175</v>
      </c>
      <c r="B42" s="5" t="s">
        <v>258</v>
      </c>
      <c r="C42" s="5">
        <v>0</v>
      </c>
    </row>
    <row r="43" spans="1:3" x14ac:dyDescent="0.25">
      <c r="A43" s="5" t="s">
        <v>176</v>
      </c>
      <c r="B43" s="5" t="s">
        <v>258</v>
      </c>
      <c r="C43" s="5">
        <v>0</v>
      </c>
    </row>
    <row r="44" spans="1:3" x14ac:dyDescent="0.25">
      <c r="A44" s="5" t="s">
        <v>177</v>
      </c>
      <c r="B44" s="5" t="s">
        <v>258</v>
      </c>
      <c r="C44" s="5">
        <v>27</v>
      </c>
    </row>
    <row r="45" spans="1:3" x14ac:dyDescent="0.25">
      <c r="A45" s="5" t="s">
        <v>178</v>
      </c>
      <c r="B45" s="5" t="s">
        <v>257</v>
      </c>
      <c r="C45" s="5">
        <v>66</v>
      </c>
    </row>
    <row r="46" spans="1:3" x14ac:dyDescent="0.25">
      <c r="A46" s="5" t="s">
        <v>179</v>
      </c>
      <c r="B46" s="5" t="s">
        <v>258</v>
      </c>
      <c r="C46" s="5">
        <v>37</v>
      </c>
    </row>
    <row r="47" spans="1:3" x14ac:dyDescent="0.25">
      <c r="A47" s="5" t="s">
        <v>180</v>
      </c>
      <c r="B47" s="5" t="s">
        <v>257</v>
      </c>
      <c r="C47" s="5">
        <v>96</v>
      </c>
    </row>
    <row r="48" spans="1:3" x14ac:dyDescent="0.25">
      <c r="A48" s="5" t="s">
        <v>181</v>
      </c>
      <c r="B48" s="5" t="s">
        <v>258</v>
      </c>
      <c r="C48" s="5">
        <v>18</v>
      </c>
    </row>
    <row r="49" spans="1:3" x14ac:dyDescent="0.25">
      <c r="A49" s="5" t="s">
        <v>182</v>
      </c>
      <c r="B49" s="5" t="s">
        <v>258</v>
      </c>
      <c r="C49" s="5">
        <v>16</v>
      </c>
    </row>
    <row r="50" spans="1:3" x14ac:dyDescent="0.25">
      <c r="A50" s="5" t="s">
        <v>183</v>
      </c>
      <c r="B50" s="5" t="s">
        <v>258</v>
      </c>
      <c r="C50" s="5">
        <v>53</v>
      </c>
    </row>
    <row r="51" spans="1:3" x14ac:dyDescent="0.25">
      <c r="A51" s="5" t="s">
        <v>184</v>
      </c>
      <c r="B51" s="5" t="s">
        <v>257</v>
      </c>
      <c r="C51" s="5">
        <v>28</v>
      </c>
    </row>
    <row r="52" spans="1:3" x14ac:dyDescent="0.25">
      <c r="A52" s="5" t="s">
        <v>185</v>
      </c>
      <c r="B52" s="5" t="s">
        <v>258</v>
      </c>
      <c r="C52" s="5">
        <v>34</v>
      </c>
    </row>
    <row r="53" spans="1:3" x14ac:dyDescent="0.25">
      <c r="A53" s="5" t="s">
        <v>186</v>
      </c>
      <c r="B53" s="5" t="s">
        <v>258</v>
      </c>
      <c r="C53" s="5">
        <v>20</v>
      </c>
    </row>
    <row r="54" spans="1:3" x14ac:dyDescent="0.25">
      <c r="A54" s="5" t="s">
        <v>187</v>
      </c>
      <c r="B54" s="5" t="s">
        <v>257</v>
      </c>
      <c r="C54" s="5">
        <v>87</v>
      </c>
    </row>
    <row r="55" spans="1:3" x14ac:dyDescent="0.25">
      <c r="A55" s="5" t="s">
        <v>188</v>
      </c>
      <c r="B55" s="5" t="s">
        <v>258</v>
      </c>
      <c r="C55" s="5">
        <v>17</v>
      </c>
    </row>
    <row r="56" spans="1:3" x14ac:dyDescent="0.25">
      <c r="A56" s="5" t="s">
        <v>189</v>
      </c>
      <c r="B56" s="5" t="s">
        <v>258</v>
      </c>
      <c r="C56" s="5">
        <v>17</v>
      </c>
    </row>
    <row r="57" spans="1:3" x14ac:dyDescent="0.25">
      <c r="A57" s="5" t="s">
        <v>190</v>
      </c>
      <c r="B57" s="5" t="s">
        <v>258</v>
      </c>
      <c r="C57" s="5">
        <v>18</v>
      </c>
    </row>
    <row r="58" spans="1:3" x14ac:dyDescent="0.25">
      <c r="A58" s="5" t="s">
        <v>191</v>
      </c>
      <c r="B58" s="5" t="s">
        <v>258</v>
      </c>
      <c r="C58" s="5">
        <v>23</v>
      </c>
    </row>
    <row r="59" spans="1:3" x14ac:dyDescent="0.25">
      <c r="A59" s="5" t="s">
        <v>192</v>
      </c>
      <c r="B59" s="5" t="s">
        <v>257</v>
      </c>
      <c r="C59" s="5">
        <v>113</v>
      </c>
    </row>
    <row r="60" spans="1:3" x14ac:dyDescent="0.25">
      <c r="A60" s="5" t="s">
        <v>193</v>
      </c>
      <c r="B60" s="5" t="s">
        <v>257</v>
      </c>
      <c r="C60" s="5">
        <v>63</v>
      </c>
    </row>
    <row r="61" spans="1:3" x14ac:dyDescent="0.25">
      <c r="A61" s="5" t="s">
        <v>194</v>
      </c>
      <c r="B61" s="5" t="s">
        <v>257</v>
      </c>
      <c r="C61" s="5">
        <v>84</v>
      </c>
    </row>
    <row r="62" spans="1:3" x14ac:dyDescent="0.25">
      <c r="A62" s="5" t="s">
        <v>195</v>
      </c>
      <c r="B62" s="5" t="s">
        <v>258</v>
      </c>
      <c r="C62" s="5">
        <v>12</v>
      </c>
    </row>
    <row r="63" spans="1:3" x14ac:dyDescent="0.25">
      <c r="A63" s="5" t="s">
        <v>196</v>
      </c>
      <c r="B63" s="5" t="s">
        <v>258</v>
      </c>
      <c r="C63" s="5">
        <v>12</v>
      </c>
    </row>
    <row r="64" spans="1:3" x14ac:dyDescent="0.25">
      <c r="A64" s="5" t="s">
        <v>197</v>
      </c>
      <c r="B64" s="5" t="s">
        <v>257</v>
      </c>
      <c r="C64" s="5">
        <v>277</v>
      </c>
    </row>
    <row r="65" spans="1:3" x14ac:dyDescent="0.25">
      <c r="A65" s="5" t="s">
        <v>198</v>
      </c>
      <c r="B65" s="5" t="s">
        <v>258</v>
      </c>
      <c r="C65" s="5">
        <v>78</v>
      </c>
    </row>
    <row r="66" spans="1:3" x14ac:dyDescent="0.25">
      <c r="A66" s="5" t="s">
        <v>199</v>
      </c>
      <c r="B66" s="5" t="s">
        <v>257</v>
      </c>
      <c r="C66" s="5">
        <v>0</v>
      </c>
    </row>
    <row r="67" spans="1:3" x14ac:dyDescent="0.25">
      <c r="A67" s="5" t="s">
        <v>200</v>
      </c>
      <c r="B67" s="5" t="s">
        <v>257</v>
      </c>
      <c r="C67" s="5">
        <v>77</v>
      </c>
    </row>
    <row r="68" spans="1:3" x14ac:dyDescent="0.25">
      <c r="A68" s="5" t="s">
        <v>201</v>
      </c>
      <c r="B68" s="5" t="s">
        <v>258</v>
      </c>
      <c r="C68" s="5">
        <v>0</v>
      </c>
    </row>
    <row r="69" spans="1:3" x14ac:dyDescent="0.25">
      <c r="A69" s="5" t="s">
        <v>202</v>
      </c>
      <c r="B69" s="5" t="s">
        <v>258</v>
      </c>
      <c r="C69" s="5">
        <v>0</v>
      </c>
    </row>
    <row r="70" spans="1:3" x14ac:dyDescent="0.25">
      <c r="A70" s="5" t="s">
        <v>203</v>
      </c>
      <c r="B70" s="5" t="s">
        <v>257</v>
      </c>
      <c r="C70" s="5">
        <v>0</v>
      </c>
    </row>
    <row r="71" spans="1:3" x14ac:dyDescent="0.25">
      <c r="A71" s="5" t="s">
        <v>204</v>
      </c>
      <c r="B71" s="5" t="s">
        <v>257</v>
      </c>
      <c r="C71" s="5">
        <v>39</v>
      </c>
    </row>
    <row r="72" spans="1:3" x14ac:dyDescent="0.25">
      <c r="A72" s="5" t="s">
        <v>205</v>
      </c>
      <c r="B72" s="5" t="s">
        <v>258</v>
      </c>
      <c r="C72" s="5">
        <v>28</v>
      </c>
    </row>
    <row r="73" spans="1:3" x14ac:dyDescent="0.25">
      <c r="A73" s="5" t="s">
        <v>206</v>
      </c>
      <c r="B73" s="5" t="s">
        <v>258</v>
      </c>
      <c r="C73" s="5">
        <v>0</v>
      </c>
    </row>
    <row r="74" spans="1:3" x14ac:dyDescent="0.25">
      <c r="A74" s="5" t="s">
        <v>207</v>
      </c>
      <c r="B74" s="5" t="s">
        <v>259</v>
      </c>
      <c r="C74" s="5">
        <v>0</v>
      </c>
    </row>
    <row r="75" spans="1:3" x14ac:dyDescent="0.25">
      <c r="A75" s="5" t="s">
        <v>208</v>
      </c>
      <c r="B75" s="5" t="s">
        <v>257</v>
      </c>
      <c r="C75" s="5">
        <v>66</v>
      </c>
    </row>
    <row r="76" spans="1:3" x14ac:dyDescent="0.25">
      <c r="A76" s="5" t="s">
        <v>209</v>
      </c>
      <c r="B76" s="5" t="s">
        <v>258</v>
      </c>
      <c r="C76" s="5">
        <v>0</v>
      </c>
    </row>
    <row r="77" spans="1:3" x14ac:dyDescent="0.25">
      <c r="A77" s="5" t="s">
        <v>210</v>
      </c>
      <c r="B77" s="5" t="s">
        <v>257</v>
      </c>
      <c r="C77" s="5">
        <v>12</v>
      </c>
    </row>
    <row r="78" spans="1:3" x14ac:dyDescent="0.25">
      <c r="A78" s="5" t="s">
        <v>211</v>
      </c>
      <c r="B78" s="5" t="s">
        <v>257</v>
      </c>
      <c r="C78" s="5">
        <v>6</v>
      </c>
    </row>
    <row r="79" spans="1:3" x14ac:dyDescent="0.25">
      <c r="A79" s="5" t="s">
        <v>212</v>
      </c>
      <c r="B79" s="5" t="s">
        <v>257</v>
      </c>
      <c r="C79" s="5">
        <v>68</v>
      </c>
    </row>
    <row r="80" spans="1:3" x14ac:dyDescent="0.25">
      <c r="A80" s="5" t="s">
        <v>213</v>
      </c>
      <c r="B80" s="5" t="s">
        <v>258</v>
      </c>
      <c r="C80" s="5">
        <v>47</v>
      </c>
    </row>
    <row r="81" spans="1:3" x14ac:dyDescent="0.25">
      <c r="A81" s="5" t="s">
        <v>214</v>
      </c>
      <c r="B81" s="5" t="s">
        <v>257</v>
      </c>
      <c r="C81" s="5">
        <v>68</v>
      </c>
    </row>
    <row r="82" spans="1:3" x14ac:dyDescent="0.25">
      <c r="A82" s="5" t="s">
        <v>215</v>
      </c>
      <c r="B82" s="5" t="s">
        <v>257</v>
      </c>
      <c r="C82" s="5">
        <v>61</v>
      </c>
    </row>
    <row r="83" spans="1:3" x14ac:dyDescent="0.25">
      <c r="A83" s="5" t="s">
        <v>216</v>
      </c>
      <c r="B83" s="5" t="s">
        <v>258</v>
      </c>
      <c r="C83" s="5">
        <v>71</v>
      </c>
    </row>
    <row r="84" spans="1:3" x14ac:dyDescent="0.25">
      <c r="A84" s="5" t="s">
        <v>217</v>
      </c>
      <c r="B84" s="5" t="s">
        <v>258</v>
      </c>
      <c r="C84" s="5">
        <v>39</v>
      </c>
    </row>
    <row r="85" spans="1:3" x14ac:dyDescent="0.25">
      <c r="A85" s="5" t="s">
        <v>218</v>
      </c>
      <c r="B85" s="5" t="s">
        <v>257</v>
      </c>
      <c r="C85" s="5">
        <v>130</v>
      </c>
    </row>
    <row r="86" spans="1:3" x14ac:dyDescent="0.25">
      <c r="A86" s="5" t="s">
        <v>219</v>
      </c>
      <c r="B86" s="5" t="s">
        <v>258</v>
      </c>
      <c r="C86" s="5">
        <v>0</v>
      </c>
    </row>
    <row r="87" spans="1:3" x14ac:dyDescent="0.25">
      <c r="A87" s="5" t="s">
        <v>220</v>
      </c>
      <c r="B87" s="5" t="s">
        <v>258</v>
      </c>
      <c r="C87" s="5">
        <v>54</v>
      </c>
    </row>
    <row r="88" spans="1:3" x14ac:dyDescent="0.25">
      <c r="A88" s="5" t="s">
        <v>221</v>
      </c>
      <c r="B88" s="5" t="s">
        <v>258</v>
      </c>
      <c r="C88" s="5">
        <v>20</v>
      </c>
    </row>
    <row r="89" spans="1:3" x14ac:dyDescent="0.25">
      <c r="A89" s="5" t="s">
        <v>222</v>
      </c>
      <c r="B89" s="5" t="s">
        <v>258</v>
      </c>
      <c r="C89" s="5">
        <v>11</v>
      </c>
    </row>
    <row r="90" spans="1:3" x14ac:dyDescent="0.25">
      <c r="A90" s="5" t="s">
        <v>223</v>
      </c>
      <c r="B90" s="5" t="s">
        <v>257</v>
      </c>
      <c r="C90" s="5">
        <v>24</v>
      </c>
    </row>
    <row r="91" spans="1:3" x14ac:dyDescent="0.25">
      <c r="A91" s="5" t="s">
        <v>224</v>
      </c>
      <c r="B91" s="5" t="s">
        <v>258</v>
      </c>
      <c r="C91" s="5">
        <v>21</v>
      </c>
    </row>
    <row r="92" spans="1:3" x14ac:dyDescent="0.25">
      <c r="A92" s="5" t="s">
        <v>225</v>
      </c>
      <c r="B92" s="5" t="s">
        <v>257</v>
      </c>
      <c r="C92" s="5">
        <v>0</v>
      </c>
    </row>
    <row r="93" spans="1:3" x14ac:dyDescent="0.25">
      <c r="A93" s="5" t="s">
        <v>226</v>
      </c>
      <c r="B93" s="5" t="s">
        <v>258</v>
      </c>
      <c r="C93" s="5">
        <v>48</v>
      </c>
    </row>
    <row r="94" spans="1:3" x14ac:dyDescent="0.25">
      <c r="A94" s="5" t="s">
        <v>227</v>
      </c>
      <c r="B94" s="5" t="s">
        <v>257</v>
      </c>
      <c r="C94" s="5">
        <v>0</v>
      </c>
    </row>
    <row r="95" spans="1:3" x14ac:dyDescent="0.25">
      <c r="A95" s="5" t="s">
        <v>228</v>
      </c>
      <c r="B95" s="5" t="s">
        <v>257</v>
      </c>
      <c r="C95" s="5">
        <v>163</v>
      </c>
    </row>
    <row r="96" spans="1:3" x14ac:dyDescent="0.25">
      <c r="A96" s="5" t="s">
        <v>229</v>
      </c>
      <c r="B96" s="5" t="s">
        <v>257</v>
      </c>
      <c r="C96" s="5">
        <v>10</v>
      </c>
    </row>
    <row r="97" spans="1:3" x14ac:dyDescent="0.25">
      <c r="A97" s="5" t="s">
        <v>230</v>
      </c>
      <c r="B97" s="5" t="s">
        <v>257</v>
      </c>
      <c r="C97" s="5">
        <v>65</v>
      </c>
    </row>
    <row r="98" spans="1:3" x14ac:dyDescent="0.25">
      <c r="A98" s="5" t="s">
        <v>231</v>
      </c>
      <c r="B98" s="5" t="s">
        <v>258</v>
      </c>
      <c r="C98" s="5">
        <v>12</v>
      </c>
    </row>
    <row r="99" spans="1:3" x14ac:dyDescent="0.25">
      <c r="A99" s="5" t="s">
        <v>232</v>
      </c>
      <c r="B99" s="5" t="s">
        <v>258</v>
      </c>
      <c r="C99" s="5">
        <v>30</v>
      </c>
    </row>
    <row r="100" spans="1:3" x14ac:dyDescent="0.25">
      <c r="A100" s="5" t="s">
        <v>233</v>
      </c>
      <c r="B100" s="5" t="s">
        <v>258</v>
      </c>
      <c r="C100" s="5">
        <v>42</v>
      </c>
    </row>
    <row r="101" spans="1:3" x14ac:dyDescent="0.25">
      <c r="A101" s="5" t="s">
        <v>234</v>
      </c>
      <c r="B101" s="5" t="s">
        <v>258</v>
      </c>
      <c r="C101" s="5">
        <v>38</v>
      </c>
    </row>
    <row r="102" spans="1:3" x14ac:dyDescent="0.25">
      <c r="A102" s="5" t="s">
        <v>235</v>
      </c>
      <c r="B102" s="5" t="s">
        <v>258</v>
      </c>
      <c r="C102" s="5">
        <v>15</v>
      </c>
    </row>
    <row r="103" spans="1:3" x14ac:dyDescent="0.25">
      <c r="A103" s="5" t="s">
        <v>236</v>
      </c>
      <c r="B103" s="5" t="s">
        <v>258</v>
      </c>
      <c r="C103" s="5">
        <v>34</v>
      </c>
    </row>
    <row r="104" spans="1:3" x14ac:dyDescent="0.25">
      <c r="A104" s="5" t="s">
        <v>237</v>
      </c>
      <c r="B104" s="5" t="s">
        <v>257</v>
      </c>
      <c r="C104" s="5">
        <v>42</v>
      </c>
    </row>
    <row r="105" spans="1:3" x14ac:dyDescent="0.25">
      <c r="A105" s="5" t="s">
        <v>238</v>
      </c>
      <c r="B105" s="5" t="s">
        <v>257</v>
      </c>
      <c r="C105" s="5">
        <v>37</v>
      </c>
    </row>
    <row r="106" spans="1:3" x14ac:dyDescent="0.25">
      <c r="A106" s="5" t="s">
        <v>239</v>
      </c>
      <c r="B106" s="5" t="s">
        <v>258</v>
      </c>
      <c r="C106" s="5">
        <v>22</v>
      </c>
    </row>
    <row r="107" spans="1:3" x14ac:dyDescent="0.25">
      <c r="A107" s="5" t="s">
        <v>240</v>
      </c>
      <c r="B107" s="5" t="s">
        <v>258</v>
      </c>
      <c r="C107" s="5">
        <v>5</v>
      </c>
    </row>
    <row r="108" spans="1:3" x14ac:dyDescent="0.25">
      <c r="A108" s="5" t="s">
        <v>241</v>
      </c>
      <c r="B108" s="5" t="s">
        <v>257</v>
      </c>
      <c r="C108" s="5">
        <v>23</v>
      </c>
    </row>
    <row r="109" spans="1:3" x14ac:dyDescent="0.25">
      <c r="A109" s="5" t="s">
        <v>242</v>
      </c>
      <c r="B109" s="5" t="s">
        <v>257</v>
      </c>
      <c r="C109" s="5">
        <v>38</v>
      </c>
    </row>
    <row r="110" spans="1:3" x14ac:dyDescent="0.25">
      <c r="A110" s="5" t="s">
        <v>243</v>
      </c>
      <c r="B110" s="5" t="s">
        <v>257</v>
      </c>
      <c r="C110" s="5">
        <v>31</v>
      </c>
    </row>
    <row r="111" spans="1:3" x14ac:dyDescent="0.25">
      <c r="A111" s="5" t="s">
        <v>244</v>
      </c>
      <c r="B111" s="5" t="s">
        <v>258</v>
      </c>
      <c r="C111" s="5">
        <v>43</v>
      </c>
    </row>
    <row r="112" spans="1:3" x14ac:dyDescent="0.25">
      <c r="A112" s="5" t="s">
        <v>245</v>
      </c>
      <c r="B112" s="5" t="s">
        <v>257</v>
      </c>
      <c r="C112" s="5">
        <v>50</v>
      </c>
    </row>
    <row r="113" spans="1:3" x14ac:dyDescent="0.25">
      <c r="A113" s="5" t="s">
        <v>246</v>
      </c>
      <c r="B113" s="5" t="s">
        <v>258</v>
      </c>
      <c r="C113" s="5">
        <v>2</v>
      </c>
    </row>
    <row r="114" spans="1:3" x14ac:dyDescent="0.25">
      <c r="A114" s="5" t="s">
        <v>247</v>
      </c>
      <c r="B114" s="5" t="s">
        <v>258</v>
      </c>
      <c r="C114" s="5">
        <v>8</v>
      </c>
    </row>
    <row r="115" spans="1:3" x14ac:dyDescent="0.25">
      <c r="A115" s="5" t="s">
        <v>248</v>
      </c>
      <c r="B115" s="5" t="s">
        <v>257</v>
      </c>
      <c r="C115" s="5">
        <v>39</v>
      </c>
    </row>
    <row r="116" spans="1:3" x14ac:dyDescent="0.25">
      <c r="A116" s="5" t="s">
        <v>249</v>
      </c>
      <c r="B116" s="5" t="s">
        <v>257</v>
      </c>
      <c r="C116" s="5">
        <v>0</v>
      </c>
    </row>
    <row r="117" spans="1:3" x14ac:dyDescent="0.25">
      <c r="A117" s="5" t="s">
        <v>250</v>
      </c>
      <c r="B117" s="5" t="s">
        <v>257</v>
      </c>
      <c r="C117" s="5">
        <v>68</v>
      </c>
    </row>
    <row r="118" spans="1:3" x14ac:dyDescent="0.25">
      <c r="A118" s="5" t="s">
        <v>251</v>
      </c>
      <c r="B118" s="5" t="s">
        <v>257</v>
      </c>
      <c r="C118" s="5">
        <v>6</v>
      </c>
    </row>
    <row r="119" spans="1:3" x14ac:dyDescent="0.25">
      <c r="A119" s="5" t="s">
        <v>252</v>
      </c>
      <c r="B119" s="5" t="s">
        <v>258</v>
      </c>
      <c r="C119" s="5">
        <v>8</v>
      </c>
    </row>
    <row r="120" spans="1:3" x14ac:dyDescent="0.25">
      <c r="A120" s="5" t="s">
        <v>253</v>
      </c>
      <c r="B120" s="5" t="s">
        <v>258</v>
      </c>
      <c r="C120" s="5">
        <v>22</v>
      </c>
    </row>
    <row r="121" spans="1:3" x14ac:dyDescent="0.25">
      <c r="A121" s="5" t="s">
        <v>254</v>
      </c>
      <c r="B121" s="5" t="s">
        <v>257</v>
      </c>
      <c r="C121" s="5">
        <v>184</v>
      </c>
    </row>
    <row r="122" spans="1:3" x14ac:dyDescent="0.25">
      <c r="A122" s="5" t="s">
        <v>255</v>
      </c>
      <c r="B122" s="5" t="s">
        <v>258</v>
      </c>
      <c r="C122" s="5">
        <v>20</v>
      </c>
    </row>
    <row r="123" spans="1:3" x14ac:dyDescent="0.25">
      <c r="A123" s="5" t="s">
        <v>256</v>
      </c>
      <c r="B123" s="5" t="s">
        <v>258</v>
      </c>
      <c r="C123" s="5">
        <v>33</v>
      </c>
    </row>
  </sheetData>
  <phoneticPr fontId="7"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91"/>
  <sheetViews>
    <sheetView tabSelected="1" workbookViewId="0">
      <selection activeCell="D12" sqref="D12"/>
    </sheetView>
  </sheetViews>
  <sheetFormatPr defaultRowHeight="15" x14ac:dyDescent="0.25"/>
  <cols>
    <col min="1" max="6" width="16" customWidth="1"/>
  </cols>
  <sheetData>
    <row r="1" spans="1:6" ht="18.75" x14ac:dyDescent="0.3">
      <c r="A1" s="1" t="s">
        <v>44</v>
      </c>
    </row>
    <row r="2" spans="1:6" x14ac:dyDescent="0.25">
      <c r="A2" s="2" t="s">
        <v>45</v>
      </c>
    </row>
    <row r="4" spans="1:6" x14ac:dyDescent="0.25">
      <c r="A4" s="3" t="s">
        <v>36</v>
      </c>
      <c r="B4" s="3" t="s">
        <v>46</v>
      </c>
      <c r="C4" s="3" t="s">
        <v>47</v>
      </c>
      <c r="D4" s="3" t="s">
        <v>48</v>
      </c>
      <c r="E4" s="3" t="s">
        <v>49</v>
      </c>
      <c r="F4" s="3" t="s">
        <v>50</v>
      </c>
    </row>
    <row r="5" spans="1:6" x14ac:dyDescent="0.25">
      <c r="A5" s="4"/>
      <c r="B5" s="4" t="s">
        <v>51</v>
      </c>
      <c r="C5" s="4" t="s">
        <v>51</v>
      </c>
      <c r="D5" s="4" t="s">
        <v>52</v>
      </c>
      <c r="E5" s="4" t="s">
        <v>52</v>
      </c>
      <c r="F5" s="4" t="s">
        <v>40</v>
      </c>
    </row>
    <row r="6" spans="1:6" x14ac:dyDescent="0.25">
      <c r="A6" s="5" t="s">
        <v>114</v>
      </c>
      <c r="B6" s="5">
        <v>1</v>
      </c>
      <c r="C6" s="5">
        <v>2</v>
      </c>
      <c r="D6" s="5">
        <v>3.0300000000000001E-2</v>
      </c>
      <c r="E6" s="5">
        <v>9.9900000000000003E-2</v>
      </c>
      <c r="F6" s="14"/>
    </row>
    <row r="7" spans="1:6" x14ac:dyDescent="0.25">
      <c r="A7" s="5" t="s">
        <v>115</v>
      </c>
      <c r="B7" s="5">
        <v>1</v>
      </c>
      <c r="C7" s="5">
        <v>3</v>
      </c>
      <c r="D7" s="5">
        <v>1.29E-2</v>
      </c>
      <c r="E7" s="5">
        <v>4.24E-2</v>
      </c>
      <c r="F7" s="14"/>
    </row>
    <row r="8" spans="1:6" x14ac:dyDescent="0.25">
      <c r="A8" s="5" t="s">
        <v>116</v>
      </c>
      <c r="B8" s="5">
        <v>4</v>
      </c>
      <c r="C8" s="5">
        <v>5</v>
      </c>
      <c r="D8" s="5">
        <v>1.7600000000000001E-3</v>
      </c>
      <c r="E8" s="5">
        <v>7.9799999999999992E-3</v>
      </c>
      <c r="F8" s="14"/>
    </row>
    <row r="9" spans="1:6" x14ac:dyDescent="0.25">
      <c r="A9" s="5" t="s">
        <v>117</v>
      </c>
      <c r="B9" s="5">
        <v>3</v>
      </c>
      <c r="C9" s="5">
        <v>5</v>
      </c>
      <c r="D9" s="5">
        <v>2.41E-2</v>
      </c>
      <c r="E9" s="5">
        <v>0.108</v>
      </c>
      <c r="F9" s="14"/>
    </row>
    <row r="10" spans="1:6" x14ac:dyDescent="0.25">
      <c r="A10" s="5" t="s">
        <v>118</v>
      </c>
      <c r="B10" s="5">
        <v>5</v>
      </c>
      <c r="C10" s="5">
        <v>6</v>
      </c>
      <c r="D10" s="5">
        <v>1.1900000000000001E-2</v>
      </c>
      <c r="E10" s="5">
        <v>5.3999999999999999E-2</v>
      </c>
      <c r="F10" s="14"/>
    </row>
    <row r="11" spans="1:6" x14ac:dyDescent="0.25">
      <c r="A11" s="5" t="s">
        <v>119</v>
      </c>
      <c r="B11" s="5">
        <v>6</v>
      </c>
      <c r="C11" s="5">
        <v>7</v>
      </c>
      <c r="D11" s="5">
        <v>4.5900000000000003E-3</v>
      </c>
      <c r="E11" s="5">
        <v>2.0799999999999999E-2</v>
      </c>
      <c r="F11" s="14"/>
    </row>
    <row r="12" spans="1:6" x14ac:dyDescent="0.25">
      <c r="A12" s="5" t="s">
        <v>120</v>
      </c>
      <c r="B12" s="5">
        <v>8</v>
      </c>
      <c r="C12" s="5">
        <v>9</v>
      </c>
      <c r="D12" s="5">
        <v>2.4399999999999999E-3</v>
      </c>
      <c r="E12" s="5">
        <v>3.0499999999999999E-2</v>
      </c>
      <c r="F12" s="14"/>
    </row>
    <row r="13" spans="1:6" x14ac:dyDescent="0.25">
      <c r="A13" s="5" t="s">
        <v>121</v>
      </c>
      <c r="B13" s="5">
        <v>8</v>
      </c>
      <c r="C13" s="5">
        <v>5</v>
      </c>
      <c r="D13" s="5">
        <v>0</v>
      </c>
      <c r="E13" s="5">
        <v>2.6700000000000002E-2</v>
      </c>
      <c r="F13" s="14"/>
    </row>
    <row r="14" spans="1:6" x14ac:dyDescent="0.25">
      <c r="A14" s="5" t="s">
        <v>122</v>
      </c>
      <c r="B14" s="5">
        <v>9</v>
      </c>
      <c r="C14" s="5">
        <v>10</v>
      </c>
      <c r="D14" s="5">
        <v>2.5799999999999998E-3</v>
      </c>
      <c r="E14" s="5">
        <v>3.2199999999999999E-2</v>
      </c>
      <c r="F14" s="14"/>
    </row>
    <row r="15" spans="1:6" x14ac:dyDescent="0.25">
      <c r="A15" s="5" t="s">
        <v>123</v>
      </c>
      <c r="B15" s="5">
        <v>4</v>
      </c>
      <c r="C15" s="5">
        <v>11</v>
      </c>
      <c r="D15" s="5">
        <v>2.0899999999999998E-2</v>
      </c>
      <c r="E15" s="5">
        <v>6.88E-2</v>
      </c>
      <c r="F15" s="14"/>
    </row>
    <row r="16" spans="1:6" x14ac:dyDescent="0.25">
      <c r="A16" s="5" t="s">
        <v>124</v>
      </c>
      <c r="B16" s="5">
        <v>5</v>
      </c>
      <c r="C16" s="5">
        <v>11</v>
      </c>
      <c r="D16" s="5">
        <v>2.0299999999999999E-2</v>
      </c>
      <c r="E16" s="5">
        <v>6.8199999999999997E-2</v>
      </c>
      <c r="F16" s="14"/>
    </row>
    <row r="17" spans="1:6" x14ac:dyDescent="0.25">
      <c r="A17" s="5" t="s">
        <v>138</v>
      </c>
      <c r="B17" s="5">
        <v>11</v>
      </c>
      <c r="C17" s="5">
        <v>12</v>
      </c>
      <c r="D17" s="5">
        <v>5.9500000000000004E-3</v>
      </c>
      <c r="E17" s="5">
        <v>1.9599999999999999E-2</v>
      </c>
      <c r="F17" s="14"/>
    </row>
    <row r="18" spans="1:6" x14ac:dyDescent="0.25">
      <c r="A18" s="5" t="s">
        <v>139</v>
      </c>
      <c r="B18" s="5">
        <v>2</v>
      </c>
      <c r="C18" s="5">
        <v>12</v>
      </c>
      <c r="D18" s="5">
        <v>1.8700000000000001E-2</v>
      </c>
      <c r="E18" s="5">
        <v>6.1600000000000002E-2</v>
      </c>
      <c r="F18" s="14"/>
    </row>
    <row r="19" spans="1:6" x14ac:dyDescent="0.25">
      <c r="A19" s="5" t="s">
        <v>140</v>
      </c>
      <c r="B19" s="5">
        <v>3</v>
      </c>
      <c r="C19" s="5">
        <v>12</v>
      </c>
      <c r="D19" s="5">
        <v>4.8399999999999999E-2</v>
      </c>
      <c r="E19" s="5">
        <v>0.16</v>
      </c>
      <c r="F19" s="14"/>
    </row>
    <row r="20" spans="1:6" x14ac:dyDescent="0.25">
      <c r="A20" s="5" t="s">
        <v>141</v>
      </c>
      <c r="B20" s="5">
        <v>7</v>
      </c>
      <c r="C20" s="5">
        <v>12</v>
      </c>
      <c r="D20" s="5">
        <v>8.6199999999999992E-3</v>
      </c>
      <c r="E20" s="5">
        <v>3.4000000000000002E-2</v>
      </c>
      <c r="F20" s="14"/>
    </row>
    <row r="21" spans="1:6" x14ac:dyDescent="0.25">
      <c r="A21" s="5" t="s">
        <v>142</v>
      </c>
      <c r="B21" s="5">
        <v>11</v>
      </c>
      <c r="C21" s="5">
        <v>13</v>
      </c>
      <c r="D21" s="5">
        <v>2.2249999999999999E-2</v>
      </c>
      <c r="E21" s="5">
        <v>7.3099999999999998E-2</v>
      </c>
      <c r="F21" s="14"/>
    </row>
    <row r="22" spans="1:6" x14ac:dyDescent="0.25">
      <c r="A22" s="5" t="s">
        <v>143</v>
      </c>
      <c r="B22" s="5">
        <v>12</v>
      </c>
      <c r="C22" s="5">
        <v>14</v>
      </c>
      <c r="D22" s="5">
        <v>2.1499999999999998E-2</v>
      </c>
      <c r="E22" s="5">
        <v>7.0699999999999999E-2</v>
      </c>
      <c r="F22" s="14"/>
    </row>
    <row r="23" spans="1:6" x14ac:dyDescent="0.25">
      <c r="A23" s="5" t="s">
        <v>144</v>
      </c>
      <c r="B23" s="5">
        <v>13</v>
      </c>
      <c r="C23" s="5">
        <v>15</v>
      </c>
      <c r="D23" s="5">
        <v>7.4399999999999994E-2</v>
      </c>
      <c r="E23" s="5">
        <v>0.24440000000000001</v>
      </c>
      <c r="F23" s="14"/>
    </row>
    <row r="24" spans="1:6" x14ac:dyDescent="0.25">
      <c r="A24" s="5" t="s">
        <v>145</v>
      </c>
      <c r="B24" s="5">
        <v>14</v>
      </c>
      <c r="C24" s="5">
        <v>15</v>
      </c>
      <c r="D24" s="5">
        <v>5.9499999999999997E-2</v>
      </c>
      <c r="E24" s="5">
        <v>0.19500000000000001</v>
      </c>
      <c r="F24" s="14"/>
    </row>
    <row r="25" spans="1:6" x14ac:dyDescent="0.25">
      <c r="A25" s="5" t="s">
        <v>146</v>
      </c>
      <c r="B25" s="5">
        <v>12</v>
      </c>
      <c r="C25" s="5">
        <v>16</v>
      </c>
      <c r="D25" s="5">
        <v>2.12E-2</v>
      </c>
      <c r="E25" s="5">
        <v>8.3400000000000002E-2</v>
      </c>
      <c r="F25" s="14"/>
    </row>
    <row r="26" spans="1:6" x14ac:dyDescent="0.25">
      <c r="A26" s="5" t="s">
        <v>260</v>
      </c>
      <c r="B26" s="5">
        <v>15</v>
      </c>
      <c r="C26" s="5">
        <v>17</v>
      </c>
      <c r="D26" s="5">
        <v>1.32E-2</v>
      </c>
      <c r="E26" s="5">
        <v>4.3700000000000003E-2</v>
      </c>
      <c r="F26" s="14"/>
    </row>
    <row r="27" spans="1:6" x14ac:dyDescent="0.25">
      <c r="A27" s="5" t="s">
        <v>261</v>
      </c>
      <c r="B27" s="5">
        <v>16</v>
      </c>
      <c r="C27" s="5">
        <v>17</v>
      </c>
      <c r="D27" s="5">
        <v>4.5400000000000003E-2</v>
      </c>
      <c r="E27" s="5">
        <v>0.18010000000000001</v>
      </c>
      <c r="F27" s="14"/>
    </row>
    <row r="28" spans="1:6" x14ac:dyDescent="0.25">
      <c r="A28" s="5" t="s">
        <v>262</v>
      </c>
      <c r="B28" s="5">
        <v>17</v>
      </c>
      <c r="C28" s="5">
        <v>18</v>
      </c>
      <c r="D28" s="5">
        <v>1.23E-2</v>
      </c>
      <c r="E28" s="5">
        <v>5.0500000000000003E-2</v>
      </c>
      <c r="F28" s="14"/>
    </row>
    <row r="29" spans="1:6" x14ac:dyDescent="0.25">
      <c r="A29" s="5" t="s">
        <v>263</v>
      </c>
      <c r="B29" s="5">
        <v>18</v>
      </c>
      <c r="C29" s="5">
        <v>19</v>
      </c>
      <c r="D29" s="5">
        <v>1.119E-2</v>
      </c>
      <c r="E29" s="5">
        <v>4.9299999999999997E-2</v>
      </c>
      <c r="F29" s="14"/>
    </row>
    <row r="30" spans="1:6" x14ac:dyDescent="0.25">
      <c r="A30" s="5" t="s">
        <v>264</v>
      </c>
      <c r="B30" s="5">
        <v>19</v>
      </c>
      <c r="C30" s="5">
        <v>20</v>
      </c>
      <c r="D30" s="5">
        <v>2.52E-2</v>
      </c>
      <c r="E30" s="5">
        <v>0.11700000000000001</v>
      </c>
      <c r="F30" s="14"/>
    </row>
    <row r="31" spans="1:6" x14ac:dyDescent="0.25">
      <c r="A31" s="5" t="s">
        <v>265</v>
      </c>
      <c r="B31" s="5">
        <v>15</v>
      </c>
      <c r="C31" s="5">
        <v>19</v>
      </c>
      <c r="D31" s="5">
        <v>1.2E-2</v>
      </c>
      <c r="E31" s="5">
        <v>3.9399999999999998E-2</v>
      </c>
      <c r="F31" s="14"/>
    </row>
    <row r="32" spans="1:6" x14ac:dyDescent="0.25">
      <c r="A32" s="5" t="s">
        <v>266</v>
      </c>
      <c r="B32" s="5">
        <v>20</v>
      </c>
      <c r="C32" s="5">
        <v>21</v>
      </c>
      <c r="D32" s="5">
        <v>1.83E-2</v>
      </c>
      <c r="E32" s="5">
        <v>8.4900000000000003E-2</v>
      </c>
      <c r="F32" s="14"/>
    </row>
    <row r="33" spans="1:6" x14ac:dyDescent="0.25">
      <c r="A33" s="5" t="s">
        <v>267</v>
      </c>
      <c r="B33" s="5">
        <v>21</v>
      </c>
      <c r="C33" s="5">
        <v>22</v>
      </c>
      <c r="D33" s="5">
        <v>2.0899999999999998E-2</v>
      </c>
      <c r="E33" s="5">
        <v>9.7000000000000003E-2</v>
      </c>
      <c r="F33" s="14"/>
    </row>
    <row r="34" spans="1:6" x14ac:dyDescent="0.25">
      <c r="A34" s="5" t="s">
        <v>268</v>
      </c>
      <c r="B34" s="5">
        <v>22</v>
      </c>
      <c r="C34" s="5">
        <v>23</v>
      </c>
      <c r="D34" s="5">
        <v>3.4200000000000001E-2</v>
      </c>
      <c r="E34" s="5">
        <v>0.159</v>
      </c>
      <c r="F34" s="14"/>
    </row>
    <row r="35" spans="1:6" x14ac:dyDescent="0.25">
      <c r="A35" s="5" t="s">
        <v>269</v>
      </c>
      <c r="B35" s="5">
        <v>23</v>
      </c>
      <c r="C35" s="5">
        <v>24</v>
      </c>
      <c r="D35" s="5">
        <v>1.35E-2</v>
      </c>
      <c r="E35" s="5">
        <v>4.9200000000000001E-2</v>
      </c>
      <c r="F35" s="14"/>
    </row>
    <row r="36" spans="1:6" x14ac:dyDescent="0.25">
      <c r="A36" s="5" t="s">
        <v>270</v>
      </c>
      <c r="B36" s="5">
        <v>23</v>
      </c>
      <c r="C36" s="5">
        <v>25</v>
      </c>
      <c r="D36" s="5">
        <v>1.5599999999999999E-2</v>
      </c>
      <c r="E36" s="5">
        <v>0.08</v>
      </c>
      <c r="F36" s="14"/>
    </row>
    <row r="37" spans="1:6" x14ac:dyDescent="0.25">
      <c r="A37" s="5" t="s">
        <v>271</v>
      </c>
      <c r="B37" s="5">
        <v>26</v>
      </c>
      <c r="C37" s="5">
        <v>25</v>
      </c>
      <c r="D37" s="5">
        <v>0</v>
      </c>
      <c r="E37" s="5">
        <v>3.8199999999999998E-2</v>
      </c>
      <c r="F37" s="14"/>
    </row>
    <row r="38" spans="1:6" x14ac:dyDescent="0.25">
      <c r="A38" s="5" t="s">
        <v>272</v>
      </c>
      <c r="B38" s="5">
        <v>25</v>
      </c>
      <c r="C38" s="5">
        <v>27</v>
      </c>
      <c r="D38" s="5">
        <v>3.1800000000000002E-2</v>
      </c>
      <c r="E38" s="5">
        <v>0.16300000000000001</v>
      </c>
      <c r="F38" s="14"/>
    </row>
    <row r="39" spans="1:6" x14ac:dyDescent="0.25">
      <c r="A39" s="5" t="s">
        <v>273</v>
      </c>
      <c r="B39" s="5">
        <v>27</v>
      </c>
      <c r="C39" s="5">
        <v>28</v>
      </c>
      <c r="D39" s="5">
        <v>1.9130000000000001E-2</v>
      </c>
      <c r="E39" s="5">
        <v>8.5500000000000007E-2</v>
      </c>
      <c r="F39" s="14"/>
    </row>
    <row r="40" spans="1:6" x14ac:dyDescent="0.25">
      <c r="A40" s="5" t="s">
        <v>274</v>
      </c>
      <c r="B40" s="5">
        <v>28</v>
      </c>
      <c r="C40" s="5">
        <v>29</v>
      </c>
      <c r="D40" s="5">
        <v>2.3699999999999999E-2</v>
      </c>
      <c r="E40" s="5">
        <v>9.4299999999999995E-2</v>
      </c>
      <c r="F40" s="14"/>
    </row>
    <row r="41" spans="1:6" x14ac:dyDescent="0.25">
      <c r="A41" s="5" t="s">
        <v>275</v>
      </c>
      <c r="B41" s="5">
        <v>30</v>
      </c>
      <c r="C41" s="5">
        <v>17</v>
      </c>
      <c r="D41" s="5">
        <v>0</v>
      </c>
      <c r="E41" s="5">
        <v>3.8800000000000001E-2</v>
      </c>
      <c r="F41" s="14"/>
    </row>
    <row r="42" spans="1:6" x14ac:dyDescent="0.25">
      <c r="A42" s="5" t="s">
        <v>276</v>
      </c>
      <c r="B42" s="5">
        <v>8</v>
      </c>
      <c r="C42" s="5">
        <v>30</v>
      </c>
      <c r="D42" s="5">
        <v>4.3099999999999996E-3</v>
      </c>
      <c r="E42" s="5">
        <v>5.04E-2</v>
      </c>
      <c r="F42" s="14"/>
    </row>
    <row r="43" spans="1:6" x14ac:dyDescent="0.25">
      <c r="A43" s="5" t="s">
        <v>277</v>
      </c>
      <c r="B43" s="5">
        <v>26</v>
      </c>
      <c r="C43" s="5">
        <v>30</v>
      </c>
      <c r="D43" s="5">
        <v>7.9900000000000006E-3</v>
      </c>
      <c r="E43" s="5">
        <v>8.5999999999999993E-2</v>
      </c>
      <c r="F43" s="14"/>
    </row>
    <row r="44" spans="1:6" x14ac:dyDescent="0.25">
      <c r="A44" s="5" t="s">
        <v>278</v>
      </c>
      <c r="B44" s="5">
        <v>17</v>
      </c>
      <c r="C44" s="5">
        <v>31</v>
      </c>
      <c r="D44" s="5">
        <v>4.7399999999999998E-2</v>
      </c>
      <c r="E44" s="5">
        <v>0.15629999999999999</v>
      </c>
      <c r="F44" s="14"/>
    </row>
    <row r="45" spans="1:6" x14ac:dyDescent="0.25">
      <c r="A45" s="5" t="s">
        <v>279</v>
      </c>
      <c r="B45" s="5">
        <v>29</v>
      </c>
      <c r="C45" s="5">
        <v>31</v>
      </c>
      <c r="D45" s="5">
        <v>1.0800000000000001E-2</v>
      </c>
      <c r="E45" s="5">
        <v>3.3099999999999997E-2</v>
      </c>
      <c r="F45" s="14"/>
    </row>
    <row r="46" spans="1:6" x14ac:dyDescent="0.25">
      <c r="A46" s="5" t="s">
        <v>280</v>
      </c>
      <c r="B46" s="5">
        <v>23</v>
      </c>
      <c r="C46" s="5">
        <v>32</v>
      </c>
      <c r="D46" s="5">
        <v>3.1699999999999999E-2</v>
      </c>
      <c r="E46" s="5">
        <v>0.1153</v>
      </c>
      <c r="F46" s="14"/>
    </row>
    <row r="47" spans="1:6" x14ac:dyDescent="0.25">
      <c r="A47" s="5" t="s">
        <v>281</v>
      </c>
      <c r="B47" s="5">
        <v>31</v>
      </c>
      <c r="C47" s="5">
        <v>32</v>
      </c>
      <c r="D47" s="5">
        <v>2.98E-2</v>
      </c>
      <c r="E47" s="5">
        <v>9.8500000000000004E-2</v>
      </c>
      <c r="F47" s="14"/>
    </row>
    <row r="48" spans="1:6" x14ac:dyDescent="0.25">
      <c r="A48" s="5" t="s">
        <v>282</v>
      </c>
      <c r="B48" s="5">
        <v>27</v>
      </c>
      <c r="C48" s="5">
        <v>32</v>
      </c>
      <c r="D48" s="5">
        <v>2.29E-2</v>
      </c>
      <c r="E48" s="5">
        <v>7.5499999999999998E-2</v>
      </c>
      <c r="F48" s="14"/>
    </row>
    <row r="49" spans="1:6" x14ac:dyDescent="0.25">
      <c r="A49" s="5" t="s">
        <v>283</v>
      </c>
      <c r="B49" s="5">
        <v>15</v>
      </c>
      <c r="C49" s="5">
        <v>33</v>
      </c>
      <c r="D49" s="5">
        <v>3.7999999999999999E-2</v>
      </c>
      <c r="E49" s="5">
        <v>0.1244</v>
      </c>
      <c r="F49" s="14"/>
    </row>
    <row r="50" spans="1:6" x14ac:dyDescent="0.25">
      <c r="A50" s="5" t="s">
        <v>284</v>
      </c>
      <c r="B50" s="5">
        <v>19</v>
      </c>
      <c r="C50" s="5">
        <v>34</v>
      </c>
      <c r="D50" s="5">
        <v>7.5200000000000003E-2</v>
      </c>
      <c r="E50" s="5">
        <v>0.247</v>
      </c>
      <c r="F50" s="14"/>
    </row>
    <row r="51" spans="1:6" x14ac:dyDescent="0.25">
      <c r="A51" s="5" t="s">
        <v>285</v>
      </c>
      <c r="B51" s="5">
        <v>35</v>
      </c>
      <c r="C51" s="5">
        <v>36</v>
      </c>
      <c r="D51" s="5">
        <v>2.2399999999999998E-3</v>
      </c>
      <c r="E51" s="5">
        <v>1.0200000000000001E-2</v>
      </c>
      <c r="F51" s="14"/>
    </row>
    <row r="52" spans="1:6" x14ac:dyDescent="0.25">
      <c r="A52" s="5" t="s">
        <v>286</v>
      </c>
      <c r="B52" s="5">
        <v>35</v>
      </c>
      <c r="C52" s="5">
        <v>37</v>
      </c>
      <c r="D52" s="5">
        <v>1.0999999999999999E-2</v>
      </c>
      <c r="E52" s="5">
        <v>4.9700000000000001E-2</v>
      </c>
      <c r="F52" s="14"/>
    </row>
    <row r="53" spans="1:6" x14ac:dyDescent="0.25">
      <c r="A53" s="5" t="s">
        <v>287</v>
      </c>
      <c r="B53" s="5">
        <v>33</v>
      </c>
      <c r="C53" s="5">
        <v>37</v>
      </c>
      <c r="D53" s="5">
        <v>4.1500000000000002E-2</v>
      </c>
      <c r="E53" s="5">
        <v>0.14199999999999999</v>
      </c>
      <c r="F53" s="14"/>
    </row>
    <row r="54" spans="1:6" x14ac:dyDescent="0.25">
      <c r="A54" s="5" t="s">
        <v>288</v>
      </c>
      <c r="B54" s="5">
        <v>34</v>
      </c>
      <c r="C54" s="5">
        <v>36</v>
      </c>
      <c r="D54" s="5">
        <v>8.7100000000000007E-3</v>
      </c>
      <c r="E54" s="5">
        <v>2.6800000000000001E-2</v>
      </c>
      <c r="F54" s="14"/>
    </row>
    <row r="55" spans="1:6" x14ac:dyDescent="0.25">
      <c r="A55" s="5" t="s">
        <v>289</v>
      </c>
      <c r="B55" s="5">
        <v>34</v>
      </c>
      <c r="C55" s="5">
        <v>37</v>
      </c>
      <c r="D55" s="5">
        <v>2.5600000000000002E-3</v>
      </c>
      <c r="E55" s="5">
        <v>9.4000000000000004E-3</v>
      </c>
      <c r="F55" s="14"/>
    </row>
    <row r="56" spans="1:6" x14ac:dyDescent="0.25">
      <c r="A56" s="5" t="s">
        <v>290</v>
      </c>
      <c r="B56" s="5">
        <v>38</v>
      </c>
      <c r="C56" s="5">
        <v>37</v>
      </c>
      <c r="D56" s="5">
        <v>0</v>
      </c>
      <c r="E56" s="5">
        <v>3.7499999999999999E-2</v>
      </c>
      <c r="F56" s="14"/>
    </row>
    <row r="57" spans="1:6" x14ac:dyDescent="0.25">
      <c r="A57" s="5" t="s">
        <v>291</v>
      </c>
      <c r="B57" s="5">
        <v>37</v>
      </c>
      <c r="C57" s="5">
        <v>39</v>
      </c>
      <c r="D57" s="5">
        <v>3.2099999999999997E-2</v>
      </c>
      <c r="E57" s="5">
        <v>0.106</v>
      </c>
      <c r="F57" s="14"/>
    </row>
    <row r="58" spans="1:6" x14ac:dyDescent="0.25">
      <c r="A58" s="5" t="s">
        <v>292</v>
      </c>
      <c r="B58" s="5">
        <v>37</v>
      </c>
      <c r="C58" s="5">
        <v>40</v>
      </c>
      <c r="D58" s="5">
        <v>5.9299999999999999E-2</v>
      </c>
      <c r="E58" s="5">
        <v>0.16800000000000001</v>
      </c>
      <c r="F58" s="14"/>
    </row>
    <row r="59" spans="1:6" x14ac:dyDescent="0.25">
      <c r="A59" s="5" t="s">
        <v>293</v>
      </c>
      <c r="B59" s="5">
        <v>30</v>
      </c>
      <c r="C59" s="5">
        <v>38</v>
      </c>
      <c r="D59" s="5">
        <v>4.64E-3</v>
      </c>
      <c r="E59" s="5">
        <v>5.3999999999999999E-2</v>
      </c>
      <c r="F59" s="14"/>
    </row>
    <row r="60" spans="1:6" x14ac:dyDescent="0.25">
      <c r="A60" s="5" t="s">
        <v>294</v>
      </c>
      <c r="B60" s="5">
        <v>39</v>
      </c>
      <c r="C60" s="5">
        <v>40</v>
      </c>
      <c r="D60" s="5">
        <v>1.84E-2</v>
      </c>
      <c r="E60" s="5">
        <v>6.0499999999999998E-2</v>
      </c>
      <c r="F60" s="14"/>
    </row>
    <row r="61" spans="1:6" x14ac:dyDescent="0.25">
      <c r="A61" s="5" t="s">
        <v>295</v>
      </c>
      <c r="B61" s="5">
        <v>40</v>
      </c>
      <c r="C61" s="5">
        <v>41</v>
      </c>
      <c r="D61" s="5">
        <v>1.4500000000000001E-2</v>
      </c>
      <c r="E61" s="5">
        <v>4.87E-2</v>
      </c>
      <c r="F61" s="14"/>
    </row>
    <row r="62" spans="1:6" x14ac:dyDescent="0.25">
      <c r="A62" s="5" t="s">
        <v>296</v>
      </c>
      <c r="B62" s="5">
        <v>40</v>
      </c>
      <c r="C62" s="5">
        <v>42</v>
      </c>
      <c r="D62" s="5">
        <v>5.5500000000000001E-2</v>
      </c>
      <c r="E62" s="5">
        <v>0.183</v>
      </c>
      <c r="F62" s="14"/>
    </row>
    <row r="63" spans="1:6" x14ac:dyDescent="0.25">
      <c r="A63" s="5" t="s">
        <v>297</v>
      </c>
      <c r="B63" s="5">
        <v>41</v>
      </c>
      <c r="C63" s="5">
        <v>42</v>
      </c>
      <c r="D63" s="5">
        <v>4.1000000000000002E-2</v>
      </c>
      <c r="E63" s="5">
        <v>0.13500000000000001</v>
      </c>
      <c r="F63" s="14"/>
    </row>
    <row r="64" spans="1:6" x14ac:dyDescent="0.25">
      <c r="A64" s="5" t="s">
        <v>298</v>
      </c>
      <c r="B64" s="5">
        <v>43</v>
      </c>
      <c r="C64" s="5">
        <v>44</v>
      </c>
      <c r="D64" s="5">
        <v>6.08E-2</v>
      </c>
      <c r="E64" s="5">
        <v>0.24540000000000001</v>
      </c>
      <c r="F64" s="14"/>
    </row>
    <row r="65" spans="1:6" x14ac:dyDescent="0.25">
      <c r="A65" s="5" t="s">
        <v>299</v>
      </c>
      <c r="B65" s="5">
        <v>34</v>
      </c>
      <c r="C65" s="5">
        <v>43</v>
      </c>
      <c r="D65" s="5">
        <v>4.1300000000000003E-2</v>
      </c>
      <c r="E65" s="5">
        <v>0.1681</v>
      </c>
      <c r="F65" s="14"/>
    </row>
    <row r="66" spans="1:6" x14ac:dyDescent="0.25">
      <c r="A66" s="5" t="s">
        <v>300</v>
      </c>
      <c r="B66" s="5">
        <v>44</v>
      </c>
      <c r="C66" s="5">
        <v>45</v>
      </c>
      <c r="D66" s="5">
        <v>2.24E-2</v>
      </c>
      <c r="E66" s="5">
        <v>9.01E-2</v>
      </c>
      <c r="F66" s="14"/>
    </row>
    <row r="67" spans="1:6" x14ac:dyDescent="0.25">
      <c r="A67" s="5" t="s">
        <v>301</v>
      </c>
      <c r="B67" s="5">
        <v>45</v>
      </c>
      <c r="C67" s="5">
        <v>46</v>
      </c>
      <c r="D67" s="5">
        <v>0.04</v>
      </c>
      <c r="E67" s="5">
        <v>0.1356</v>
      </c>
      <c r="F67" s="14"/>
    </row>
    <row r="68" spans="1:6" x14ac:dyDescent="0.25">
      <c r="A68" s="5" t="s">
        <v>302</v>
      </c>
      <c r="B68" s="5">
        <v>46</v>
      </c>
      <c r="C68" s="5">
        <v>47</v>
      </c>
      <c r="D68" s="5">
        <v>3.7999999999999999E-2</v>
      </c>
      <c r="E68" s="5">
        <v>0.127</v>
      </c>
      <c r="F68" s="14"/>
    </row>
    <row r="69" spans="1:6" x14ac:dyDescent="0.25">
      <c r="A69" s="5" t="s">
        <v>303</v>
      </c>
      <c r="B69" s="5">
        <v>46</v>
      </c>
      <c r="C69" s="5">
        <v>48</v>
      </c>
      <c r="D69" s="5">
        <v>6.0100000000000001E-2</v>
      </c>
      <c r="E69" s="5">
        <v>0.189</v>
      </c>
      <c r="F69" s="14"/>
    </row>
    <row r="70" spans="1:6" x14ac:dyDescent="0.25">
      <c r="A70" s="5" t="s">
        <v>304</v>
      </c>
      <c r="B70" s="5">
        <v>47</v>
      </c>
      <c r="C70" s="5">
        <v>49</v>
      </c>
      <c r="D70" s="5">
        <v>1.9099999999999999E-2</v>
      </c>
      <c r="E70" s="5">
        <v>6.25E-2</v>
      </c>
      <c r="F70" s="14"/>
    </row>
    <row r="71" spans="1:6" x14ac:dyDescent="0.25">
      <c r="A71" s="5" t="s">
        <v>305</v>
      </c>
      <c r="B71" s="5">
        <v>42</v>
      </c>
      <c r="C71" s="5">
        <v>49</v>
      </c>
      <c r="D71" s="5">
        <v>7.1499999999999994E-2</v>
      </c>
      <c r="E71" s="5">
        <v>0.32300000000000001</v>
      </c>
      <c r="F71" s="14"/>
    </row>
    <row r="72" spans="1:6" x14ac:dyDescent="0.25">
      <c r="A72" s="5" t="s">
        <v>306</v>
      </c>
      <c r="B72" s="5">
        <v>42</v>
      </c>
      <c r="C72" s="5">
        <v>49</v>
      </c>
      <c r="D72" s="5">
        <v>7.1499999999999994E-2</v>
      </c>
      <c r="E72" s="5">
        <v>0.32300000000000001</v>
      </c>
      <c r="F72" s="14"/>
    </row>
    <row r="73" spans="1:6" x14ac:dyDescent="0.25">
      <c r="A73" s="5" t="s">
        <v>307</v>
      </c>
      <c r="B73" s="5">
        <v>45</v>
      </c>
      <c r="C73" s="5">
        <v>49</v>
      </c>
      <c r="D73" s="5">
        <v>6.8400000000000002E-2</v>
      </c>
      <c r="E73" s="5">
        <v>0.186</v>
      </c>
      <c r="F73" s="14"/>
    </row>
    <row r="74" spans="1:6" x14ac:dyDescent="0.25">
      <c r="A74" s="5" t="s">
        <v>308</v>
      </c>
      <c r="B74" s="5">
        <v>48</v>
      </c>
      <c r="C74" s="5">
        <v>49</v>
      </c>
      <c r="D74" s="5">
        <v>1.7899999999999999E-2</v>
      </c>
      <c r="E74" s="5">
        <v>5.0500000000000003E-2</v>
      </c>
      <c r="F74" s="14"/>
    </row>
    <row r="75" spans="1:6" x14ac:dyDescent="0.25">
      <c r="A75" s="5" t="s">
        <v>309</v>
      </c>
      <c r="B75" s="5">
        <v>49</v>
      </c>
      <c r="C75" s="5">
        <v>50</v>
      </c>
      <c r="D75" s="5">
        <v>2.6700000000000002E-2</v>
      </c>
      <c r="E75" s="5">
        <v>7.5200000000000003E-2</v>
      </c>
      <c r="F75" s="14"/>
    </row>
    <row r="76" spans="1:6" x14ac:dyDescent="0.25">
      <c r="A76" s="5" t="s">
        <v>310</v>
      </c>
      <c r="B76" s="5">
        <v>49</v>
      </c>
      <c r="C76" s="5">
        <v>51</v>
      </c>
      <c r="D76" s="5">
        <v>4.8599999999999997E-2</v>
      </c>
      <c r="E76" s="5">
        <v>0.13700000000000001</v>
      </c>
      <c r="F76" s="14"/>
    </row>
    <row r="77" spans="1:6" x14ac:dyDescent="0.25">
      <c r="A77" s="5" t="s">
        <v>311</v>
      </c>
      <c r="B77" s="5">
        <v>51</v>
      </c>
      <c r="C77" s="5">
        <v>52</v>
      </c>
      <c r="D77" s="5">
        <v>2.0299999999999999E-2</v>
      </c>
      <c r="E77" s="5">
        <v>5.8799999999999998E-2</v>
      </c>
      <c r="F77" s="14"/>
    </row>
    <row r="78" spans="1:6" x14ac:dyDescent="0.25">
      <c r="A78" s="5" t="s">
        <v>312</v>
      </c>
      <c r="B78" s="5">
        <v>52</v>
      </c>
      <c r="C78" s="5">
        <v>53</v>
      </c>
      <c r="D78" s="5">
        <v>4.0500000000000001E-2</v>
      </c>
      <c r="E78" s="5">
        <v>0.16350000000000001</v>
      </c>
      <c r="F78" s="14"/>
    </row>
    <row r="79" spans="1:6" x14ac:dyDescent="0.25">
      <c r="A79" s="5" t="s">
        <v>313</v>
      </c>
      <c r="B79" s="5">
        <v>53</v>
      </c>
      <c r="C79" s="5">
        <v>54</v>
      </c>
      <c r="D79" s="5">
        <v>2.63E-2</v>
      </c>
      <c r="E79" s="5">
        <v>0.122</v>
      </c>
      <c r="F79" s="14"/>
    </row>
    <row r="80" spans="1:6" x14ac:dyDescent="0.25">
      <c r="A80" s="5" t="s">
        <v>314</v>
      </c>
      <c r="B80" s="5">
        <v>49</v>
      </c>
      <c r="C80" s="5">
        <v>54</v>
      </c>
      <c r="D80" s="5">
        <v>7.2999999999999995E-2</v>
      </c>
      <c r="E80" s="5">
        <v>0.28899999999999998</v>
      </c>
      <c r="F80" s="14"/>
    </row>
    <row r="81" spans="1:6" x14ac:dyDescent="0.25">
      <c r="A81" s="5" t="s">
        <v>315</v>
      </c>
      <c r="B81" s="5">
        <v>49</v>
      </c>
      <c r="C81" s="5">
        <v>54</v>
      </c>
      <c r="D81" s="5">
        <v>8.6900000000000005E-2</v>
      </c>
      <c r="E81" s="5">
        <v>0.29099999999999998</v>
      </c>
      <c r="F81" s="14"/>
    </row>
    <row r="82" spans="1:6" x14ac:dyDescent="0.25">
      <c r="A82" s="5" t="s">
        <v>316</v>
      </c>
      <c r="B82" s="5">
        <v>54</v>
      </c>
      <c r="C82" s="5">
        <v>55</v>
      </c>
      <c r="D82" s="5">
        <v>1.6899999999999998E-2</v>
      </c>
      <c r="E82" s="5">
        <v>7.0699999999999999E-2</v>
      </c>
      <c r="F82" s="14"/>
    </row>
    <row r="83" spans="1:6" x14ac:dyDescent="0.25">
      <c r="A83" s="5" t="s">
        <v>317</v>
      </c>
      <c r="B83" s="5">
        <v>54</v>
      </c>
      <c r="C83" s="5">
        <v>56</v>
      </c>
      <c r="D83" s="5">
        <v>2.7499999999999998E-3</v>
      </c>
      <c r="E83" s="5">
        <v>9.5499999999999995E-3</v>
      </c>
      <c r="F83" s="14"/>
    </row>
    <row r="84" spans="1:6" x14ac:dyDescent="0.25">
      <c r="A84" s="5" t="s">
        <v>318</v>
      </c>
      <c r="B84" s="5">
        <v>55</v>
      </c>
      <c r="C84" s="5">
        <v>56</v>
      </c>
      <c r="D84" s="5">
        <v>4.8799999999999998E-3</v>
      </c>
      <c r="E84" s="5">
        <v>1.5100000000000001E-2</v>
      </c>
      <c r="F84" s="14"/>
    </row>
    <row r="85" spans="1:6" x14ac:dyDescent="0.25">
      <c r="A85" s="5" t="s">
        <v>319</v>
      </c>
      <c r="B85" s="5">
        <v>56</v>
      </c>
      <c r="C85" s="5">
        <v>57</v>
      </c>
      <c r="D85" s="5">
        <v>3.4299999999999997E-2</v>
      </c>
      <c r="E85" s="5">
        <v>9.6600000000000005E-2</v>
      </c>
      <c r="F85" s="14"/>
    </row>
    <row r="86" spans="1:6" x14ac:dyDescent="0.25">
      <c r="A86" s="5" t="s">
        <v>320</v>
      </c>
      <c r="B86" s="5">
        <v>50</v>
      </c>
      <c r="C86" s="5">
        <v>57</v>
      </c>
      <c r="D86" s="5">
        <v>4.7399999999999998E-2</v>
      </c>
      <c r="E86" s="5">
        <v>0.13400000000000001</v>
      </c>
      <c r="F86" s="14"/>
    </row>
    <row r="87" spans="1:6" x14ac:dyDescent="0.25">
      <c r="A87" s="5" t="s">
        <v>321</v>
      </c>
      <c r="B87" s="5">
        <v>56</v>
      </c>
      <c r="C87" s="5">
        <v>58</v>
      </c>
      <c r="D87" s="5">
        <v>3.4299999999999997E-2</v>
      </c>
      <c r="E87" s="5">
        <v>9.6600000000000005E-2</v>
      </c>
      <c r="F87" s="14"/>
    </row>
    <row r="88" spans="1:6" x14ac:dyDescent="0.25">
      <c r="A88" s="5" t="s">
        <v>322</v>
      </c>
      <c r="B88" s="5">
        <v>51</v>
      </c>
      <c r="C88" s="5">
        <v>58</v>
      </c>
      <c r="D88" s="5">
        <v>2.5499999999999998E-2</v>
      </c>
      <c r="E88" s="5">
        <v>7.1900000000000006E-2</v>
      </c>
      <c r="F88" s="14"/>
    </row>
    <row r="89" spans="1:6" x14ac:dyDescent="0.25">
      <c r="A89" s="5" t="s">
        <v>323</v>
      </c>
      <c r="B89" s="5">
        <v>54</v>
      </c>
      <c r="C89" s="5">
        <v>59</v>
      </c>
      <c r="D89" s="5">
        <v>5.0299999999999997E-2</v>
      </c>
      <c r="E89" s="5">
        <v>0.2293</v>
      </c>
      <c r="F89" s="14"/>
    </row>
    <row r="90" spans="1:6" x14ac:dyDescent="0.25">
      <c r="A90" s="5" t="s">
        <v>324</v>
      </c>
      <c r="B90" s="5">
        <v>56</v>
      </c>
      <c r="C90" s="5">
        <v>59</v>
      </c>
      <c r="D90" s="5">
        <v>8.2500000000000004E-2</v>
      </c>
      <c r="E90" s="5">
        <v>0.251</v>
      </c>
      <c r="F90" s="14"/>
    </row>
    <row r="91" spans="1:6" x14ac:dyDescent="0.25">
      <c r="A91" s="5" t="s">
        <v>325</v>
      </c>
      <c r="B91" s="5">
        <v>56</v>
      </c>
      <c r="C91" s="5">
        <v>59</v>
      </c>
      <c r="D91" s="5">
        <v>8.0299999999999996E-2</v>
      </c>
      <c r="E91" s="5">
        <v>0.23899999999999999</v>
      </c>
      <c r="F91" s="14"/>
    </row>
    <row r="92" spans="1:6" x14ac:dyDescent="0.25">
      <c r="A92" s="5" t="s">
        <v>326</v>
      </c>
      <c r="B92" s="5">
        <v>55</v>
      </c>
      <c r="C92" s="5">
        <v>59</v>
      </c>
      <c r="D92" s="5">
        <v>4.7390000000000002E-2</v>
      </c>
      <c r="E92" s="5">
        <v>0.21579999999999999</v>
      </c>
      <c r="F92" s="14"/>
    </row>
    <row r="93" spans="1:6" x14ac:dyDescent="0.25">
      <c r="A93" s="5" t="s">
        <v>327</v>
      </c>
      <c r="B93" s="5">
        <v>59</v>
      </c>
      <c r="C93" s="5">
        <v>60</v>
      </c>
      <c r="D93" s="5">
        <v>3.1699999999999999E-2</v>
      </c>
      <c r="E93" s="5">
        <v>0.14499999999999999</v>
      </c>
      <c r="F93" s="14"/>
    </row>
    <row r="94" spans="1:6" x14ac:dyDescent="0.25">
      <c r="A94" s="5" t="s">
        <v>328</v>
      </c>
      <c r="B94" s="5">
        <v>59</v>
      </c>
      <c r="C94" s="5">
        <v>61</v>
      </c>
      <c r="D94" s="5">
        <v>3.2800000000000003E-2</v>
      </c>
      <c r="E94" s="5">
        <v>0.15</v>
      </c>
      <c r="F94" s="14"/>
    </row>
    <row r="95" spans="1:6" x14ac:dyDescent="0.25">
      <c r="A95" s="5" t="s">
        <v>329</v>
      </c>
      <c r="B95" s="5">
        <v>60</v>
      </c>
      <c r="C95" s="5">
        <v>61</v>
      </c>
      <c r="D95" s="5">
        <v>2.64E-3</v>
      </c>
      <c r="E95" s="5">
        <v>1.35E-2</v>
      </c>
      <c r="F95" s="14"/>
    </row>
    <row r="96" spans="1:6" x14ac:dyDescent="0.25">
      <c r="A96" s="5" t="s">
        <v>330</v>
      </c>
      <c r="B96" s="5">
        <v>60</v>
      </c>
      <c r="C96" s="5">
        <v>62</v>
      </c>
      <c r="D96" s="5">
        <v>1.23E-2</v>
      </c>
      <c r="E96" s="5">
        <v>5.6099999999999997E-2</v>
      </c>
      <c r="F96" s="14"/>
    </row>
    <row r="97" spans="1:6" x14ac:dyDescent="0.25">
      <c r="A97" s="5" t="s">
        <v>331</v>
      </c>
      <c r="B97" s="5">
        <v>61</v>
      </c>
      <c r="C97" s="5">
        <v>62</v>
      </c>
      <c r="D97" s="5">
        <v>8.2400000000000008E-3</v>
      </c>
      <c r="E97" s="5">
        <v>3.7600000000000001E-2</v>
      </c>
      <c r="F97" s="14"/>
    </row>
    <row r="98" spans="1:6" x14ac:dyDescent="0.25">
      <c r="A98" s="5" t="s">
        <v>332</v>
      </c>
      <c r="B98" s="5">
        <v>63</v>
      </c>
      <c r="C98" s="5">
        <v>59</v>
      </c>
      <c r="D98" s="5">
        <v>0</v>
      </c>
      <c r="E98" s="5">
        <v>3.8600000000000002E-2</v>
      </c>
      <c r="F98" s="14"/>
    </row>
    <row r="99" spans="1:6" x14ac:dyDescent="0.25">
      <c r="A99" s="5" t="s">
        <v>333</v>
      </c>
      <c r="B99" s="5">
        <v>63</v>
      </c>
      <c r="C99" s="5">
        <v>64</v>
      </c>
      <c r="D99" s="5">
        <v>1.72E-3</v>
      </c>
      <c r="E99" s="5">
        <v>0.02</v>
      </c>
      <c r="F99" s="14"/>
    </row>
    <row r="100" spans="1:6" x14ac:dyDescent="0.25">
      <c r="A100" s="5" t="s">
        <v>334</v>
      </c>
      <c r="B100" s="5">
        <v>64</v>
      </c>
      <c r="C100" s="5">
        <v>61</v>
      </c>
      <c r="D100" s="5">
        <v>0</v>
      </c>
      <c r="E100" s="5">
        <v>2.6800000000000001E-2</v>
      </c>
      <c r="F100" s="14"/>
    </row>
    <row r="101" spans="1:6" x14ac:dyDescent="0.25">
      <c r="A101" s="5" t="s">
        <v>335</v>
      </c>
      <c r="B101" s="5">
        <v>38</v>
      </c>
      <c r="C101" s="5">
        <v>65</v>
      </c>
      <c r="D101" s="5">
        <v>9.0100000000000006E-3</v>
      </c>
      <c r="E101" s="5">
        <v>9.8599999999999993E-2</v>
      </c>
      <c r="F101" s="14"/>
    </row>
    <row r="102" spans="1:6" x14ac:dyDescent="0.25">
      <c r="A102" s="5" t="s">
        <v>336</v>
      </c>
      <c r="B102" s="5">
        <v>64</v>
      </c>
      <c r="C102" s="5">
        <v>65</v>
      </c>
      <c r="D102" s="5">
        <v>2.6900000000000001E-3</v>
      </c>
      <c r="E102" s="5">
        <v>3.0200000000000001E-2</v>
      </c>
      <c r="F102" s="14"/>
    </row>
    <row r="103" spans="1:6" x14ac:dyDescent="0.25">
      <c r="A103" s="5" t="s">
        <v>337</v>
      </c>
      <c r="B103" s="5">
        <v>49</v>
      </c>
      <c r="C103" s="5">
        <v>66</v>
      </c>
      <c r="D103" s="5">
        <v>1.7999999999999999E-2</v>
      </c>
      <c r="E103" s="5">
        <v>9.1899999999999996E-2</v>
      </c>
      <c r="F103" s="14"/>
    </row>
    <row r="104" spans="1:6" x14ac:dyDescent="0.25">
      <c r="A104" s="5" t="s">
        <v>338</v>
      </c>
      <c r="B104" s="5">
        <v>49</v>
      </c>
      <c r="C104" s="5">
        <v>66</v>
      </c>
      <c r="D104" s="5">
        <v>1.7999999999999999E-2</v>
      </c>
      <c r="E104" s="5">
        <v>9.1899999999999996E-2</v>
      </c>
      <c r="F104" s="14"/>
    </row>
    <row r="105" spans="1:6" x14ac:dyDescent="0.25">
      <c r="A105" s="5" t="s">
        <v>339</v>
      </c>
      <c r="B105" s="5">
        <v>62</v>
      </c>
      <c r="C105" s="5">
        <v>66</v>
      </c>
      <c r="D105" s="5">
        <v>4.82E-2</v>
      </c>
      <c r="E105" s="5">
        <v>0.218</v>
      </c>
      <c r="F105" s="14"/>
    </row>
    <row r="106" spans="1:6" x14ac:dyDescent="0.25">
      <c r="A106" s="5" t="s">
        <v>340</v>
      </c>
      <c r="B106" s="5">
        <v>62</v>
      </c>
      <c r="C106" s="5">
        <v>67</v>
      </c>
      <c r="D106" s="5">
        <v>2.58E-2</v>
      </c>
      <c r="E106" s="5">
        <v>0.11700000000000001</v>
      </c>
      <c r="F106" s="14"/>
    </row>
    <row r="107" spans="1:6" x14ac:dyDescent="0.25">
      <c r="A107" s="5" t="s">
        <v>341</v>
      </c>
      <c r="B107" s="5">
        <v>65</v>
      </c>
      <c r="C107" s="5">
        <v>66</v>
      </c>
      <c r="D107" s="5">
        <v>0</v>
      </c>
      <c r="E107" s="5">
        <v>3.6999999999999998E-2</v>
      </c>
      <c r="F107" s="14"/>
    </row>
    <row r="108" spans="1:6" x14ac:dyDescent="0.25">
      <c r="A108" s="5" t="s">
        <v>342</v>
      </c>
      <c r="B108" s="5">
        <v>66</v>
      </c>
      <c r="C108" s="5">
        <v>67</v>
      </c>
      <c r="D108" s="5">
        <v>2.24E-2</v>
      </c>
      <c r="E108" s="5">
        <v>0.10150000000000001</v>
      </c>
      <c r="F108" s="14"/>
    </row>
    <row r="109" spans="1:6" x14ac:dyDescent="0.25">
      <c r="A109" s="5" t="s">
        <v>343</v>
      </c>
      <c r="B109" s="5">
        <v>65</v>
      </c>
      <c r="C109" s="5">
        <v>68</v>
      </c>
      <c r="D109" s="5">
        <v>1.3799999999999999E-3</v>
      </c>
      <c r="E109" s="5">
        <v>1.6E-2</v>
      </c>
      <c r="F109" s="14"/>
    </row>
    <row r="110" spans="1:6" x14ac:dyDescent="0.25">
      <c r="A110" s="5" t="s">
        <v>344</v>
      </c>
      <c r="B110" s="5">
        <v>47</v>
      </c>
      <c r="C110" s="5">
        <v>69</v>
      </c>
      <c r="D110" s="5">
        <v>8.4400000000000003E-2</v>
      </c>
      <c r="E110" s="5">
        <v>0.27779999999999999</v>
      </c>
      <c r="F110" s="14"/>
    </row>
    <row r="111" spans="1:6" x14ac:dyDescent="0.25">
      <c r="A111" s="5" t="s">
        <v>345</v>
      </c>
      <c r="B111" s="5">
        <v>49</v>
      </c>
      <c r="C111" s="5">
        <v>69</v>
      </c>
      <c r="D111" s="5">
        <v>9.8500000000000004E-2</v>
      </c>
      <c r="E111" s="5">
        <v>0.32400000000000001</v>
      </c>
      <c r="F111" s="14"/>
    </row>
    <row r="112" spans="1:6" x14ac:dyDescent="0.25">
      <c r="A112" s="5" t="s">
        <v>346</v>
      </c>
      <c r="B112" s="5">
        <v>68</v>
      </c>
      <c r="C112" s="5">
        <v>69</v>
      </c>
      <c r="D112" s="5">
        <v>0</v>
      </c>
      <c r="E112" s="5">
        <v>3.6999999999999998E-2</v>
      </c>
      <c r="F112" s="14"/>
    </row>
    <row r="113" spans="1:6" x14ac:dyDescent="0.25">
      <c r="A113" s="5" t="s">
        <v>347</v>
      </c>
      <c r="B113" s="5">
        <v>69</v>
      </c>
      <c r="C113" s="5">
        <v>70</v>
      </c>
      <c r="D113" s="5">
        <v>0.03</v>
      </c>
      <c r="E113" s="5">
        <v>0.127</v>
      </c>
      <c r="F113" s="14"/>
    </row>
    <row r="114" spans="1:6" x14ac:dyDescent="0.25">
      <c r="A114" s="5" t="s">
        <v>348</v>
      </c>
      <c r="B114" s="5">
        <v>24</v>
      </c>
      <c r="C114" s="5">
        <v>70</v>
      </c>
      <c r="D114" s="5">
        <v>2.2100000000000002E-3</v>
      </c>
      <c r="E114" s="5">
        <v>0.41149999999999998</v>
      </c>
      <c r="F114" s="14"/>
    </row>
    <row r="115" spans="1:6" x14ac:dyDescent="0.25">
      <c r="A115" s="5" t="s">
        <v>349</v>
      </c>
      <c r="B115" s="5">
        <v>70</v>
      </c>
      <c r="C115" s="5">
        <v>71</v>
      </c>
      <c r="D115" s="5">
        <v>8.8199999999999997E-3</v>
      </c>
      <c r="E115" s="5">
        <v>3.5499999999999997E-2</v>
      </c>
      <c r="F115" s="14"/>
    </row>
    <row r="116" spans="1:6" x14ac:dyDescent="0.25">
      <c r="A116" s="5" t="s">
        <v>350</v>
      </c>
      <c r="B116" s="5">
        <v>24</v>
      </c>
      <c r="C116" s="5">
        <v>72</v>
      </c>
      <c r="D116" s="5">
        <v>4.8800000000000003E-2</v>
      </c>
      <c r="E116" s="5">
        <v>0.19600000000000001</v>
      </c>
      <c r="F116" s="14"/>
    </row>
    <row r="117" spans="1:6" x14ac:dyDescent="0.25">
      <c r="A117" s="5" t="s">
        <v>351</v>
      </c>
      <c r="B117" s="5">
        <v>71</v>
      </c>
      <c r="C117" s="5">
        <v>72</v>
      </c>
      <c r="D117" s="5">
        <v>4.4600000000000001E-2</v>
      </c>
      <c r="E117" s="5">
        <v>0.18</v>
      </c>
      <c r="F117" s="14"/>
    </row>
    <row r="118" spans="1:6" x14ac:dyDescent="0.25">
      <c r="A118" s="5" t="s">
        <v>352</v>
      </c>
      <c r="B118" s="5">
        <v>71</v>
      </c>
      <c r="C118" s="5">
        <v>73</v>
      </c>
      <c r="D118" s="5">
        <v>8.6599999999999993E-3</v>
      </c>
      <c r="E118" s="5">
        <v>4.5400000000000003E-2</v>
      </c>
      <c r="F118" s="14"/>
    </row>
    <row r="119" spans="1:6" x14ac:dyDescent="0.25">
      <c r="A119" s="5" t="s">
        <v>353</v>
      </c>
      <c r="B119" s="5">
        <v>70</v>
      </c>
      <c r="C119" s="5">
        <v>74</v>
      </c>
      <c r="D119" s="5">
        <v>4.0099999999999997E-2</v>
      </c>
      <c r="E119" s="5">
        <v>0.1323</v>
      </c>
      <c r="F119" s="14"/>
    </row>
    <row r="120" spans="1:6" x14ac:dyDescent="0.25">
      <c r="A120" s="5" t="s">
        <v>354</v>
      </c>
      <c r="B120" s="5">
        <v>70</v>
      </c>
      <c r="C120" s="5">
        <v>75</v>
      </c>
      <c r="D120" s="5">
        <v>4.2799999999999998E-2</v>
      </c>
      <c r="E120" s="5">
        <v>0.14099999999999999</v>
      </c>
      <c r="F120" s="14"/>
    </row>
    <row r="121" spans="1:6" x14ac:dyDescent="0.25">
      <c r="A121" s="5" t="s">
        <v>355</v>
      </c>
      <c r="B121" s="5">
        <v>69</v>
      </c>
      <c r="C121" s="5">
        <v>75</v>
      </c>
      <c r="D121" s="5">
        <v>4.0500000000000001E-2</v>
      </c>
      <c r="E121" s="5">
        <v>0.122</v>
      </c>
      <c r="F121" s="14"/>
    </row>
    <row r="122" spans="1:6" x14ac:dyDescent="0.25">
      <c r="A122" s="5" t="s">
        <v>356</v>
      </c>
      <c r="B122" s="5">
        <v>74</v>
      </c>
      <c r="C122" s="5">
        <v>75</v>
      </c>
      <c r="D122" s="5">
        <v>1.23E-2</v>
      </c>
      <c r="E122" s="5">
        <v>4.0599999999999997E-2</v>
      </c>
      <c r="F122" s="14"/>
    </row>
    <row r="123" spans="1:6" x14ac:dyDescent="0.25">
      <c r="A123" s="5" t="s">
        <v>357</v>
      </c>
      <c r="B123" s="5">
        <v>76</v>
      </c>
      <c r="C123" s="5">
        <v>77</v>
      </c>
      <c r="D123" s="5">
        <v>4.4400000000000002E-2</v>
      </c>
      <c r="E123" s="5">
        <v>0.14799999999999999</v>
      </c>
      <c r="F123" s="14"/>
    </row>
    <row r="124" spans="1:6" x14ac:dyDescent="0.25">
      <c r="A124" s="5" t="s">
        <v>358</v>
      </c>
      <c r="B124" s="5">
        <v>69</v>
      </c>
      <c r="C124" s="5">
        <v>77</v>
      </c>
      <c r="D124" s="5">
        <v>3.09E-2</v>
      </c>
      <c r="E124" s="5">
        <v>0.10100000000000001</v>
      </c>
      <c r="F124" s="14"/>
    </row>
    <row r="125" spans="1:6" x14ac:dyDescent="0.25">
      <c r="A125" s="5" t="s">
        <v>359</v>
      </c>
      <c r="B125" s="5">
        <v>75</v>
      </c>
      <c r="C125" s="5">
        <v>77</v>
      </c>
      <c r="D125" s="5">
        <v>6.0100000000000001E-2</v>
      </c>
      <c r="E125" s="5">
        <v>0.19989999999999999</v>
      </c>
      <c r="F125" s="14"/>
    </row>
    <row r="126" spans="1:6" x14ac:dyDescent="0.25">
      <c r="A126" s="5" t="s">
        <v>360</v>
      </c>
      <c r="B126" s="5">
        <v>77</v>
      </c>
      <c r="C126" s="5">
        <v>78</v>
      </c>
      <c r="D126" s="5">
        <v>3.7599999999999999E-3</v>
      </c>
      <c r="E126" s="5">
        <v>1.24E-2</v>
      </c>
      <c r="F126" s="14"/>
    </row>
    <row r="127" spans="1:6" x14ac:dyDescent="0.25">
      <c r="A127" s="5" t="s">
        <v>361</v>
      </c>
      <c r="B127" s="5">
        <v>78</v>
      </c>
      <c r="C127" s="5">
        <v>79</v>
      </c>
      <c r="D127" s="5">
        <v>5.4599999999999996E-3</v>
      </c>
      <c r="E127" s="5">
        <v>2.4400000000000002E-2</v>
      </c>
      <c r="F127" s="14"/>
    </row>
    <row r="128" spans="1:6" x14ac:dyDescent="0.25">
      <c r="A128" s="5" t="s">
        <v>362</v>
      </c>
      <c r="B128" s="5">
        <v>77</v>
      </c>
      <c r="C128" s="5">
        <v>80</v>
      </c>
      <c r="D128" s="5">
        <v>1.7000000000000001E-2</v>
      </c>
      <c r="E128" s="5">
        <v>4.8500000000000001E-2</v>
      </c>
      <c r="F128" s="14"/>
    </row>
    <row r="129" spans="1:6" x14ac:dyDescent="0.25">
      <c r="A129" s="5" t="s">
        <v>363</v>
      </c>
      <c r="B129" s="5">
        <v>77</v>
      </c>
      <c r="C129" s="5">
        <v>80</v>
      </c>
      <c r="D129" s="5">
        <v>2.9399999999999999E-2</v>
      </c>
      <c r="E129" s="5">
        <v>0.105</v>
      </c>
      <c r="F129" s="14"/>
    </row>
    <row r="130" spans="1:6" x14ac:dyDescent="0.25">
      <c r="A130" s="5" t="s">
        <v>364</v>
      </c>
      <c r="B130" s="5">
        <v>79</v>
      </c>
      <c r="C130" s="5">
        <v>80</v>
      </c>
      <c r="D130" s="5">
        <v>1.5599999999999999E-2</v>
      </c>
      <c r="E130" s="5">
        <v>7.0400000000000004E-2</v>
      </c>
      <c r="F130" s="14"/>
    </row>
    <row r="131" spans="1:6" x14ac:dyDescent="0.25">
      <c r="A131" s="5" t="s">
        <v>365</v>
      </c>
      <c r="B131" s="5">
        <v>68</v>
      </c>
      <c r="C131" s="5">
        <v>81</v>
      </c>
      <c r="D131" s="5">
        <v>1.75E-3</v>
      </c>
      <c r="E131" s="5">
        <v>2.0199999999999999E-2</v>
      </c>
      <c r="F131" s="14"/>
    </row>
    <row r="132" spans="1:6" x14ac:dyDescent="0.25">
      <c r="A132" s="5" t="s">
        <v>366</v>
      </c>
      <c r="B132" s="5">
        <v>81</v>
      </c>
      <c r="C132" s="5">
        <v>80</v>
      </c>
      <c r="D132" s="5">
        <v>0</v>
      </c>
      <c r="E132" s="5">
        <v>3.6999999999999998E-2</v>
      </c>
      <c r="F132" s="14"/>
    </row>
    <row r="133" spans="1:6" x14ac:dyDescent="0.25">
      <c r="A133" s="5" t="s">
        <v>367</v>
      </c>
      <c r="B133" s="5">
        <v>77</v>
      </c>
      <c r="C133" s="5">
        <v>82</v>
      </c>
      <c r="D133" s="5">
        <v>2.98E-2</v>
      </c>
      <c r="E133" s="5">
        <v>8.5300000000000001E-2</v>
      </c>
      <c r="F133" s="14"/>
    </row>
    <row r="134" spans="1:6" x14ac:dyDescent="0.25">
      <c r="A134" s="5" t="s">
        <v>368</v>
      </c>
      <c r="B134" s="5">
        <v>82</v>
      </c>
      <c r="C134" s="5">
        <v>83</v>
      </c>
      <c r="D134" s="5">
        <v>1.12E-2</v>
      </c>
      <c r="E134" s="5">
        <v>3.6650000000000002E-2</v>
      </c>
      <c r="F134" s="14"/>
    </row>
    <row r="135" spans="1:6" x14ac:dyDescent="0.25">
      <c r="A135" s="5" t="s">
        <v>369</v>
      </c>
      <c r="B135" s="5">
        <v>83</v>
      </c>
      <c r="C135" s="5">
        <v>84</v>
      </c>
      <c r="D135" s="5">
        <v>6.25E-2</v>
      </c>
      <c r="E135" s="5">
        <v>0.13200000000000001</v>
      </c>
      <c r="F135" s="14"/>
    </row>
    <row r="136" spans="1:6" x14ac:dyDescent="0.25">
      <c r="A136" s="5" t="s">
        <v>370</v>
      </c>
      <c r="B136" s="5">
        <v>83</v>
      </c>
      <c r="C136" s="5">
        <v>85</v>
      </c>
      <c r="D136" s="5">
        <v>4.2999999999999997E-2</v>
      </c>
      <c r="E136" s="5">
        <v>0.14799999999999999</v>
      </c>
      <c r="F136" s="14"/>
    </row>
    <row r="137" spans="1:6" x14ac:dyDescent="0.25">
      <c r="A137" s="5" t="s">
        <v>371</v>
      </c>
      <c r="B137" s="5">
        <v>84</v>
      </c>
      <c r="C137" s="5">
        <v>85</v>
      </c>
      <c r="D137" s="5">
        <v>3.0200000000000001E-2</v>
      </c>
      <c r="E137" s="5">
        <v>6.4100000000000004E-2</v>
      </c>
      <c r="F137" s="14"/>
    </row>
    <row r="138" spans="1:6" x14ac:dyDescent="0.25">
      <c r="A138" s="5" t="s">
        <v>372</v>
      </c>
      <c r="B138" s="5">
        <v>85</v>
      </c>
      <c r="C138" s="5">
        <v>86</v>
      </c>
      <c r="D138" s="5">
        <v>3.5000000000000003E-2</v>
      </c>
      <c r="E138" s="5">
        <v>0.123</v>
      </c>
      <c r="F138" s="14"/>
    </row>
    <row r="139" spans="1:6" x14ac:dyDescent="0.25">
      <c r="A139" s="5" t="s">
        <v>373</v>
      </c>
      <c r="B139" s="5">
        <v>86</v>
      </c>
      <c r="C139" s="5">
        <v>87</v>
      </c>
      <c r="D139" s="5">
        <v>2.828E-2</v>
      </c>
      <c r="E139" s="5">
        <v>0.2074</v>
      </c>
      <c r="F139" s="14"/>
    </row>
    <row r="140" spans="1:6" x14ac:dyDescent="0.25">
      <c r="A140" s="5" t="s">
        <v>374</v>
      </c>
      <c r="B140" s="5">
        <v>85</v>
      </c>
      <c r="C140" s="5">
        <v>88</v>
      </c>
      <c r="D140" s="5">
        <v>0.02</v>
      </c>
      <c r="E140" s="5">
        <v>0.10199999999999999</v>
      </c>
      <c r="F140" s="14"/>
    </row>
    <row r="141" spans="1:6" x14ac:dyDescent="0.25">
      <c r="A141" s="5" t="s">
        <v>375</v>
      </c>
      <c r="B141" s="5">
        <v>85</v>
      </c>
      <c r="C141" s="5">
        <v>89</v>
      </c>
      <c r="D141" s="5">
        <v>2.3900000000000001E-2</v>
      </c>
      <c r="E141" s="5">
        <v>0.17299999999999999</v>
      </c>
      <c r="F141" s="14"/>
    </row>
    <row r="142" spans="1:6" x14ac:dyDescent="0.25">
      <c r="A142" s="5" t="s">
        <v>376</v>
      </c>
      <c r="B142" s="5">
        <v>88</v>
      </c>
      <c r="C142" s="5">
        <v>89</v>
      </c>
      <c r="D142" s="5">
        <v>1.3899999999999999E-2</v>
      </c>
      <c r="E142" s="5">
        <v>7.1199999999999999E-2</v>
      </c>
      <c r="F142" s="14"/>
    </row>
    <row r="143" spans="1:6" x14ac:dyDescent="0.25">
      <c r="A143" s="5" t="s">
        <v>377</v>
      </c>
      <c r="B143" s="5">
        <v>89</v>
      </c>
      <c r="C143" s="5">
        <v>90</v>
      </c>
      <c r="D143" s="5">
        <v>5.1799999999999999E-2</v>
      </c>
      <c r="E143" s="5">
        <v>0.188</v>
      </c>
      <c r="F143" s="14"/>
    </row>
    <row r="144" spans="1:6" x14ac:dyDescent="0.25">
      <c r="A144" s="5" t="s">
        <v>378</v>
      </c>
      <c r="B144" s="5">
        <v>89</v>
      </c>
      <c r="C144" s="5">
        <v>90</v>
      </c>
      <c r="D144" s="5">
        <v>2.3800000000000002E-2</v>
      </c>
      <c r="E144" s="5">
        <v>9.9699999999999997E-2</v>
      </c>
      <c r="F144" s="14"/>
    </row>
    <row r="145" spans="1:6" x14ac:dyDescent="0.25">
      <c r="A145" s="5" t="s">
        <v>379</v>
      </c>
      <c r="B145" s="5">
        <v>90</v>
      </c>
      <c r="C145" s="5">
        <v>91</v>
      </c>
      <c r="D145" s="5">
        <v>2.5399999999999999E-2</v>
      </c>
      <c r="E145" s="5">
        <v>8.3599999999999994E-2</v>
      </c>
      <c r="F145" s="14"/>
    </row>
    <row r="146" spans="1:6" x14ac:dyDescent="0.25">
      <c r="A146" s="5" t="s">
        <v>380</v>
      </c>
      <c r="B146" s="5">
        <v>89</v>
      </c>
      <c r="C146" s="5">
        <v>92</v>
      </c>
      <c r="D146" s="5">
        <v>9.9000000000000008E-3</v>
      </c>
      <c r="E146" s="5">
        <v>5.0500000000000003E-2</v>
      </c>
      <c r="F146" s="14"/>
    </row>
    <row r="147" spans="1:6" x14ac:dyDescent="0.25">
      <c r="A147" s="5" t="s">
        <v>381</v>
      </c>
      <c r="B147" s="5">
        <v>89</v>
      </c>
      <c r="C147" s="5">
        <v>92</v>
      </c>
      <c r="D147" s="5">
        <v>3.9300000000000002E-2</v>
      </c>
      <c r="E147" s="5">
        <v>0.15809999999999999</v>
      </c>
      <c r="F147" s="14"/>
    </row>
    <row r="148" spans="1:6" x14ac:dyDescent="0.25">
      <c r="A148" s="5" t="s">
        <v>382</v>
      </c>
      <c r="B148" s="5">
        <v>91</v>
      </c>
      <c r="C148" s="5">
        <v>92</v>
      </c>
      <c r="D148" s="5">
        <v>3.8699999999999998E-2</v>
      </c>
      <c r="E148" s="5">
        <v>0.12720000000000001</v>
      </c>
      <c r="F148" s="14"/>
    </row>
    <row r="149" spans="1:6" x14ac:dyDescent="0.25">
      <c r="A149" s="5" t="s">
        <v>383</v>
      </c>
      <c r="B149" s="5">
        <v>92</v>
      </c>
      <c r="C149" s="5">
        <v>93</v>
      </c>
      <c r="D149" s="5">
        <v>2.58E-2</v>
      </c>
      <c r="E149" s="5">
        <v>8.48E-2</v>
      </c>
      <c r="F149" s="14"/>
    </row>
    <row r="150" spans="1:6" x14ac:dyDescent="0.25">
      <c r="A150" s="5" t="s">
        <v>384</v>
      </c>
      <c r="B150" s="5">
        <v>92</v>
      </c>
      <c r="C150" s="5">
        <v>94</v>
      </c>
      <c r="D150" s="5">
        <v>4.8099999999999997E-2</v>
      </c>
      <c r="E150" s="5">
        <v>0.158</v>
      </c>
      <c r="F150" s="14"/>
    </row>
    <row r="151" spans="1:6" x14ac:dyDescent="0.25">
      <c r="A151" s="5" t="s">
        <v>385</v>
      </c>
      <c r="B151" s="5">
        <v>93</v>
      </c>
      <c r="C151" s="5">
        <v>94</v>
      </c>
      <c r="D151" s="5">
        <v>2.23E-2</v>
      </c>
      <c r="E151" s="5">
        <v>7.3200000000000001E-2</v>
      </c>
      <c r="F151" s="14"/>
    </row>
    <row r="152" spans="1:6" x14ac:dyDescent="0.25">
      <c r="A152" s="5" t="s">
        <v>386</v>
      </c>
      <c r="B152" s="5">
        <v>94</v>
      </c>
      <c r="C152" s="5">
        <v>95</v>
      </c>
      <c r="D152" s="5">
        <v>1.32E-2</v>
      </c>
      <c r="E152" s="5">
        <v>4.3400000000000001E-2</v>
      </c>
      <c r="F152" s="14"/>
    </row>
    <row r="153" spans="1:6" x14ac:dyDescent="0.25">
      <c r="A153" s="5" t="s">
        <v>387</v>
      </c>
      <c r="B153" s="5">
        <v>80</v>
      </c>
      <c r="C153" s="5">
        <v>96</v>
      </c>
      <c r="D153" s="5">
        <v>3.56E-2</v>
      </c>
      <c r="E153" s="5">
        <v>0.182</v>
      </c>
      <c r="F153" s="14"/>
    </row>
    <row r="154" spans="1:6" x14ac:dyDescent="0.25">
      <c r="A154" s="5" t="s">
        <v>388</v>
      </c>
      <c r="B154" s="5">
        <v>82</v>
      </c>
      <c r="C154" s="5">
        <v>96</v>
      </c>
      <c r="D154" s="5">
        <v>1.6199999999999999E-2</v>
      </c>
      <c r="E154" s="5">
        <v>5.2999999999999999E-2</v>
      </c>
      <c r="F154" s="14"/>
    </row>
    <row r="155" spans="1:6" x14ac:dyDescent="0.25">
      <c r="A155" s="5" t="s">
        <v>389</v>
      </c>
      <c r="B155" s="5">
        <v>94</v>
      </c>
      <c r="C155" s="5">
        <v>96</v>
      </c>
      <c r="D155" s="5">
        <v>2.69E-2</v>
      </c>
      <c r="E155" s="5">
        <v>8.6900000000000005E-2</v>
      </c>
      <c r="F155" s="14"/>
    </row>
    <row r="156" spans="1:6" x14ac:dyDescent="0.25">
      <c r="A156" s="5" t="s">
        <v>390</v>
      </c>
      <c r="B156" s="5">
        <v>80</v>
      </c>
      <c r="C156" s="5">
        <v>97</v>
      </c>
      <c r="D156" s="5">
        <v>1.83E-2</v>
      </c>
      <c r="E156" s="5">
        <v>9.3399999999999997E-2</v>
      </c>
      <c r="F156" s="14"/>
    </row>
    <row r="157" spans="1:6" x14ac:dyDescent="0.25">
      <c r="A157" s="5" t="s">
        <v>391</v>
      </c>
      <c r="B157" s="5">
        <v>80</v>
      </c>
      <c r="C157" s="5">
        <v>98</v>
      </c>
      <c r="D157" s="5">
        <v>2.3800000000000002E-2</v>
      </c>
      <c r="E157" s="5">
        <v>0.108</v>
      </c>
      <c r="F157" s="14"/>
    </row>
    <row r="158" spans="1:6" x14ac:dyDescent="0.25">
      <c r="A158" s="5" t="s">
        <v>392</v>
      </c>
      <c r="B158" s="5">
        <v>80</v>
      </c>
      <c r="C158" s="5">
        <v>99</v>
      </c>
      <c r="D158" s="5">
        <v>4.5400000000000003E-2</v>
      </c>
      <c r="E158" s="5">
        <v>0.20599999999999999</v>
      </c>
      <c r="F158" s="14"/>
    </row>
    <row r="159" spans="1:6" x14ac:dyDescent="0.25">
      <c r="A159" s="5" t="s">
        <v>393</v>
      </c>
      <c r="B159" s="5">
        <v>92</v>
      </c>
      <c r="C159" s="5">
        <v>100</v>
      </c>
      <c r="D159" s="5">
        <v>6.4799999999999996E-2</v>
      </c>
      <c r="E159" s="5">
        <v>0.29499999999999998</v>
      </c>
      <c r="F159" s="14"/>
    </row>
    <row r="160" spans="1:6" x14ac:dyDescent="0.25">
      <c r="A160" s="5" t="s">
        <v>394</v>
      </c>
      <c r="B160" s="5">
        <v>94</v>
      </c>
      <c r="C160" s="5">
        <v>100</v>
      </c>
      <c r="D160" s="5">
        <v>1.78E-2</v>
      </c>
      <c r="E160" s="5">
        <v>5.8000000000000003E-2</v>
      </c>
      <c r="F160" s="14"/>
    </row>
    <row r="161" spans="1:6" x14ac:dyDescent="0.25">
      <c r="A161" s="5" t="s">
        <v>395</v>
      </c>
      <c r="B161" s="5">
        <v>95</v>
      </c>
      <c r="C161" s="5">
        <v>96</v>
      </c>
      <c r="D161" s="5">
        <v>1.7100000000000001E-2</v>
      </c>
      <c r="E161" s="5">
        <v>5.4699999999999999E-2</v>
      </c>
      <c r="F161" s="14"/>
    </row>
    <row r="162" spans="1:6" x14ac:dyDescent="0.25">
      <c r="A162" s="5" t="s">
        <v>396</v>
      </c>
      <c r="B162" s="5">
        <v>96</v>
      </c>
      <c r="C162" s="5">
        <v>97</v>
      </c>
      <c r="D162" s="5">
        <v>1.7299999999999999E-2</v>
      </c>
      <c r="E162" s="5">
        <v>8.8499999999999995E-2</v>
      </c>
      <c r="F162" s="14"/>
    </row>
    <row r="163" spans="1:6" x14ac:dyDescent="0.25">
      <c r="A163" s="5" t="s">
        <v>397</v>
      </c>
      <c r="B163" s="5">
        <v>98</v>
      </c>
      <c r="C163" s="5">
        <v>100</v>
      </c>
      <c r="D163" s="5">
        <v>3.9699999999999999E-2</v>
      </c>
      <c r="E163" s="5">
        <v>0.17899999999999999</v>
      </c>
      <c r="F163" s="14"/>
    </row>
    <row r="164" spans="1:6" x14ac:dyDescent="0.25">
      <c r="A164" s="5" t="s">
        <v>398</v>
      </c>
      <c r="B164" s="5">
        <v>99</v>
      </c>
      <c r="C164" s="5">
        <v>100</v>
      </c>
      <c r="D164" s="5">
        <v>1.7999999999999999E-2</v>
      </c>
      <c r="E164" s="5">
        <v>8.1299999999999997E-2</v>
      </c>
      <c r="F164" s="14"/>
    </row>
    <row r="165" spans="1:6" x14ac:dyDescent="0.25">
      <c r="A165" s="5" t="s">
        <v>399</v>
      </c>
      <c r="B165" s="5">
        <v>100</v>
      </c>
      <c r="C165" s="5">
        <v>101</v>
      </c>
      <c r="D165" s="5">
        <v>2.7699999999999999E-2</v>
      </c>
      <c r="E165" s="5">
        <v>0.12620000000000001</v>
      </c>
      <c r="F165" s="14"/>
    </row>
    <row r="166" spans="1:6" x14ac:dyDescent="0.25">
      <c r="A166" s="5" t="s">
        <v>400</v>
      </c>
      <c r="B166" s="5">
        <v>92</v>
      </c>
      <c r="C166" s="5">
        <v>102</v>
      </c>
      <c r="D166" s="5">
        <v>1.23E-2</v>
      </c>
      <c r="E166" s="5">
        <v>5.5899999999999998E-2</v>
      </c>
      <c r="F166" s="14"/>
    </row>
    <row r="167" spans="1:6" x14ac:dyDescent="0.25">
      <c r="A167" s="5" t="s">
        <v>401</v>
      </c>
      <c r="B167" s="5">
        <v>101</v>
      </c>
      <c r="C167" s="5">
        <v>102</v>
      </c>
      <c r="D167" s="5">
        <v>2.46E-2</v>
      </c>
      <c r="E167" s="5">
        <v>0.112</v>
      </c>
      <c r="F167" s="14"/>
    </row>
    <row r="168" spans="1:6" x14ac:dyDescent="0.25">
      <c r="A168" s="5" t="s">
        <v>402</v>
      </c>
      <c r="B168" s="5">
        <v>100</v>
      </c>
      <c r="C168" s="5">
        <v>103</v>
      </c>
      <c r="D168" s="5">
        <v>1.6E-2</v>
      </c>
      <c r="E168" s="5">
        <v>5.2499999999999998E-2</v>
      </c>
      <c r="F168" s="14"/>
    </row>
    <row r="169" spans="1:6" x14ac:dyDescent="0.25">
      <c r="A169" s="5" t="s">
        <v>403</v>
      </c>
      <c r="B169" s="5">
        <v>100</v>
      </c>
      <c r="C169" s="5">
        <v>104</v>
      </c>
      <c r="D169" s="5">
        <v>4.5100000000000001E-2</v>
      </c>
      <c r="E169" s="5">
        <v>0.20399999999999999</v>
      </c>
      <c r="F169" s="14"/>
    </row>
    <row r="170" spans="1:6" x14ac:dyDescent="0.25">
      <c r="A170" s="5" t="s">
        <v>404</v>
      </c>
      <c r="B170" s="5">
        <v>103</v>
      </c>
      <c r="C170" s="5">
        <v>104</v>
      </c>
      <c r="D170" s="5">
        <v>4.6600000000000003E-2</v>
      </c>
      <c r="E170" s="5">
        <v>0.15840000000000001</v>
      </c>
      <c r="F170" s="14"/>
    </row>
    <row r="171" spans="1:6" x14ac:dyDescent="0.25">
      <c r="A171" s="5" t="s">
        <v>405</v>
      </c>
      <c r="B171" s="5">
        <v>103</v>
      </c>
      <c r="C171" s="5">
        <v>105</v>
      </c>
      <c r="D171" s="5">
        <v>5.3499999999999999E-2</v>
      </c>
      <c r="E171" s="5">
        <v>0.16250000000000001</v>
      </c>
      <c r="F171" s="14"/>
    </row>
    <row r="172" spans="1:6" x14ac:dyDescent="0.25">
      <c r="A172" s="5" t="s">
        <v>406</v>
      </c>
      <c r="B172" s="5">
        <v>100</v>
      </c>
      <c r="C172" s="5">
        <v>106</v>
      </c>
      <c r="D172" s="5">
        <v>6.0499999999999998E-2</v>
      </c>
      <c r="E172" s="5">
        <v>0.22900000000000001</v>
      </c>
      <c r="F172" s="14"/>
    </row>
    <row r="173" spans="1:6" x14ac:dyDescent="0.25">
      <c r="A173" s="5" t="s">
        <v>407</v>
      </c>
      <c r="B173" s="5">
        <v>104</v>
      </c>
      <c r="C173" s="5">
        <v>105</v>
      </c>
      <c r="D173" s="5">
        <v>9.9399999999999992E-3</v>
      </c>
      <c r="E173" s="5">
        <v>3.78E-2</v>
      </c>
      <c r="F173" s="14"/>
    </row>
    <row r="174" spans="1:6" x14ac:dyDescent="0.25">
      <c r="A174" s="5" t="s">
        <v>408</v>
      </c>
      <c r="B174" s="5">
        <v>105</v>
      </c>
      <c r="C174" s="5">
        <v>106</v>
      </c>
      <c r="D174" s="5">
        <v>1.4E-2</v>
      </c>
      <c r="E174" s="5">
        <v>5.4699999999999999E-2</v>
      </c>
      <c r="F174" s="14"/>
    </row>
    <row r="175" spans="1:6" x14ac:dyDescent="0.25">
      <c r="A175" s="5" t="s">
        <v>409</v>
      </c>
      <c r="B175" s="5">
        <v>105</v>
      </c>
      <c r="C175" s="5">
        <v>107</v>
      </c>
      <c r="D175" s="5">
        <v>5.2999999999999999E-2</v>
      </c>
      <c r="E175" s="5">
        <v>0.183</v>
      </c>
      <c r="F175" s="14"/>
    </row>
    <row r="176" spans="1:6" x14ac:dyDescent="0.25">
      <c r="A176" s="5" t="s">
        <v>410</v>
      </c>
      <c r="B176" s="5">
        <v>105</v>
      </c>
      <c r="C176" s="5">
        <v>108</v>
      </c>
      <c r="D176" s="5">
        <v>2.6100000000000002E-2</v>
      </c>
      <c r="E176" s="5">
        <v>7.0300000000000001E-2</v>
      </c>
      <c r="F176" s="14"/>
    </row>
    <row r="177" spans="1:6" x14ac:dyDescent="0.25">
      <c r="A177" s="5" t="s">
        <v>411</v>
      </c>
      <c r="B177" s="5">
        <v>106</v>
      </c>
      <c r="C177" s="5">
        <v>107</v>
      </c>
      <c r="D177" s="5">
        <v>5.2999999999999999E-2</v>
      </c>
      <c r="E177" s="5">
        <v>0.183</v>
      </c>
      <c r="F177" s="14"/>
    </row>
    <row r="178" spans="1:6" x14ac:dyDescent="0.25">
      <c r="A178" s="5" t="s">
        <v>412</v>
      </c>
      <c r="B178" s="5">
        <v>108</v>
      </c>
      <c r="C178" s="5">
        <v>109</v>
      </c>
      <c r="D178" s="5">
        <v>1.0500000000000001E-2</v>
      </c>
      <c r="E178" s="5">
        <v>2.8799999999999999E-2</v>
      </c>
      <c r="F178" s="14"/>
    </row>
    <row r="179" spans="1:6" x14ac:dyDescent="0.25">
      <c r="A179" s="5" t="s">
        <v>413</v>
      </c>
      <c r="B179" s="5">
        <v>103</v>
      </c>
      <c r="C179" s="5">
        <v>110</v>
      </c>
      <c r="D179" s="5">
        <v>3.9059999999999997E-2</v>
      </c>
      <c r="E179" s="5">
        <v>0.18129999999999999</v>
      </c>
      <c r="F179" s="14"/>
    </row>
    <row r="180" spans="1:6" x14ac:dyDescent="0.25">
      <c r="A180" s="5" t="s">
        <v>414</v>
      </c>
      <c r="B180" s="5">
        <v>109</v>
      </c>
      <c r="C180" s="5">
        <v>110</v>
      </c>
      <c r="D180" s="5">
        <v>2.7799999999999998E-2</v>
      </c>
      <c r="E180" s="5">
        <v>7.6200000000000004E-2</v>
      </c>
      <c r="F180" s="14"/>
    </row>
    <row r="181" spans="1:6" x14ac:dyDescent="0.25">
      <c r="A181" s="5" t="s">
        <v>415</v>
      </c>
      <c r="B181" s="5">
        <v>110</v>
      </c>
      <c r="C181" s="5">
        <v>111</v>
      </c>
      <c r="D181" s="5">
        <v>2.1999999999999999E-2</v>
      </c>
      <c r="E181" s="5">
        <v>7.5499999999999998E-2</v>
      </c>
      <c r="F181" s="14"/>
    </row>
    <row r="182" spans="1:6" x14ac:dyDescent="0.25">
      <c r="A182" s="5" t="s">
        <v>416</v>
      </c>
      <c r="B182" s="5">
        <v>110</v>
      </c>
      <c r="C182" s="5">
        <v>112</v>
      </c>
      <c r="D182" s="5">
        <v>2.47E-2</v>
      </c>
      <c r="E182" s="5">
        <v>6.4000000000000001E-2</v>
      </c>
      <c r="F182" s="14"/>
    </row>
    <row r="183" spans="1:6" x14ac:dyDescent="0.25">
      <c r="A183" s="5" t="s">
        <v>417</v>
      </c>
      <c r="B183" s="5">
        <v>17</v>
      </c>
      <c r="C183" s="5">
        <v>113</v>
      </c>
      <c r="D183" s="5">
        <v>9.1299999999999992E-3</v>
      </c>
      <c r="E183" s="5">
        <v>3.0099999999999998E-2</v>
      </c>
      <c r="F183" s="14"/>
    </row>
    <row r="184" spans="1:6" x14ac:dyDescent="0.25">
      <c r="A184" s="5" t="s">
        <v>418</v>
      </c>
      <c r="B184" s="5">
        <v>32</v>
      </c>
      <c r="C184" s="5">
        <v>113</v>
      </c>
      <c r="D184" s="5">
        <v>6.1499999999999999E-2</v>
      </c>
      <c r="E184" s="5">
        <v>0.20300000000000001</v>
      </c>
      <c r="F184" s="14"/>
    </row>
    <row r="185" spans="1:6" x14ac:dyDescent="0.25">
      <c r="A185" s="5" t="s">
        <v>419</v>
      </c>
      <c r="B185" s="5">
        <v>32</v>
      </c>
      <c r="C185" s="5">
        <v>114</v>
      </c>
      <c r="D185" s="5">
        <v>1.35E-2</v>
      </c>
      <c r="E185" s="5">
        <v>6.1199999999999997E-2</v>
      </c>
      <c r="F185" s="14"/>
    </row>
    <row r="186" spans="1:6" x14ac:dyDescent="0.25">
      <c r="A186" s="5" t="s">
        <v>420</v>
      </c>
      <c r="B186" s="5">
        <v>27</v>
      </c>
      <c r="C186" s="5">
        <v>115</v>
      </c>
      <c r="D186" s="5">
        <v>1.6400000000000001E-2</v>
      </c>
      <c r="E186" s="5">
        <v>7.4099999999999999E-2</v>
      </c>
      <c r="F186" s="14"/>
    </row>
    <row r="187" spans="1:6" x14ac:dyDescent="0.25">
      <c r="A187" s="5" t="s">
        <v>421</v>
      </c>
      <c r="B187" s="5">
        <v>114</v>
      </c>
      <c r="C187" s="5">
        <v>115</v>
      </c>
      <c r="D187" s="5">
        <v>2.3E-3</v>
      </c>
      <c r="E187" s="5">
        <v>1.04E-2</v>
      </c>
      <c r="F187" s="14"/>
    </row>
    <row r="188" spans="1:6" x14ac:dyDescent="0.25">
      <c r="A188" s="5" t="s">
        <v>422</v>
      </c>
      <c r="B188" s="5">
        <v>68</v>
      </c>
      <c r="C188" s="5">
        <v>116</v>
      </c>
      <c r="D188" s="5">
        <v>3.4000000000000002E-4</v>
      </c>
      <c r="E188" s="5">
        <v>4.0499999999999998E-3</v>
      </c>
      <c r="F188" s="14"/>
    </row>
    <row r="189" spans="1:6" x14ac:dyDescent="0.25">
      <c r="A189" s="5" t="s">
        <v>423</v>
      </c>
      <c r="B189" s="5">
        <v>12</v>
      </c>
      <c r="C189" s="5">
        <v>117</v>
      </c>
      <c r="D189" s="5">
        <v>3.2899999999999999E-2</v>
      </c>
      <c r="E189" s="5">
        <v>0.14000000000000001</v>
      </c>
      <c r="F189" s="14"/>
    </row>
    <row r="190" spans="1:6" x14ac:dyDescent="0.25">
      <c r="A190" s="5" t="s">
        <v>424</v>
      </c>
      <c r="B190" s="5">
        <v>75</v>
      </c>
      <c r="C190" s="5">
        <v>118</v>
      </c>
      <c r="D190" s="5">
        <v>1.4500000000000001E-2</v>
      </c>
      <c r="E190" s="5">
        <v>4.8099999999999997E-2</v>
      </c>
      <c r="F190" s="14"/>
    </row>
    <row r="191" spans="1:6" x14ac:dyDescent="0.25">
      <c r="A191" s="5" t="s">
        <v>425</v>
      </c>
      <c r="B191" s="5">
        <v>76</v>
      </c>
      <c r="C191" s="5">
        <v>118</v>
      </c>
      <c r="D191" s="5">
        <v>1.6400000000000001E-2</v>
      </c>
      <c r="E191" s="5">
        <v>5.4399999999999997E-2</v>
      </c>
      <c r="F191" s="14"/>
    </row>
  </sheetData>
  <phoneticPr fontId="7"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5"/>
  <sheetViews>
    <sheetView workbookViewId="0">
      <selection activeCell="B9" sqref="B9"/>
    </sheetView>
  </sheetViews>
  <sheetFormatPr defaultRowHeight="15" x14ac:dyDescent="0.25"/>
  <cols>
    <col min="1" max="7" width="16" customWidth="1"/>
  </cols>
  <sheetData>
    <row r="1" spans="1:7" ht="18.75" x14ac:dyDescent="0.3">
      <c r="A1" s="1" t="s">
        <v>53</v>
      </c>
    </row>
    <row r="2" spans="1:7" x14ac:dyDescent="0.25">
      <c r="A2" s="2" t="s">
        <v>54</v>
      </c>
    </row>
    <row r="4" spans="1:7" x14ac:dyDescent="0.25">
      <c r="A4" s="3" t="s">
        <v>36</v>
      </c>
      <c r="B4" s="3" t="s">
        <v>46</v>
      </c>
      <c r="C4" s="3" t="s">
        <v>47</v>
      </c>
      <c r="D4" s="3" t="s">
        <v>48</v>
      </c>
      <c r="E4" s="3" t="s">
        <v>49</v>
      </c>
      <c r="F4" s="3" t="s">
        <v>50</v>
      </c>
      <c r="G4" s="3" t="s">
        <v>55</v>
      </c>
    </row>
    <row r="5" spans="1:7" x14ac:dyDescent="0.25">
      <c r="A5" s="4"/>
      <c r="B5" s="4" t="s">
        <v>51</v>
      </c>
      <c r="C5" s="4" t="s">
        <v>51</v>
      </c>
      <c r="D5" s="4" t="s">
        <v>52</v>
      </c>
      <c r="E5" s="4" t="s">
        <v>52</v>
      </c>
      <c r="F5" s="4" t="s">
        <v>40</v>
      </c>
      <c r="G5" s="4" t="s">
        <v>56</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M59"/>
  <sheetViews>
    <sheetView workbookViewId="0">
      <selection activeCell="E14" sqref="E14"/>
    </sheetView>
  </sheetViews>
  <sheetFormatPr defaultRowHeight="15" x14ac:dyDescent="0.25"/>
  <cols>
    <col min="1" max="13" width="16" customWidth="1"/>
  </cols>
  <sheetData>
    <row r="1" spans="1:13" ht="18.75" x14ac:dyDescent="0.3">
      <c r="A1" s="1" t="s">
        <v>57</v>
      </c>
    </row>
    <row r="2" spans="1:13" x14ac:dyDescent="0.25">
      <c r="A2" s="2" t="s">
        <v>58</v>
      </c>
    </row>
    <row r="4" spans="1:13" x14ac:dyDescent="0.25">
      <c r="A4" s="3" t="s">
        <v>36</v>
      </c>
      <c r="B4" s="3" t="s">
        <v>51</v>
      </c>
      <c r="C4" s="3" t="s">
        <v>59</v>
      </c>
      <c r="D4" s="3" t="s">
        <v>60</v>
      </c>
      <c r="E4" s="3" t="s">
        <v>61</v>
      </c>
      <c r="F4" s="3" t="s">
        <v>62</v>
      </c>
      <c r="G4" s="3" t="s">
        <v>63</v>
      </c>
      <c r="H4" s="3" t="s">
        <v>64</v>
      </c>
      <c r="I4" s="3" t="s">
        <v>150</v>
      </c>
      <c r="J4" s="3" t="s">
        <v>65</v>
      </c>
      <c r="K4" s="3" t="s">
        <v>66</v>
      </c>
      <c r="L4" s="3" t="s">
        <v>67</v>
      </c>
      <c r="M4" s="3" t="s">
        <v>68</v>
      </c>
    </row>
    <row r="5" spans="1:13" x14ac:dyDescent="0.25">
      <c r="A5" s="4"/>
      <c r="B5" s="4"/>
      <c r="C5" s="4" t="s">
        <v>40</v>
      </c>
      <c r="D5" s="4" t="s">
        <v>40</v>
      </c>
      <c r="E5" s="4" t="s">
        <v>69</v>
      </c>
      <c r="F5" s="4" t="s">
        <v>70</v>
      </c>
      <c r="G5" s="4" t="s">
        <v>71</v>
      </c>
      <c r="H5" s="4" t="s">
        <v>72</v>
      </c>
      <c r="I5" s="4"/>
      <c r="J5" s="4" t="s">
        <v>73</v>
      </c>
      <c r="K5" s="4" t="s">
        <v>73</v>
      </c>
      <c r="L5" s="4" t="s">
        <v>56</v>
      </c>
      <c r="M5" s="4" t="s">
        <v>56</v>
      </c>
    </row>
    <row r="6" spans="1:13" x14ac:dyDescent="0.25">
      <c r="A6" s="5" t="s">
        <v>125</v>
      </c>
      <c r="B6" s="5">
        <v>1</v>
      </c>
      <c r="C6" s="5">
        <v>0</v>
      </c>
      <c r="D6" s="5">
        <v>100</v>
      </c>
      <c r="E6" s="9">
        <f>D6/2</f>
        <v>50</v>
      </c>
      <c r="F6" s="12">
        <v>0.01</v>
      </c>
      <c r="G6" s="5">
        <v>40</v>
      </c>
      <c r="H6" s="5">
        <v>0</v>
      </c>
      <c r="I6" s="9">
        <v>1</v>
      </c>
      <c r="J6" s="9">
        <v>8</v>
      </c>
      <c r="K6" s="9">
        <v>8</v>
      </c>
      <c r="L6" s="9">
        <v>2000</v>
      </c>
      <c r="M6" s="9">
        <f>L6/2</f>
        <v>1000</v>
      </c>
    </row>
    <row r="7" spans="1:13" x14ac:dyDescent="0.25">
      <c r="A7" s="5" t="s">
        <v>126</v>
      </c>
      <c r="B7" s="5">
        <v>4</v>
      </c>
      <c r="C7" s="5">
        <v>0</v>
      </c>
      <c r="D7" s="5">
        <v>100</v>
      </c>
      <c r="E7" s="9">
        <f t="shared" ref="E7:E59" si="0">D7/2</f>
        <v>50</v>
      </c>
      <c r="F7" s="5">
        <v>0.01</v>
      </c>
      <c r="G7" s="5">
        <v>40</v>
      </c>
      <c r="H7" s="5">
        <v>0</v>
      </c>
      <c r="I7" s="9">
        <v>1</v>
      </c>
      <c r="J7" s="9">
        <v>4</v>
      </c>
      <c r="K7" s="9">
        <v>4</v>
      </c>
      <c r="L7" s="9">
        <v>1000</v>
      </c>
      <c r="M7" s="9">
        <f t="shared" ref="M7" si="1">L7/2</f>
        <v>500</v>
      </c>
    </row>
    <row r="8" spans="1:13" x14ac:dyDescent="0.25">
      <c r="A8" s="5" t="s">
        <v>127</v>
      </c>
      <c r="B8" s="5">
        <v>6</v>
      </c>
      <c r="C8" s="5">
        <v>0</v>
      </c>
      <c r="D8" s="5">
        <v>100</v>
      </c>
      <c r="E8" s="9">
        <f t="shared" si="0"/>
        <v>50</v>
      </c>
      <c r="F8" s="5">
        <v>0.01</v>
      </c>
      <c r="G8" s="5">
        <v>40</v>
      </c>
      <c r="H8" s="5">
        <v>0</v>
      </c>
      <c r="I8" s="9">
        <v>0</v>
      </c>
      <c r="J8" s="9">
        <v>3</v>
      </c>
      <c r="K8" s="9">
        <v>2</v>
      </c>
      <c r="L8" s="9">
        <v>100</v>
      </c>
      <c r="M8" s="9">
        <v>50</v>
      </c>
    </row>
    <row r="9" spans="1:13" x14ac:dyDescent="0.25">
      <c r="A9" s="5" t="s">
        <v>147</v>
      </c>
      <c r="B9" s="5">
        <v>8</v>
      </c>
      <c r="C9" s="5">
        <v>0</v>
      </c>
      <c r="D9" s="5">
        <v>100</v>
      </c>
      <c r="E9" s="9">
        <f t="shared" si="0"/>
        <v>50</v>
      </c>
      <c r="F9" s="5">
        <v>0.01</v>
      </c>
      <c r="G9" s="5">
        <v>40</v>
      </c>
      <c r="H9" s="5">
        <v>0</v>
      </c>
      <c r="I9" s="9">
        <v>0</v>
      </c>
      <c r="J9" s="9">
        <v>3</v>
      </c>
      <c r="K9" s="9">
        <v>2</v>
      </c>
      <c r="L9" s="9">
        <v>100</v>
      </c>
      <c r="M9" s="9">
        <v>50</v>
      </c>
    </row>
    <row r="10" spans="1:13" x14ac:dyDescent="0.25">
      <c r="A10" s="5" t="s">
        <v>148</v>
      </c>
      <c r="B10" s="5">
        <v>10</v>
      </c>
      <c r="C10" s="5">
        <v>0</v>
      </c>
      <c r="D10" s="5">
        <v>550</v>
      </c>
      <c r="E10" s="9">
        <f t="shared" si="0"/>
        <v>275</v>
      </c>
      <c r="F10" s="13">
        <v>2.2222222199999999E-2</v>
      </c>
      <c r="G10" s="5">
        <v>20</v>
      </c>
      <c r="H10" s="5">
        <v>0</v>
      </c>
      <c r="I10" s="9">
        <v>0</v>
      </c>
      <c r="J10" s="9">
        <v>3</v>
      </c>
      <c r="K10" s="9">
        <v>2</v>
      </c>
      <c r="L10" s="9">
        <v>100</v>
      </c>
      <c r="M10" s="9">
        <v>50</v>
      </c>
    </row>
    <row r="11" spans="1:13" x14ac:dyDescent="0.25">
      <c r="A11" s="5" t="s">
        <v>426</v>
      </c>
      <c r="B11" s="5">
        <v>12</v>
      </c>
      <c r="C11" s="5">
        <v>0</v>
      </c>
      <c r="D11" s="5">
        <v>185</v>
      </c>
      <c r="E11" s="9">
        <f t="shared" si="0"/>
        <v>92.5</v>
      </c>
      <c r="F11" s="15">
        <v>0.117647059</v>
      </c>
      <c r="G11" s="15">
        <v>20</v>
      </c>
      <c r="H11" s="15">
        <v>0</v>
      </c>
    </row>
    <row r="12" spans="1:13" x14ac:dyDescent="0.25">
      <c r="A12" s="5" t="s">
        <v>427</v>
      </c>
      <c r="B12" s="5">
        <v>15</v>
      </c>
      <c r="C12" s="5">
        <v>0</v>
      </c>
      <c r="D12" s="5">
        <v>100</v>
      </c>
      <c r="E12" s="9">
        <f t="shared" si="0"/>
        <v>50</v>
      </c>
      <c r="F12" s="15">
        <v>0.01</v>
      </c>
      <c r="G12" s="15">
        <v>40</v>
      </c>
      <c r="H12" s="15">
        <v>0</v>
      </c>
    </row>
    <row r="13" spans="1:13" x14ac:dyDescent="0.25">
      <c r="A13" s="5" t="s">
        <v>428</v>
      </c>
      <c r="B13" s="5">
        <v>18</v>
      </c>
      <c r="C13" s="5">
        <v>0</v>
      </c>
      <c r="D13" s="5">
        <v>100</v>
      </c>
      <c r="E13" s="9">
        <f t="shared" si="0"/>
        <v>50</v>
      </c>
      <c r="F13" s="15">
        <v>0.01</v>
      </c>
      <c r="G13" s="15">
        <v>40</v>
      </c>
      <c r="H13" s="15">
        <v>0</v>
      </c>
    </row>
    <row r="14" spans="1:13" x14ac:dyDescent="0.25">
      <c r="A14" s="5" t="s">
        <v>429</v>
      </c>
      <c r="B14" s="5">
        <v>19</v>
      </c>
      <c r="C14" s="5">
        <v>0</v>
      </c>
      <c r="D14" s="5">
        <v>100</v>
      </c>
      <c r="E14" s="9">
        <f t="shared" si="0"/>
        <v>50</v>
      </c>
      <c r="F14" s="15">
        <v>0.01</v>
      </c>
      <c r="G14" s="15">
        <v>40</v>
      </c>
      <c r="H14" s="15">
        <v>0</v>
      </c>
    </row>
    <row r="15" spans="1:13" x14ac:dyDescent="0.25">
      <c r="A15" s="5" t="s">
        <v>430</v>
      </c>
      <c r="B15" s="5">
        <v>24</v>
      </c>
      <c r="C15" s="5">
        <v>0</v>
      </c>
      <c r="D15" s="5">
        <v>100</v>
      </c>
      <c r="E15" s="9">
        <f t="shared" si="0"/>
        <v>50</v>
      </c>
      <c r="F15" s="15">
        <v>0.01</v>
      </c>
      <c r="G15" s="15">
        <v>40</v>
      </c>
      <c r="H15" s="15">
        <v>0</v>
      </c>
    </row>
    <row r="16" spans="1:13" x14ac:dyDescent="0.25">
      <c r="A16" s="5" t="s">
        <v>431</v>
      </c>
      <c r="B16" s="5">
        <v>25</v>
      </c>
      <c r="C16" s="5">
        <v>0</v>
      </c>
      <c r="D16" s="5">
        <v>320</v>
      </c>
      <c r="E16" s="9">
        <f t="shared" si="0"/>
        <v>160</v>
      </c>
      <c r="F16" s="15">
        <v>4.5454545499999999E-2</v>
      </c>
      <c r="G16" s="15">
        <v>20</v>
      </c>
      <c r="H16" s="15">
        <v>0</v>
      </c>
    </row>
    <row r="17" spans="1:8" x14ac:dyDescent="0.25">
      <c r="A17" s="5" t="s">
        <v>432</v>
      </c>
      <c r="B17" s="5">
        <v>26</v>
      </c>
      <c r="C17" s="5">
        <v>0</v>
      </c>
      <c r="D17" s="5">
        <v>414</v>
      </c>
      <c r="E17" s="9">
        <f t="shared" si="0"/>
        <v>207</v>
      </c>
      <c r="F17" s="15">
        <v>3.1847133800000003E-2</v>
      </c>
      <c r="G17" s="15">
        <v>20</v>
      </c>
      <c r="H17" s="15">
        <v>0</v>
      </c>
    </row>
    <row r="18" spans="1:8" x14ac:dyDescent="0.25">
      <c r="A18" s="5" t="s">
        <v>433</v>
      </c>
      <c r="B18" s="5">
        <v>27</v>
      </c>
      <c r="C18" s="5">
        <v>0</v>
      </c>
      <c r="D18" s="5">
        <v>100</v>
      </c>
      <c r="E18" s="9">
        <f t="shared" si="0"/>
        <v>50</v>
      </c>
      <c r="F18" s="15">
        <v>0.01</v>
      </c>
      <c r="G18" s="15">
        <v>40</v>
      </c>
      <c r="H18" s="15">
        <v>0</v>
      </c>
    </row>
    <row r="19" spans="1:8" x14ac:dyDescent="0.25">
      <c r="A19" s="5" t="s">
        <v>434</v>
      </c>
      <c r="B19" s="5">
        <v>31</v>
      </c>
      <c r="C19" s="5">
        <v>0</v>
      </c>
      <c r="D19" s="5">
        <v>107</v>
      </c>
      <c r="E19" s="9">
        <f t="shared" si="0"/>
        <v>53.5</v>
      </c>
      <c r="F19" s="15">
        <v>1.4285714300000001</v>
      </c>
      <c r="G19" s="15">
        <v>20</v>
      </c>
      <c r="H19" s="15">
        <v>0</v>
      </c>
    </row>
    <row r="20" spans="1:8" x14ac:dyDescent="0.25">
      <c r="A20" s="5" t="s">
        <v>435</v>
      </c>
      <c r="B20" s="5">
        <v>32</v>
      </c>
      <c r="C20" s="5">
        <v>0</v>
      </c>
      <c r="D20" s="5">
        <v>100</v>
      </c>
      <c r="E20" s="9">
        <f t="shared" si="0"/>
        <v>50</v>
      </c>
      <c r="F20" s="15">
        <v>0.01</v>
      </c>
      <c r="G20" s="15">
        <v>40</v>
      </c>
      <c r="H20" s="15">
        <v>0</v>
      </c>
    </row>
    <row r="21" spans="1:8" x14ac:dyDescent="0.25">
      <c r="A21" s="5" t="s">
        <v>436</v>
      </c>
      <c r="B21" s="5">
        <v>34</v>
      </c>
      <c r="C21" s="5">
        <v>0</v>
      </c>
      <c r="D21" s="5">
        <v>100</v>
      </c>
      <c r="E21" s="9">
        <f t="shared" si="0"/>
        <v>50</v>
      </c>
      <c r="F21" s="15">
        <v>0.01</v>
      </c>
      <c r="G21" s="15">
        <v>40</v>
      </c>
      <c r="H21" s="15">
        <v>0</v>
      </c>
    </row>
    <row r="22" spans="1:8" x14ac:dyDescent="0.25">
      <c r="A22" s="5" t="s">
        <v>437</v>
      </c>
      <c r="B22" s="5">
        <v>36</v>
      </c>
      <c r="C22" s="5">
        <v>0</v>
      </c>
      <c r="D22" s="5">
        <v>100</v>
      </c>
      <c r="E22" s="9">
        <f t="shared" si="0"/>
        <v>50</v>
      </c>
      <c r="F22" s="15">
        <v>0.01</v>
      </c>
      <c r="G22" s="15">
        <v>40</v>
      </c>
      <c r="H22" s="15">
        <v>0</v>
      </c>
    </row>
    <row r="23" spans="1:8" x14ac:dyDescent="0.25">
      <c r="A23" s="5" t="s">
        <v>438</v>
      </c>
      <c r="B23" s="5">
        <v>40</v>
      </c>
      <c r="C23" s="5">
        <v>0</v>
      </c>
      <c r="D23" s="5">
        <v>100</v>
      </c>
      <c r="E23" s="9">
        <f t="shared" si="0"/>
        <v>50</v>
      </c>
      <c r="F23" s="15">
        <v>0.01</v>
      </c>
      <c r="G23" s="15">
        <v>40</v>
      </c>
      <c r="H23" s="15">
        <v>0</v>
      </c>
    </row>
    <row r="24" spans="1:8" x14ac:dyDescent="0.25">
      <c r="A24" s="5" t="s">
        <v>439</v>
      </c>
      <c r="B24" s="5">
        <v>42</v>
      </c>
      <c r="C24" s="5">
        <v>0</v>
      </c>
      <c r="D24" s="5">
        <v>100</v>
      </c>
      <c r="E24" s="9">
        <f t="shared" si="0"/>
        <v>50</v>
      </c>
      <c r="F24" s="15">
        <v>0.01</v>
      </c>
      <c r="G24" s="15">
        <v>40</v>
      </c>
      <c r="H24" s="15">
        <v>0</v>
      </c>
    </row>
    <row r="25" spans="1:8" x14ac:dyDescent="0.25">
      <c r="A25" s="5" t="s">
        <v>440</v>
      </c>
      <c r="B25" s="5">
        <v>46</v>
      </c>
      <c r="C25" s="5">
        <v>0</v>
      </c>
      <c r="D25" s="5">
        <v>119</v>
      </c>
      <c r="E25" s="9">
        <f t="shared" si="0"/>
        <v>59.5</v>
      </c>
      <c r="F25" s="15">
        <v>0.52631578899999998</v>
      </c>
      <c r="G25" s="15">
        <v>20</v>
      </c>
      <c r="H25" s="15">
        <v>0</v>
      </c>
    </row>
    <row r="26" spans="1:8" x14ac:dyDescent="0.25">
      <c r="A26" s="5" t="s">
        <v>441</v>
      </c>
      <c r="B26" s="5">
        <v>49</v>
      </c>
      <c r="C26" s="5">
        <v>0</v>
      </c>
      <c r="D26" s="5">
        <v>304</v>
      </c>
      <c r="E26" s="9">
        <f t="shared" si="0"/>
        <v>152</v>
      </c>
      <c r="F26" s="15">
        <v>4.9019607799999997E-2</v>
      </c>
      <c r="G26" s="15">
        <v>20</v>
      </c>
      <c r="H26" s="15">
        <v>0</v>
      </c>
    </row>
    <row r="27" spans="1:8" x14ac:dyDescent="0.25">
      <c r="A27" s="5" t="s">
        <v>442</v>
      </c>
      <c r="B27" s="5">
        <v>54</v>
      </c>
      <c r="C27" s="5">
        <v>0</v>
      </c>
      <c r="D27" s="5">
        <v>148</v>
      </c>
      <c r="E27" s="9">
        <f t="shared" si="0"/>
        <v>74</v>
      </c>
      <c r="F27" s="15">
        <v>0.20833333300000001</v>
      </c>
      <c r="G27" s="15">
        <v>20</v>
      </c>
      <c r="H27" s="15">
        <v>0</v>
      </c>
    </row>
    <row r="28" spans="1:8" x14ac:dyDescent="0.25">
      <c r="A28" s="5" t="s">
        <v>443</v>
      </c>
      <c r="B28" s="5">
        <v>55</v>
      </c>
      <c r="C28" s="5">
        <v>0</v>
      </c>
      <c r="D28" s="5">
        <v>100</v>
      </c>
      <c r="E28" s="9">
        <f t="shared" si="0"/>
        <v>50</v>
      </c>
      <c r="F28" s="15">
        <v>0.01</v>
      </c>
      <c r="G28" s="15">
        <v>40</v>
      </c>
      <c r="H28" s="15">
        <v>0</v>
      </c>
    </row>
    <row r="29" spans="1:8" x14ac:dyDescent="0.25">
      <c r="A29" s="5" t="s">
        <v>444</v>
      </c>
      <c r="B29" s="5">
        <v>56</v>
      </c>
      <c r="C29" s="5">
        <v>0</v>
      </c>
      <c r="D29" s="5">
        <v>100</v>
      </c>
      <c r="E29" s="9">
        <f t="shared" si="0"/>
        <v>50</v>
      </c>
      <c r="F29" s="15">
        <v>0.01</v>
      </c>
      <c r="G29" s="15">
        <v>40</v>
      </c>
      <c r="H29" s="15">
        <v>0</v>
      </c>
    </row>
    <row r="30" spans="1:8" x14ac:dyDescent="0.25">
      <c r="A30" s="5" t="s">
        <v>445</v>
      </c>
      <c r="B30" s="5">
        <v>59</v>
      </c>
      <c r="C30" s="5">
        <v>0</v>
      </c>
      <c r="D30" s="5">
        <v>255</v>
      </c>
      <c r="E30" s="9">
        <f t="shared" si="0"/>
        <v>127.5</v>
      </c>
      <c r="F30" s="15">
        <v>6.4516129000000005E-2</v>
      </c>
      <c r="G30" s="15">
        <v>20</v>
      </c>
      <c r="H30" s="15">
        <v>0</v>
      </c>
    </row>
    <row r="31" spans="1:8" x14ac:dyDescent="0.25">
      <c r="A31" s="5" t="s">
        <v>446</v>
      </c>
      <c r="B31" s="5">
        <v>61</v>
      </c>
      <c r="C31" s="5">
        <v>0</v>
      </c>
      <c r="D31" s="5">
        <v>260</v>
      </c>
      <c r="E31" s="9">
        <f t="shared" si="0"/>
        <v>130</v>
      </c>
      <c r="F31" s="15">
        <v>6.25E-2</v>
      </c>
      <c r="G31" s="15">
        <v>20</v>
      </c>
      <c r="H31" s="15">
        <v>0</v>
      </c>
    </row>
    <row r="32" spans="1:8" x14ac:dyDescent="0.25">
      <c r="A32" s="5" t="s">
        <v>447</v>
      </c>
      <c r="B32" s="5">
        <v>62</v>
      </c>
      <c r="C32" s="5">
        <v>0</v>
      </c>
      <c r="D32" s="5">
        <v>100</v>
      </c>
      <c r="E32" s="9">
        <f t="shared" si="0"/>
        <v>50</v>
      </c>
      <c r="F32" s="15">
        <v>0.01</v>
      </c>
      <c r="G32" s="15">
        <v>40</v>
      </c>
      <c r="H32" s="15">
        <v>0</v>
      </c>
    </row>
    <row r="33" spans="1:8" x14ac:dyDescent="0.25">
      <c r="A33" s="5" t="s">
        <v>448</v>
      </c>
      <c r="B33" s="5">
        <v>65</v>
      </c>
      <c r="C33" s="5">
        <v>0</v>
      </c>
      <c r="D33" s="5">
        <v>491</v>
      </c>
      <c r="E33" s="9">
        <f t="shared" si="0"/>
        <v>245.5</v>
      </c>
      <c r="F33" s="15">
        <v>2.5575447599999999E-2</v>
      </c>
      <c r="G33" s="15">
        <v>20</v>
      </c>
      <c r="H33" s="15">
        <v>0</v>
      </c>
    </row>
    <row r="34" spans="1:8" x14ac:dyDescent="0.25">
      <c r="A34" s="5" t="s">
        <v>449</v>
      </c>
      <c r="B34" s="5">
        <v>66</v>
      </c>
      <c r="C34" s="5">
        <v>0</v>
      </c>
      <c r="D34" s="5">
        <v>492</v>
      </c>
      <c r="E34" s="9">
        <f t="shared" si="0"/>
        <v>246</v>
      </c>
      <c r="F34" s="15">
        <v>2.5510204099999999E-2</v>
      </c>
      <c r="G34" s="15">
        <v>20</v>
      </c>
      <c r="H34" s="15">
        <v>0</v>
      </c>
    </row>
    <row r="35" spans="1:8" x14ac:dyDescent="0.25">
      <c r="A35" s="5" t="s">
        <v>450</v>
      </c>
      <c r="B35" s="5">
        <v>69</v>
      </c>
      <c r="C35" s="5">
        <v>0</v>
      </c>
      <c r="D35" s="5">
        <v>805.2</v>
      </c>
      <c r="E35" s="9">
        <f t="shared" si="0"/>
        <v>402.6</v>
      </c>
      <c r="F35" s="15">
        <v>1.9364833500000001E-2</v>
      </c>
      <c r="G35" s="15">
        <v>20</v>
      </c>
      <c r="H35" s="15">
        <v>0</v>
      </c>
    </row>
    <row r="36" spans="1:8" x14ac:dyDescent="0.25">
      <c r="A36" s="5" t="s">
        <v>451</v>
      </c>
      <c r="B36" s="5">
        <v>70</v>
      </c>
      <c r="C36" s="5">
        <v>0</v>
      </c>
      <c r="D36" s="5">
        <v>100</v>
      </c>
      <c r="E36" s="9">
        <f t="shared" si="0"/>
        <v>50</v>
      </c>
      <c r="F36" s="15">
        <v>0.01</v>
      </c>
      <c r="G36" s="15">
        <v>40</v>
      </c>
      <c r="H36" s="15">
        <v>0</v>
      </c>
    </row>
    <row r="37" spans="1:8" x14ac:dyDescent="0.25">
      <c r="A37" s="5" t="s">
        <v>452</v>
      </c>
      <c r="B37" s="5">
        <v>72</v>
      </c>
      <c r="C37" s="5">
        <v>0</v>
      </c>
      <c r="D37" s="5">
        <v>100</v>
      </c>
      <c r="E37" s="9">
        <f t="shared" si="0"/>
        <v>50</v>
      </c>
      <c r="F37" s="15">
        <v>0.01</v>
      </c>
      <c r="G37" s="15">
        <v>40</v>
      </c>
      <c r="H37" s="15">
        <v>0</v>
      </c>
    </row>
    <row r="38" spans="1:8" x14ac:dyDescent="0.25">
      <c r="A38" s="5" t="s">
        <v>453</v>
      </c>
      <c r="B38" s="5">
        <v>73</v>
      </c>
      <c r="C38" s="5">
        <v>0</v>
      </c>
      <c r="D38" s="5">
        <v>100</v>
      </c>
      <c r="E38" s="9">
        <f t="shared" si="0"/>
        <v>50</v>
      </c>
      <c r="F38" s="15">
        <v>0.01</v>
      </c>
      <c r="G38" s="15">
        <v>40</v>
      </c>
      <c r="H38" s="15">
        <v>0</v>
      </c>
    </row>
    <row r="39" spans="1:8" x14ac:dyDescent="0.25">
      <c r="A39" s="5" t="s">
        <v>454</v>
      </c>
      <c r="B39" s="5">
        <v>74</v>
      </c>
      <c r="C39" s="5">
        <v>0</v>
      </c>
      <c r="D39" s="5">
        <v>100</v>
      </c>
      <c r="E39" s="9">
        <f t="shared" si="0"/>
        <v>50</v>
      </c>
      <c r="F39" s="15">
        <v>0.01</v>
      </c>
      <c r="G39" s="15">
        <v>40</v>
      </c>
      <c r="H39" s="15">
        <v>0</v>
      </c>
    </row>
    <row r="40" spans="1:8" x14ac:dyDescent="0.25">
      <c r="A40" s="5" t="s">
        <v>455</v>
      </c>
      <c r="B40" s="5">
        <v>76</v>
      </c>
      <c r="C40" s="5">
        <v>0</v>
      </c>
      <c r="D40" s="5">
        <v>100</v>
      </c>
      <c r="E40" s="9">
        <f t="shared" si="0"/>
        <v>50</v>
      </c>
      <c r="F40" s="15">
        <v>0.01</v>
      </c>
      <c r="G40" s="15">
        <v>40</v>
      </c>
      <c r="H40" s="15">
        <v>0</v>
      </c>
    </row>
    <row r="41" spans="1:8" x14ac:dyDescent="0.25">
      <c r="A41" s="5" t="s">
        <v>456</v>
      </c>
      <c r="B41" s="5">
        <v>77</v>
      </c>
      <c r="C41" s="5">
        <v>0</v>
      </c>
      <c r="D41" s="5">
        <v>100</v>
      </c>
      <c r="E41" s="9">
        <f t="shared" si="0"/>
        <v>50</v>
      </c>
      <c r="F41" s="15">
        <v>0.01</v>
      </c>
      <c r="G41" s="15">
        <v>40</v>
      </c>
      <c r="H41" s="15">
        <v>0</v>
      </c>
    </row>
    <row r="42" spans="1:8" x14ac:dyDescent="0.25">
      <c r="A42" s="5" t="s">
        <v>457</v>
      </c>
      <c r="B42" s="5">
        <v>80</v>
      </c>
      <c r="C42" s="5">
        <v>0</v>
      </c>
      <c r="D42" s="5">
        <v>577</v>
      </c>
      <c r="E42" s="9">
        <f t="shared" si="0"/>
        <v>288.5</v>
      </c>
      <c r="F42" s="15">
        <v>2.0964360599999999E-2</v>
      </c>
      <c r="G42" s="15">
        <v>20</v>
      </c>
      <c r="H42" s="15">
        <v>0</v>
      </c>
    </row>
    <row r="43" spans="1:8" x14ac:dyDescent="0.25">
      <c r="A43" s="5" t="s">
        <v>458</v>
      </c>
      <c r="B43" s="5">
        <v>85</v>
      </c>
      <c r="C43" s="5">
        <v>0</v>
      </c>
      <c r="D43" s="5">
        <v>100</v>
      </c>
      <c r="E43" s="9">
        <f t="shared" si="0"/>
        <v>50</v>
      </c>
      <c r="F43" s="15">
        <v>0.01</v>
      </c>
      <c r="G43" s="15">
        <v>40</v>
      </c>
      <c r="H43" s="15">
        <v>0</v>
      </c>
    </row>
    <row r="44" spans="1:8" x14ac:dyDescent="0.25">
      <c r="A44" s="5" t="s">
        <v>459</v>
      </c>
      <c r="B44" s="5">
        <v>87</v>
      </c>
      <c r="C44" s="5">
        <v>0</v>
      </c>
      <c r="D44" s="5">
        <v>104</v>
      </c>
      <c r="E44" s="9">
        <f t="shared" si="0"/>
        <v>52</v>
      </c>
      <c r="F44" s="15">
        <v>2.5</v>
      </c>
      <c r="G44" s="15">
        <v>20</v>
      </c>
      <c r="H44" s="15">
        <v>0</v>
      </c>
    </row>
    <row r="45" spans="1:8" x14ac:dyDescent="0.25">
      <c r="A45" s="5" t="s">
        <v>460</v>
      </c>
      <c r="B45" s="5">
        <v>89</v>
      </c>
      <c r="C45" s="5">
        <v>0</v>
      </c>
      <c r="D45" s="5">
        <v>707</v>
      </c>
      <c r="E45" s="9">
        <f t="shared" si="0"/>
        <v>353.5</v>
      </c>
      <c r="F45" s="15">
        <v>1.6474464599999999E-2</v>
      </c>
      <c r="G45" s="15">
        <v>20</v>
      </c>
      <c r="H45" s="15">
        <v>0</v>
      </c>
    </row>
    <row r="46" spans="1:8" x14ac:dyDescent="0.25">
      <c r="A46" s="5" t="s">
        <v>461</v>
      </c>
      <c r="B46" s="5">
        <v>90</v>
      </c>
      <c r="C46" s="5">
        <v>0</v>
      </c>
      <c r="D46" s="5">
        <v>100</v>
      </c>
      <c r="E46" s="9">
        <f t="shared" si="0"/>
        <v>50</v>
      </c>
      <c r="F46" s="15">
        <v>0.01</v>
      </c>
      <c r="G46" s="15">
        <v>40</v>
      </c>
      <c r="H46" s="15">
        <v>0</v>
      </c>
    </row>
    <row r="47" spans="1:8" x14ac:dyDescent="0.25">
      <c r="A47" s="5" t="s">
        <v>462</v>
      </c>
      <c r="B47" s="5">
        <v>91</v>
      </c>
      <c r="C47" s="5">
        <v>0</v>
      </c>
      <c r="D47" s="5">
        <v>100</v>
      </c>
      <c r="E47" s="9">
        <f t="shared" si="0"/>
        <v>50</v>
      </c>
      <c r="F47" s="15">
        <v>0.01</v>
      </c>
      <c r="G47" s="15">
        <v>40</v>
      </c>
      <c r="H47" s="15">
        <v>0</v>
      </c>
    </row>
    <row r="48" spans="1:8" x14ac:dyDescent="0.25">
      <c r="A48" s="5" t="s">
        <v>463</v>
      </c>
      <c r="B48" s="5">
        <v>92</v>
      </c>
      <c r="C48" s="5">
        <v>0</v>
      </c>
      <c r="D48" s="5">
        <v>100</v>
      </c>
      <c r="E48" s="9">
        <f t="shared" si="0"/>
        <v>50</v>
      </c>
      <c r="F48" s="15">
        <v>0.01</v>
      </c>
      <c r="G48" s="15">
        <v>40</v>
      </c>
      <c r="H48" s="15">
        <v>0</v>
      </c>
    </row>
    <row r="49" spans="1:8" x14ac:dyDescent="0.25">
      <c r="A49" s="5" t="s">
        <v>464</v>
      </c>
      <c r="B49" s="5">
        <v>99</v>
      </c>
      <c r="C49" s="5">
        <v>0</v>
      </c>
      <c r="D49" s="5">
        <v>100</v>
      </c>
      <c r="E49" s="9">
        <f t="shared" si="0"/>
        <v>50</v>
      </c>
      <c r="F49" s="15">
        <v>0.01</v>
      </c>
      <c r="G49" s="15">
        <v>40</v>
      </c>
      <c r="H49" s="15">
        <v>0</v>
      </c>
    </row>
    <row r="50" spans="1:8" x14ac:dyDescent="0.25">
      <c r="A50" s="5" t="s">
        <v>465</v>
      </c>
      <c r="B50" s="5">
        <v>100</v>
      </c>
      <c r="C50" s="5">
        <v>0</v>
      </c>
      <c r="D50" s="5">
        <v>352</v>
      </c>
      <c r="E50" s="9">
        <f t="shared" si="0"/>
        <v>176</v>
      </c>
      <c r="F50" s="15">
        <v>3.9682539699999998E-2</v>
      </c>
      <c r="G50" s="15">
        <v>20</v>
      </c>
      <c r="H50" s="15">
        <v>0</v>
      </c>
    </row>
    <row r="51" spans="1:8" x14ac:dyDescent="0.25">
      <c r="A51" s="5" t="s">
        <v>466</v>
      </c>
      <c r="B51" s="5">
        <v>103</v>
      </c>
      <c r="C51" s="5">
        <v>0</v>
      </c>
      <c r="D51" s="5">
        <v>140</v>
      </c>
      <c r="E51" s="9">
        <f t="shared" si="0"/>
        <v>70</v>
      </c>
      <c r="F51" s="15">
        <v>0.25</v>
      </c>
      <c r="G51" s="15">
        <v>20</v>
      </c>
      <c r="H51" s="15">
        <v>0</v>
      </c>
    </row>
    <row r="52" spans="1:8" x14ac:dyDescent="0.25">
      <c r="A52" s="5" t="s">
        <v>467</v>
      </c>
      <c r="B52" s="5">
        <v>104</v>
      </c>
      <c r="C52" s="5">
        <v>0</v>
      </c>
      <c r="D52" s="5">
        <v>100</v>
      </c>
      <c r="E52" s="9">
        <f t="shared" si="0"/>
        <v>50</v>
      </c>
      <c r="F52" s="15">
        <v>0.01</v>
      </c>
      <c r="G52" s="15">
        <v>40</v>
      </c>
      <c r="H52" s="15">
        <v>0</v>
      </c>
    </row>
    <row r="53" spans="1:8" x14ac:dyDescent="0.25">
      <c r="A53" s="5" t="s">
        <v>468</v>
      </c>
      <c r="B53" s="5">
        <v>105</v>
      </c>
      <c r="C53" s="5">
        <v>0</v>
      </c>
      <c r="D53" s="5">
        <v>100</v>
      </c>
      <c r="E53" s="9">
        <f t="shared" si="0"/>
        <v>50</v>
      </c>
      <c r="F53" s="15">
        <v>0.01</v>
      </c>
      <c r="G53" s="15">
        <v>40</v>
      </c>
      <c r="H53" s="15">
        <v>0</v>
      </c>
    </row>
    <row r="54" spans="1:8" x14ac:dyDescent="0.25">
      <c r="A54" s="5" t="s">
        <v>469</v>
      </c>
      <c r="B54" s="5">
        <v>107</v>
      </c>
      <c r="C54" s="5">
        <v>0</v>
      </c>
      <c r="D54" s="5">
        <v>100</v>
      </c>
      <c r="E54" s="9">
        <f t="shared" si="0"/>
        <v>50</v>
      </c>
      <c r="F54" s="15">
        <v>0.01</v>
      </c>
      <c r="G54" s="15">
        <v>40</v>
      </c>
      <c r="H54" s="15">
        <v>0</v>
      </c>
    </row>
    <row r="55" spans="1:8" x14ac:dyDescent="0.25">
      <c r="A55" s="5" t="s">
        <v>470</v>
      </c>
      <c r="B55" s="5">
        <v>110</v>
      </c>
      <c r="C55" s="5">
        <v>0</v>
      </c>
      <c r="D55" s="5">
        <v>100</v>
      </c>
      <c r="E55" s="9">
        <f t="shared" si="0"/>
        <v>50</v>
      </c>
      <c r="F55" s="15">
        <v>0.01</v>
      </c>
      <c r="G55" s="15">
        <v>40</v>
      </c>
      <c r="H55" s="15">
        <v>0</v>
      </c>
    </row>
    <row r="56" spans="1:8" x14ac:dyDescent="0.25">
      <c r="A56" s="5" t="s">
        <v>471</v>
      </c>
      <c r="B56" s="5">
        <v>111</v>
      </c>
      <c r="C56" s="5">
        <v>0</v>
      </c>
      <c r="D56" s="5">
        <v>136</v>
      </c>
      <c r="E56" s="9">
        <f t="shared" si="0"/>
        <v>68</v>
      </c>
      <c r="F56" s="15">
        <v>0.27777777799999998</v>
      </c>
      <c r="G56" s="15">
        <v>20</v>
      </c>
      <c r="H56" s="15">
        <v>0</v>
      </c>
    </row>
    <row r="57" spans="1:8" x14ac:dyDescent="0.25">
      <c r="A57" s="5" t="s">
        <v>472</v>
      </c>
      <c r="B57" s="5">
        <v>112</v>
      </c>
      <c r="C57" s="5">
        <v>0</v>
      </c>
      <c r="D57" s="5">
        <v>100</v>
      </c>
      <c r="E57" s="9">
        <f t="shared" si="0"/>
        <v>50</v>
      </c>
      <c r="F57" s="15">
        <v>0.01</v>
      </c>
      <c r="G57" s="15">
        <v>40</v>
      </c>
      <c r="H57" s="15">
        <v>0</v>
      </c>
    </row>
    <row r="58" spans="1:8" x14ac:dyDescent="0.25">
      <c r="A58" s="5" t="s">
        <v>473</v>
      </c>
      <c r="B58" s="5">
        <v>113</v>
      </c>
      <c r="C58" s="5">
        <v>0</v>
      </c>
      <c r="D58" s="5">
        <v>100</v>
      </c>
      <c r="E58" s="9">
        <f t="shared" si="0"/>
        <v>50</v>
      </c>
      <c r="F58" s="15">
        <v>0.01</v>
      </c>
      <c r="G58" s="15">
        <v>40</v>
      </c>
      <c r="H58" s="15">
        <v>0</v>
      </c>
    </row>
    <row r="59" spans="1:8" x14ac:dyDescent="0.25">
      <c r="A59" s="5" t="s">
        <v>474</v>
      </c>
      <c r="B59" s="5">
        <v>116</v>
      </c>
      <c r="C59" s="5">
        <v>0</v>
      </c>
      <c r="D59" s="5">
        <v>100</v>
      </c>
      <c r="E59" s="9">
        <f t="shared" si="0"/>
        <v>50</v>
      </c>
      <c r="F59" s="15">
        <v>0.01</v>
      </c>
      <c r="G59" s="15">
        <v>40</v>
      </c>
      <c r="H59" s="15">
        <v>0</v>
      </c>
    </row>
  </sheetData>
  <phoneticPr fontId="7" type="noConversion"/>
  <pageMargins left="0.75" right="0.75" top="1" bottom="1" header="0.5" footer="0.5"/>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5"/>
  <sheetViews>
    <sheetView workbookViewId="0">
      <selection activeCell="C8" sqref="C8"/>
    </sheetView>
  </sheetViews>
  <sheetFormatPr defaultRowHeight="15" x14ac:dyDescent="0.25"/>
  <cols>
    <col min="1" max="8" width="16" customWidth="1"/>
  </cols>
  <sheetData>
    <row r="1" spans="1:8" ht="18.75" x14ac:dyDescent="0.3">
      <c r="A1" s="1" t="s">
        <v>74</v>
      </c>
    </row>
    <row r="2" spans="1:8" x14ac:dyDescent="0.25">
      <c r="A2" s="2" t="s">
        <v>75</v>
      </c>
    </row>
    <row r="4" spans="1:8" x14ac:dyDescent="0.25">
      <c r="A4" s="3" t="s">
        <v>36</v>
      </c>
      <c r="B4" s="3" t="s">
        <v>51</v>
      </c>
      <c r="C4" s="3" t="s">
        <v>59</v>
      </c>
      <c r="D4" s="3" t="s">
        <v>60</v>
      </c>
      <c r="E4" s="3" t="s">
        <v>55</v>
      </c>
      <c r="F4" s="3" t="s">
        <v>76</v>
      </c>
      <c r="G4" s="3" t="s">
        <v>77</v>
      </c>
      <c r="H4" s="3" t="s">
        <v>78</v>
      </c>
    </row>
    <row r="5" spans="1:8" x14ac:dyDescent="0.25">
      <c r="A5" s="4"/>
      <c r="B5" s="4"/>
      <c r="C5" s="4" t="s">
        <v>40</v>
      </c>
      <c r="D5" s="4" t="s">
        <v>40</v>
      </c>
      <c r="E5" s="4" t="s">
        <v>79</v>
      </c>
      <c r="F5" s="4" t="s">
        <v>80</v>
      </c>
      <c r="G5" s="4" t="s">
        <v>80</v>
      </c>
      <c r="H5" s="4" t="s">
        <v>80</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5"/>
  <sheetViews>
    <sheetView workbookViewId="0"/>
  </sheetViews>
  <sheetFormatPr defaultRowHeight="15" x14ac:dyDescent="0.25"/>
  <cols>
    <col min="1" max="4" width="16" customWidth="1"/>
  </cols>
  <sheetData>
    <row r="1" spans="1:4" ht="18.75" x14ac:dyDescent="0.3">
      <c r="A1" s="1" t="s">
        <v>81</v>
      </c>
    </row>
    <row r="2" spans="1:4" x14ac:dyDescent="0.25">
      <c r="A2" s="2" t="s">
        <v>82</v>
      </c>
    </row>
    <row r="4" spans="1:4" x14ac:dyDescent="0.25">
      <c r="A4" s="3" t="s">
        <v>36</v>
      </c>
      <c r="B4" s="3" t="s">
        <v>51</v>
      </c>
      <c r="C4" s="3" t="s">
        <v>37</v>
      </c>
      <c r="D4" s="3" t="s">
        <v>50</v>
      </c>
    </row>
    <row r="5" spans="1:4" x14ac:dyDescent="0.25">
      <c r="A5" s="4"/>
      <c r="B5" s="4"/>
      <c r="C5" s="4" t="s">
        <v>83</v>
      </c>
      <c r="D5" s="4" t="s">
        <v>40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5"/>
  <sheetViews>
    <sheetView workbookViewId="0">
      <selection activeCell="C8" sqref="C8"/>
    </sheetView>
  </sheetViews>
  <sheetFormatPr defaultRowHeight="15" x14ac:dyDescent="0.25"/>
  <cols>
    <col min="1" max="9" width="16" customWidth="1"/>
  </cols>
  <sheetData>
    <row r="1" spans="1:9" ht="18.75" x14ac:dyDescent="0.3">
      <c r="A1" s="1" t="s">
        <v>84</v>
      </c>
    </row>
    <row r="2" spans="1:9" x14ac:dyDescent="0.25">
      <c r="A2" s="2" t="s">
        <v>85</v>
      </c>
    </row>
    <row r="4" spans="1:9" x14ac:dyDescent="0.25">
      <c r="A4" s="3" t="s">
        <v>51</v>
      </c>
      <c r="B4" s="3" t="s">
        <v>86</v>
      </c>
      <c r="C4" s="3" t="s">
        <v>87</v>
      </c>
      <c r="D4" s="3" t="s">
        <v>88</v>
      </c>
      <c r="E4" s="3" t="s">
        <v>89</v>
      </c>
      <c r="F4" s="3" t="s">
        <v>90</v>
      </c>
      <c r="G4" s="3" t="s">
        <v>91</v>
      </c>
      <c r="H4" s="3" t="s">
        <v>92</v>
      </c>
      <c r="I4" s="3" t="s">
        <v>93</v>
      </c>
    </row>
    <row r="5" spans="1:9" x14ac:dyDescent="0.25">
      <c r="A5" s="4"/>
      <c r="B5" s="4" t="s">
        <v>56</v>
      </c>
      <c r="C5" s="4" t="s">
        <v>94</v>
      </c>
      <c r="D5" s="4" t="s">
        <v>95</v>
      </c>
      <c r="E5" s="4" t="s">
        <v>96</v>
      </c>
      <c r="F5" s="4" t="s">
        <v>96</v>
      </c>
      <c r="G5" s="4" t="s">
        <v>96</v>
      </c>
      <c r="H5" s="4" t="s">
        <v>97</v>
      </c>
      <c r="I5" s="4" t="s">
        <v>73</v>
      </c>
    </row>
  </sheetData>
  <phoneticPr fontId="7" type="noConversion"/>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5"/>
  <sheetViews>
    <sheetView workbookViewId="0"/>
  </sheetViews>
  <sheetFormatPr defaultRowHeight="15" x14ac:dyDescent="0.25"/>
  <cols>
    <col min="1" max="4" width="16" customWidth="1"/>
  </cols>
  <sheetData>
    <row r="1" spans="1:4" ht="18.75" x14ac:dyDescent="0.3">
      <c r="A1" s="1" t="s">
        <v>98</v>
      </c>
    </row>
    <row r="2" spans="1:4" x14ac:dyDescent="0.25">
      <c r="A2" s="2" t="s">
        <v>99</v>
      </c>
    </row>
    <row r="4" spans="1:4" x14ac:dyDescent="0.25">
      <c r="A4" s="3" t="s">
        <v>100</v>
      </c>
      <c r="B4" s="3" t="s">
        <v>101</v>
      </c>
      <c r="C4" s="3" t="s">
        <v>102</v>
      </c>
      <c r="D4" s="3" t="s">
        <v>86</v>
      </c>
    </row>
    <row r="5" spans="1:4" x14ac:dyDescent="0.25">
      <c r="A5" s="4"/>
      <c r="B5" s="4" t="s">
        <v>52</v>
      </c>
      <c r="C5" s="4" t="s">
        <v>52</v>
      </c>
      <c r="D5" s="4" t="s">
        <v>56</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O29"/>
  <sheetViews>
    <sheetView workbookViewId="0">
      <selection activeCell="L28" sqref="L27:L28"/>
    </sheetView>
  </sheetViews>
  <sheetFormatPr defaultRowHeight="15" x14ac:dyDescent="0.25"/>
  <cols>
    <col min="1" max="3" width="16" customWidth="1"/>
  </cols>
  <sheetData>
    <row r="1" spans="1:119" ht="18.75" x14ac:dyDescent="0.3">
      <c r="A1" s="1" t="s">
        <v>103</v>
      </c>
    </row>
    <row r="2" spans="1:119" x14ac:dyDescent="0.25">
      <c r="A2" s="2" t="s">
        <v>104</v>
      </c>
    </row>
    <row r="4" spans="1:119" x14ac:dyDescent="0.25">
      <c r="A4" s="3" t="s">
        <v>149</v>
      </c>
      <c r="B4" s="3" t="s">
        <v>111</v>
      </c>
      <c r="C4" s="3" t="s">
        <v>112</v>
      </c>
      <c r="D4" s="3" t="s">
        <v>113</v>
      </c>
      <c r="E4" s="3" t="s">
        <v>41</v>
      </c>
      <c r="F4" s="3" t="s">
        <v>42</v>
      </c>
      <c r="G4" s="3" t="s">
        <v>43</v>
      </c>
      <c r="H4" s="3" t="s">
        <v>130</v>
      </c>
      <c r="I4" s="3" t="s">
        <v>131</v>
      </c>
      <c r="J4" s="3" t="s">
        <v>132</v>
      </c>
      <c r="K4" s="3" t="s">
        <v>133</v>
      </c>
      <c r="L4" s="3" t="s">
        <v>134</v>
      </c>
      <c r="M4" s="3" t="s">
        <v>135</v>
      </c>
      <c r="N4" s="3" t="s">
        <v>136</v>
      </c>
      <c r="O4" s="3" t="s">
        <v>137</v>
      </c>
      <c r="P4" s="3" t="s">
        <v>153</v>
      </c>
      <c r="Q4" s="3" t="s">
        <v>154</v>
      </c>
      <c r="R4" s="3" t="s">
        <v>155</v>
      </c>
      <c r="S4" s="3" t="s">
        <v>156</v>
      </c>
      <c r="T4" s="3" t="s">
        <v>157</v>
      </c>
      <c r="U4" s="3" t="s">
        <v>158</v>
      </c>
      <c r="V4" s="3" t="s">
        <v>159</v>
      </c>
      <c r="W4" s="3" t="s">
        <v>160</v>
      </c>
      <c r="X4" s="3" t="s">
        <v>161</v>
      </c>
      <c r="Y4" s="3" t="s">
        <v>162</v>
      </c>
      <c r="Z4" s="3" t="s">
        <v>163</v>
      </c>
      <c r="AA4" s="3" t="s">
        <v>164</v>
      </c>
      <c r="AB4" s="3" t="s">
        <v>165</v>
      </c>
      <c r="AC4" s="3" t="s">
        <v>166</v>
      </c>
      <c r="AD4" s="3" t="s">
        <v>167</v>
      </c>
      <c r="AE4" s="3" t="s">
        <v>168</v>
      </c>
      <c r="AF4" s="3" t="s">
        <v>169</v>
      </c>
      <c r="AG4" s="3" t="s">
        <v>170</v>
      </c>
      <c r="AH4" s="3" t="s">
        <v>171</v>
      </c>
      <c r="AI4" s="3" t="s">
        <v>172</v>
      </c>
      <c r="AJ4" s="3" t="s">
        <v>173</v>
      </c>
      <c r="AK4" s="3" t="s">
        <v>174</v>
      </c>
      <c r="AL4" s="3" t="s">
        <v>175</v>
      </c>
      <c r="AM4" s="3" t="s">
        <v>176</v>
      </c>
      <c r="AN4" s="3" t="s">
        <v>177</v>
      </c>
      <c r="AO4" s="3" t="s">
        <v>178</v>
      </c>
      <c r="AP4" s="3" t="s">
        <v>179</v>
      </c>
      <c r="AQ4" s="3" t="s">
        <v>180</v>
      </c>
      <c r="AR4" s="3" t="s">
        <v>181</v>
      </c>
      <c r="AS4" s="3" t="s">
        <v>182</v>
      </c>
      <c r="AT4" s="3" t="s">
        <v>183</v>
      </c>
      <c r="AU4" s="3" t="s">
        <v>184</v>
      </c>
      <c r="AV4" s="3" t="s">
        <v>185</v>
      </c>
      <c r="AW4" s="3" t="s">
        <v>186</v>
      </c>
      <c r="AX4" s="3" t="s">
        <v>187</v>
      </c>
      <c r="AY4" s="3" t="s">
        <v>188</v>
      </c>
      <c r="AZ4" s="3" t="s">
        <v>189</v>
      </c>
      <c r="BA4" s="3" t="s">
        <v>190</v>
      </c>
      <c r="BB4" s="3" t="s">
        <v>191</v>
      </c>
      <c r="BC4" s="3" t="s">
        <v>192</v>
      </c>
      <c r="BD4" s="3" t="s">
        <v>193</v>
      </c>
      <c r="BE4" s="3" t="s">
        <v>194</v>
      </c>
      <c r="BF4" s="3" t="s">
        <v>195</v>
      </c>
      <c r="BG4" s="3" t="s">
        <v>196</v>
      </c>
      <c r="BH4" s="3" t="s">
        <v>197</v>
      </c>
      <c r="BI4" s="3" t="s">
        <v>198</v>
      </c>
      <c r="BJ4" s="3" t="s">
        <v>199</v>
      </c>
      <c r="BK4" s="3" t="s">
        <v>200</v>
      </c>
      <c r="BL4" s="3" t="s">
        <v>201</v>
      </c>
      <c r="BM4" s="3" t="s">
        <v>202</v>
      </c>
      <c r="BN4" s="3" t="s">
        <v>203</v>
      </c>
      <c r="BO4" s="3" t="s">
        <v>204</v>
      </c>
      <c r="BP4" s="3" t="s">
        <v>205</v>
      </c>
      <c r="BQ4" s="3" t="s">
        <v>206</v>
      </c>
      <c r="BR4" s="3" t="s">
        <v>207</v>
      </c>
      <c r="BS4" s="3" t="s">
        <v>208</v>
      </c>
      <c r="BT4" s="3" t="s">
        <v>209</v>
      </c>
      <c r="BU4" s="3" t="s">
        <v>210</v>
      </c>
      <c r="BV4" s="3" t="s">
        <v>211</v>
      </c>
      <c r="BW4" s="3" t="s">
        <v>212</v>
      </c>
      <c r="BX4" s="3" t="s">
        <v>213</v>
      </c>
      <c r="BY4" s="3" t="s">
        <v>214</v>
      </c>
      <c r="BZ4" s="3" t="s">
        <v>215</v>
      </c>
      <c r="CA4" s="3" t="s">
        <v>216</v>
      </c>
      <c r="CB4" s="3" t="s">
        <v>217</v>
      </c>
      <c r="CC4" s="3" t="s">
        <v>218</v>
      </c>
      <c r="CD4" s="3" t="s">
        <v>219</v>
      </c>
      <c r="CE4" s="3" t="s">
        <v>220</v>
      </c>
      <c r="CF4" s="3" t="s">
        <v>221</v>
      </c>
      <c r="CG4" s="3" t="s">
        <v>222</v>
      </c>
      <c r="CH4" s="3" t="s">
        <v>223</v>
      </c>
      <c r="CI4" s="3" t="s">
        <v>224</v>
      </c>
      <c r="CJ4" s="3" t="s">
        <v>225</v>
      </c>
      <c r="CK4" s="3" t="s">
        <v>226</v>
      </c>
      <c r="CL4" s="3" t="s">
        <v>227</v>
      </c>
      <c r="CM4" s="3" t="s">
        <v>228</v>
      </c>
      <c r="CN4" s="3" t="s">
        <v>229</v>
      </c>
      <c r="CO4" s="3" t="s">
        <v>230</v>
      </c>
      <c r="CP4" s="3" t="s">
        <v>231</v>
      </c>
      <c r="CQ4" s="3" t="s">
        <v>232</v>
      </c>
      <c r="CR4" s="3" t="s">
        <v>233</v>
      </c>
      <c r="CS4" s="3" t="s">
        <v>234</v>
      </c>
      <c r="CT4" s="3" t="s">
        <v>235</v>
      </c>
      <c r="CU4" s="3" t="s">
        <v>236</v>
      </c>
      <c r="CV4" s="3" t="s">
        <v>237</v>
      </c>
      <c r="CW4" s="3" t="s">
        <v>238</v>
      </c>
      <c r="CX4" s="3" t="s">
        <v>239</v>
      </c>
      <c r="CY4" s="3" t="s">
        <v>240</v>
      </c>
      <c r="CZ4" s="3" t="s">
        <v>241</v>
      </c>
      <c r="DA4" s="3" t="s">
        <v>242</v>
      </c>
      <c r="DB4" s="3" t="s">
        <v>243</v>
      </c>
      <c r="DC4" s="3" t="s">
        <v>244</v>
      </c>
      <c r="DD4" s="3" t="s">
        <v>245</v>
      </c>
      <c r="DE4" s="3" t="s">
        <v>246</v>
      </c>
      <c r="DF4" s="3" t="s">
        <v>247</v>
      </c>
      <c r="DG4" s="3" t="s">
        <v>248</v>
      </c>
      <c r="DH4" s="3" t="s">
        <v>249</v>
      </c>
      <c r="DI4" s="3" t="s">
        <v>250</v>
      </c>
      <c r="DJ4" s="3" t="s">
        <v>251</v>
      </c>
      <c r="DK4" s="3" t="s">
        <v>252</v>
      </c>
      <c r="DL4" s="3" t="s">
        <v>253</v>
      </c>
      <c r="DM4" s="3" t="s">
        <v>254</v>
      </c>
      <c r="DN4" s="3" t="s">
        <v>255</v>
      </c>
      <c r="DO4" s="3" t="s">
        <v>256</v>
      </c>
    </row>
    <row r="5" spans="1:119" x14ac:dyDescent="0.25">
      <c r="A5" s="4"/>
      <c r="B5" s="4" t="s">
        <v>40</v>
      </c>
      <c r="C5" s="4" t="s">
        <v>40</v>
      </c>
      <c r="D5" s="4" t="s">
        <v>40</v>
      </c>
      <c r="E5" s="4" t="s">
        <v>40</v>
      </c>
      <c r="F5" s="4" t="s">
        <v>40</v>
      </c>
      <c r="G5" s="4" t="s">
        <v>40</v>
      </c>
      <c r="H5" s="4" t="s">
        <v>40</v>
      </c>
      <c r="I5" s="4" t="s">
        <v>40</v>
      </c>
      <c r="J5" s="4" t="s">
        <v>40</v>
      </c>
      <c r="K5" s="4" t="s">
        <v>40</v>
      </c>
      <c r="L5" s="4" t="s">
        <v>40</v>
      </c>
      <c r="M5" s="4" t="s">
        <v>40</v>
      </c>
      <c r="N5" s="4" t="s">
        <v>40</v>
      </c>
      <c r="O5" s="4" t="s">
        <v>40</v>
      </c>
      <c r="P5" s="4" t="s">
        <v>40</v>
      </c>
      <c r="Q5" s="4" t="s">
        <v>40</v>
      </c>
      <c r="R5" s="4" t="s">
        <v>40</v>
      </c>
      <c r="S5" s="4" t="s">
        <v>40</v>
      </c>
      <c r="T5" s="4" t="s">
        <v>40</v>
      </c>
      <c r="U5" s="4" t="s">
        <v>40</v>
      </c>
      <c r="V5" s="4" t="s">
        <v>40</v>
      </c>
      <c r="W5" s="4" t="s">
        <v>40</v>
      </c>
      <c r="X5" s="4" t="s">
        <v>40</v>
      </c>
      <c r="Y5" s="4" t="s">
        <v>40</v>
      </c>
      <c r="Z5" s="4" t="s">
        <v>40</v>
      </c>
      <c r="AA5" s="4" t="s">
        <v>40</v>
      </c>
      <c r="AB5" s="4" t="s">
        <v>40</v>
      </c>
      <c r="AC5" s="4" t="s">
        <v>40</v>
      </c>
      <c r="AD5" s="4" t="s">
        <v>40</v>
      </c>
      <c r="AE5" s="4" t="s">
        <v>40</v>
      </c>
      <c r="AF5" s="4" t="s">
        <v>40</v>
      </c>
      <c r="AG5" s="4" t="s">
        <v>40</v>
      </c>
      <c r="AH5" s="4" t="s">
        <v>40</v>
      </c>
      <c r="AI5" s="4" t="s">
        <v>40</v>
      </c>
      <c r="AJ5" s="4" t="s">
        <v>40</v>
      </c>
      <c r="AK5" s="4" t="s">
        <v>40</v>
      </c>
      <c r="AL5" s="4" t="s">
        <v>40</v>
      </c>
      <c r="AM5" s="4" t="s">
        <v>40</v>
      </c>
      <c r="AN5" s="4" t="s">
        <v>40</v>
      </c>
      <c r="AO5" s="4" t="s">
        <v>40</v>
      </c>
      <c r="AP5" s="4" t="s">
        <v>40</v>
      </c>
      <c r="AQ5" s="4" t="s">
        <v>40</v>
      </c>
      <c r="AR5" s="4" t="s">
        <v>40</v>
      </c>
      <c r="AS5" s="4" t="s">
        <v>40</v>
      </c>
      <c r="AT5" s="4" t="s">
        <v>40</v>
      </c>
      <c r="AU5" s="4" t="s">
        <v>40</v>
      </c>
      <c r="AV5" s="4" t="s">
        <v>40</v>
      </c>
      <c r="AW5" s="4" t="s">
        <v>40</v>
      </c>
      <c r="AX5" s="4" t="s">
        <v>40</v>
      </c>
      <c r="AY5" s="4" t="s">
        <v>40</v>
      </c>
      <c r="AZ5" s="4" t="s">
        <v>40</v>
      </c>
      <c r="BA5" s="4" t="s">
        <v>40</v>
      </c>
      <c r="BB5" s="4" t="s">
        <v>40</v>
      </c>
      <c r="BC5" s="4" t="s">
        <v>40</v>
      </c>
      <c r="BD5" s="4" t="s">
        <v>40</v>
      </c>
      <c r="BE5" s="4" t="s">
        <v>40</v>
      </c>
      <c r="BF5" s="4" t="s">
        <v>40</v>
      </c>
      <c r="BG5" s="4" t="s">
        <v>40</v>
      </c>
      <c r="BH5" s="4" t="s">
        <v>40</v>
      </c>
      <c r="BI5" s="4" t="s">
        <v>40</v>
      </c>
      <c r="BJ5" s="4" t="s">
        <v>40</v>
      </c>
      <c r="BK5" s="4" t="s">
        <v>40</v>
      </c>
      <c r="BL5" s="4" t="s">
        <v>40</v>
      </c>
      <c r="BM5" s="4" t="s">
        <v>40</v>
      </c>
      <c r="BN5" s="4" t="s">
        <v>40</v>
      </c>
      <c r="BO5" s="4" t="s">
        <v>40</v>
      </c>
      <c r="BP5" s="4" t="s">
        <v>40</v>
      </c>
      <c r="BQ5" s="4" t="s">
        <v>40</v>
      </c>
      <c r="BR5" s="4" t="s">
        <v>40</v>
      </c>
      <c r="BS5" s="4" t="s">
        <v>40</v>
      </c>
      <c r="BT5" s="4" t="s">
        <v>40</v>
      </c>
      <c r="BU5" s="4" t="s">
        <v>40</v>
      </c>
      <c r="BV5" s="4" t="s">
        <v>40</v>
      </c>
      <c r="BW5" s="4" t="s">
        <v>40</v>
      </c>
      <c r="BX5" s="4" t="s">
        <v>40</v>
      </c>
      <c r="BY5" s="4" t="s">
        <v>40</v>
      </c>
      <c r="BZ5" s="4" t="s">
        <v>40</v>
      </c>
      <c r="CA5" s="4" t="s">
        <v>40</v>
      </c>
      <c r="CB5" s="4" t="s">
        <v>40</v>
      </c>
      <c r="CC5" s="4" t="s">
        <v>40</v>
      </c>
      <c r="CD5" s="4" t="s">
        <v>40</v>
      </c>
      <c r="CE5" s="4" t="s">
        <v>40</v>
      </c>
      <c r="CF5" s="4" t="s">
        <v>40</v>
      </c>
      <c r="CG5" s="4" t="s">
        <v>40</v>
      </c>
      <c r="CH5" s="4" t="s">
        <v>40</v>
      </c>
      <c r="CI5" s="4" t="s">
        <v>40</v>
      </c>
      <c r="CJ5" s="4" t="s">
        <v>40</v>
      </c>
      <c r="CK5" s="4" t="s">
        <v>40</v>
      </c>
      <c r="CL5" s="4" t="s">
        <v>40</v>
      </c>
      <c r="CM5" s="4" t="s">
        <v>40</v>
      </c>
      <c r="CN5" s="4" t="s">
        <v>40</v>
      </c>
      <c r="CO5" s="4" t="s">
        <v>40</v>
      </c>
      <c r="CP5" s="4" t="s">
        <v>40</v>
      </c>
      <c r="CQ5" s="4" t="s">
        <v>40</v>
      </c>
      <c r="CR5" s="4" t="s">
        <v>40</v>
      </c>
      <c r="CS5" s="4" t="s">
        <v>40</v>
      </c>
      <c r="CT5" s="4" t="s">
        <v>40</v>
      </c>
      <c r="CU5" s="4" t="s">
        <v>40</v>
      </c>
      <c r="CV5" s="4" t="s">
        <v>40</v>
      </c>
      <c r="CW5" s="4" t="s">
        <v>40</v>
      </c>
      <c r="CX5" s="4" t="s">
        <v>40</v>
      </c>
      <c r="CY5" s="4" t="s">
        <v>40</v>
      </c>
      <c r="CZ5" s="4" t="s">
        <v>40</v>
      </c>
      <c r="DA5" s="4" t="s">
        <v>40</v>
      </c>
      <c r="DB5" s="4" t="s">
        <v>40</v>
      </c>
      <c r="DC5" s="4" t="s">
        <v>40</v>
      </c>
      <c r="DD5" s="4" t="s">
        <v>40</v>
      </c>
      <c r="DE5" s="4" t="s">
        <v>40</v>
      </c>
      <c r="DF5" s="4" t="s">
        <v>40</v>
      </c>
      <c r="DG5" s="4" t="s">
        <v>40</v>
      </c>
      <c r="DH5" s="4" t="s">
        <v>40</v>
      </c>
      <c r="DI5" s="4" t="s">
        <v>40</v>
      </c>
      <c r="DJ5" s="4" t="s">
        <v>40</v>
      </c>
      <c r="DK5" s="4" t="s">
        <v>40</v>
      </c>
      <c r="DL5" s="4" t="s">
        <v>40</v>
      </c>
      <c r="DM5" s="4" t="s">
        <v>40</v>
      </c>
      <c r="DN5" s="4" t="s">
        <v>40</v>
      </c>
      <c r="DO5" s="4" t="s">
        <v>40</v>
      </c>
    </row>
    <row r="6" spans="1:119" x14ac:dyDescent="0.25">
      <c r="A6" s="5">
        <v>1</v>
      </c>
      <c r="B6" s="5">
        <v>51</v>
      </c>
      <c r="C6" s="5">
        <v>20</v>
      </c>
      <c r="D6" s="5">
        <v>39</v>
      </c>
      <c r="E6" s="5">
        <v>39</v>
      </c>
      <c r="F6" s="5">
        <v>0</v>
      </c>
      <c r="G6" s="5">
        <v>52</v>
      </c>
      <c r="H6" s="5">
        <v>19</v>
      </c>
      <c r="I6" s="5">
        <v>28</v>
      </c>
      <c r="J6" s="5">
        <v>0</v>
      </c>
      <c r="K6" s="5">
        <v>0</v>
      </c>
      <c r="L6" s="5">
        <v>70</v>
      </c>
      <c r="M6" s="5">
        <v>47</v>
      </c>
      <c r="N6" s="5">
        <v>34</v>
      </c>
      <c r="O6" s="5">
        <v>14</v>
      </c>
      <c r="P6" s="5">
        <v>90</v>
      </c>
      <c r="Q6" s="5">
        <v>25</v>
      </c>
      <c r="R6" s="5">
        <v>11</v>
      </c>
      <c r="S6" s="5">
        <v>60</v>
      </c>
      <c r="T6" s="5">
        <v>45</v>
      </c>
      <c r="U6" s="5">
        <v>18</v>
      </c>
      <c r="V6" s="5">
        <v>14</v>
      </c>
      <c r="W6" s="5">
        <v>10</v>
      </c>
      <c r="X6" s="5">
        <v>7</v>
      </c>
      <c r="Y6" s="5">
        <v>13</v>
      </c>
      <c r="Z6" s="5">
        <v>0</v>
      </c>
      <c r="AA6" s="5">
        <v>0</v>
      </c>
      <c r="AB6" s="5">
        <v>71</v>
      </c>
      <c r="AC6" s="5">
        <v>17</v>
      </c>
      <c r="AD6" s="5">
        <v>24</v>
      </c>
      <c r="AE6" s="5">
        <v>0</v>
      </c>
      <c r="AF6" s="5">
        <v>43</v>
      </c>
      <c r="AG6" s="5">
        <v>59</v>
      </c>
      <c r="AH6" s="5">
        <v>23</v>
      </c>
      <c r="AI6" s="5">
        <v>59</v>
      </c>
      <c r="AJ6" s="5">
        <v>33</v>
      </c>
      <c r="AK6" s="5">
        <v>31</v>
      </c>
      <c r="AL6" s="5">
        <v>0</v>
      </c>
      <c r="AM6" s="5">
        <v>0</v>
      </c>
      <c r="AN6" s="5">
        <v>27</v>
      </c>
      <c r="AO6" s="5">
        <v>66</v>
      </c>
      <c r="AP6" s="5">
        <v>37</v>
      </c>
      <c r="AQ6" s="5">
        <v>96</v>
      </c>
      <c r="AR6" s="5">
        <v>18</v>
      </c>
      <c r="AS6" s="5">
        <v>16</v>
      </c>
      <c r="AT6" s="5">
        <v>53</v>
      </c>
      <c r="AU6" s="5">
        <v>28</v>
      </c>
      <c r="AV6" s="5">
        <v>34</v>
      </c>
      <c r="AW6" s="5">
        <v>20</v>
      </c>
      <c r="AX6" s="5">
        <v>87</v>
      </c>
      <c r="AY6" s="5">
        <v>17</v>
      </c>
      <c r="AZ6" s="5">
        <v>17</v>
      </c>
      <c r="BA6" s="5">
        <v>18</v>
      </c>
      <c r="BB6" s="5">
        <v>23</v>
      </c>
      <c r="BC6" s="5">
        <v>113</v>
      </c>
      <c r="BD6" s="5">
        <v>63</v>
      </c>
      <c r="BE6" s="5">
        <v>84</v>
      </c>
      <c r="BF6" s="5">
        <v>12</v>
      </c>
      <c r="BG6" s="5">
        <v>12</v>
      </c>
      <c r="BH6" s="5">
        <v>277</v>
      </c>
      <c r="BI6" s="5">
        <v>78</v>
      </c>
      <c r="BJ6" s="5">
        <v>0</v>
      </c>
      <c r="BK6" s="5">
        <v>77</v>
      </c>
      <c r="BL6" s="5">
        <v>0</v>
      </c>
      <c r="BM6" s="5">
        <v>0</v>
      </c>
      <c r="BN6" s="5">
        <v>0</v>
      </c>
      <c r="BO6" s="5">
        <v>39</v>
      </c>
      <c r="BP6" s="5">
        <v>28</v>
      </c>
      <c r="BQ6" s="5">
        <v>0</v>
      </c>
      <c r="BR6" s="5">
        <v>0</v>
      </c>
      <c r="BS6" s="5">
        <v>66</v>
      </c>
      <c r="BT6" s="5">
        <v>0</v>
      </c>
      <c r="BU6" s="5">
        <v>12</v>
      </c>
      <c r="BV6" s="5">
        <v>6</v>
      </c>
      <c r="BW6" s="5">
        <v>68</v>
      </c>
      <c r="BX6" s="5">
        <v>47</v>
      </c>
      <c r="BY6" s="5">
        <v>68</v>
      </c>
      <c r="BZ6" s="5">
        <v>61</v>
      </c>
      <c r="CA6" s="5">
        <v>71</v>
      </c>
      <c r="CB6" s="5">
        <v>39</v>
      </c>
      <c r="CC6" s="5">
        <v>130</v>
      </c>
      <c r="CD6" s="5">
        <v>0</v>
      </c>
      <c r="CE6" s="5">
        <v>54</v>
      </c>
      <c r="CF6" s="5">
        <v>20</v>
      </c>
      <c r="CG6" s="5">
        <v>11</v>
      </c>
      <c r="CH6" s="5">
        <v>24</v>
      </c>
      <c r="CI6" s="5">
        <v>21</v>
      </c>
      <c r="CJ6" s="5">
        <v>0</v>
      </c>
      <c r="CK6" s="5">
        <v>48</v>
      </c>
      <c r="CL6" s="5">
        <v>0</v>
      </c>
      <c r="CM6" s="5">
        <v>163</v>
      </c>
      <c r="CN6" s="5">
        <v>10</v>
      </c>
      <c r="CO6" s="5">
        <v>65</v>
      </c>
      <c r="CP6" s="5">
        <v>12</v>
      </c>
      <c r="CQ6" s="5">
        <v>30</v>
      </c>
      <c r="CR6" s="5">
        <v>42</v>
      </c>
      <c r="CS6" s="5">
        <v>38</v>
      </c>
      <c r="CT6" s="5">
        <v>15</v>
      </c>
      <c r="CU6" s="5">
        <v>34</v>
      </c>
      <c r="CV6" s="5">
        <v>42</v>
      </c>
      <c r="CW6" s="5">
        <v>37</v>
      </c>
      <c r="CX6" s="5">
        <v>22</v>
      </c>
      <c r="CY6" s="5">
        <v>5</v>
      </c>
      <c r="CZ6" s="5">
        <v>23</v>
      </c>
      <c r="DA6" s="5">
        <v>38</v>
      </c>
      <c r="DB6" s="5">
        <v>31</v>
      </c>
      <c r="DC6" s="5">
        <v>43</v>
      </c>
      <c r="DD6" s="5">
        <v>50</v>
      </c>
      <c r="DE6" s="5">
        <v>2</v>
      </c>
      <c r="DF6" s="5">
        <v>8</v>
      </c>
      <c r="DG6" s="5">
        <v>39</v>
      </c>
      <c r="DH6" s="5">
        <v>0</v>
      </c>
      <c r="DI6" s="5">
        <v>68</v>
      </c>
      <c r="DJ6" s="5">
        <v>6</v>
      </c>
      <c r="DK6" s="5">
        <v>8</v>
      </c>
      <c r="DL6" s="5">
        <v>22</v>
      </c>
      <c r="DM6" s="5">
        <v>184</v>
      </c>
      <c r="DN6" s="5">
        <v>20</v>
      </c>
      <c r="DO6" s="5">
        <v>33</v>
      </c>
    </row>
    <row r="7" spans="1:119" x14ac:dyDescent="0.25">
      <c r="A7" s="5">
        <v>2</v>
      </c>
      <c r="B7" s="5"/>
      <c r="C7" s="5"/>
      <c r="D7" s="5"/>
      <c r="E7" s="5"/>
      <c r="F7" s="5"/>
      <c r="G7" s="5"/>
      <c r="H7" s="5"/>
      <c r="I7" s="5"/>
      <c r="J7" s="5"/>
      <c r="K7" s="5"/>
      <c r="L7" s="5"/>
      <c r="M7" s="5"/>
      <c r="N7" s="5"/>
      <c r="O7" s="5"/>
      <c r="P7" s="5"/>
      <c r="Q7" s="5"/>
      <c r="R7" s="5"/>
      <c r="S7" s="5"/>
      <c r="T7" s="5"/>
      <c r="U7" s="5"/>
      <c r="V7" s="5"/>
      <c r="W7" s="5"/>
      <c r="X7" s="5"/>
      <c r="Y7" s="5"/>
      <c r="Z7" s="5"/>
      <c r="AA7" s="5"/>
      <c r="AB7" s="5"/>
      <c r="AC7" s="5"/>
      <c r="AD7" s="5"/>
      <c r="AE7" s="5"/>
      <c r="AF7" s="5"/>
      <c r="AG7" s="5"/>
      <c r="AH7" s="5"/>
      <c r="AI7" s="5"/>
      <c r="AJ7" s="5"/>
      <c r="AK7" s="5"/>
      <c r="AL7" s="5"/>
      <c r="AM7" s="5"/>
      <c r="AN7" s="5"/>
      <c r="AO7" s="5"/>
      <c r="AP7" s="5"/>
      <c r="AQ7" s="5"/>
      <c r="AR7" s="5"/>
      <c r="AS7" s="5"/>
      <c r="AT7" s="5"/>
      <c r="AU7" s="5"/>
      <c r="AV7" s="5"/>
      <c r="AW7" s="5"/>
      <c r="AX7" s="5"/>
      <c r="AY7" s="5"/>
      <c r="AZ7" s="5"/>
      <c r="BA7" s="5"/>
      <c r="BB7" s="5"/>
      <c r="BC7" s="5"/>
      <c r="BD7" s="5"/>
      <c r="BE7" s="5"/>
      <c r="BF7" s="5"/>
      <c r="BG7" s="5"/>
      <c r="BH7" s="5"/>
      <c r="BI7" s="5"/>
      <c r="BJ7" s="5"/>
      <c r="BK7" s="5"/>
      <c r="BL7" s="5"/>
      <c r="BM7" s="5"/>
      <c r="BN7" s="5"/>
      <c r="BO7" s="5"/>
      <c r="BP7" s="5"/>
      <c r="BQ7" s="5"/>
      <c r="BR7" s="5"/>
      <c r="BS7" s="5"/>
      <c r="BT7" s="5"/>
      <c r="BU7" s="5"/>
      <c r="BV7" s="5"/>
      <c r="BW7" s="5"/>
      <c r="BX7" s="5"/>
      <c r="BY7" s="5"/>
      <c r="BZ7" s="5"/>
      <c r="CA7" s="5"/>
      <c r="CB7" s="5"/>
      <c r="CC7" s="5"/>
      <c r="CD7" s="5"/>
      <c r="CE7" s="5"/>
      <c r="CF7" s="5"/>
      <c r="CG7" s="5"/>
      <c r="CH7" s="5"/>
      <c r="CI7" s="5"/>
      <c r="CJ7" s="5"/>
      <c r="CK7" s="5"/>
      <c r="CL7" s="5"/>
      <c r="CM7" s="5"/>
      <c r="CN7" s="5"/>
      <c r="CO7" s="5"/>
      <c r="CP7" s="5"/>
      <c r="CQ7" s="5"/>
      <c r="CR7" s="5"/>
      <c r="CS7" s="5"/>
      <c r="CT7" s="5"/>
      <c r="CU7" s="5"/>
      <c r="CV7" s="5"/>
      <c r="CW7" s="5"/>
      <c r="CX7" s="5"/>
      <c r="CY7" s="5"/>
      <c r="CZ7" s="5"/>
      <c r="DA7" s="5"/>
      <c r="DB7" s="5"/>
      <c r="DC7" s="5"/>
      <c r="DD7" s="5"/>
      <c r="DE7" s="5"/>
      <c r="DF7" s="5"/>
      <c r="DG7" s="5"/>
      <c r="DH7" s="5"/>
      <c r="DI7" s="5"/>
      <c r="DJ7" s="5"/>
      <c r="DK7" s="5"/>
      <c r="DL7" s="5"/>
      <c r="DM7" s="5"/>
      <c r="DN7" s="5"/>
      <c r="DO7" s="5"/>
    </row>
    <row r="8" spans="1:119" x14ac:dyDescent="0.25">
      <c r="A8" s="5">
        <v>3</v>
      </c>
      <c r="B8" s="5"/>
      <c r="C8" s="5"/>
      <c r="D8" s="5"/>
      <c r="E8" s="5"/>
      <c r="F8" s="5"/>
      <c r="G8" s="5"/>
      <c r="H8" s="5"/>
      <c r="I8" s="5"/>
      <c r="J8" s="5"/>
      <c r="K8" s="5"/>
      <c r="L8" s="5"/>
      <c r="M8" s="5"/>
      <c r="N8" s="5"/>
      <c r="O8" s="5"/>
      <c r="P8" s="5"/>
      <c r="Q8" s="5"/>
      <c r="R8" s="5"/>
      <c r="S8" s="5"/>
      <c r="T8" s="5"/>
      <c r="U8" s="5"/>
      <c r="V8" s="5"/>
      <c r="W8" s="5"/>
      <c r="X8" s="5"/>
      <c r="Y8" s="5"/>
      <c r="Z8" s="5"/>
      <c r="AA8" s="5"/>
      <c r="AB8" s="5"/>
      <c r="AC8" s="5"/>
      <c r="AD8" s="5"/>
      <c r="AE8" s="5"/>
      <c r="AF8" s="5"/>
      <c r="AG8" s="5"/>
      <c r="AH8" s="5"/>
      <c r="AI8" s="5"/>
      <c r="AJ8" s="5"/>
      <c r="AK8" s="5"/>
      <c r="AL8" s="5"/>
      <c r="AM8" s="5"/>
      <c r="AN8" s="5"/>
      <c r="AO8" s="5"/>
      <c r="AP8" s="5"/>
      <c r="AQ8" s="5"/>
      <c r="AR8" s="5"/>
      <c r="AS8" s="5"/>
      <c r="AT8" s="5"/>
      <c r="AU8" s="5"/>
      <c r="AV8" s="5"/>
      <c r="AW8" s="5"/>
      <c r="AX8" s="5"/>
      <c r="AY8" s="5"/>
      <c r="AZ8" s="5"/>
      <c r="BA8" s="5"/>
      <c r="BB8" s="5"/>
      <c r="BC8" s="5"/>
      <c r="BD8" s="5"/>
      <c r="BE8" s="5"/>
      <c r="BF8" s="5"/>
      <c r="BG8" s="5"/>
      <c r="BH8" s="5"/>
      <c r="BI8" s="5"/>
      <c r="BJ8" s="5"/>
      <c r="BK8" s="5"/>
      <c r="BL8" s="5"/>
      <c r="BM8" s="5"/>
      <c r="BN8" s="5"/>
      <c r="BO8" s="5"/>
      <c r="BP8" s="5"/>
      <c r="BQ8" s="5"/>
      <c r="BR8" s="5"/>
      <c r="BS8" s="5"/>
      <c r="BT8" s="5"/>
      <c r="BU8" s="5"/>
      <c r="BV8" s="5"/>
      <c r="BW8" s="5"/>
      <c r="BX8" s="5"/>
      <c r="BY8" s="5"/>
      <c r="BZ8" s="5"/>
      <c r="CA8" s="5"/>
      <c r="CB8" s="5"/>
      <c r="CC8" s="5"/>
      <c r="CD8" s="5"/>
      <c r="CE8" s="5"/>
      <c r="CF8" s="5"/>
      <c r="CG8" s="5"/>
      <c r="CH8" s="5"/>
      <c r="CI8" s="5"/>
      <c r="CJ8" s="5"/>
      <c r="CK8" s="5"/>
      <c r="CL8" s="5"/>
      <c r="CM8" s="5"/>
      <c r="CN8" s="5"/>
      <c r="CO8" s="5"/>
      <c r="CP8" s="5"/>
      <c r="CQ8" s="5"/>
      <c r="CR8" s="5"/>
      <c r="CS8" s="5"/>
      <c r="CT8" s="5"/>
      <c r="CU8" s="5"/>
      <c r="CV8" s="5"/>
      <c r="CW8" s="5"/>
      <c r="CX8" s="5"/>
      <c r="CY8" s="5"/>
      <c r="CZ8" s="5"/>
      <c r="DA8" s="5"/>
      <c r="DB8" s="5"/>
      <c r="DC8" s="5"/>
      <c r="DD8" s="5"/>
      <c r="DE8" s="5"/>
      <c r="DF8" s="5"/>
      <c r="DG8" s="5"/>
      <c r="DH8" s="5"/>
      <c r="DI8" s="5"/>
      <c r="DJ8" s="5"/>
      <c r="DK8" s="5"/>
      <c r="DL8" s="5"/>
      <c r="DM8" s="5"/>
      <c r="DN8" s="5"/>
      <c r="DO8" s="5"/>
    </row>
    <row r="9" spans="1:119" x14ac:dyDescent="0.25">
      <c r="A9" s="5">
        <v>4</v>
      </c>
      <c r="B9" s="5"/>
      <c r="C9" s="5"/>
      <c r="D9" s="5"/>
      <c r="E9" s="5"/>
      <c r="F9" s="5"/>
      <c r="G9" s="5"/>
      <c r="H9" s="5"/>
      <c r="I9" s="5"/>
      <c r="J9" s="5"/>
      <c r="K9" s="5"/>
      <c r="L9" s="5"/>
      <c r="M9" s="5"/>
      <c r="N9" s="5"/>
      <c r="O9" s="5"/>
      <c r="P9" s="5"/>
      <c r="Q9" s="5"/>
      <c r="R9" s="5"/>
      <c r="S9" s="5"/>
      <c r="T9" s="5"/>
      <c r="U9" s="5"/>
      <c r="V9" s="5"/>
      <c r="W9" s="5"/>
      <c r="X9" s="5"/>
      <c r="Y9" s="5"/>
      <c r="Z9" s="5"/>
      <c r="AA9" s="5"/>
      <c r="AB9" s="5"/>
      <c r="AC9" s="5"/>
      <c r="AD9" s="5"/>
      <c r="AE9" s="5"/>
      <c r="AF9" s="5"/>
      <c r="AG9" s="5"/>
      <c r="AH9" s="5"/>
      <c r="AI9" s="5"/>
      <c r="AJ9" s="5"/>
      <c r="AK9" s="5"/>
      <c r="AL9" s="5"/>
      <c r="AM9" s="5"/>
      <c r="AN9" s="5"/>
      <c r="AO9" s="5"/>
      <c r="AP9" s="5"/>
      <c r="AQ9" s="5"/>
      <c r="AR9" s="5"/>
      <c r="AS9" s="5"/>
      <c r="AT9" s="5"/>
      <c r="AU9" s="5"/>
      <c r="AV9" s="5"/>
      <c r="AW9" s="5"/>
      <c r="AX9" s="5"/>
      <c r="AY9" s="5"/>
      <c r="AZ9" s="5"/>
      <c r="BA9" s="5"/>
      <c r="BB9" s="5"/>
      <c r="BC9" s="5"/>
      <c r="BD9" s="5"/>
      <c r="BE9" s="5"/>
      <c r="BF9" s="5"/>
      <c r="BG9" s="5"/>
      <c r="BH9" s="5"/>
      <c r="BI9" s="5"/>
      <c r="BJ9" s="5"/>
      <c r="BK9" s="5"/>
      <c r="BL9" s="5"/>
      <c r="BM9" s="5"/>
      <c r="BN9" s="5"/>
      <c r="BO9" s="5"/>
      <c r="BP9" s="5"/>
      <c r="BQ9" s="5"/>
      <c r="BR9" s="5"/>
      <c r="BS9" s="5"/>
      <c r="BT9" s="5"/>
      <c r="BU9" s="5"/>
      <c r="BV9" s="5"/>
      <c r="BW9" s="5"/>
      <c r="BX9" s="5"/>
      <c r="BY9" s="5"/>
      <c r="BZ9" s="5"/>
      <c r="CA9" s="5"/>
      <c r="CB9" s="5"/>
      <c r="CC9" s="5"/>
      <c r="CD9" s="5"/>
      <c r="CE9" s="5"/>
      <c r="CF9" s="5"/>
      <c r="CG9" s="5"/>
      <c r="CH9" s="5"/>
      <c r="CI9" s="5"/>
      <c r="CJ9" s="5"/>
      <c r="CK9" s="5"/>
      <c r="CL9" s="5"/>
      <c r="CM9" s="5"/>
      <c r="CN9" s="5"/>
      <c r="CO9" s="5"/>
      <c r="CP9" s="5"/>
      <c r="CQ9" s="5"/>
      <c r="CR9" s="5"/>
      <c r="CS9" s="5"/>
      <c r="CT9" s="5"/>
      <c r="CU9" s="5"/>
      <c r="CV9" s="5"/>
      <c r="CW9" s="5"/>
      <c r="CX9" s="5"/>
      <c r="CY9" s="5"/>
      <c r="CZ9" s="5"/>
      <c r="DA9" s="5"/>
      <c r="DB9" s="5"/>
      <c r="DC9" s="5"/>
      <c r="DD9" s="5"/>
      <c r="DE9" s="5"/>
      <c r="DF9" s="5"/>
      <c r="DG9" s="5"/>
      <c r="DH9" s="5"/>
      <c r="DI9" s="5"/>
      <c r="DJ9" s="5"/>
      <c r="DK9" s="5"/>
      <c r="DL9" s="5"/>
      <c r="DM9" s="5"/>
      <c r="DN9" s="5"/>
      <c r="DO9" s="5"/>
    </row>
    <row r="10" spans="1:119" x14ac:dyDescent="0.25">
      <c r="A10" s="5">
        <v>5</v>
      </c>
      <c r="B10" s="5"/>
      <c r="C10" s="5"/>
      <c r="D10" s="5"/>
      <c r="E10" s="5"/>
      <c r="F10" s="5"/>
      <c r="G10" s="5"/>
      <c r="H10" s="5"/>
      <c r="I10" s="5"/>
      <c r="J10" s="5"/>
      <c r="K10" s="5"/>
      <c r="L10" s="5"/>
      <c r="M10" s="5"/>
      <c r="N10" s="5"/>
      <c r="O10" s="5"/>
      <c r="P10" s="5"/>
      <c r="Q10" s="5"/>
      <c r="R10" s="5"/>
      <c r="S10" s="5"/>
      <c r="T10" s="5"/>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c r="AW10" s="5"/>
      <c r="AX10" s="5"/>
      <c r="AY10" s="5"/>
      <c r="AZ10" s="5"/>
      <c r="BA10" s="5"/>
      <c r="BB10" s="5"/>
      <c r="BC10" s="5"/>
      <c r="BD10" s="5"/>
      <c r="BE10" s="5"/>
      <c r="BF10" s="5"/>
      <c r="BG10" s="5"/>
      <c r="BH10" s="5"/>
      <c r="BI10" s="5"/>
      <c r="BJ10" s="5"/>
      <c r="BK10" s="5"/>
      <c r="BL10" s="5"/>
      <c r="BM10" s="5"/>
      <c r="BN10" s="5"/>
      <c r="BO10" s="5"/>
      <c r="BP10" s="5"/>
      <c r="BQ10" s="5"/>
      <c r="BR10" s="5"/>
      <c r="BS10" s="5"/>
      <c r="BT10" s="5"/>
      <c r="BU10" s="5"/>
      <c r="BV10" s="5"/>
      <c r="BW10" s="5"/>
      <c r="BX10" s="5"/>
      <c r="BY10" s="5"/>
      <c r="BZ10" s="5"/>
      <c r="CA10" s="5"/>
      <c r="CB10" s="5"/>
      <c r="CC10" s="5"/>
      <c r="CD10" s="5"/>
      <c r="CE10" s="5"/>
      <c r="CF10" s="5"/>
      <c r="CG10" s="5"/>
      <c r="CH10" s="5"/>
      <c r="CI10" s="5"/>
      <c r="CJ10" s="5"/>
      <c r="CK10" s="5"/>
      <c r="CL10" s="5"/>
      <c r="CM10" s="5"/>
      <c r="CN10" s="5"/>
      <c r="CO10" s="5"/>
      <c r="CP10" s="5"/>
      <c r="CQ10" s="5"/>
      <c r="CR10" s="5"/>
      <c r="CS10" s="5"/>
      <c r="CT10" s="5"/>
      <c r="CU10" s="5"/>
      <c r="CV10" s="5"/>
      <c r="CW10" s="5"/>
      <c r="CX10" s="5"/>
      <c r="CY10" s="5"/>
      <c r="CZ10" s="5"/>
      <c r="DA10" s="5"/>
      <c r="DB10" s="5"/>
      <c r="DC10" s="5"/>
      <c r="DD10" s="5"/>
      <c r="DE10" s="5"/>
      <c r="DF10" s="5"/>
      <c r="DG10" s="5"/>
      <c r="DH10" s="5"/>
      <c r="DI10" s="5"/>
      <c r="DJ10" s="5"/>
      <c r="DK10" s="5"/>
      <c r="DL10" s="5"/>
      <c r="DM10" s="5"/>
      <c r="DN10" s="5"/>
      <c r="DO10" s="5"/>
    </row>
    <row r="11" spans="1:119" x14ac:dyDescent="0.25">
      <c r="A11" s="5">
        <v>6</v>
      </c>
      <c r="B11" s="5"/>
      <c r="C11" s="5"/>
      <c r="D11" s="5"/>
      <c r="E11" s="5"/>
      <c r="F11" s="5"/>
      <c r="G11" s="5"/>
      <c r="H11" s="5"/>
      <c r="I11" s="5"/>
      <c r="J11" s="5"/>
      <c r="K11" s="5"/>
      <c r="L11" s="5"/>
      <c r="M11" s="5"/>
      <c r="N11" s="5"/>
      <c r="O11" s="5"/>
      <c r="P11" s="5"/>
      <c r="Q11" s="5"/>
      <c r="R11" s="5"/>
      <c r="S11" s="5"/>
      <c r="T11" s="5"/>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c r="AW11" s="5"/>
      <c r="AX11" s="5"/>
      <c r="AY11" s="5"/>
      <c r="AZ11" s="5"/>
      <c r="BA11" s="5"/>
      <c r="BB11" s="5"/>
      <c r="BC11" s="5"/>
      <c r="BD11" s="5"/>
      <c r="BE11" s="5"/>
      <c r="BF11" s="5"/>
      <c r="BG11" s="5"/>
      <c r="BH11" s="5"/>
      <c r="BI11" s="5"/>
      <c r="BJ11" s="5"/>
      <c r="BK11" s="5"/>
      <c r="BL11" s="5"/>
      <c r="BM11" s="5"/>
      <c r="BN11" s="5"/>
      <c r="BO11" s="5"/>
      <c r="BP11" s="5"/>
      <c r="BQ11" s="5"/>
      <c r="BR11" s="5"/>
      <c r="BS11" s="5"/>
      <c r="BT11" s="5"/>
      <c r="BU11" s="5"/>
      <c r="BV11" s="5"/>
      <c r="BW11" s="5"/>
      <c r="BX11" s="5"/>
      <c r="BY11" s="5"/>
      <c r="BZ11" s="5"/>
      <c r="CA11" s="5"/>
      <c r="CB11" s="5"/>
      <c r="CC11" s="5"/>
      <c r="CD11" s="5"/>
      <c r="CE11" s="5"/>
      <c r="CF11" s="5"/>
      <c r="CG11" s="5"/>
      <c r="CH11" s="5"/>
      <c r="CI11" s="5"/>
      <c r="CJ11" s="5"/>
      <c r="CK11" s="5"/>
      <c r="CL11" s="5"/>
      <c r="CM11" s="5"/>
      <c r="CN11" s="5"/>
      <c r="CO11" s="5"/>
      <c r="CP11" s="5"/>
      <c r="CQ11" s="5"/>
      <c r="CR11" s="5"/>
      <c r="CS11" s="5"/>
      <c r="CT11" s="5"/>
      <c r="CU11" s="5"/>
      <c r="CV11" s="5"/>
      <c r="CW11" s="5"/>
      <c r="CX11" s="5"/>
      <c r="CY11" s="5"/>
      <c r="CZ11" s="5"/>
      <c r="DA11" s="5"/>
      <c r="DB11" s="5"/>
      <c r="DC11" s="5"/>
      <c r="DD11" s="5"/>
      <c r="DE11" s="5"/>
      <c r="DF11" s="5"/>
      <c r="DG11" s="5"/>
      <c r="DH11" s="5"/>
      <c r="DI11" s="5"/>
      <c r="DJ11" s="5"/>
      <c r="DK11" s="5"/>
      <c r="DL11" s="5"/>
      <c r="DM11" s="5"/>
      <c r="DN11" s="5"/>
      <c r="DO11" s="5"/>
    </row>
    <row r="12" spans="1:119" x14ac:dyDescent="0.25">
      <c r="A12" s="5">
        <v>7</v>
      </c>
      <c r="B12" s="5"/>
      <c r="C12" s="5"/>
      <c r="D12" s="5"/>
      <c r="E12" s="5"/>
      <c r="F12" s="5"/>
      <c r="G12" s="5"/>
      <c r="H12" s="5"/>
      <c r="I12" s="5"/>
      <c r="J12" s="5"/>
      <c r="K12" s="5"/>
      <c r="L12" s="5"/>
      <c r="M12" s="5"/>
      <c r="N12" s="5"/>
      <c r="O12" s="5"/>
      <c r="P12" s="5"/>
      <c r="Q12" s="5"/>
      <c r="R12" s="5"/>
      <c r="S12" s="5"/>
      <c r="T12" s="5"/>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c r="AW12" s="5"/>
      <c r="AX12" s="5"/>
      <c r="AY12" s="5"/>
      <c r="AZ12" s="5"/>
      <c r="BA12" s="5"/>
      <c r="BB12" s="5"/>
      <c r="BC12" s="5"/>
      <c r="BD12" s="5"/>
      <c r="BE12" s="5"/>
      <c r="BF12" s="5"/>
      <c r="BG12" s="5"/>
      <c r="BH12" s="5"/>
      <c r="BI12" s="5"/>
      <c r="BJ12" s="5"/>
      <c r="BK12" s="5"/>
      <c r="BL12" s="5"/>
      <c r="BM12" s="5"/>
      <c r="BN12" s="5"/>
      <c r="BO12" s="5"/>
      <c r="BP12" s="5"/>
      <c r="BQ12" s="5"/>
      <c r="BR12" s="5"/>
      <c r="BS12" s="5"/>
      <c r="BT12" s="5"/>
      <c r="BU12" s="5"/>
      <c r="BV12" s="5"/>
      <c r="BW12" s="5"/>
      <c r="BX12" s="5"/>
      <c r="BY12" s="5"/>
      <c r="BZ12" s="5"/>
      <c r="CA12" s="5"/>
      <c r="CB12" s="5"/>
      <c r="CC12" s="5"/>
      <c r="CD12" s="5"/>
      <c r="CE12" s="5"/>
      <c r="CF12" s="5"/>
      <c r="CG12" s="5"/>
      <c r="CH12" s="5"/>
      <c r="CI12" s="5"/>
      <c r="CJ12" s="5"/>
      <c r="CK12" s="5"/>
      <c r="CL12" s="5"/>
      <c r="CM12" s="5"/>
      <c r="CN12" s="5"/>
      <c r="CO12" s="5"/>
      <c r="CP12" s="5"/>
      <c r="CQ12" s="5"/>
      <c r="CR12" s="5"/>
      <c r="CS12" s="5"/>
      <c r="CT12" s="5"/>
      <c r="CU12" s="5"/>
      <c r="CV12" s="5"/>
      <c r="CW12" s="5"/>
      <c r="CX12" s="5"/>
      <c r="CY12" s="5"/>
      <c r="CZ12" s="5"/>
      <c r="DA12" s="5"/>
      <c r="DB12" s="5"/>
      <c r="DC12" s="5"/>
      <c r="DD12" s="5"/>
      <c r="DE12" s="5"/>
      <c r="DF12" s="5"/>
      <c r="DG12" s="5"/>
      <c r="DH12" s="5"/>
      <c r="DI12" s="5"/>
      <c r="DJ12" s="5"/>
      <c r="DK12" s="5"/>
      <c r="DL12" s="5"/>
      <c r="DM12" s="5"/>
      <c r="DN12" s="5"/>
      <c r="DO12" s="5"/>
    </row>
    <row r="13" spans="1:119" x14ac:dyDescent="0.25">
      <c r="A13" s="5">
        <v>8</v>
      </c>
      <c r="B13" s="5"/>
      <c r="C13" s="5"/>
      <c r="D13" s="5"/>
      <c r="E13" s="5"/>
      <c r="F13" s="5"/>
      <c r="G13" s="5"/>
      <c r="H13" s="5"/>
      <c r="I13" s="5"/>
      <c r="J13" s="5"/>
      <c r="K13" s="5"/>
      <c r="L13" s="5"/>
      <c r="M13" s="5"/>
      <c r="N13" s="5"/>
      <c r="O13" s="5"/>
      <c r="P13" s="5"/>
      <c r="Q13" s="5"/>
      <c r="R13" s="5"/>
      <c r="S13" s="5"/>
      <c r="T13" s="5"/>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c r="AW13" s="5"/>
      <c r="AX13" s="5"/>
      <c r="AY13" s="5"/>
      <c r="AZ13" s="5"/>
      <c r="BA13" s="5"/>
      <c r="BB13" s="5"/>
      <c r="BC13" s="5"/>
      <c r="BD13" s="5"/>
      <c r="BE13" s="5"/>
      <c r="BF13" s="5"/>
      <c r="BG13" s="5"/>
      <c r="BH13" s="5"/>
      <c r="BI13" s="5"/>
      <c r="BJ13" s="5"/>
      <c r="BK13" s="5"/>
      <c r="BL13" s="5"/>
      <c r="BM13" s="5"/>
      <c r="BN13" s="5"/>
      <c r="BO13" s="5"/>
      <c r="BP13" s="5"/>
      <c r="BQ13" s="5"/>
      <c r="BR13" s="5"/>
      <c r="BS13" s="5"/>
      <c r="BT13" s="5"/>
      <c r="BU13" s="5"/>
      <c r="BV13" s="5"/>
      <c r="BW13" s="5"/>
      <c r="BX13" s="5"/>
      <c r="BY13" s="5"/>
      <c r="BZ13" s="5"/>
      <c r="CA13" s="5"/>
      <c r="CB13" s="5"/>
      <c r="CC13" s="5"/>
      <c r="CD13" s="5"/>
      <c r="CE13" s="5"/>
      <c r="CF13" s="5"/>
      <c r="CG13" s="5"/>
      <c r="CH13" s="5"/>
      <c r="CI13" s="5"/>
      <c r="CJ13" s="5"/>
      <c r="CK13" s="5"/>
      <c r="CL13" s="5"/>
      <c r="CM13" s="5"/>
      <c r="CN13" s="5"/>
      <c r="CO13" s="5"/>
      <c r="CP13" s="5"/>
      <c r="CQ13" s="5"/>
      <c r="CR13" s="5"/>
      <c r="CS13" s="5"/>
      <c r="CT13" s="5"/>
      <c r="CU13" s="5"/>
      <c r="CV13" s="5"/>
      <c r="CW13" s="5"/>
      <c r="CX13" s="5"/>
      <c r="CY13" s="5"/>
      <c r="CZ13" s="5"/>
      <c r="DA13" s="5"/>
      <c r="DB13" s="5"/>
      <c r="DC13" s="5"/>
      <c r="DD13" s="5"/>
      <c r="DE13" s="5"/>
      <c r="DF13" s="5"/>
      <c r="DG13" s="5"/>
      <c r="DH13" s="5"/>
      <c r="DI13" s="5"/>
      <c r="DJ13" s="5"/>
      <c r="DK13" s="5"/>
      <c r="DL13" s="5"/>
      <c r="DM13" s="5"/>
      <c r="DN13" s="5"/>
      <c r="DO13" s="5"/>
    </row>
    <row r="14" spans="1:119" x14ac:dyDescent="0.25">
      <c r="A14" s="5">
        <v>9</v>
      </c>
      <c r="B14" s="5"/>
      <c r="C14" s="5"/>
      <c r="D14" s="5"/>
      <c r="E14" s="5"/>
      <c r="F14" s="5"/>
      <c r="G14" s="5"/>
      <c r="H14" s="5"/>
      <c r="I14" s="5"/>
      <c r="J14" s="5"/>
      <c r="K14" s="5"/>
      <c r="L14" s="5"/>
      <c r="M14" s="5"/>
      <c r="N14" s="5"/>
      <c r="O14" s="5"/>
      <c r="P14" s="5"/>
      <c r="Q14" s="5"/>
      <c r="R14" s="5"/>
      <c r="S14" s="5"/>
      <c r="T14" s="5"/>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c r="AW14" s="5"/>
      <c r="AX14" s="5"/>
      <c r="AY14" s="5"/>
      <c r="AZ14" s="5"/>
      <c r="BA14" s="5"/>
      <c r="BB14" s="5"/>
      <c r="BC14" s="5"/>
      <c r="BD14" s="5"/>
      <c r="BE14" s="5"/>
      <c r="BF14" s="5"/>
      <c r="BG14" s="5"/>
      <c r="BH14" s="5"/>
      <c r="BI14" s="5"/>
      <c r="BJ14" s="5"/>
      <c r="BK14" s="5"/>
      <c r="BL14" s="5"/>
      <c r="BM14" s="5"/>
      <c r="BN14" s="5"/>
      <c r="BO14" s="5"/>
      <c r="BP14" s="5"/>
      <c r="BQ14" s="5"/>
      <c r="BR14" s="5"/>
      <c r="BS14" s="5"/>
      <c r="BT14" s="5"/>
      <c r="BU14" s="5"/>
      <c r="BV14" s="5"/>
      <c r="BW14" s="5"/>
      <c r="BX14" s="5"/>
      <c r="BY14" s="5"/>
      <c r="BZ14" s="5"/>
      <c r="CA14" s="5"/>
      <c r="CB14" s="5"/>
      <c r="CC14" s="5"/>
      <c r="CD14" s="5"/>
      <c r="CE14" s="5"/>
      <c r="CF14" s="5"/>
      <c r="CG14" s="5"/>
      <c r="CH14" s="5"/>
      <c r="CI14" s="5"/>
      <c r="CJ14" s="5"/>
      <c r="CK14" s="5"/>
      <c r="CL14" s="5"/>
      <c r="CM14" s="5"/>
      <c r="CN14" s="5"/>
      <c r="CO14" s="5"/>
      <c r="CP14" s="5"/>
      <c r="CQ14" s="5"/>
      <c r="CR14" s="5"/>
      <c r="CS14" s="5"/>
      <c r="CT14" s="5"/>
      <c r="CU14" s="5"/>
      <c r="CV14" s="5"/>
      <c r="CW14" s="5"/>
      <c r="CX14" s="5"/>
      <c r="CY14" s="5"/>
      <c r="CZ14" s="5"/>
      <c r="DA14" s="5"/>
      <c r="DB14" s="5"/>
      <c r="DC14" s="5"/>
      <c r="DD14" s="5"/>
      <c r="DE14" s="5"/>
      <c r="DF14" s="5"/>
      <c r="DG14" s="5"/>
      <c r="DH14" s="5"/>
      <c r="DI14" s="5"/>
      <c r="DJ14" s="5"/>
      <c r="DK14" s="5"/>
      <c r="DL14" s="5"/>
      <c r="DM14" s="5"/>
      <c r="DN14" s="5"/>
      <c r="DO14" s="5"/>
    </row>
    <row r="15" spans="1:119" x14ac:dyDescent="0.25">
      <c r="A15" s="5">
        <v>10</v>
      </c>
      <c r="B15" s="5"/>
      <c r="C15" s="5"/>
      <c r="D15" s="5"/>
      <c r="E15" s="5"/>
      <c r="F15" s="5"/>
      <c r="G15" s="5"/>
      <c r="H15" s="5"/>
      <c r="I15" s="5"/>
      <c r="J15" s="5"/>
      <c r="K15" s="5"/>
      <c r="L15" s="5"/>
      <c r="M15" s="5"/>
      <c r="N15" s="5"/>
      <c r="O15" s="5"/>
      <c r="P15" s="5"/>
      <c r="Q15" s="5"/>
      <c r="R15" s="5"/>
      <c r="S15" s="5"/>
      <c r="T15" s="5"/>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c r="AW15" s="5"/>
      <c r="AX15" s="5"/>
      <c r="AY15" s="5"/>
      <c r="AZ15" s="5"/>
      <c r="BA15" s="5"/>
      <c r="BB15" s="5"/>
      <c r="BC15" s="5"/>
      <c r="BD15" s="5"/>
      <c r="BE15" s="5"/>
      <c r="BF15" s="5"/>
      <c r="BG15" s="5"/>
      <c r="BH15" s="5"/>
      <c r="BI15" s="5"/>
      <c r="BJ15" s="5"/>
      <c r="BK15" s="5"/>
      <c r="BL15" s="5"/>
      <c r="BM15" s="5"/>
      <c r="BN15" s="5"/>
      <c r="BO15" s="5"/>
      <c r="BP15" s="5"/>
      <c r="BQ15" s="5"/>
      <c r="BR15" s="5"/>
      <c r="BS15" s="5"/>
      <c r="BT15" s="5"/>
      <c r="BU15" s="5"/>
      <c r="BV15" s="5"/>
      <c r="BW15" s="5"/>
      <c r="BX15" s="5"/>
      <c r="BY15" s="5"/>
      <c r="BZ15" s="5"/>
      <c r="CA15" s="5"/>
      <c r="CB15" s="5"/>
      <c r="CC15" s="5"/>
      <c r="CD15" s="5"/>
      <c r="CE15" s="5"/>
      <c r="CF15" s="5"/>
      <c r="CG15" s="5"/>
      <c r="CH15" s="5"/>
      <c r="CI15" s="5"/>
      <c r="CJ15" s="5"/>
      <c r="CK15" s="5"/>
      <c r="CL15" s="5"/>
      <c r="CM15" s="5"/>
      <c r="CN15" s="5"/>
      <c r="CO15" s="5"/>
      <c r="CP15" s="5"/>
      <c r="CQ15" s="5"/>
      <c r="CR15" s="5"/>
      <c r="CS15" s="5"/>
      <c r="CT15" s="5"/>
      <c r="CU15" s="5"/>
      <c r="CV15" s="5"/>
      <c r="CW15" s="5"/>
      <c r="CX15" s="5"/>
      <c r="CY15" s="5"/>
      <c r="CZ15" s="5"/>
      <c r="DA15" s="5"/>
      <c r="DB15" s="5"/>
      <c r="DC15" s="5"/>
      <c r="DD15" s="5"/>
      <c r="DE15" s="5"/>
      <c r="DF15" s="5"/>
      <c r="DG15" s="5"/>
      <c r="DH15" s="5"/>
      <c r="DI15" s="5"/>
      <c r="DJ15" s="5"/>
      <c r="DK15" s="5"/>
      <c r="DL15" s="5"/>
      <c r="DM15" s="5"/>
      <c r="DN15" s="5"/>
      <c r="DO15" s="5"/>
    </row>
    <row r="16" spans="1:119" x14ac:dyDescent="0.25">
      <c r="A16" s="5">
        <v>11</v>
      </c>
      <c r="B16" s="5"/>
      <c r="C16" s="5"/>
      <c r="D16" s="5"/>
      <c r="E16" s="5"/>
      <c r="F16" s="5"/>
      <c r="G16" s="5"/>
      <c r="H16" s="5"/>
      <c r="I16" s="5"/>
      <c r="J16" s="5"/>
      <c r="K16" s="5"/>
      <c r="L16" s="5"/>
      <c r="M16" s="5"/>
      <c r="N16" s="5"/>
      <c r="O16" s="5"/>
      <c r="P16" s="5"/>
      <c r="Q16" s="5"/>
      <c r="R16" s="5"/>
      <c r="S16" s="5"/>
      <c r="T16" s="5"/>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c r="AW16" s="5"/>
      <c r="AX16" s="5"/>
      <c r="AY16" s="5"/>
      <c r="AZ16" s="5"/>
      <c r="BA16" s="5"/>
      <c r="BB16" s="5"/>
      <c r="BC16" s="5"/>
      <c r="BD16" s="5"/>
      <c r="BE16" s="5"/>
      <c r="BF16" s="5"/>
      <c r="BG16" s="5"/>
      <c r="BH16" s="5"/>
      <c r="BI16" s="5"/>
      <c r="BJ16" s="5"/>
      <c r="BK16" s="5"/>
      <c r="BL16" s="5"/>
      <c r="BM16" s="5"/>
      <c r="BN16" s="5"/>
      <c r="BO16" s="5"/>
      <c r="BP16" s="5"/>
      <c r="BQ16" s="5"/>
      <c r="BR16" s="5"/>
      <c r="BS16" s="5"/>
      <c r="BT16" s="5"/>
      <c r="BU16" s="5"/>
      <c r="BV16" s="5"/>
      <c r="BW16" s="5"/>
      <c r="BX16" s="5"/>
      <c r="BY16" s="5"/>
      <c r="BZ16" s="5"/>
      <c r="CA16" s="5"/>
      <c r="CB16" s="5"/>
      <c r="CC16" s="5"/>
      <c r="CD16" s="5"/>
      <c r="CE16" s="5"/>
      <c r="CF16" s="5"/>
      <c r="CG16" s="5"/>
      <c r="CH16" s="5"/>
      <c r="CI16" s="5"/>
      <c r="CJ16" s="5"/>
      <c r="CK16" s="5"/>
      <c r="CL16" s="5"/>
      <c r="CM16" s="5"/>
      <c r="CN16" s="5"/>
      <c r="CO16" s="5"/>
      <c r="CP16" s="5"/>
      <c r="CQ16" s="5"/>
      <c r="CR16" s="5"/>
      <c r="CS16" s="5"/>
      <c r="CT16" s="5"/>
      <c r="CU16" s="5"/>
      <c r="CV16" s="5"/>
      <c r="CW16" s="5"/>
      <c r="CX16" s="5"/>
      <c r="CY16" s="5"/>
      <c r="CZ16" s="5"/>
      <c r="DA16" s="5"/>
      <c r="DB16" s="5"/>
      <c r="DC16" s="5"/>
      <c r="DD16" s="5"/>
      <c r="DE16" s="5"/>
      <c r="DF16" s="5"/>
      <c r="DG16" s="5"/>
      <c r="DH16" s="5"/>
      <c r="DI16" s="5"/>
      <c r="DJ16" s="5"/>
      <c r="DK16" s="5"/>
      <c r="DL16" s="5"/>
      <c r="DM16" s="5"/>
      <c r="DN16" s="5"/>
      <c r="DO16" s="5"/>
    </row>
    <row r="17" spans="1:119" x14ac:dyDescent="0.25">
      <c r="A17" s="5">
        <v>12</v>
      </c>
      <c r="B17" s="5"/>
      <c r="C17" s="5"/>
      <c r="D17" s="5"/>
      <c r="E17" s="5"/>
      <c r="F17" s="5"/>
      <c r="G17" s="5"/>
      <c r="H17" s="5"/>
      <c r="I17" s="5"/>
      <c r="J17" s="5"/>
      <c r="K17" s="5"/>
      <c r="L17" s="5"/>
      <c r="M17" s="5"/>
      <c r="N17" s="5"/>
      <c r="O17" s="5"/>
      <c r="P17" s="5"/>
      <c r="Q17" s="5"/>
      <c r="R17" s="5"/>
      <c r="S17" s="5"/>
      <c r="T17" s="5"/>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c r="AW17" s="5"/>
      <c r="AX17" s="5"/>
      <c r="AY17" s="5"/>
      <c r="AZ17" s="5"/>
      <c r="BA17" s="5"/>
      <c r="BB17" s="5"/>
      <c r="BC17" s="5"/>
      <c r="BD17" s="5"/>
      <c r="BE17" s="5"/>
      <c r="BF17" s="5"/>
      <c r="BG17" s="5"/>
      <c r="BH17" s="5"/>
      <c r="BI17" s="5"/>
      <c r="BJ17" s="5"/>
      <c r="BK17" s="5"/>
      <c r="BL17" s="5"/>
      <c r="BM17" s="5"/>
      <c r="BN17" s="5"/>
      <c r="BO17" s="5"/>
      <c r="BP17" s="5"/>
      <c r="BQ17" s="5"/>
      <c r="BR17" s="5"/>
      <c r="BS17" s="5"/>
      <c r="BT17" s="5"/>
      <c r="BU17" s="5"/>
      <c r="BV17" s="5"/>
      <c r="BW17" s="5"/>
      <c r="BX17" s="5"/>
      <c r="BY17" s="5"/>
      <c r="BZ17" s="5"/>
      <c r="CA17" s="5"/>
      <c r="CB17" s="5"/>
      <c r="CC17" s="5"/>
      <c r="CD17" s="5"/>
      <c r="CE17" s="5"/>
      <c r="CF17" s="5"/>
      <c r="CG17" s="5"/>
      <c r="CH17" s="5"/>
      <c r="CI17" s="5"/>
      <c r="CJ17" s="5"/>
      <c r="CK17" s="5"/>
      <c r="CL17" s="5"/>
      <c r="CM17" s="5"/>
      <c r="CN17" s="5"/>
      <c r="CO17" s="5"/>
      <c r="CP17" s="5"/>
      <c r="CQ17" s="5"/>
      <c r="CR17" s="5"/>
      <c r="CS17" s="5"/>
      <c r="CT17" s="5"/>
      <c r="CU17" s="5"/>
      <c r="CV17" s="5"/>
      <c r="CW17" s="5"/>
      <c r="CX17" s="5"/>
      <c r="CY17" s="5"/>
      <c r="CZ17" s="5"/>
      <c r="DA17" s="5"/>
      <c r="DB17" s="5"/>
      <c r="DC17" s="5"/>
      <c r="DD17" s="5"/>
      <c r="DE17" s="5"/>
      <c r="DF17" s="5"/>
      <c r="DG17" s="5"/>
      <c r="DH17" s="5"/>
      <c r="DI17" s="5"/>
      <c r="DJ17" s="5"/>
      <c r="DK17" s="5"/>
      <c r="DL17" s="5"/>
      <c r="DM17" s="5"/>
      <c r="DN17" s="5"/>
      <c r="DO17" s="5"/>
    </row>
    <row r="18" spans="1:119" x14ac:dyDescent="0.25">
      <c r="A18" s="5">
        <v>13</v>
      </c>
      <c r="B18" s="5"/>
      <c r="C18" s="5"/>
      <c r="D18" s="5"/>
      <c r="E18" s="5"/>
      <c r="F18" s="5"/>
      <c r="G18" s="5"/>
      <c r="H18" s="5"/>
      <c r="I18" s="5"/>
      <c r="J18" s="5"/>
      <c r="K18" s="5"/>
      <c r="L18" s="5"/>
      <c r="M18" s="5"/>
      <c r="N18" s="5"/>
      <c r="O18" s="5"/>
      <c r="P18" s="5"/>
      <c r="Q18" s="5"/>
      <c r="R18" s="5"/>
      <c r="S18" s="5"/>
      <c r="T18" s="5"/>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c r="AW18" s="5"/>
      <c r="AX18" s="5"/>
      <c r="AY18" s="5"/>
      <c r="AZ18" s="5"/>
      <c r="BA18" s="5"/>
      <c r="BB18" s="5"/>
      <c r="BC18" s="5"/>
      <c r="BD18" s="5"/>
      <c r="BE18" s="5"/>
      <c r="BF18" s="5"/>
      <c r="BG18" s="5"/>
      <c r="BH18" s="5"/>
      <c r="BI18" s="5"/>
      <c r="BJ18" s="5"/>
      <c r="BK18" s="5"/>
      <c r="BL18" s="5"/>
      <c r="BM18" s="5"/>
      <c r="BN18" s="5"/>
      <c r="BO18" s="5"/>
      <c r="BP18" s="5"/>
      <c r="BQ18" s="5"/>
      <c r="BR18" s="5"/>
      <c r="BS18" s="5"/>
      <c r="BT18" s="5"/>
      <c r="BU18" s="5"/>
      <c r="BV18" s="5"/>
      <c r="BW18" s="5"/>
      <c r="BX18" s="5"/>
      <c r="BY18" s="5"/>
      <c r="BZ18" s="5"/>
      <c r="CA18" s="5"/>
      <c r="CB18" s="5"/>
      <c r="CC18" s="5"/>
      <c r="CD18" s="5"/>
      <c r="CE18" s="5"/>
      <c r="CF18" s="5"/>
      <c r="CG18" s="5"/>
      <c r="CH18" s="5"/>
      <c r="CI18" s="5"/>
      <c r="CJ18" s="5"/>
      <c r="CK18" s="5"/>
      <c r="CL18" s="5"/>
      <c r="CM18" s="5"/>
      <c r="CN18" s="5"/>
      <c r="CO18" s="5"/>
      <c r="CP18" s="5"/>
      <c r="CQ18" s="5"/>
      <c r="CR18" s="5"/>
      <c r="CS18" s="5"/>
      <c r="CT18" s="5"/>
      <c r="CU18" s="5"/>
      <c r="CV18" s="5"/>
      <c r="CW18" s="5"/>
      <c r="CX18" s="5"/>
      <c r="CY18" s="5"/>
      <c r="CZ18" s="5"/>
      <c r="DA18" s="5"/>
      <c r="DB18" s="5"/>
      <c r="DC18" s="5"/>
      <c r="DD18" s="5"/>
      <c r="DE18" s="5"/>
      <c r="DF18" s="5"/>
      <c r="DG18" s="5"/>
      <c r="DH18" s="5"/>
      <c r="DI18" s="5"/>
      <c r="DJ18" s="5"/>
      <c r="DK18" s="5"/>
      <c r="DL18" s="5"/>
      <c r="DM18" s="5"/>
      <c r="DN18" s="5"/>
      <c r="DO18" s="5"/>
    </row>
    <row r="19" spans="1:119" x14ac:dyDescent="0.25">
      <c r="A19" s="5">
        <v>14</v>
      </c>
      <c r="B19" s="5"/>
      <c r="C19" s="5"/>
      <c r="D19" s="5"/>
      <c r="E19" s="5"/>
      <c r="F19" s="5"/>
      <c r="G19" s="5"/>
      <c r="H19" s="5"/>
      <c r="I19" s="5"/>
      <c r="J19" s="5"/>
      <c r="K19" s="5"/>
      <c r="L19" s="5"/>
      <c r="M19" s="5"/>
      <c r="N19" s="5"/>
      <c r="O19" s="5"/>
      <c r="P19" s="5"/>
      <c r="Q19" s="5"/>
      <c r="R19" s="5"/>
      <c r="S19" s="5"/>
      <c r="T19" s="5"/>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c r="AW19" s="5"/>
      <c r="AX19" s="5"/>
      <c r="AY19" s="5"/>
      <c r="AZ19" s="5"/>
      <c r="BA19" s="5"/>
      <c r="BB19" s="5"/>
      <c r="BC19" s="5"/>
      <c r="BD19" s="5"/>
      <c r="BE19" s="5"/>
      <c r="BF19" s="5"/>
      <c r="BG19" s="5"/>
      <c r="BH19" s="5"/>
      <c r="BI19" s="5"/>
      <c r="BJ19" s="5"/>
      <c r="BK19" s="5"/>
      <c r="BL19" s="5"/>
      <c r="BM19" s="5"/>
      <c r="BN19" s="5"/>
      <c r="BO19" s="5"/>
      <c r="BP19" s="5"/>
      <c r="BQ19" s="5"/>
      <c r="BR19" s="5"/>
      <c r="BS19" s="5"/>
      <c r="BT19" s="5"/>
      <c r="BU19" s="5"/>
      <c r="BV19" s="5"/>
      <c r="BW19" s="5"/>
      <c r="BX19" s="5"/>
      <c r="BY19" s="5"/>
      <c r="BZ19" s="5"/>
      <c r="CA19" s="5"/>
      <c r="CB19" s="5"/>
      <c r="CC19" s="5"/>
      <c r="CD19" s="5"/>
      <c r="CE19" s="5"/>
      <c r="CF19" s="5"/>
      <c r="CG19" s="5"/>
      <c r="CH19" s="5"/>
      <c r="CI19" s="5"/>
      <c r="CJ19" s="5"/>
      <c r="CK19" s="5"/>
      <c r="CL19" s="5"/>
      <c r="CM19" s="5"/>
      <c r="CN19" s="5"/>
      <c r="CO19" s="5"/>
      <c r="CP19" s="5"/>
      <c r="CQ19" s="5"/>
      <c r="CR19" s="5"/>
      <c r="CS19" s="5"/>
      <c r="CT19" s="5"/>
      <c r="CU19" s="5"/>
      <c r="CV19" s="5"/>
      <c r="CW19" s="5"/>
      <c r="CX19" s="5"/>
      <c r="CY19" s="5"/>
      <c r="CZ19" s="5"/>
      <c r="DA19" s="5"/>
      <c r="DB19" s="5"/>
      <c r="DC19" s="5"/>
      <c r="DD19" s="5"/>
      <c r="DE19" s="5"/>
      <c r="DF19" s="5"/>
      <c r="DG19" s="5"/>
      <c r="DH19" s="5"/>
      <c r="DI19" s="5"/>
      <c r="DJ19" s="5"/>
      <c r="DK19" s="5"/>
      <c r="DL19" s="5"/>
      <c r="DM19" s="5"/>
      <c r="DN19" s="5"/>
      <c r="DO19" s="5"/>
    </row>
    <row r="20" spans="1:119" x14ac:dyDescent="0.25">
      <c r="A20" s="5">
        <v>15</v>
      </c>
      <c r="B20" s="5"/>
      <c r="C20" s="5"/>
      <c r="D20" s="5"/>
      <c r="E20" s="5"/>
      <c r="F20" s="5"/>
      <c r="G20" s="5"/>
      <c r="H20" s="5"/>
      <c r="I20" s="5"/>
      <c r="J20" s="5"/>
      <c r="K20" s="5"/>
      <c r="L20" s="5"/>
      <c r="M20" s="5"/>
      <c r="N20" s="5"/>
      <c r="O20" s="5"/>
      <c r="P20" s="5"/>
      <c r="Q20" s="5"/>
      <c r="R20" s="5"/>
      <c r="S20" s="5"/>
      <c r="T20" s="5"/>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c r="AW20" s="5"/>
      <c r="AX20" s="5"/>
      <c r="AY20" s="5"/>
      <c r="AZ20" s="5"/>
      <c r="BA20" s="5"/>
      <c r="BB20" s="5"/>
      <c r="BC20" s="5"/>
      <c r="BD20" s="5"/>
      <c r="BE20" s="5"/>
      <c r="BF20" s="5"/>
      <c r="BG20" s="5"/>
      <c r="BH20" s="5"/>
      <c r="BI20" s="5"/>
      <c r="BJ20" s="5"/>
      <c r="BK20" s="5"/>
      <c r="BL20" s="5"/>
      <c r="BM20" s="5"/>
      <c r="BN20" s="5"/>
      <c r="BO20" s="5"/>
      <c r="BP20" s="5"/>
      <c r="BQ20" s="5"/>
      <c r="BR20" s="5"/>
      <c r="BS20" s="5"/>
      <c r="BT20" s="5"/>
      <c r="BU20" s="5"/>
      <c r="BV20" s="5"/>
      <c r="BW20" s="5"/>
      <c r="BX20" s="5"/>
      <c r="BY20" s="5"/>
      <c r="BZ20" s="5"/>
      <c r="CA20" s="5"/>
      <c r="CB20" s="5"/>
      <c r="CC20" s="5"/>
      <c r="CD20" s="5"/>
      <c r="CE20" s="5"/>
      <c r="CF20" s="5"/>
      <c r="CG20" s="5"/>
      <c r="CH20" s="5"/>
      <c r="CI20" s="5"/>
      <c r="CJ20" s="5"/>
      <c r="CK20" s="5"/>
      <c r="CL20" s="5"/>
      <c r="CM20" s="5"/>
      <c r="CN20" s="5"/>
      <c r="CO20" s="5"/>
      <c r="CP20" s="5"/>
      <c r="CQ20" s="5"/>
      <c r="CR20" s="5"/>
      <c r="CS20" s="5"/>
      <c r="CT20" s="5"/>
      <c r="CU20" s="5"/>
      <c r="CV20" s="5"/>
      <c r="CW20" s="5"/>
      <c r="CX20" s="5"/>
      <c r="CY20" s="5"/>
      <c r="CZ20" s="5"/>
      <c r="DA20" s="5"/>
      <c r="DB20" s="5"/>
      <c r="DC20" s="5"/>
      <c r="DD20" s="5"/>
      <c r="DE20" s="5"/>
      <c r="DF20" s="5"/>
      <c r="DG20" s="5"/>
      <c r="DH20" s="5"/>
      <c r="DI20" s="5"/>
      <c r="DJ20" s="5"/>
      <c r="DK20" s="5"/>
      <c r="DL20" s="5"/>
      <c r="DM20" s="5"/>
      <c r="DN20" s="5"/>
      <c r="DO20" s="5"/>
    </row>
    <row r="21" spans="1:119" x14ac:dyDescent="0.25">
      <c r="A21" s="5">
        <v>16</v>
      </c>
      <c r="B21" s="5"/>
      <c r="C21" s="5"/>
      <c r="D21" s="5"/>
      <c r="E21" s="5"/>
      <c r="F21" s="5"/>
      <c r="G21" s="5"/>
      <c r="H21" s="5"/>
      <c r="I21" s="5"/>
      <c r="J21" s="5"/>
      <c r="K21" s="5"/>
      <c r="L21" s="5"/>
      <c r="M21" s="5"/>
      <c r="N21" s="5"/>
      <c r="O21" s="5"/>
      <c r="P21" s="5"/>
      <c r="Q21" s="5"/>
      <c r="R21" s="5"/>
      <c r="S21" s="5"/>
      <c r="T21" s="5"/>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c r="AW21" s="5"/>
      <c r="AX21" s="5"/>
      <c r="AY21" s="5"/>
      <c r="AZ21" s="5"/>
      <c r="BA21" s="5"/>
      <c r="BB21" s="5"/>
      <c r="BC21" s="5"/>
      <c r="BD21" s="5"/>
      <c r="BE21" s="5"/>
      <c r="BF21" s="5"/>
      <c r="BG21" s="5"/>
      <c r="BH21" s="5"/>
      <c r="BI21" s="5"/>
      <c r="BJ21" s="5"/>
      <c r="BK21" s="5"/>
      <c r="BL21" s="5"/>
      <c r="BM21" s="5"/>
      <c r="BN21" s="5"/>
      <c r="BO21" s="5"/>
      <c r="BP21" s="5"/>
      <c r="BQ21" s="5"/>
      <c r="BR21" s="5"/>
      <c r="BS21" s="5"/>
      <c r="BT21" s="5"/>
      <c r="BU21" s="5"/>
      <c r="BV21" s="5"/>
      <c r="BW21" s="5"/>
      <c r="BX21" s="5"/>
      <c r="BY21" s="5"/>
      <c r="BZ21" s="5"/>
      <c r="CA21" s="5"/>
      <c r="CB21" s="5"/>
      <c r="CC21" s="5"/>
      <c r="CD21" s="5"/>
      <c r="CE21" s="5"/>
      <c r="CF21" s="5"/>
      <c r="CG21" s="5"/>
      <c r="CH21" s="5"/>
      <c r="CI21" s="5"/>
      <c r="CJ21" s="5"/>
      <c r="CK21" s="5"/>
      <c r="CL21" s="5"/>
      <c r="CM21" s="5"/>
      <c r="CN21" s="5"/>
      <c r="CO21" s="5"/>
      <c r="CP21" s="5"/>
      <c r="CQ21" s="5"/>
      <c r="CR21" s="5"/>
      <c r="CS21" s="5"/>
      <c r="CT21" s="5"/>
      <c r="CU21" s="5"/>
      <c r="CV21" s="5"/>
      <c r="CW21" s="5"/>
      <c r="CX21" s="5"/>
      <c r="CY21" s="5"/>
      <c r="CZ21" s="5"/>
      <c r="DA21" s="5"/>
      <c r="DB21" s="5"/>
      <c r="DC21" s="5"/>
      <c r="DD21" s="5"/>
      <c r="DE21" s="5"/>
      <c r="DF21" s="5"/>
      <c r="DG21" s="5"/>
      <c r="DH21" s="5"/>
      <c r="DI21" s="5"/>
      <c r="DJ21" s="5"/>
      <c r="DK21" s="5"/>
      <c r="DL21" s="5"/>
      <c r="DM21" s="5"/>
      <c r="DN21" s="5"/>
      <c r="DO21" s="5"/>
    </row>
    <row r="22" spans="1:119" x14ac:dyDescent="0.25">
      <c r="A22" s="5">
        <v>17</v>
      </c>
      <c r="B22" s="5"/>
      <c r="C22" s="5"/>
      <c r="D22" s="5"/>
      <c r="E22" s="5"/>
      <c r="F22" s="5"/>
      <c r="G22" s="5"/>
      <c r="H22" s="5"/>
      <c r="I22" s="5"/>
      <c r="J22" s="5"/>
      <c r="K22" s="5"/>
      <c r="L22" s="5"/>
      <c r="M22" s="5"/>
      <c r="N22" s="5"/>
      <c r="O22" s="5"/>
      <c r="P22" s="5"/>
      <c r="Q22" s="5"/>
      <c r="R22" s="5"/>
      <c r="S22" s="5"/>
      <c r="T22" s="5"/>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c r="AW22" s="5"/>
      <c r="AX22" s="5"/>
      <c r="AY22" s="5"/>
      <c r="AZ22" s="5"/>
      <c r="BA22" s="5"/>
      <c r="BB22" s="5"/>
      <c r="BC22" s="5"/>
      <c r="BD22" s="5"/>
      <c r="BE22" s="5"/>
      <c r="BF22" s="5"/>
      <c r="BG22" s="5"/>
      <c r="BH22" s="5"/>
      <c r="BI22" s="5"/>
      <c r="BJ22" s="5"/>
      <c r="BK22" s="5"/>
      <c r="BL22" s="5"/>
      <c r="BM22" s="5"/>
      <c r="BN22" s="5"/>
      <c r="BO22" s="5"/>
      <c r="BP22" s="5"/>
      <c r="BQ22" s="5"/>
      <c r="BR22" s="5"/>
      <c r="BS22" s="5"/>
      <c r="BT22" s="5"/>
      <c r="BU22" s="5"/>
      <c r="BV22" s="5"/>
      <c r="BW22" s="5"/>
      <c r="BX22" s="5"/>
      <c r="BY22" s="5"/>
      <c r="BZ22" s="5"/>
      <c r="CA22" s="5"/>
      <c r="CB22" s="5"/>
      <c r="CC22" s="5"/>
      <c r="CD22" s="5"/>
      <c r="CE22" s="5"/>
      <c r="CF22" s="5"/>
      <c r="CG22" s="5"/>
      <c r="CH22" s="5"/>
      <c r="CI22" s="5"/>
      <c r="CJ22" s="5"/>
      <c r="CK22" s="5"/>
      <c r="CL22" s="5"/>
      <c r="CM22" s="5"/>
      <c r="CN22" s="5"/>
      <c r="CO22" s="5"/>
      <c r="CP22" s="5"/>
      <c r="CQ22" s="5"/>
      <c r="CR22" s="5"/>
      <c r="CS22" s="5"/>
      <c r="CT22" s="5"/>
      <c r="CU22" s="5"/>
      <c r="CV22" s="5"/>
      <c r="CW22" s="5"/>
      <c r="CX22" s="5"/>
      <c r="CY22" s="5"/>
      <c r="CZ22" s="5"/>
      <c r="DA22" s="5"/>
      <c r="DB22" s="5"/>
      <c r="DC22" s="5"/>
      <c r="DD22" s="5"/>
      <c r="DE22" s="5"/>
      <c r="DF22" s="5"/>
      <c r="DG22" s="5"/>
      <c r="DH22" s="5"/>
      <c r="DI22" s="5"/>
      <c r="DJ22" s="5"/>
      <c r="DK22" s="5"/>
      <c r="DL22" s="5"/>
      <c r="DM22" s="5"/>
      <c r="DN22" s="5"/>
      <c r="DO22" s="5"/>
    </row>
    <row r="23" spans="1:119" x14ac:dyDescent="0.25">
      <c r="A23" s="5">
        <v>18</v>
      </c>
      <c r="B23" s="5"/>
      <c r="C23" s="5"/>
      <c r="D23" s="5"/>
      <c r="E23" s="5"/>
      <c r="F23" s="5"/>
      <c r="G23" s="5"/>
      <c r="H23" s="5"/>
      <c r="I23" s="5"/>
      <c r="J23" s="5"/>
      <c r="K23" s="5"/>
      <c r="L23" s="5"/>
      <c r="M23" s="5"/>
      <c r="N23" s="5"/>
      <c r="O23" s="5"/>
      <c r="P23" s="5"/>
      <c r="Q23" s="5"/>
      <c r="R23" s="5"/>
      <c r="S23" s="5"/>
      <c r="T23" s="5"/>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c r="AW23" s="5"/>
      <c r="AX23" s="5"/>
      <c r="AY23" s="5"/>
      <c r="AZ23" s="5"/>
      <c r="BA23" s="5"/>
      <c r="BB23" s="5"/>
      <c r="BC23" s="5"/>
      <c r="BD23" s="5"/>
      <c r="BE23" s="5"/>
      <c r="BF23" s="5"/>
      <c r="BG23" s="5"/>
      <c r="BH23" s="5"/>
      <c r="BI23" s="5"/>
      <c r="BJ23" s="5"/>
      <c r="BK23" s="5"/>
      <c r="BL23" s="5"/>
      <c r="BM23" s="5"/>
      <c r="BN23" s="5"/>
      <c r="BO23" s="5"/>
      <c r="BP23" s="5"/>
      <c r="BQ23" s="5"/>
      <c r="BR23" s="5"/>
      <c r="BS23" s="5"/>
      <c r="BT23" s="5"/>
      <c r="BU23" s="5"/>
      <c r="BV23" s="5"/>
      <c r="BW23" s="5"/>
      <c r="BX23" s="5"/>
      <c r="BY23" s="5"/>
      <c r="BZ23" s="5"/>
      <c r="CA23" s="5"/>
      <c r="CB23" s="5"/>
      <c r="CC23" s="5"/>
      <c r="CD23" s="5"/>
      <c r="CE23" s="5"/>
      <c r="CF23" s="5"/>
      <c r="CG23" s="5"/>
      <c r="CH23" s="5"/>
      <c r="CI23" s="5"/>
      <c r="CJ23" s="5"/>
      <c r="CK23" s="5"/>
      <c r="CL23" s="5"/>
      <c r="CM23" s="5"/>
      <c r="CN23" s="5"/>
      <c r="CO23" s="5"/>
      <c r="CP23" s="5"/>
      <c r="CQ23" s="5"/>
      <c r="CR23" s="5"/>
      <c r="CS23" s="5"/>
      <c r="CT23" s="5"/>
      <c r="CU23" s="5"/>
      <c r="CV23" s="5"/>
      <c r="CW23" s="5"/>
      <c r="CX23" s="5"/>
      <c r="CY23" s="5"/>
      <c r="CZ23" s="5"/>
      <c r="DA23" s="5"/>
      <c r="DB23" s="5"/>
      <c r="DC23" s="5"/>
      <c r="DD23" s="5"/>
      <c r="DE23" s="5"/>
      <c r="DF23" s="5"/>
      <c r="DG23" s="5"/>
      <c r="DH23" s="5"/>
      <c r="DI23" s="5"/>
      <c r="DJ23" s="5"/>
      <c r="DK23" s="5"/>
      <c r="DL23" s="5"/>
      <c r="DM23" s="5"/>
      <c r="DN23" s="5"/>
      <c r="DO23" s="5"/>
    </row>
    <row r="24" spans="1:119" x14ac:dyDescent="0.25">
      <c r="A24" s="5">
        <v>19</v>
      </c>
      <c r="B24" s="5"/>
      <c r="C24" s="5"/>
      <c r="D24" s="5"/>
      <c r="E24" s="5"/>
      <c r="F24" s="5"/>
      <c r="G24" s="5"/>
      <c r="H24" s="5"/>
      <c r="I24" s="5"/>
      <c r="J24" s="5"/>
      <c r="K24" s="5"/>
      <c r="L24" s="5"/>
      <c r="M24" s="5"/>
      <c r="N24" s="5"/>
      <c r="O24" s="5"/>
      <c r="P24" s="5"/>
      <c r="Q24" s="5"/>
      <c r="R24" s="5"/>
      <c r="S24" s="5"/>
      <c r="T24" s="5"/>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c r="AW24" s="5"/>
      <c r="AX24" s="5"/>
      <c r="AY24" s="5"/>
      <c r="AZ24" s="5"/>
      <c r="BA24" s="5"/>
      <c r="BB24" s="5"/>
      <c r="BC24" s="5"/>
      <c r="BD24" s="5"/>
      <c r="BE24" s="5"/>
      <c r="BF24" s="5"/>
      <c r="BG24" s="5"/>
      <c r="BH24" s="5"/>
      <c r="BI24" s="5"/>
      <c r="BJ24" s="5"/>
      <c r="BK24" s="5"/>
      <c r="BL24" s="5"/>
      <c r="BM24" s="5"/>
      <c r="BN24" s="5"/>
      <c r="BO24" s="5"/>
      <c r="BP24" s="5"/>
      <c r="BQ24" s="5"/>
      <c r="BR24" s="5"/>
      <c r="BS24" s="5"/>
      <c r="BT24" s="5"/>
      <c r="BU24" s="5"/>
      <c r="BV24" s="5"/>
      <c r="BW24" s="5"/>
      <c r="BX24" s="5"/>
      <c r="BY24" s="5"/>
      <c r="BZ24" s="5"/>
      <c r="CA24" s="5"/>
      <c r="CB24" s="5"/>
      <c r="CC24" s="5"/>
      <c r="CD24" s="5"/>
      <c r="CE24" s="5"/>
      <c r="CF24" s="5"/>
      <c r="CG24" s="5"/>
      <c r="CH24" s="5"/>
      <c r="CI24" s="5"/>
      <c r="CJ24" s="5"/>
      <c r="CK24" s="5"/>
      <c r="CL24" s="5"/>
      <c r="CM24" s="5"/>
      <c r="CN24" s="5"/>
      <c r="CO24" s="5"/>
      <c r="CP24" s="5"/>
      <c r="CQ24" s="5"/>
      <c r="CR24" s="5"/>
      <c r="CS24" s="5"/>
      <c r="CT24" s="5"/>
      <c r="CU24" s="5"/>
      <c r="CV24" s="5"/>
      <c r="CW24" s="5"/>
      <c r="CX24" s="5"/>
      <c r="CY24" s="5"/>
      <c r="CZ24" s="5"/>
      <c r="DA24" s="5"/>
      <c r="DB24" s="5"/>
      <c r="DC24" s="5"/>
      <c r="DD24" s="5"/>
      <c r="DE24" s="5"/>
      <c r="DF24" s="5"/>
      <c r="DG24" s="5"/>
      <c r="DH24" s="5"/>
      <c r="DI24" s="5"/>
      <c r="DJ24" s="5"/>
      <c r="DK24" s="5"/>
      <c r="DL24" s="5"/>
      <c r="DM24" s="5"/>
      <c r="DN24" s="5"/>
      <c r="DO24" s="5"/>
    </row>
    <row r="25" spans="1:119" x14ac:dyDescent="0.25">
      <c r="A25" s="5">
        <v>20</v>
      </c>
      <c r="B25" s="5"/>
      <c r="C25" s="5"/>
      <c r="D25" s="5"/>
      <c r="E25" s="5"/>
      <c r="F25" s="5"/>
      <c r="G25" s="5"/>
      <c r="H25" s="5"/>
      <c r="I25" s="5"/>
      <c r="J25" s="5"/>
      <c r="K25" s="5"/>
      <c r="L25" s="5"/>
      <c r="M25" s="5"/>
      <c r="N25" s="5"/>
      <c r="O25" s="5"/>
      <c r="P25" s="5"/>
      <c r="Q25" s="5"/>
      <c r="R25" s="5"/>
      <c r="S25" s="5"/>
      <c r="T25" s="5"/>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c r="AW25" s="5"/>
      <c r="AX25" s="5"/>
      <c r="AY25" s="5"/>
      <c r="AZ25" s="5"/>
      <c r="BA25" s="5"/>
      <c r="BB25" s="5"/>
      <c r="BC25" s="5"/>
      <c r="BD25" s="5"/>
      <c r="BE25" s="5"/>
      <c r="BF25" s="5"/>
      <c r="BG25" s="5"/>
      <c r="BH25" s="5"/>
      <c r="BI25" s="5"/>
      <c r="BJ25" s="5"/>
      <c r="BK25" s="5"/>
      <c r="BL25" s="5"/>
      <c r="BM25" s="5"/>
      <c r="BN25" s="5"/>
      <c r="BO25" s="5"/>
      <c r="BP25" s="5"/>
      <c r="BQ25" s="5"/>
      <c r="BR25" s="5"/>
      <c r="BS25" s="5"/>
      <c r="BT25" s="5"/>
      <c r="BU25" s="5"/>
      <c r="BV25" s="5"/>
      <c r="BW25" s="5"/>
      <c r="BX25" s="5"/>
      <c r="BY25" s="5"/>
      <c r="BZ25" s="5"/>
      <c r="CA25" s="5"/>
      <c r="CB25" s="5"/>
      <c r="CC25" s="5"/>
      <c r="CD25" s="5"/>
      <c r="CE25" s="5"/>
      <c r="CF25" s="5"/>
      <c r="CG25" s="5"/>
      <c r="CH25" s="5"/>
      <c r="CI25" s="5"/>
      <c r="CJ25" s="5"/>
      <c r="CK25" s="5"/>
      <c r="CL25" s="5"/>
      <c r="CM25" s="5"/>
      <c r="CN25" s="5"/>
      <c r="CO25" s="5"/>
      <c r="CP25" s="5"/>
      <c r="CQ25" s="5"/>
      <c r="CR25" s="5"/>
      <c r="CS25" s="5"/>
      <c r="CT25" s="5"/>
      <c r="CU25" s="5"/>
      <c r="CV25" s="5"/>
      <c r="CW25" s="5"/>
      <c r="CX25" s="5"/>
      <c r="CY25" s="5"/>
      <c r="CZ25" s="5"/>
      <c r="DA25" s="5"/>
      <c r="DB25" s="5"/>
      <c r="DC25" s="5"/>
      <c r="DD25" s="5"/>
      <c r="DE25" s="5"/>
      <c r="DF25" s="5"/>
      <c r="DG25" s="5"/>
      <c r="DH25" s="5"/>
      <c r="DI25" s="5"/>
      <c r="DJ25" s="5"/>
      <c r="DK25" s="5"/>
      <c r="DL25" s="5"/>
      <c r="DM25" s="5"/>
      <c r="DN25" s="5"/>
      <c r="DO25" s="5"/>
    </row>
    <row r="26" spans="1:119" x14ac:dyDescent="0.25">
      <c r="A26" s="5">
        <v>21</v>
      </c>
      <c r="B26" s="5"/>
      <c r="C26" s="5"/>
      <c r="D26" s="5"/>
      <c r="E26" s="5"/>
      <c r="F26" s="5"/>
      <c r="G26" s="5"/>
      <c r="H26" s="5"/>
      <c r="I26" s="5"/>
      <c r="J26" s="5"/>
      <c r="K26" s="5"/>
      <c r="L26" s="5"/>
      <c r="M26" s="5"/>
      <c r="N26" s="5"/>
      <c r="O26" s="5"/>
      <c r="P26" s="5"/>
      <c r="Q26" s="5"/>
      <c r="R26" s="5"/>
      <c r="S26" s="5"/>
      <c r="T26" s="5"/>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c r="AW26" s="5"/>
      <c r="AX26" s="5"/>
      <c r="AY26" s="5"/>
      <c r="AZ26" s="5"/>
      <c r="BA26" s="5"/>
      <c r="BB26" s="5"/>
      <c r="BC26" s="5"/>
      <c r="BD26" s="5"/>
      <c r="BE26" s="5"/>
      <c r="BF26" s="5"/>
      <c r="BG26" s="5"/>
      <c r="BH26" s="5"/>
      <c r="BI26" s="5"/>
      <c r="BJ26" s="5"/>
      <c r="BK26" s="5"/>
      <c r="BL26" s="5"/>
      <c r="BM26" s="5"/>
      <c r="BN26" s="5"/>
      <c r="BO26" s="5"/>
      <c r="BP26" s="5"/>
      <c r="BQ26" s="5"/>
      <c r="BR26" s="5"/>
      <c r="BS26" s="5"/>
      <c r="BT26" s="5"/>
      <c r="BU26" s="5"/>
      <c r="BV26" s="5"/>
      <c r="BW26" s="5"/>
      <c r="BX26" s="5"/>
      <c r="BY26" s="5"/>
      <c r="BZ26" s="5"/>
      <c r="CA26" s="5"/>
      <c r="CB26" s="5"/>
      <c r="CC26" s="5"/>
      <c r="CD26" s="5"/>
      <c r="CE26" s="5"/>
      <c r="CF26" s="5"/>
      <c r="CG26" s="5"/>
      <c r="CH26" s="5"/>
      <c r="CI26" s="5"/>
      <c r="CJ26" s="5"/>
      <c r="CK26" s="5"/>
      <c r="CL26" s="5"/>
      <c r="CM26" s="5"/>
      <c r="CN26" s="5"/>
      <c r="CO26" s="5"/>
      <c r="CP26" s="5"/>
      <c r="CQ26" s="5"/>
      <c r="CR26" s="5"/>
      <c r="CS26" s="5"/>
      <c r="CT26" s="5"/>
      <c r="CU26" s="5"/>
      <c r="CV26" s="5"/>
      <c r="CW26" s="5"/>
      <c r="CX26" s="5"/>
      <c r="CY26" s="5"/>
      <c r="CZ26" s="5"/>
      <c r="DA26" s="5"/>
      <c r="DB26" s="5"/>
      <c r="DC26" s="5"/>
      <c r="DD26" s="5"/>
      <c r="DE26" s="5"/>
      <c r="DF26" s="5"/>
      <c r="DG26" s="5"/>
      <c r="DH26" s="5"/>
      <c r="DI26" s="5"/>
      <c r="DJ26" s="5"/>
      <c r="DK26" s="5"/>
      <c r="DL26" s="5"/>
      <c r="DM26" s="5"/>
      <c r="DN26" s="5"/>
      <c r="DO26" s="5"/>
    </row>
    <row r="27" spans="1:119" x14ac:dyDescent="0.25">
      <c r="A27" s="5">
        <v>22</v>
      </c>
      <c r="B27" s="5"/>
      <c r="C27" s="5"/>
      <c r="D27" s="5"/>
      <c r="E27" s="5"/>
      <c r="F27" s="5"/>
      <c r="G27" s="5"/>
      <c r="H27" s="5"/>
      <c r="I27" s="5"/>
      <c r="J27" s="5"/>
      <c r="K27" s="5"/>
      <c r="L27" s="5"/>
      <c r="M27" s="5"/>
      <c r="N27" s="5"/>
      <c r="O27" s="5"/>
      <c r="P27" s="5"/>
      <c r="Q27" s="5"/>
      <c r="R27" s="5"/>
      <c r="S27" s="5"/>
      <c r="T27" s="5"/>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c r="AW27" s="5"/>
      <c r="AX27" s="5"/>
      <c r="AY27" s="5"/>
      <c r="AZ27" s="5"/>
      <c r="BA27" s="5"/>
      <c r="BB27" s="5"/>
      <c r="BC27" s="5"/>
      <c r="BD27" s="5"/>
      <c r="BE27" s="5"/>
      <c r="BF27" s="5"/>
      <c r="BG27" s="5"/>
      <c r="BH27" s="5"/>
      <c r="BI27" s="5"/>
      <c r="BJ27" s="5"/>
      <c r="BK27" s="5"/>
      <c r="BL27" s="5"/>
      <c r="BM27" s="5"/>
      <c r="BN27" s="5"/>
      <c r="BO27" s="5"/>
      <c r="BP27" s="5"/>
      <c r="BQ27" s="5"/>
      <c r="BR27" s="5"/>
      <c r="BS27" s="5"/>
      <c r="BT27" s="5"/>
      <c r="BU27" s="5"/>
      <c r="BV27" s="5"/>
      <c r="BW27" s="5"/>
      <c r="BX27" s="5"/>
      <c r="BY27" s="5"/>
      <c r="BZ27" s="5"/>
      <c r="CA27" s="5"/>
      <c r="CB27" s="5"/>
      <c r="CC27" s="5"/>
      <c r="CD27" s="5"/>
      <c r="CE27" s="5"/>
      <c r="CF27" s="5"/>
      <c r="CG27" s="5"/>
      <c r="CH27" s="5"/>
      <c r="CI27" s="5"/>
      <c r="CJ27" s="5"/>
      <c r="CK27" s="5"/>
      <c r="CL27" s="5"/>
      <c r="CM27" s="5"/>
      <c r="CN27" s="5"/>
      <c r="CO27" s="5"/>
      <c r="CP27" s="5"/>
      <c r="CQ27" s="5"/>
      <c r="CR27" s="5"/>
      <c r="CS27" s="5"/>
      <c r="CT27" s="5"/>
      <c r="CU27" s="5"/>
      <c r="CV27" s="5"/>
      <c r="CW27" s="5"/>
      <c r="CX27" s="5"/>
      <c r="CY27" s="5"/>
      <c r="CZ27" s="5"/>
      <c r="DA27" s="5"/>
      <c r="DB27" s="5"/>
      <c r="DC27" s="5"/>
      <c r="DD27" s="5"/>
      <c r="DE27" s="5"/>
      <c r="DF27" s="5"/>
      <c r="DG27" s="5"/>
      <c r="DH27" s="5"/>
      <c r="DI27" s="5"/>
      <c r="DJ27" s="5"/>
      <c r="DK27" s="5"/>
      <c r="DL27" s="5"/>
      <c r="DM27" s="5"/>
      <c r="DN27" s="5"/>
      <c r="DO27" s="5"/>
    </row>
    <row r="28" spans="1:119" x14ac:dyDescent="0.25">
      <c r="A28" s="5">
        <v>23</v>
      </c>
      <c r="B28" s="5"/>
      <c r="C28" s="5"/>
      <c r="D28" s="5"/>
      <c r="E28" s="5"/>
      <c r="F28" s="5"/>
      <c r="G28" s="5"/>
      <c r="H28" s="5"/>
      <c r="I28" s="5"/>
      <c r="J28" s="5"/>
      <c r="K28" s="5"/>
      <c r="L28" s="5"/>
      <c r="M28" s="5"/>
      <c r="N28" s="5"/>
      <c r="O28" s="5"/>
      <c r="P28" s="5"/>
      <c r="Q28" s="5"/>
      <c r="R28" s="5"/>
      <c r="S28" s="5"/>
      <c r="T28" s="5"/>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c r="AW28" s="5"/>
      <c r="AX28" s="5"/>
      <c r="AY28" s="5"/>
      <c r="AZ28" s="5"/>
      <c r="BA28" s="5"/>
      <c r="BB28" s="5"/>
      <c r="BC28" s="5"/>
      <c r="BD28" s="5"/>
      <c r="BE28" s="5"/>
      <c r="BF28" s="5"/>
      <c r="BG28" s="5"/>
      <c r="BH28" s="5"/>
      <c r="BI28" s="5"/>
      <c r="BJ28" s="5"/>
      <c r="BK28" s="5"/>
      <c r="BL28" s="5"/>
      <c r="BM28" s="5"/>
      <c r="BN28" s="5"/>
      <c r="BO28" s="5"/>
      <c r="BP28" s="5"/>
      <c r="BQ28" s="5"/>
      <c r="BR28" s="5"/>
      <c r="BS28" s="5"/>
      <c r="BT28" s="5"/>
      <c r="BU28" s="5"/>
      <c r="BV28" s="5"/>
      <c r="BW28" s="5"/>
      <c r="BX28" s="5"/>
      <c r="BY28" s="5"/>
      <c r="BZ28" s="5"/>
      <c r="CA28" s="5"/>
      <c r="CB28" s="5"/>
      <c r="CC28" s="5"/>
      <c r="CD28" s="5"/>
      <c r="CE28" s="5"/>
      <c r="CF28" s="5"/>
      <c r="CG28" s="5"/>
      <c r="CH28" s="5"/>
      <c r="CI28" s="5"/>
      <c r="CJ28" s="5"/>
      <c r="CK28" s="5"/>
      <c r="CL28" s="5"/>
      <c r="CM28" s="5"/>
      <c r="CN28" s="5"/>
      <c r="CO28" s="5"/>
      <c r="CP28" s="5"/>
      <c r="CQ28" s="5"/>
      <c r="CR28" s="5"/>
      <c r="CS28" s="5"/>
      <c r="CT28" s="5"/>
      <c r="CU28" s="5"/>
      <c r="CV28" s="5"/>
      <c r="CW28" s="5"/>
      <c r="CX28" s="5"/>
      <c r="CY28" s="5"/>
      <c r="CZ28" s="5"/>
      <c r="DA28" s="5"/>
      <c r="DB28" s="5"/>
      <c r="DC28" s="5"/>
      <c r="DD28" s="5"/>
      <c r="DE28" s="5"/>
      <c r="DF28" s="5"/>
      <c r="DG28" s="5"/>
      <c r="DH28" s="5"/>
      <c r="DI28" s="5"/>
      <c r="DJ28" s="5"/>
      <c r="DK28" s="5"/>
      <c r="DL28" s="5"/>
      <c r="DM28" s="5"/>
      <c r="DN28" s="5"/>
      <c r="DO28" s="5"/>
    </row>
    <row r="29" spans="1:119" x14ac:dyDescent="0.25">
      <c r="A29" s="5">
        <v>24</v>
      </c>
      <c r="B29" s="5"/>
      <c r="C29" s="5"/>
      <c r="D29" s="5"/>
      <c r="E29" s="5"/>
      <c r="F29" s="5"/>
      <c r="G29" s="5"/>
      <c r="H29" s="5"/>
      <c r="I29" s="5"/>
      <c r="J29" s="5"/>
      <c r="K29" s="5"/>
      <c r="L29" s="5"/>
      <c r="M29" s="5"/>
      <c r="N29" s="5"/>
      <c r="O29" s="5"/>
      <c r="P29" s="5"/>
      <c r="Q29" s="5"/>
      <c r="R29" s="5"/>
      <c r="S29" s="5"/>
      <c r="T29" s="5"/>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c r="AW29" s="5"/>
      <c r="AX29" s="5"/>
      <c r="AY29" s="5"/>
      <c r="AZ29" s="5"/>
      <c r="BA29" s="5"/>
      <c r="BB29" s="5"/>
      <c r="BC29" s="5"/>
      <c r="BD29" s="5"/>
      <c r="BE29" s="5"/>
      <c r="BF29" s="5"/>
      <c r="BG29" s="5"/>
      <c r="BH29" s="5"/>
      <c r="BI29" s="5"/>
      <c r="BJ29" s="5"/>
      <c r="BK29" s="5"/>
      <c r="BL29" s="5"/>
      <c r="BM29" s="5"/>
      <c r="BN29" s="5"/>
      <c r="BO29" s="5"/>
      <c r="BP29" s="5"/>
      <c r="BQ29" s="5"/>
      <c r="BR29" s="5"/>
      <c r="BS29" s="5"/>
      <c r="BT29" s="5"/>
      <c r="BU29" s="5"/>
      <c r="BV29" s="5"/>
      <c r="BW29" s="5"/>
      <c r="BX29" s="5"/>
      <c r="BY29" s="5"/>
      <c r="BZ29" s="5"/>
      <c r="CA29" s="5"/>
      <c r="CB29" s="5"/>
      <c r="CC29" s="5"/>
      <c r="CD29" s="5"/>
      <c r="CE29" s="5"/>
      <c r="CF29" s="5"/>
      <c r="CG29" s="5"/>
      <c r="CH29" s="5"/>
      <c r="CI29" s="5"/>
      <c r="CJ29" s="5"/>
      <c r="CK29" s="5"/>
      <c r="CL29" s="5"/>
      <c r="CM29" s="5"/>
      <c r="CN29" s="5"/>
      <c r="CO29" s="5"/>
      <c r="CP29" s="5"/>
      <c r="CQ29" s="5"/>
      <c r="CR29" s="5"/>
      <c r="CS29" s="5"/>
      <c r="CT29" s="5"/>
      <c r="CU29" s="5"/>
      <c r="CV29" s="5"/>
      <c r="CW29" s="5"/>
      <c r="CX29" s="5"/>
      <c r="CY29" s="5"/>
      <c r="CZ29" s="5"/>
      <c r="DA29" s="5"/>
      <c r="DB29" s="5"/>
      <c r="DC29" s="5"/>
      <c r="DD29" s="5"/>
      <c r="DE29" s="5"/>
      <c r="DF29" s="5"/>
      <c r="DG29" s="5"/>
      <c r="DH29" s="5"/>
      <c r="DI29" s="5"/>
      <c r="DJ29" s="5"/>
      <c r="DK29" s="5"/>
      <c r="DL29" s="5"/>
      <c r="DM29" s="5"/>
      <c r="DN29" s="5"/>
      <c r="DO29" s="5"/>
    </row>
  </sheetData>
  <phoneticPr fontId="7"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INSTRUCCIONES</vt:lpstr>
      <vt:lpstr>Config</vt:lpstr>
      <vt:lpstr>Nodos</vt:lpstr>
      <vt:lpstr>Lineas</vt:lpstr>
      <vt:lpstr>Lineas_Cand</vt:lpstr>
      <vt:lpstr>Generadores</vt:lpstr>
      <vt:lpstr>Hidraulicos</vt:lpstr>
      <vt:lpstr>Renovables</vt:lpstr>
      <vt:lpstr>BESS_Cand</vt:lpstr>
      <vt:lpstr>FACTS_Cand</vt:lpstr>
      <vt:lpstr>Demanda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Daniel Lindo</cp:lastModifiedBy>
  <dcterms:created xsi:type="dcterms:W3CDTF">2026-07-06T00:10:18Z</dcterms:created>
  <dcterms:modified xsi:type="dcterms:W3CDTF">2026-08-11T16:34:19Z</dcterms:modified>
</cp:coreProperties>
</file>