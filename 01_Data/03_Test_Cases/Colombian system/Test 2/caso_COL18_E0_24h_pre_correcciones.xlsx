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3_Test_Cases\"/>
    </mc:Choice>
  </mc:AlternateContent>
  <xr:revisionPtr revIDLastSave="0" documentId="13_ncr:1_{6FDE5897-D1FB-4CBB-BC40-BE094D02B2F4}" xr6:coauthVersionLast="47" xr6:coauthVersionMax="47" xr10:uidLastSave="{00000000-0000-0000-0000-000000000000}"/>
  <bookViews>
    <workbookView xWindow="22932" yWindow="780" windowWidth="23256" windowHeight="12456" firstSheet="6" activeTab="10" xr2:uid="{00000000-000D-0000-FFFF-FFFF00000000}"/>
  </bookViews>
  <sheets>
    <sheet name="INSTRUCCIONES" sheetId="1" r:id="rId1"/>
    <sheet name="Config" sheetId="2" r:id="rId2"/>
    <sheet name="Nodos" sheetId="3" r:id="rId3"/>
    <sheet name="Lineas" sheetId="4" r:id="rId4"/>
    <sheet name="Lineas_Cand" sheetId="5" state="hidden" r:id="rId5"/>
    <sheet name="Generadores" sheetId="6" r:id="rId6"/>
    <sheet name="Hidraulicos" sheetId="16" r:id="rId7"/>
    <sheet name="Aportes" sheetId="15" r:id="rId8"/>
    <sheet name="Renovables" sheetId="8" r:id="rId9"/>
    <sheet name="Renov_Perfil" sheetId="14" r:id="rId10"/>
    <sheet name="Demanda" sheetId="11" r:id="rId11"/>
    <sheet name="BESS_Cand" sheetId="9" r:id="rId12"/>
    <sheet name="FACTS_Cand" sheetId="10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16" l="1"/>
  <c r="K27" i="16"/>
  <c r="K28" i="16"/>
  <c r="Q40" i="16" l="1"/>
  <c r="M40" i="16" s="1"/>
  <c r="O40" i="16"/>
  <c r="K40" i="16"/>
  <c r="G40" i="16"/>
  <c r="E40" i="16" s="1"/>
  <c r="D40" i="16"/>
  <c r="Q39" i="16"/>
  <c r="M39" i="16" s="1"/>
  <c r="O39" i="16"/>
  <c r="K39" i="16"/>
  <c r="G39" i="16"/>
  <c r="F39" i="16" s="1"/>
  <c r="D39" i="16"/>
  <c r="Q38" i="16"/>
  <c r="M38" i="16" s="1"/>
  <c r="O38" i="16"/>
  <c r="K38" i="16"/>
  <c r="G38" i="16"/>
  <c r="F38" i="16" s="1"/>
  <c r="D38" i="16"/>
  <c r="Q37" i="16"/>
  <c r="M37" i="16" s="1"/>
  <c r="O37" i="16"/>
  <c r="K37" i="16"/>
  <c r="G37" i="16"/>
  <c r="F37" i="16" s="1"/>
  <c r="D37" i="16"/>
  <c r="Q36" i="16"/>
  <c r="M36" i="16" s="1"/>
  <c r="O36" i="16"/>
  <c r="K36" i="16"/>
  <c r="G36" i="16"/>
  <c r="F36" i="16" s="1"/>
  <c r="D36" i="16"/>
  <c r="Q35" i="16"/>
  <c r="M35" i="16" s="1"/>
  <c r="O35" i="16"/>
  <c r="K35" i="16"/>
  <c r="G35" i="16"/>
  <c r="E35" i="16"/>
  <c r="D35" i="16"/>
  <c r="O34" i="16"/>
  <c r="M34" i="16"/>
  <c r="K34" i="16"/>
  <c r="G34" i="16"/>
  <c r="E34" i="16" s="1"/>
  <c r="F34" i="16"/>
  <c r="D34" i="16"/>
  <c r="Q33" i="16"/>
  <c r="M33" i="16" s="1"/>
  <c r="O33" i="16"/>
  <c r="K33" i="16"/>
  <c r="G33" i="16"/>
  <c r="F33" i="16" s="1"/>
  <c r="D33" i="16"/>
  <c r="Q32" i="16"/>
  <c r="M32" i="16" s="1"/>
  <c r="O32" i="16"/>
  <c r="K32" i="16"/>
  <c r="G32" i="16"/>
  <c r="E32" i="16" s="1"/>
  <c r="D32" i="16"/>
  <c r="F32" i="16" s="1"/>
  <c r="Q31" i="16"/>
  <c r="M31" i="16" s="1"/>
  <c r="O31" i="16"/>
  <c r="K31" i="16"/>
  <c r="G31" i="16"/>
  <c r="E31" i="16" s="1"/>
  <c r="D31" i="16"/>
  <c r="F31" i="16" s="1"/>
  <c r="Q30" i="16"/>
  <c r="M30" i="16" s="1"/>
  <c r="O30" i="16"/>
  <c r="K30" i="16"/>
  <c r="G30" i="16"/>
  <c r="E30" i="16" s="1"/>
  <c r="D30" i="16"/>
  <c r="F30" i="16" s="1"/>
  <c r="O29" i="16"/>
  <c r="M29" i="16"/>
  <c r="K29" i="16"/>
  <c r="G29" i="16"/>
  <c r="E29" i="16" s="1"/>
  <c r="D29" i="16"/>
  <c r="F29" i="16" s="1"/>
  <c r="O28" i="16"/>
  <c r="M28" i="16"/>
  <c r="G28" i="16"/>
  <c r="E28" i="16" s="1"/>
  <c r="D28" i="16"/>
  <c r="O27" i="16"/>
  <c r="M27" i="16"/>
  <c r="G27" i="16"/>
  <c r="E27" i="16"/>
  <c r="D27" i="16"/>
  <c r="F27" i="16" s="1"/>
  <c r="O26" i="16"/>
  <c r="M26" i="16"/>
  <c r="G26" i="16"/>
  <c r="E26" i="16" s="1"/>
  <c r="D26" i="16"/>
  <c r="O25" i="16"/>
  <c r="M25" i="16"/>
  <c r="K25" i="16"/>
  <c r="G25" i="16"/>
  <c r="E25" i="16" s="1"/>
  <c r="D25" i="16"/>
  <c r="Q24" i="16"/>
  <c r="M24" i="16" s="1"/>
  <c r="O24" i="16"/>
  <c r="I24" i="16"/>
  <c r="H24" i="16"/>
  <c r="K24" i="16" s="1"/>
  <c r="G24" i="16"/>
  <c r="E24" i="16" s="1"/>
  <c r="D24" i="16"/>
  <c r="F24" i="16" s="1"/>
  <c r="Q23" i="16"/>
  <c r="M23" i="16" s="1"/>
  <c r="O23" i="16"/>
  <c r="I23" i="16"/>
  <c r="H23" i="16"/>
  <c r="G23" i="16"/>
  <c r="E23" i="16" s="1"/>
  <c r="D23" i="16"/>
  <c r="F23" i="16" s="1"/>
  <c r="Q22" i="16"/>
  <c r="O22" i="16"/>
  <c r="M22" i="16"/>
  <c r="I22" i="16"/>
  <c r="H22" i="16"/>
  <c r="K22" i="16" s="1"/>
  <c r="G22" i="16"/>
  <c r="E22" i="16" s="1"/>
  <c r="D22" i="16"/>
  <c r="F22" i="16" s="1"/>
  <c r="Q21" i="16"/>
  <c r="M21" i="16" s="1"/>
  <c r="O21" i="16"/>
  <c r="I21" i="16"/>
  <c r="H21" i="16"/>
  <c r="K21" i="16" s="1"/>
  <c r="G21" i="16"/>
  <c r="E21" i="16" s="1"/>
  <c r="D21" i="16"/>
  <c r="F21" i="16" s="1"/>
  <c r="Q20" i="16"/>
  <c r="M20" i="16" s="1"/>
  <c r="O20" i="16"/>
  <c r="I20" i="16"/>
  <c r="H20" i="16"/>
  <c r="K20" i="16" s="1"/>
  <c r="G20" i="16"/>
  <c r="E20" i="16"/>
  <c r="D20" i="16"/>
  <c r="F20" i="16" s="1"/>
  <c r="Q19" i="16"/>
  <c r="O19" i="16"/>
  <c r="M19" i="16"/>
  <c r="I19" i="16"/>
  <c r="H19" i="16"/>
  <c r="G19" i="16"/>
  <c r="E19" i="16" s="1"/>
  <c r="D19" i="16"/>
  <c r="F19" i="16" s="1"/>
  <c r="Q18" i="16"/>
  <c r="O18" i="16"/>
  <c r="M18" i="16"/>
  <c r="I18" i="16"/>
  <c r="H18" i="16"/>
  <c r="G18" i="16"/>
  <c r="E18" i="16" s="1"/>
  <c r="D18" i="16"/>
  <c r="F18" i="16" s="1"/>
  <c r="O17" i="16"/>
  <c r="M17" i="16"/>
  <c r="I17" i="16"/>
  <c r="H17" i="16"/>
  <c r="K17" i="16" s="1"/>
  <c r="G17" i="16"/>
  <c r="E17" i="16" s="1"/>
  <c r="D17" i="16"/>
  <c r="Q16" i="16"/>
  <c r="M16" i="16" s="1"/>
  <c r="O16" i="16"/>
  <c r="I16" i="16"/>
  <c r="H16" i="16"/>
  <c r="K16" i="16" s="1"/>
  <c r="G16" i="16"/>
  <c r="E16" i="16" s="1"/>
  <c r="D16" i="16"/>
  <c r="F16" i="16" s="1"/>
  <c r="Q15" i="16"/>
  <c r="M15" i="16" s="1"/>
  <c r="O15" i="16"/>
  <c r="I15" i="16"/>
  <c r="H15" i="16"/>
  <c r="K15" i="16" s="1"/>
  <c r="G15" i="16"/>
  <c r="E15" i="16" s="1"/>
  <c r="D15" i="16"/>
  <c r="F15" i="16" s="1"/>
  <c r="Q14" i="16"/>
  <c r="O14" i="16"/>
  <c r="M14" i="16"/>
  <c r="I14" i="16"/>
  <c r="H14" i="16"/>
  <c r="G14" i="16"/>
  <c r="E14" i="16" s="1"/>
  <c r="D14" i="16"/>
  <c r="F14" i="16" s="1"/>
  <c r="Q13" i="16"/>
  <c r="O13" i="16"/>
  <c r="M13" i="16"/>
  <c r="I13" i="16"/>
  <c r="H13" i="16"/>
  <c r="G13" i="16"/>
  <c r="E13" i="16" s="1"/>
  <c r="D13" i="16"/>
  <c r="Q12" i="16"/>
  <c r="M12" i="16" s="1"/>
  <c r="O12" i="16"/>
  <c r="I12" i="16"/>
  <c r="H12" i="16"/>
  <c r="G12" i="16"/>
  <c r="E12" i="16" s="1"/>
  <c r="D12" i="16"/>
  <c r="Q11" i="16"/>
  <c r="M11" i="16" s="1"/>
  <c r="O11" i="16"/>
  <c r="I11" i="16"/>
  <c r="H11" i="16"/>
  <c r="G11" i="16"/>
  <c r="E11" i="16" s="1"/>
  <c r="D11" i="16"/>
  <c r="Q10" i="16"/>
  <c r="M10" i="16" s="1"/>
  <c r="O10" i="16"/>
  <c r="I10" i="16"/>
  <c r="H10" i="16"/>
  <c r="G10" i="16"/>
  <c r="E10" i="16" s="1"/>
  <c r="D10" i="16"/>
  <c r="Q9" i="16"/>
  <c r="M9" i="16" s="1"/>
  <c r="O9" i="16"/>
  <c r="I9" i="16"/>
  <c r="H9" i="16"/>
  <c r="K9" i="16" s="1"/>
  <c r="G9" i="16"/>
  <c r="E9" i="16" s="1"/>
  <c r="D9" i="16"/>
  <c r="Q8" i="16"/>
  <c r="M8" i="16" s="1"/>
  <c r="O8" i="16"/>
  <c r="I8" i="16"/>
  <c r="H8" i="16"/>
  <c r="G8" i="16"/>
  <c r="E8" i="16" s="1"/>
  <c r="D8" i="16"/>
  <c r="F8" i="16" s="1"/>
  <c r="Q7" i="16"/>
  <c r="M7" i="16" s="1"/>
  <c r="O7" i="16"/>
  <c r="I7" i="16"/>
  <c r="H7" i="16"/>
  <c r="G7" i="16"/>
  <c r="E7" i="16" s="1"/>
  <c r="D7" i="16"/>
  <c r="Q6" i="16"/>
  <c r="M6" i="16" s="1"/>
  <c r="O6" i="16"/>
  <c r="I6" i="16"/>
  <c r="H6" i="16"/>
  <c r="K6" i="16" s="1"/>
  <c r="G6" i="16"/>
  <c r="E6" i="16" s="1"/>
  <c r="D6" i="16"/>
  <c r="F6" i="16" s="1"/>
  <c r="E33" i="16" l="1"/>
  <c r="F11" i="16"/>
  <c r="K7" i="16"/>
  <c r="F13" i="16"/>
  <c r="K11" i="16"/>
  <c r="K13" i="16"/>
  <c r="K18" i="16"/>
  <c r="F35" i="16"/>
  <c r="F25" i="16"/>
  <c r="K8" i="16"/>
  <c r="F17" i="16"/>
  <c r="F40" i="16"/>
  <c r="F10" i="16"/>
  <c r="F12" i="16"/>
  <c r="K23" i="16"/>
  <c r="F28" i="16"/>
  <c r="E38" i="16"/>
  <c r="K12" i="16"/>
  <c r="F26" i="16"/>
  <c r="F7" i="16"/>
  <c r="F9" i="16"/>
  <c r="K14" i="16"/>
  <c r="E37" i="16"/>
  <c r="E36" i="16"/>
  <c r="E39" i="16"/>
  <c r="K19" i="16"/>
  <c r="K10" i="16"/>
  <c r="E7" i="8" l="1"/>
  <c r="E8" i="8"/>
  <c r="E9" i="8"/>
  <c r="E10" i="8"/>
  <c r="E11" i="8"/>
  <c r="E12" i="8"/>
  <c r="E13" i="8"/>
  <c r="E14" i="8"/>
  <c r="E15" i="8"/>
  <c r="E16" i="8"/>
  <c r="E17" i="8"/>
  <c r="E18" i="8"/>
  <c r="E6" i="8"/>
  <c r="Q7" i="6" l="1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6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tc={B724A91F-041A-4828-AFE4-51B44276F97E}</author>
    <author>tc={940E9659-6000-4535-B2D1-AD3723E1C1E1}</author>
    <author>tc={448B7550-06BB-4644-A63F-7BA2F7A96041}</author>
  </authors>
  <commentList>
    <comment ref="C10" authorId="0" shapeId="0" xr:uid="{B724A91F-041A-4828-AFE4-51B44276F9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acepta una solución dentro del 1% del óptimo </t>
      </text>
    </comment>
    <comment ref="C21" authorId="1" shapeId="0" xr:uid="{940E9659-6000-4535-B2D1-AD3723E1C1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  <comment ref="C22" authorId="2" shapeId="0" xr:uid="{448B7550-06BB-4644-A63F-7BA2F7A960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Cuánto puede alejarse el volumen final del inicial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tc={A0E88886-9E41-4316-B74C-BA376C08C276}</author>
  </authors>
  <commentList>
    <comment ref="J4" authorId="0" shapeId="0" xr:uid="{A0E88886-9E41-4316-B74C-BA376C08C2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XM publica un solo número por planta y por día: el precio de oferta de despacho, en COP/MWh. No publica una curva de costos.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tc={97080486-7562-40E9-8B5C-379F902441EE}</author>
    <author>tc={65603F83-A2D9-4E61-9ECC-A35591B4ABCA}</author>
    <author>tc={BC931BA1-DD91-469B-A3B7-35691DA123E8}</author>
    <author>tc={06D1E06B-5894-4400-AEA8-A06582B71F15}</author>
    <author>tc={9D36181D-0E37-445B-8F7A-E3515AEB981B}</author>
    <author>tc={B7226439-3987-4DA1-8CA1-523FC3C4D6EA}</author>
    <author>tc={5918EC13-30DC-4648-A61D-3FDDACBC8CCD}</author>
    <author>tc={32EF6FDB-F757-4F45-A424-87EB86B93DB2}</author>
    <author>tc={13BCC88B-97D8-4408-BF11-76FB87BE8AA7}</author>
    <author>tc={B285BB29-7F1A-431B-B055-93EED1FAB953}</author>
    <author>tc={BC0DAE74-8FE1-4F3D-B2F5-249156526AE1}</author>
    <author>tc={294A3393-71E2-4A21-B819-782597073605}</author>
    <author>tc={6AC4425C-C66F-4A3A-862D-220B5A96BF6E}</author>
    <author>tc={42EF115A-D163-422B-94B3-E84AECD3B2BF}</author>
    <author>tc={EF8F560E-985F-4350-998B-F5CA5CFDA066}</author>
  </authors>
  <commentList>
    <comment ref="E4" authorId="0" shapeId="0" xr:uid="{97080486-7562-40E9-8B5C-379F902441EE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65603F83-A2D9-4E61-9ECC-A35591B4ABCA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BC931BA1-DD91-469B-A3B7-35691DA123E8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06D1E06B-5894-4400-AEA8-A06582B71F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K4" authorId="4" shapeId="0" xr:uid="{9D36181D-0E37-445B-8F7A-E3515AEB98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  <comment ref="A17" authorId="5" shapeId="0" xr:uid="{B7226439-3987-4DA1-8CA1-523FC3C4D6EA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5" authorId="6" shapeId="0" xr:uid="{5918EC13-30DC-4648-A61D-3FDDACBC8CCD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6" authorId="7" shapeId="0" xr:uid="{32EF6FDB-F757-4F45-A424-87EB86B93DB2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H26" authorId="8" shapeId="0" xr:uid="{13BCC88B-97D8-4408-BF11-76FB87BE8AA7}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I26" authorId="9" shapeId="0" xr:uid="{B285BB29-7F1A-431B-B055-93EED1FAB953}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J26" authorId="10" shapeId="0" xr:uid="{BC0DAE74-8FE1-4F3D-B2F5-249156526AE1}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A27" authorId="11" shapeId="0" xr:uid="{294A3393-71E2-4A21-B819-782597073605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8" authorId="12" shapeId="0" xr:uid="{6AC4425C-C66F-4A3A-862D-220B5A96BF6E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9" authorId="13" shapeId="0" xr:uid="{42EF115A-D163-422B-94B3-E84AECD3B2BF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34" authorId="14" shapeId="0" xr:uid="{EF8F560E-985F-4350-998B-F5CA5CFDA066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</commentList>
</comments>
</file>

<file path=xl/sharedStrings.xml><?xml version="1.0" encoding="utf-8"?>
<sst xmlns="http://schemas.openxmlformats.org/spreadsheetml/2006/main" count="991" uniqueCount="445">
  <si>
    <t>Plantilla de datos - Modelo TEP con BESS y FACTS</t>
  </si>
  <si>
    <t>Esta plantilla define un CASO de estudio. Un archivo = un caso.</t>
  </si>
  <si>
    <t>Cada hoja corresponde a un tipo de dato. Llene solo las que aplican;</t>
  </si>
  <si>
    <t>las hojas vacias se interpretan como 'ese componente no existe'.</t>
  </si>
  <si>
    <t>HOJAS:</t>
  </si>
  <si>
    <t xml:space="preserve">  Config          -&gt; parametros globales (S_base, horizonte, etc.)</t>
  </si>
  <si>
    <t xml:space="preserve">  Nodos           -&gt; buses del sistema (id, tipo, demanda base)</t>
  </si>
  <si>
    <t xml:space="preserve">  Lineas          -&gt; lineas existentes (R, X, capacidad)</t>
  </si>
  <si>
    <t xml:space="preserve">  Generadores     -&gt; unidades termicas (limites, costos, rampas)</t>
  </si>
  <si>
    <t xml:space="preserve">  Hidraulicos     -&gt; unidades hidraulicas y embalses (opcional)</t>
  </si>
  <si>
    <t xml:space="preserve">  Renovables      -&gt; solar/eolica (opcional)</t>
  </si>
  <si>
    <t xml:space="preserve">  BESS_Cand       -&gt; nodos candidatos a instalar BESS</t>
  </si>
  <si>
    <t xml:space="preserve">  FACTS_Cand      -&gt; lineas candidatas a instalar TCSC</t>
  </si>
  <si>
    <t xml:space="preserve">  Demanda         -&gt; perfil horario {hora x nodo} (como XM/Alvaro)</t>
  </si>
  <si>
    <t>CONVENCION DE COLOR:</t>
  </si>
  <si>
    <t>NODO SLACK: en la hoja Nodos, marque tipo=slack en un unico nodo.</t>
  </si>
  <si>
    <t>Config - Parametros globales del caso</t>
  </si>
  <si>
    <t>Parametros generales que aplican a todo el sistema.</t>
  </si>
  <si>
    <t>parametro</t>
  </si>
  <si>
    <t>valor</t>
  </si>
  <si>
    <t>descripcion</t>
  </si>
  <si>
    <t>S_base</t>
  </si>
  <si>
    <t>Potencia base del sistema (MVA)</t>
  </si>
  <si>
    <t>horizonte</t>
  </si>
  <si>
    <t>Numero de horas a simular</t>
  </si>
  <si>
    <t>n_seg_costo</t>
  </si>
  <si>
    <t>Segmentos linealizacion costo termico</t>
  </si>
  <si>
    <t>n_seg_perdidas</t>
  </si>
  <si>
    <t>Segmentos linealizacion perdidas</t>
  </si>
  <si>
    <t>mip_gap</t>
  </si>
  <si>
    <t>Tolerancia de optimalidad del solver</t>
  </si>
  <si>
    <t>time_limit</t>
  </si>
  <si>
    <t>Limite de tiempo del solver (s)</t>
  </si>
  <si>
    <t>Nodos - Buses del sistema</t>
  </si>
  <si>
    <t>tipo: 'slack' (referencia, UNO solo), 'pv' (con gen), 'pq' (carga).</t>
  </si>
  <si>
    <t>id</t>
  </si>
  <si>
    <t>tipo</t>
  </si>
  <si>
    <t>slack/pv/pq</t>
  </si>
  <si>
    <t>MW</t>
  </si>
  <si>
    <t>Lineas - Lineas de transmision existentes</t>
  </si>
  <si>
    <t>R y X en por unidad. La susceptancia se calcula como 1/X.</t>
  </si>
  <si>
    <t>desde</t>
  </si>
  <si>
    <t>hasta</t>
  </si>
  <si>
    <t>R</t>
  </si>
  <si>
    <t>X</t>
  </si>
  <si>
    <t>capacidad</t>
  </si>
  <si>
    <t>nodo</t>
  </si>
  <si>
    <t>p.u.</t>
  </si>
  <si>
    <t>Lineas_Cand - Lineas candidatas a construir (TEP)</t>
  </si>
  <si>
    <t>Vacia si no hay candidatas. 'costo' = costo de construccion.</t>
  </si>
  <si>
    <t>costo</t>
  </si>
  <si>
    <t>USD</t>
  </si>
  <si>
    <t>Generadores - Unidades termicas</t>
  </si>
  <si>
    <t>Costo cuadratico c2*P^2+c1*P+c0. min_on/off y cost_su/sd para UC.</t>
  </si>
  <si>
    <t>Pmin</t>
  </si>
  <si>
    <t>Pmax</t>
  </si>
  <si>
    <t>c2</t>
  </si>
  <si>
    <t>c1</t>
  </si>
  <si>
    <t>c0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</si>
  <si>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</si>
  <si>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</si>
  <si>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</si>
  <si>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</si>
  <si>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</si>
  <si>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</si>
  <si>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</si>
  <si>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</si>
  <si>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</si>
  <si>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Vacia si el sistema no tiene hidraulica. Embalse: vol_min/max/ini.</t>
  </si>
  <si>
    <t>$/MWh</t>
  </si>
  <si>
    <t>hm3</t>
  </si>
  <si>
    <t>La disponibilidad horaria va en la hoja Demanda o un perfil aparte.</t>
  </si>
  <si>
    <t>solar/eolica</t>
  </si>
  <si>
    <t>BESS_Cand - Nodos candidatos a instalar BESS</t>
  </si>
  <si>
    <t>Vacia si no se consideran BESS. duracion = relacion energia/potencia.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</si>
  <si>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</si>
  <si>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</si>
  <si>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</si>
  <si>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</si>
  <si>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</si>
  <si>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</si>
  <si>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</si>
  <si>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</si>
  <si>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</si>
  <si>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</si>
  <si>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</si>
  <si>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frac</t>
  </si>
  <si>
    <t>FACTS_Cand - Lineas candidatas a instalar TCSC</t>
  </si>
  <si>
    <t>Vacia si no se consideran FACTS. 'linea' debe existir en Lineas.</t>
  </si>
  <si>
    <t>linea</t>
  </si>
  <si>
    <t>Demanda - Perfil horario de demanda por nodo</t>
  </si>
  <si>
    <t>Estructura {hora x nodo}, igual a la hoja 'load' de XM/Alvaro. Solo columnas de nodos con carga. Filas = horas del horizonte.</t>
  </si>
  <si>
    <t>UNIDADES: indicadas en la fila bajo cada encabezado. (No borrarlas ni modificarlas)</t>
  </si>
  <si>
    <t>vida_bess</t>
  </si>
  <si>
    <t>vida_facts</t>
  </si>
  <si>
    <t>años</t>
  </si>
  <si>
    <t>años NREL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</si>
  <si>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</si>
  <si>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</si>
  <si>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</si>
  <si>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</si>
  <si>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</si>
  <si>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</si>
  <si>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</si>
  <si>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</si>
  <si>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</si>
  <si>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</si>
  <si>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</si>
  <si>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incluir_perdidas</t>
  </si>
  <si>
    <t xml:space="preserve">0 (sin pérdidas - validación DC); 1(con pérdidas) 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</si>
  <si>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</si>
  <si>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</si>
  <si>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</si>
  <si>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</si>
  <si>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</si>
  <si>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</si>
  <si>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</si>
  <si>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</si>
  <si>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</si>
  <si>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hora</t>
  </si>
  <si>
    <t>u_init</t>
  </si>
  <si>
    <t>tasa_descuento</t>
  </si>
  <si>
    <t>CREG</t>
  </si>
  <si>
    <t>habilitada</t>
  </si>
  <si>
    <t>sigma_niveles</t>
  </si>
  <si>
    <t>[USD/MVAr]</t>
  </si>
  <si>
    <t>c_tcsc</t>
  </si>
  <si>
    <t>theta_max_grados</t>
  </si>
  <si>
    <t>solver</t>
  </si>
  <si>
    <t>gurobi</t>
  </si>
  <si>
    <t>l21</t>
  </si>
  <si>
    <t>l22</t>
  </si>
  <si>
    <t>l23</t>
  </si>
  <si>
    <t>l24</t>
  </si>
  <si>
    <t>l25</t>
  </si>
  <si>
    <t>l26</t>
  </si>
  <si>
    <t>Solo compensacion capacitiva</t>
  </si>
  <si>
    <t>slack</t>
  </si>
  <si>
    <t>ANT</t>
  </si>
  <si>
    <t>ATL</t>
  </si>
  <si>
    <t>BOG</t>
  </si>
  <si>
    <t>BOL</t>
  </si>
  <si>
    <t>BYC</t>
  </si>
  <si>
    <t>CQR</t>
  </si>
  <si>
    <t>CAN</t>
  </si>
  <si>
    <t>CER</t>
  </si>
  <si>
    <t>CSU</t>
  </si>
  <si>
    <t>GCM</t>
  </si>
  <si>
    <t>HTO</t>
  </si>
  <si>
    <t>NDS</t>
  </si>
  <si>
    <t>SAN</t>
  </si>
  <si>
    <t>VAL</t>
  </si>
  <si>
    <t>ARA</t>
  </si>
  <si>
    <t>MET</t>
  </si>
  <si>
    <t>CAQ</t>
  </si>
  <si>
    <t>PUT</t>
  </si>
  <si>
    <t>solar</t>
  </si>
  <si>
    <t>Hoja auxiliar. data_loader no la lee.</t>
  </si>
  <si>
    <t>dato</t>
  </si>
  <si>
    <t>archivo_de_origen</t>
  </si>
  <si>
    <t>Generadores</t>
  </si>
  <si>
    <t>no disponible en la fuente</t>
  </si>
  <si>
    <t>Hidraulicos</t>
  </si>
  <si>
    <t>-</t>
  </si>
  <si>
    <t>Renovables</t>
  </si>
  <si>
    <t>Demanda</t>
  </si>
  <si>
    <t>Renov_Perfil - Disponibilidad horaria de generacion renovable</t>
  </si>
  <si>
    <t>Estructura {hora x recurso}. Fraccion de la capacidad instalada (0-1).</t>
  </si>
  <si>
    <t>Renovables - Generacion solar y eolica</t>
  </si>
  <si>
    <t>Hidraulicos - Unidades hidraulicas y embalses</t>
  </si>
  <si>
    <t>qmin</t>
  </si>
  <si>
    <t>qmax</t>
  </si>
  <si>
    <t>eta</t>
  </si>
  <si>
    <t>Smax</t>
  </si>
  <si>
    <t>m3/s</t>
  </si>
  <si>
    <t>MW/(m3/s)</t>
  </si>
  <si>
    <t>costo_vertimiento</t>
  </si>
  <si>
    <t>Regularizacion del vertimiento [USD por m3/s y hora]. No es un costo real.</t>
  </si>
  <si>
    <t>tol_volumen_inf</t>
  </si>
  <si>
    <t>Banda inferior del cierre de volumen: Vinit - tol*(Vmax-Vmin)</t>
  </si>
  <si>
    <t>tol_volumen_sup</t>
  </si>
  <si>
    <t>Banda superior del cierre de volumen: Vinit + tol*(Vmax-Vmin)</t>
  </si>
  <si>
    <t>Vmin</t>
  </si>
  <si>
    <t>Vmax</t>
  </si>
  <si>
    <t>Vinit</t>
  </si>
  <si>
    <t>Pmin_PARATEC</t>
  </si>
  <si>
    <t>Fuentes y trazabilidad</t>
  </si>
  <si>
    <t>BETANIA</t>
  </si>
  <si>
    <t>CALIMA</t>
  </si>
  <si>
    <t>EL QUIMBO</t>
  </si>
  <si>
    <t>ESMERALDA</t>
  </si>
  <si>
    <t>GUAVIO</t>
  </si>
  <si>
    <t>ITUANGO</t>
  </si>
  <si>
    <t>PLAYAS</t>
  </si>
  <si>
    <t>PRADO</t>
  </si>
  <si>
    <t>SALVAJINA</t>
  </si>
  <si>
    <t>URRA</t>
  </si>
  <si>
    <t>latitud</t>
  </si>
  <si>
    <t>longitud</t>
  </si>
  <si>
    <t xml:space="preserve">  Aportes      -&gt; xxxx</t>
  </si>
  <si>
    <t xml:space="preserve">  Renov_Perfil      -&gt; xxxxx</t>
  </si>
  <si>
    <r>
      <t xml:space="preserve">  Texto </t>
    </r>
    <r>
      <rPr>
        <i/>
        <sz val="10"/>
        <color rgb="FF0000FF"/>
        <rFont val="Calibri"/>
        <family val="2"/>
      </rPr>
      <t xml:space="preserve">azul </t>
    </r>
    <r>
      <rPr>
        <i/>
        <sz val="10"/>
        <color rgb="FF808080"/>
        <rFont val="Calibri"/>
        <family val="2"/>
      </rPr>
      <t>= dato de entrada (lo edita el usuario).</t>
    </r>
  </si>
  <si>
    <r>
      <t xml:space="preserve">  Encabezado </t>
    </r>
    <r>
      <rPr>
        <i/>
        <sz val="10"/>
        <color theme="5" tint="-0.249977111117893"/>
        <rFont val="Calibri"/>
        <family val="2"/>
      </rPr>
      <t>fondo rojo</t>
    </r>
    <r>
      <rPr>
        <i/>
        <sz val="10"/>
        <color rgb="FF808080"/>
        <rFont val="Calibri"/>
        <family val="2"/>
      </rPr>
      <t xml:space="preserve"> y letras blancas = dato no leído por el código</t>
    </r>
  </si>
  <si>
    <r>
      <t xml:space="preserve">  Encabezado </t>
    </r>
    <r>
      <rPr>
        <i/>
        <sz val="10"/>
        <color rgb="FF1F4E78"/>
        <rFont val="Calibri"/>
        <family val="2"/>
      </rPr>
      <t xml:space="preserve">fondo azul </t>
    </r>
    <r>
      <rPr>
        <i/>
        <sz val="10"/>
        <color theme="0" tint="-0.499984740745262"/>
        <rFont val="Calibri"/>
        <family val="2"/>
      </rPr>
      <t>y letras blancas = dato leí</t>
    </r>
    <r>
      <rPr>
        <i/>
        <sz val="10"/>
        <color rgb="FF808080"/>
        <rFont val="Calibri"/>
        <family val="2"/>
      </rPr>
      <t>do por el código</t>
    </r>
  </si>
  <si>
    <t>\01_Data\02_Processed\Datos_hojas_excel_COL\18_nodos\01_Nodos_Lineas</t>
  </si>
  <si>
    <t>Antioquia</t>
  </si>
  <si>
    <t>Arauca</t>
  </si>
  <si>
    <t>Bolivar</t>
  </si>
  <si>
    <t>Cordoba_Sucre</t>
  </si>
  <si>
    <t>Huila-Tolima</t>
  </si>
  <si>
    <t>Meta</t>
  </si>
  <si>
    <t>Putumayo</t>
  </si>
  <si>
    <t>Santander</t>
  </si>
  <si>
    <t>Boyaca-Casanare</t>
  </si>
  <si>
    <t>Cauca-Nariño</t>
  </si>
  <si>
    <t>Bogotá</t>
  </si>
  <si>
    <t>Atlántico</t>
  </si>
  <si>
    <t>Caquetá</t>
  </si>
  <si>
    <t>Cerromatoso</t>
  </si>
  <si>
    <t>Norte de Santander</t>
  </si>
  <si>
    <t>Valle del Cauca</t>
  </si>
  <si>
    <t>\01_Data\02_Processed\Datos_hojas_excel_COL\18_nodos\02_Generadores</t>
  </si>
  <si>
    <t xml:space="preserve"> costo</t>
  </si>
  <si>
    <t>Pmin/Pmax</t>
  </si>
  <si>
    <t>combustible</t>
  </si>
  <si>
    <t>PARATEC_Utérmica.xlsx -&gt; InfoCombustible</t>
  </si>
  <si>
    <t>nodos</t>
  </si>
  <si>
    <t>PARATEC_Utérmica.xlsx -&gt; VelCarga-Descarga</t>
  </si>
  <si>
    <t>rampa_sub</t>
  </si>
  <si>
    <t>rampa_baj</t>
  </si>
  <si>
    <t>PrecOferDesp_Jul26.xlsx</t>
  </si>
  <si>
    <t>Aportes</t>
  </si>
  <si>
    <t>\01_Data\02_Processed\Datos_hojas_excel_COL\18_nodos\03_Hidraulicos</t>
  </si>
  <si>
    <t>Pmáx / eta</t>
  </si>
  <si>
    <t>CARLOS LLERAS</t>
  </si>
  <si>
    <t>CUCUANA</t>
  </si>
  <si>
    <t>ESCUELA DE MINAS</t>
  </si>
  <si>
    <t>GUATAPE</t>
  </si>
  <si>
    <t>MIEL I</t>
  </si>
  <si>
    <t>PORCE III</t>
  </si>
  <si>
    <t>SAN CARLOS</t>
  </si>
  <si>
    <t>SAN FRANCISCO</t>
  </si>
  <si>
    <t>SAN MIGUEL</t>
  </si>
  <si>
    <t>SOGAMOSO</t>
  </si>
  <si>
    <t>VoluUtilDiarMasa_Jul26.xlsx/CapaUtilDiarMasa_Jul26.xlsx</t>
  </si>
  <si>
    <t>codigo</t>
  </si>
  <si>
    <t xml:space="preserve"> Latitud</t>
  </si>
  <si>
    <t>Longitud</t>
  </si>
  <si>
    <t>°</t>
  </si>
  <si>
    <t>CARACOLI I</t>
  </si>
  <si>
    <t>GUAYEPO</t>
  </si>
  <si>
    <t>GUAYEPO III</t>
  </si>
  <si>
    <t>PARQUE SOLAR LA UNION</t>
  </si>
  <si>
    <t>PARQUE SOLAR PUERTA DE ORO</t>
  </si>
  <si>
    <t>PARQUE SOLAR TEPUY</t>
  </si>
  <si>
    <t>EL PASO</t>
  </si>
  <si>
    <t>FUNDACION</t>
  </si>
  <si>
    <t>LATAM SOLAR LA LOMA</t>
  </si>
  <si>
    <t>SHANGRI LA</t>
  </si>
  <si>
    <t>LA MATA</t>
  </si>
  <si>
    <t>SUNNORTE</t>
  </si>
  <si>
    <t>3INX</t>
  </si>
  <si>
    <t>GYPO</t>
  </si>
  <si>
    <t>GYP3</t>
  </si>
  <si>
    <t>3IZ6</t>
  </si>
  <si>
    <t>PORO</t>
  </si>
  <si>
    <t>TPUY</t>
  </si>
  <si>
    <t>EPFV</t>
  </si>
  <si>
    <t>3HF5</t>
  </si>
  <si>
    <t>3DDT</t>
  </si>
  <si>
    <t>4YCF</t>
  </si>
  <si>
    <t>MATA</t>
  </si>
  <si>
    <t>3IQA</t>
  </si>
  <si>
    <t>rampa_sub_min</t>
  </si>
  <si>
    <t>rampa_baj_min</t>
  </si>
  <si>
    <t>Carga_sincronizante_frío</t>
  </si>
  <si>
    <t>Tiempo_calentamiento_frío</t>
  </si>
  <si>
    <t>Planta</t>
  </si>
  <si>
    <t>MW/min</t>
  </si>
  <si>
    <t>TERMOCENTRO 1</t>
  </si>
  <si>
    <t>Gas</t>
  </si>
  <si>
    <t>TERMOCENTRO CC</t>
  </si>
  <si>
    <t>TERMOCENTRO 2</t>
  </si>
  <si>
    <t>ACPM</t>
  </si>
  <si>
    <t>TERMOCENTRO 3</t>
  </si>
  <si>
    <t>TERMOSIERRA 1</t>
  </si>
  <si>
    <t>TERMOSIERRA CC</t>
  </si>
  <si>
    <t>TERMOSIERRA 2</t>
  </si>
  <si>
    <t>TERMOSIERRA 3</t>
  </si>
  <si>
    <t>BARRANQUILLA 3</t>
  </si>
  <si>
    <t>BARRANQUILLA 4</t>
  </si>
  <si>
    <t>FLORES 1 GAS</t>
  </si>
  <si>
    <t>FLORES I CC</t>
  </si>
  <si>
    <t>FLORES 1 VAPOR</t>
  </si>
  <si>
    <t>FLORES 2</t>
  </si>
  <si>
    <t>FLORES 4 CC</t>
  </si>
  <si>
    <t>FLORES 3</t>
  </si>
  <si>
    <t>FLORES 4</t>
  </si>
  <si>
    <t>TEBSA 11</t>
  </si>
  <si>
    <t>TEBSAB CC</t>
  </si>
  <si>
    <t>TEBSA 12</t>
  </si>
  <si>
    <t>TEBSA 13</t>
  </si>
  <si>
    <t>TEBSA 14</t>
  </si>
  <si>
    <t>TEBSA 21</t>
  </si>
  <si>
    <t>TEBSA 22</t>
  </si>
  <si>
    <t>TEBSA 24</t>
  </si>
  <si>
    <t>ZIPAEMG 2</t>
  </si>
  <si>
    <t>Carbón</t>
  </si>
  <si>
    <t>ZIPAEMG 3</t>
  </si>
  <si>
    <t>ZIPAEMG 4</t>
  </si>
  <si>
    <t>ZIPAEMG 5</t>
  </si>
  <si>
    <t>CARTAGENA 1</t>
  </si>
  <si>
    <t>Combustóleo</t>
  </si>
  <si>
    <t>CARTAGENA 2</t>
  </si>
  <si>
    <t>CARTAGENA 3</t>
  </si>
  <si>
    <t>PROELECTRICA 1</t>
  </si>
  <si>
    <t>PROELECTRICA 2</t>
  </si>
  <si>
    <t>TERMOCANDELARIA CC 1</t>
  </si>
  <si>
    <t>TERMOCANDELARIA CC</t>
  </si>
  <si>
    <t>TERMOCANDELARIA CC 2</t>
  </si>
  <si>
    <t>TERMOCANDELARIA CC 3</t>
  </si>
  <si>
    <t>TERMOCARIBE III 1</t>
  </si>
  <si>
    <t>GLP</t>
  </si>
  <si>
    <t>TERMOCARIBE III</t>
  </si>
  <si>
    <t>PAIPA 1</t>
  </si>
  <si>
    <t>PAIPA 2</t>
  </si>
  <si>
    <t>PAIPA 3</t>
  </si>
  <si>
    <t>PAIPA 4</t>
  </si>
  <si>
    <t>TERMOYOPAL 1</t>
  </si>
  <si>
    <t>TERMOYOPAL 2</t>
  </si>
  <si>
    <t>TERMOYOPAL G3</t>
  </si>
  <si>
    <t>TERMOYOPAL G4</t>
  </si>
  <si>
    <t>TERMOYOPAL G5</t>
  </si>
  <si>
    <t>VILLANUEVA 1</t>
  </si>
  <si>
    <t>Biomasa</t>
  </si>
  <si>
    <t>VILLANUEVA</t>
  </si>
  <si>
    <t>GECELCA 3</t>
  </si>
  <si>
    <t>GECELCA 32</t>
  </si>
  <si>
    <t>TESORITO 1</t>
  </si>
  <si>
    <t>TESORITO</t>
  </si>
  <si>
    <t>TESORITO 10</t>
  </si>
  <si>
    <t>TESORITO 11</t>
  </si>
  <si>
    <t>TESORITO 2</t>
  </si>
  <si>
    <t>TESORITO 3</t>
  </si>
  <si>
    <t>TESORITO 4</t>
  </si>
  <si>
    <t>TESORITO 5</t>
  </si>
  <si>
    <t>TESORITO 6</t>
  </si>
  <si>
    <t>TESORITO 7</t>
  </si>
  <si>
    <t>TESORITO 8</t>
  </si>
  <si>
    <t>TESORITO 9</t>
  </si>
  <si>
    <t>TERMODORADA 1</t>
  </si>
  <si>
    <t>GUAJIRA 1</t>
  </si>
  <si>
    <t>Mezcla Gas - Carbón</t>
  </si>
  <si>
    <t>GUAJIRA 2</t>
  </si>
  <si>
    <t>TERMONORTE 1</t>
  </si>
  <si>
    <t>TERMONORTE</t>
  </si>
  <si>
    <t>TERMONORTE 10</t>
  </si>
  <si>
    <t>TERMONORTE 2</t>
  </si>
  <si>
    <t>TERMONORTE 3</t>
  </si>
  <si>
    <t>TERMONORTE 4</t>
  </si>
  <si>
    <t>TERMONORTE 5</t>
  </si>
  <si>
    <t>TERMONORTE 6</t>
  </si>
  <si>
    <t>TERMONORTE 7</t>
  </si>
  <si>
    <t>TERMONORTE 8</t>
  </si>
  <si>
    <t>TERMONORTE 9</t>
  </si>
  <si>
    <t>TASAJERO 1</t>
  </si>
  <si>
    <t>TASAJERO 2</t>
  </si>
  <si>
    <t>MERILECTRICA 1</t>
  </si>
  <si>
    <t>TERMOEMCALI 1 GAS</t>
  </si>
  <si>
    <t>TERMOEMCALI CC</t>
  </si>
  <si>
    <t>TERMOEMCALI 1 VAPOR</t>
  </si>
  <si>
    <t>TERMOVALLE 1 GAS</t>
  </si>
  <si>
    <t>TERMOVALLE CC</t>
  </si>
  <si>
    <t>TERMOVALLE 1 VAPOR</t>
  </si>
  <si>
    <t>GUADALUPE III</t>
  </si>
  <si>
    <t>GUADALUPE IV</t>
  </si>
  <si>
    <t>JAGUAS</t>
  </si>
  <si>
    <t>LA TASAJERA</t>
  </si>
  <si>
    <t>PORCE II</t>
  </si>
  <si>
    <t>TRONERAS</t>
  </si>
  <si>
    <t>CHIVOR</t>
  </si>
  <si>
    <t>DARIO VALENCIA SAMPER</t>
  </si>
  <si>
    <t>LA GUACA</t>
  </si>
  <si>
    <t>PARAISO</t>
  </si>
  <si>
    <t>SALTO II</t>
  </si>
  <si>
    <t>TUNJITA</t>
  </si>
  <si>
    <t>AMOYA LA ESPERANZA</t>
  </si>
  <si>
    <t>ALTO ANCHICAYA</t>
  </si>
  <si>
    <t>BAJO ANCHICAYA</t>
  </si>
  <si>
    <t>PORTON DEL SOL</t>
  </si>
  <si>
    <t>3IRX</t>
  </si>
  <si>
    <t>0.15,0.30,0.45,0.60</t>
  </si>
  <si>
    <t>Clasificación</t>
  </si>
  <si>
    <t>GTRG</t>
  </si>
  <si>
    <t>PGUG</t>
  </si>
  <si>
    <t>ALBG</t>
  </si>
  <si>
    <t>Mm3</t>
  </si>
  <si>
    <t>fecha_inicio_simulacion</t>
  </si>
  <si>
    <t>fecha_fin_simulacion</t>
  </si>
  <si>
    <t>nombre_subarea</t>
  </si>
  <si>
    <t>Aportes - Aporte natural por embalse I(h,t)</t>
  </si>
  <si>
    <t>m3/s, dato diario de XM AporCaudal repartido uniformemente entre las 24 horas. El modelo convierte a Mm3 con k_q2v en el balance.</t>
  </si>
  <si>
    <t>PUNCHINA</t>
  </si>
  <si>
    <t>TOPOCORO</t>
  </si>
  <si>
    <t>PENOL</t>
  </si>
  <si>
    <t>AMANI</t>
  </si>
  <si>
    <t>RIOGRANDE2</t>
  </si>
  <si>
    <t>SAN LORENZO</t>
  </si>
  <si>
    <t>Nodos</t>
  </si>
  <si>
    <t>Lineas</t>
  </si>
  <si>
    <t>desde / hasta</t>
  </si>
  <si>
    <t>R, X</t>
  </si>
  <si>
    <t>capacidad línea</t>
  </si>
  <si>
    <t>planta</t>
  </si>
  <si>
    <t>Embalse</t>
  </si>
  <si>
    <t>clasificación</t>
  </si>
  <si>
    <t>Aporte de embalses; filo de agua no aplica</t>
  </si>
  <si>
    <t>Renov_Perfil</t>
  </si>
  <si>
    <t>BESS_Cand</t>
  </si>
  <si>
    <t>Ver Capitulo 5 del documento de la tesis de maestría</t>
  </si>
  <si>
    <t>FACTS_Cand</t>
  </si>
  <si>
    <t>Comentarios</t>
  </si>
  <si>
    <t>PARATEC_Subestaciones.xlsx</t>
  </si>
  <si>
    <t>PARATEC_Líneas.xlsx</t>
  </si>
  <si>
    <t>Se pasa a MWA a partir de la corriente nominal</t>
  </si>
  <si>
    <t>PARATEC_Ptérmica.xlsx -&gt; Ptérmica</t>
  </si>
  <si>
    <t>Gene.xlsx</t>
  </si>
  <si>
    <t xml:space="preserve">Se establece en cero </t>
  </si>
  <si>
    <t>STN es tensión nominal mayor o igual a 220 kV</t>
  </si>
  <si>
    <t>PARATEC_Detalle_Embalse.xlsx -&gt; Información_Técnica</t>
  </si>
  <si>
    <t>PARATEC_Phidráulica.xlsx -&gt; Phidráulica</t>
  </si>
  <si>
    <t>PARATEC_Detalle_Embalse.xlsx -&gt; Información_Técnica e Información_Básica / PARATEC_Phidráulica.xlsx / PARATEC_Chidraulicas.xlsx</t>
  </si>
  <si>
    <t>PARATEC_Uhidráulica.xlsx -&gt; Uhidráulica</t>
  </si>
  <si>
    <t>Capacidadefectiva.xlsx</t>
  </si>
  <si>
    <t>Pmin / eta</t>
  </si>
  <si>
    <t>Se establece en cero para las filo de agua y las que comparten cadena hidrico (ALBAN;GUATRON; PAGUA)</t>
  </si>
  <si>
    <t>/01_Data/02_Processed/Datos_hojas_excel_COL/18_nodos/04_Aportes -&gt; AporCaudal_Jul26.xlsx</t>
  </si>
  <si>
    <t>/01_Data/02_Processed/Datos_hojas_excel_COL/18_nodos/05_Renovables</t>
  </si>
  <si>
    <t>/01_Data/02_Processed/Datos_hojas_excel_COL/18_nodos/05_Renovables -&gt; Gene.xlsx</t>
  </si>
  <si>
    <t>GUATRON</t>
  </si>
  <si>
    <t>PAGUA</t>
  </si>
  <si>
    <t>Vol/Capa</t>
  </si>
  <si>
    <t>embalse</t>
  </si>
  <si>
    <t>ESMERALDA (CQR)</t>
  </si>
  <si>
    <t>Filtros de Modo de operación "Desapacho centralmente" y Estado "Operación"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</si>
</sst>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i/>
      <sz val="10"/>
      <color rgb="FF808080"/>
      <name val="Calibri"/>
      <family val="2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  <font>
      <sz val="11"/>
      <color rgb="FF0000FF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</font>
    <font>
      <i/>
      <sz val="10"/>
      <color rgb="FF0000FF"/>
      <name val="Calibri"/>
      <family val="2"/>
    </font>
    <font>
      <i/>
      <sz val="10"/>
      <color theme="5" tint="-0.249977111117893"/>
      <name val="Calibri"/>
      <family val="2"/>
    </font>
    <font>
      <i/>
      <sz val="10"/>
      <color rgb="FF1F4E78"/>
      <name val="Calibri"/>
      <family val="2"/>
    </font>
    <font>
      <i/>
      <sz val="10"/>
      <color theme="0" tint="-0.499984740745262"/>
      <name val="Calibri"/>
      <family val="2"/>
    </font>
    <font>
      <i/>
      <sz val="9"/>
      <color rgb="FFFF0000"/>
      <name val="Calibri"/>
      <family val="2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4" fillId="4" borderId="0" applyNumberFormat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4" fontId="5" fillId="0" borderId="1" xfId="2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3"/>
    </xf>
    <xf numFmtId="0" fontId="8" fillId="0" borderId="2" xfId="0" applyFont="1" applyBorder="1" applyAlignment="1">
      <alignment horizontal="left" vertical="center" indent="3"/>
    </xf>
    <xf numFmtId="0" fontId="8" fillId="0" borderId="3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2" fontId="14" fillId="4" borderId="1" xfId="3" applyNumberFormat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0" fontId="14" fillId="4" borderId="0" xfId="3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14" fillId="4" borderId="1" xfId="3" applyNumberFormat="1" applyBorder="1" applyAlignment="1">
      <alignment horizontal="center" vertical="center"/>
    </xf>
  </cellXfs>
  <cellStyles count="4">
    <cellStyle name="Comma" xfId="1" builtinId="3"/>
    <cellStyle name="Currency" xfId="2" builtinId="4"/>
    <cellStyle name="Neutral" xfId="3" builtinId="28"/>
    <cellStyle name="Normal" xfId="0" builtinId="0"/>
  </cellStyles>
  <dxfs count="0"/>
  <tableStyles count="0" defaultTableStyle="TableStyleMedium9" defaultPivotStyle="PivotStyleLight16"/>
  <colors>
    <mruColors>
      <color rgb="FF1F4E78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5_Renovables\generadores_18nodos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5_Renovables/generadores_18nodos.xlsx?C9AFD91B" TargetMode="External"/><Relationship Id="rId1" Type="http://schemas.openxmlformats.org/officeDocument/2006/relationships/externalLinkPath" Target="file:///\\C9AFD91B\generadores_18nodos.xlsx" TargetMode="External"/><Relationship Id="rId4" Type="http://schemas.openxmlformats.org/officeDocument/2006/relationships/externalLinkPath" Target="../02_Processed/Datos_hojas_excel_COL/18_nodos/05_Renovables/generadores_18nodo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cidadefectiva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Capacidadefectiva.xlsx?F99E7708" TargetMode="External"/><Relationship Id="rId1" Type="http://schemas.openxmlformats.org/officeDocument/2006/relationships/externalLinkPath" Target="file:///\\F99E7708\Capacidadefectiva.xlsx" TargetMode="External"/><Relationship Id="rId4" Type="http://schemas.openxmlformats.org/officeDocument/2006/relationships/externalLinkPath" Target="../02_Processed/Datos_hojas_excel_COL/18_nodos/03_Hidraulicos/Capacidadefectiva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Phidr&#225;ulica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PARATEC_Phidr&#225;ulica.xlsx?F99E7708" TargetMode="External"/><Relationship Id="rId1" Type="http://schemas.openxmlformats.org/officeDocument/2006/relationships/externalLinkPath" Target="file:///\\F99E7708\PARATEC_Phidr&#225;ulica.xlsx" TargetMode="External"/><Relationship Id="rId4" Type="http://schemas.openxmlformats.org/officeDocument/2006/relationships/externalLinkPath" Target="../02_Processed/Datos_hojas_excel_COL/18_nodos/03_Hidraulicos/PARATEC_Phidr&#225;ulica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Detalle_Embalse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PARATEC_Detalle_Embalse.xlsx?F99E7708" TargetMode="External"/><Relationship Id="rId1" Type="http://schemas.openxmlformats.org/officeDocument/2006/relationships/externalLinkPath" Target="file:///\\F99E7708\PARATEC_Detalle_Embalse.xlsx" TargetMode="External"/><Relationship Id="rId4" Type="http://schemas.openxmlformats.org/officeDocument/2006/relationships/externalLinkPath" Target="../02_Processed/Datos_hojas_excel_COL/18_nodos/03_Hidraulicos/PARATEC_Detalle_Embalse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PrecOferDesp_Jul26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PrecOferDesp_Jul26.xlsx?0DAB92E7" TargetMode="External"/><Relationship Id="rId1" Type="http://schemas.openxmlformats.org/officeDocument/2006/relationships/externalLinkPath" Target="file:///\\0DAB92E7\PrecOferDesp_Jul26.xlsx" TargetMode="External"/><Relationship Id="rId4" Type="http://schemas.openxmlformats.org/officeDocument/2006/relationships/externalLinkPath" Target="../02_Processed/Datos_hojas_excel_COL/18_nodos/PrecOferDesp_Jul26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generadores_18nodos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generadores_18nodos.xlsx?D3E2C8F4" TargetMode="External"/><Relationship Id="rId1" Type="http://schemas.openxmlformats.org/officeDocument/2006/relationships/externalLinkPath" Target="file:///\\D3E2C8F4\generadores_18nodos.xlsx" TargetMode="External"/><Relationship Id="rId4" Type="http://schemas.openxmlformats.org/officeDocument/2006/relationships/externalLinkPath" Target="../02_Processed/Datos_hojas_excel_COL/18_nodos/generadores_18no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Inventario_Columnas"/>
      <sheetName val="Generadores"/>
      <sheetName val="Térmica"/>
      <sheetName val="Hidraulica_01"/>
      <sheetName val="Hidraulica_02"/>
      <sheetName val="Hidraulica_03"/>
      <sheetName val="Demanda_Real"/>
      <sheetName val="Demanda_OR"/>
      <sheetName val="Renovables"/>
      <sheetName val="Renovables_traz"/>
      <sheetName val="Detalle_Unidades"/>
      <sheetName val="Auditoria_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EPFV</v>
          </cell>
          <cell r="B2" t="str">
            <v>EL PASO</v>
          </cell>
        </row>
        <row r="3">
          <cell r="B3" t="str">
            <v>AUTOG CELSIA SOLAR ESPINAL</v>
          </cell>
          <cell r="F3" t="str">
            <v>AUTOG CELSIA SOLAR ESPINAL</v>
          </cell>
        </row>
        <row r="4">
          <cell r="B4" t="str">
            <v>TRINA-VATIA BSLI</v>
          </cell>
          <cell r="F4" t="str">
            <v>TRINA-VATIA BSLI</v>
          </cell>
        </row>
        <row r="5">
          <cell r="B5" t="str">
            <v>TRINA-VATIA BSLII</v>
          </cell>
          <cell r="F5" t="str">
            <v>TRINA-VATIA BSLII</v>
          </cell>
        </row>
        <row r="6">
          <cell r="B6" t="str">
            <v>TRINA-VATIA BSLIII</v>
          </cell>
          <cell r="F6" t="str">
            <v>TRINA-VATIA BSLIII</v>
          </cell>
        </row>
        <row r="7">
          <cell r="B7" t="str">
            <v>PLANTA SOLAR BAYUNCA I</v>
          </cell>
          <cell r="F7" t="str">
            <v>PLANTA SOLAR BAYUNCA I</v>
          </cell>
        </row>
        <row r="8">
          <cell r="A8" t="str">
            <v>3DDT</v>
          </cell>
          <cell r="B8" t="str">
            <v>LATAM SOLAR LA LOMA</v>
          </cell>
          <cell r="F8" t="str">
            <v>LATAM SOLAR LA LOMA</v>
          </cell>
        </row>
        <row r="9">
          <cell r="B9" t="str">
            <v>GRANJA SOLAR BELMONTE</v>
          </cell>
          <cell r="F9" t="str">
            <v>GRANJA SOLAR BELMONTE</v>
          </cell>
        </row>
        <row r="10">
          <cell r="B10" t="str">
            <v>LA SIERPE</v>
          </cell>
          <cell r="F10" t="str">
            <v>LA SIERPE</v>
          </cell>
        </row>
        <row r="11">
          <cell r="B11" t="str">
            <v>CELSIA SOLAR LA PAILA</v>
          </cell>
          <cell r="F11" t="str">
            <v>CELSIA SOLAR LA PAILA</v>
          </cell>
        </row>
        <row r="12">
          <cell r="B12" t="str">
            <v>CELSIA SOLAR BOLIVAR</v>
          </cell>
          <cell r="F12" t="str">
            <v>CELSIA SOLAR BOLIVAR</v>
          </cell>
        </row>
        <row r="13">
          <cell r="B13" t="str">
            <v>CELSIA SOLAR CARMELO</v>
          </cell>
          <cell r="F13" t="str">
            <v>CELSIA SOLAR CARMELO</v>
          </cell>
        </row>
        <row r="14">
          <cell r="B14" t="str">
            <v>AUTOG CELSIA SOLAR YUMBO</v>
          </cell>
          <cell r="F14" t="str">
            <v>AUTOG CELSIA SOLAR YUMBO</v>
          </cell>
        </row>
        <row r="15">
          <cell r="B15" t="str">
            <v>GY SOLAR AURORA</v>
          </cell>
          <cell r="F15" t="str">
            <v>GY SOLAR AURORA</v>
          </cell>
        </row>
        <row r="16">
          <cell r="B16" t="str">
            <v>HELIOS I</v>
          </cell>
          <cell r="F16" t="str">
            <v>HELIOS I</v>
          </cell>
        </row>
        <row r="17">
          <cell r="B17" t="str">
            <v>AUTOG PINTUCO</v>
          </cell>
          <cell r="F17" t="str">
            <v>AUTOG PINTUCO</v>
          </cell>
        </row>
        <row r="18">
          <cell r="B18" t="str">
            <v>AUTOG CI JEANS</v>
          </cell>
          <cell r="F18" t="str">
            <v>AUTOG CI JEANS</v>
          </cell>
        </row>
        <row r="19">
          <cell r="B19" t="str">
            <v>AUTOG CELSIA SOLAR LEVAPAN</v>
          </cell>
          <cell r="F19" t="str">
            <v>AUTOG CELSIA SOLAR LEVAPAN</v>
          </cell>
        </row>
        <row r="20">
          <cell r="B20" t="str">
            <v>GR PARQUE SOLAR TUCANES</v>
          </cell>
          <cell r="F20" t="str">
            <v>GR PARQUE SOLAR TUCANES</v>
          </cell>
        </row>
        <row r="21">
          <cell r="B21" t="str">
            <v>BOSQUES SOLARES DE LOS LLANOS 4</v>
          </cell>
          <cell r="F21" t="str">
            <v>BOSQUES SOLARES DE LOS LLANOS 4</v>
          </cell>
        </row>
        <row r="22">
          <cell r="B22" t="str">
            <v>BOSQUES SOLARES DE LOS LLANOS 5</v>
          </cell>
          <cell r="F22" t="str">
            <v>BOSQUES SOLARES DE LOS LLANOS 5</v>
          </cell>
        </row>
        <row r="23">
          <cell r="B23" t="str">
            <v>SINCE</v>
          </cell>
          <cell r="F23" t="str">
            <v>SINCE</v>
          </cell>
        </row>
        <row r="24">
          <cell r="B24" t="str">
            <v>AUTOG CELSIA SOLAR HARINAS</v>
          </cell>
          <cell r="F24" t="str">
            <v>AUTOG CELSIA SOLAR HARINAS</v>
          </cell>
        </row>
        <row r="25">
          <cell r="B25" t="str">
            <v>LA MEDINA</v>
          </cell>
          <cell r="F25" t="str">
            <v>LA MEDINA</v>
          </cell>
        </row>
        <row r="26">
          <cell r="B26" t="str">
            <v>LOS CABALLEROS</v>
          </cell>
          <cell r="F26" t="str">
            <v>LOS CABALLEROS</v>
          </cell>
        </row>
        <row r="27">
          <cell r="B27" t="str">
            <v>CERRITOS</v>
          </cell>
          <cell r="F27" t="str">
            <v>CERRITOS</v>
          </cell>
        </row>
        <row r="28">
          <cell r="B28" t="str">
            <v>LA TOLUA</v>
          </cell>
          <cell r="F28" t="str">
            <v>LA TOLUA</v>
          </cell>
        </row>
        <row r="29">
          <cell r="B29" t="str">
            <v>TIERRA LINDA</v>
          </cell>
          <cell r="F29" t="str">
            <v>TIERRA LINDA</v>
          </cell>
        </row>
        <row r="30">
          <cell r="A30" t="str">
            <v>GYPO</v>
          </cell>
          <cell r="B30" t="str">
            <v>GUAYEPO</v>
          </cell>
          <cell r="F30" t="str">
            <v>GUAYEPO</v>
          </cell>
        </row>
        <row r="31">
          <cell r="B31" t="str">
            <v>TERMOTASAJERO DOS SOLAR</v>
          </cell>
          <cell r="F31" t="str">
            <v>TERMOTASAJERO DOS SOLAR</v>
          </cell>
        </row>
        <row r="32">
          <cell r="B32" t="str">
            <v>GRANJA SOLAR EL SALADO</v>
          </cell>
          <cell r="F32" t="str">
            <v>GRANJA SOLAR EL SALADO</v>
          </cell>
        </row>
        <row r="33">
          <cell r="B33" t="str">
            <v>GRANJA SOLAR SAN FELIPE</v>
          </cell>
          <cell r="F33" t="str">
            <v>GRANJA SOLAR SAN FELIPE</v>
          </cell>
        </row>
        <row r="34">
          <cell r="B34" t="str">
            <v>GRANJA SOLAR LANCEROS</v>
          </cell>
          <cell r="F34" t="str">
            <v>GRANJA SOLAR LANCEROS</v>
          </cell>
        </row>
        <row r="35">
          <cell r="B35" t="str">
            <v>AUTOG CELSIA SOLAR PALMIRA 3</v>
          </cell>
          <cell r="F35" t="str">
            <v>AUTOG CELSIA SOLAR PALMIRA 3</v>
          </cell>
        </row>
        <row r="36">
          <cell r="B36" t="str">
            <v>MONTELIBANO</v>
          </cell>
          <cell r="F36" t="str">
            <v>MONTELIBANO</v>
          </cell>
        </row>
        <row r="37">
          <cell r="B37" t="str">
            <v>AUTOG BUGA I SOLLA</v>
          </cell>
          <cell r="F37" t="str">
            <v>AUTOG BUGA I SOLLA</v>
          </cell>
        </row>
        <row r="38">
          <cell r="B38" t="str">
            <v>AUTOG BUGA I GRASAS</v>
          </cell>
          <cell r="F38" t="str">
            <v>AUTOG BUGA I GRASAS</v>
          </cell>
        </row>
        <row r="39">
          <cell r="B39" t="str">
            <v>GRANJA SOLAR FLANDES</v>
          </cell>
          <cell r="F39" t="str">
            <v>GRANJA SOLAR FLANDES</v>
          </cell>
        </row>
        <row r="40">
          <cell r="B40" t="str">
            <v>CELSIA SOLAR DULIMA</v>
          </cell>
          <cell r="F40" t="str">
            <v>CELSIA SOLAR DULIMA</v>
          </cell>
        </row>
        <row r="41">
          <cell r="B41" t="str">
            <v>CELSIA SOLAR YUMA</v>
          </cell>
          <cell r="F41" t="str">
            <v>CELSIA SOLAR YUMA</v>
          </cell>
        </row>
        <row r="42">
          <cell r="A42" t="str">
            <v>3IQA</v>
          </cell>
          <cell r="B42" t="str">
            <v>SUNNORTE</v>
          </cell>
          <cell r="F42" t="str">
            <v>SUNNORTE</v>
          </cell>
        </row>
        <row r="43">
          <cell r="B43" t="str">
            <v>SOLAR PLANETA RICA</v>
          </cell>
          <cell r="F43" t="str">
            <v>SOLAR PLANETA RICA</v>
          </cell>
        </row>
        <row r="44">
          <cell r="A44" t="str">
            <v>3IZ6</v>
          </cell>
          <cell r="B44" t="str">
            <v>PARQUE SOLAR LA UNION</v>
          </cell>
          <cell r="F44" t="str">
            <v>PARQUE SOLAR LA UNION</v>
          </cell>
        </row>
        <row r="45">
          <cell r="A45" t="str">
            <v>MATA</v>
          </cell>
          <cell r="B45" t="str">
            <v>LA MATA</v>
          </cell>
          <cell r="F45" t="str">
            <v>LA MATA</v>
          </cell>
        </row>
        <row r="46">
          <cell r="B46" t="str">
            <v>AUTOG CELSIA SOLAR PALMIRA 3 ZONA FRANCA</v>
          </cell>
          <cell r="F46" t="str">
            <v>AUTOG CELSIA SOLAR PALMIRA 3 ZONA FRANCA</v>
          </cell>
        </row>
        <row r="47">
          <cell r="B47" t="str">
            <v>PETALO DEL MAGDALENA</v>
          </cell>
          <cell r="F47" t="str">
            <v>PETALO DEL MAGDALENA</v>
          </cell>
        </row>
        <row r="48">
          <cell r="B48" t="str">
            <v>CELSIA SOLAR LA VICTORIA I</v>
          </cell>
          <cell r="F48" t="str">
            <v>CELSIA SOLAR LA VICTORIA I</v>
          </cell>
        </row>
        <row r="49">
          <cell r="B49" t="str">
            <v>LOS GIRASOLES</v>
          </cell>
          <cell r="F49" t="str">
            <v>LOS GIRASOLES</v>
          </cell>
        </row>
        <row r="50">
          <cell r="B50" t="str">
            <v>CELSIA SOLAR LA VICTORIA II</v>
          </cell>
          <cell r="F50" t="str">
            <v>CELSIA SOLAR LA VICTORIA II</v>
          </cell>
        </row>
        <row r="51">
          <cell r="B51" t="str">
            <v>URUACO</v>
          </cell>
          <cell r="F51" t="str">
            <v>URUACO</v>
          </cell>
        </row>
        <row r="52">
          <cell r="A52" t="str">
            <v>3HF5</v>
          </cell>
          <cell r="B52" t="str">
            <v>FUNDACION</v>
          </cell>
          <cell r="F52" t="str">
            <v>FUNDACION</v>
          </cell>
        </row>
        <row r="53">
          <cell r="B53" t="str">
            <v>COMUNIDAD EL SALVADOR I</v>
          </cell>
          <cell r="F53" t="str">
            <v>COMUNIDAD EL SALVADOR I</v>
          </cell>
        </row>
        <row r="54">
          <cell r="B54" t="str">
            <v>COMUNIDAD EL SALVADOR II</v>
          </cell>
          <cell r="F54" t="str">
            <v>COMUNIDAD EL SALVADOR II</v>
          </cell>
        </row>
        <row r="55">
          <cell r="A55" t="str">
            <v>3IRX</v>
          </cell>
          <cell r="B55" t="str">
            <v>PORTON DEL SOL</v>
          </cell>
          <cell r="F55" t="str">
            <v>PORTON DEL SOL</v>
          </cell>
        </row>
        <row r="56">
          <cell r="B56" t="str">
            <v>BSB 500</v>
          </cell>
          <cell r="F56" t="str">
            <v>BSB 500</v>
          </cell>
        </row>
        <row r="57">
          <cell r="B57" t="str">
            <v>BSB 501</v>
          </cell>
          <cell r="F57" t="str">
            <v>BSB 501</v>
          </cell>
        </row>
        <row r="58">
          <cell r="B58" t="str">
            <v>BSB 503</v>
          </cell>
          <cell r="F58" t="str">
            <v>BSB 503</v>
          </cell>
        </row>
        <row r="59">
          <cell r="B59" t="str">
            <v>BSB 502</v>
          </cell>
          <cell r="F59" t="str">
            <v>BSB 502</v>
          </cell>
        </row>
        <row r="60">
          <cell r="B60" t="str">
            <v>BSB 504</v>
          </cell>
          <cell r="F60" t="str">
            <v>BSB 504</v>
          </cell>
        </row>
        <row r="61">
          <cell r="A61" t="str">
            <v>3INX</v>
          </cell>
          <cell r="B61" t="str">
            <v>CARACOLI I</v>
          </cell>
          <cell r="F61" t="str">
            <v>CARACOLI I</v>
          </cell>
        </row>
        <row r="62">
          <cell r="B62" t="str">
            <v>PARQUE SOLAR ARENAL</v>
          </cell>
          <cell r="F62" t="str">
            <v>PARQUE SOLAR ARENAL</v>
          </cell>
        </row>
        <row r="63">
          <cell r="B63" t="str">
            <v>PARQUE SOLAR DINAMARCA</v>
          </cell>
          <cell r="F63" t="str">
            <v>PARQUE SOLAR DINAMARCA</v>
          </cell>
        </row>
        <row r="64">
          <cell r="B64" t="str">
            <v>PARQUE SOLAR VERSALLES</v>
          </cell>
          <cell r="F64" t="str">
            <v>PARQUE SOLAR VERSALLES</v>
          </cell>
        </row>
        <row r="65">
          <cell r="B65" t="str">
            <v>PARQUE SOLAR LA MENA</v>
          </cell>
          <cell r="F65" t="str">
            <v>PARQUE SOLAR LA MENA</v>
          </cell>
        </row>
        <row r="66">
          <cell r="A66" t="str">
            <v>TPUY</v>
          </cell>
          <cell r="B66" t="str">
            <v>PARQUE SOLAR TEPUY</v>
          </cell>
          <cell r="F66" t="str">
            <v>PARQUE SOLAR TEPUY</v>
          </cell>
        </row>
        <row r="67">
          <cell r="B67" t="str">
            <v>PETALO DE CORDOBA II</v>
          </cell>
          <cell r="F67" t="str">
            <v>PETALO DE CORDOBA II</v>
          </cell>
        </row>
        <row r="68">
          <cell r="B68" t="str">
            <v>AUTOG SOLAR PALMIRA</v>
          </cell>
          <cell r="F68" t="str">
            <v>AUTOG SOLAR PALMIRA</v>
          </cell>
        </row>
        <row r="69">
          <cell r="B69" t="str">
            <v>CAIMAN CIENAGUERO</v>
          </cell>
          <cell r="F69" t="str">
            <v>CAIMAN CIENAGUERO</v>
          </cell>
        </row>
        <row r="70">
          <cell r="B70" t="str">
            <v>PARQUE SOLAR HONDA I</v>
          </cell>
          <cell r="F70" t="str">
            <v>PARQUE SOLAR HONDA I</v>
          </cell>
        </row>
        <row r="71">
          <cell r="B71" t="str">
            <v>PARQUE SOLAR HONDA II</v>
          </cell>
          <cell r="F71" t="str">
            <v>PARQUE SOLAR HONDA II</v>
          </cell>
        </row>
        <row r="72">
          <cell r="B72" t="str">
            <v>NUMBANA</v>
          </cell>
          <cell r="F72" t="str">
            <v>NUMBANA</v>
          </cell>
        </row>
        <row r="73">
          <cell r="B73" t="str">
            <v>GUAMO</v>
          </cell>
          <cell r="F73" t="str">
            <v>GUAMO</v>
          </cell>
        </row>
        <row r="74">
          <cell r="B74" t="str">
            <v>AUTOG EL COPEY</v>
          </cell>
          <cell r="F74" t="str">
            <v>AUTOG EL COPEY</v>
          </cell>
        </row>
        <row r="75">
          <cell r="B75" t="str">
            <v>LA NENERA</v>
          </cell>
          <cell r="F75" t="str">
            <v>LA NENERA</v>
          </cell>
        </row>
        <row r="76">
          <cell r="B76" t="str">
            <v>CELSIA SOLAR BUGALAGRANDE</v>
          </cell>
          <cell r="F76" t="str">
            <v>CELSIA SOLAR BUGALAGRANDE</v>
          </cell>
        </row>
        <row r="77">
          <cell r="B77" t="str">
            <v>AUTOG SOLAR AYACUCHO</v>
          </cell>
          <cell r="F77" t="str">
            <v>AUTOG SOLAR AYACUCHO</v>
          </cell>
        </row>
        <row r="78">
          <cell r="B78" t="str">
            <v>AUTOG SOLAR VASCONIA</v>
          </cell>
          <cell r="F78" t="str">
            <v>AUTOG SOLAR VASCONIA</v>
          </cell>
        </row>
        <row r="79">
          <cell r="B79" t="str">
            <v>SOL Y CIELO I</v>
          </cell>
          <cell r="F79" t="str">
            <v>SOL Y CIELO I</v>
          </cell>
        </row>
        <row r="80">
          <cell r="B80" t="str">
            <v>JEQUES</v>
          </cell>
          <cell r="F80" t="str">
            <v>JEQUES</v>
          </cell>
        </row>
        <row r="81">
          <cell r="B81" t="str">
            <v>MINIGRANJA SAN PEDRO</v>
          </cell>
          <cell r="F81" t="str">
            <v>MINIGRANJA SAN PEDRO</v>
          </cell>
        </row>
        <row r="82">
          <cell r="B82" t="str">
            <v>SOLAR ALEJANDRIA</v>
          </cell>
          <cell r="F82" t="str">
            <v>SOLAR ALEJANDRIA</v>
          </cell>
        </row>
        <row r="83">
          <cell r="B83" t="str">
            <v>BARAYA</v>
          </cell>
          <cell r="F83" t="str">
            <v>BARAYA</v>
          </cell>
        </row>
        <row r="84">
          <cell r="B84" t="str">
            <v>CONDOR</v>
          </cell>
          <cell r="F84" t="str">
            <v>CONDOR</v>
          </cell>
        </row>
        <row r="85">
          <cell r="B85" t="str">
            <v>CANAHUATE</v>
          </cell>
          <cell r="F85" t="str">
            <v>CANAHUATE</v>
          </cell>
        </row>
        <row r="86">
          <cell r="B86" t="str">
            <v>GANDALF</v>
          </cell>
          <cell r="F86" t="str">
            <v>GANDALF</v>
          </cell>
        </row>
        <row r="87">
          <cell r="B87" t="str">
            <v>GD BASILICA</v>
          </cell>
          <cell r="F87" t="str">
            <v>GD BASILICA</v>
          </cell>
        </row>
        <row r="88">
          <cell r="B88" t="str">
            <v>GD ALFEREZ</v>
          </cell>
          <cell r="F88" t="str">
            <v>GD ALFEREZ</v>
          </cell>
        </row>
        <row r="89">
          <cell r="B89" t="str">
            <v>GD LA HONDA</v>
          </cell>
          <cell r="F89" t="str">
            <v>GD LA HONDA</v>
          </cell>
        </row>
        <row r="90">
          <cell r="B90" t="str">
            <v>GD LA URIBE</v>
          </cell>
          <cell r="F90" t="str">
            <v>GD LA URIBE</v>
          </cell>
        </row>
        <row r="91">
          <cell r="B91" t="str">
            <v>GD CHIMBI</v>
          </cell>
          <cell r="F91" t="str">
            <v>GD CHIMBI</v>
          </cell>
        </row>
        <row r="92">
          <cell r="B92" t="str">
            <v>GD EL BANCO</v>
          </cell>
          <cell r="F92" t="str">
            <v>GD EL BANCO</v>
          </cell>
        </row>
        <row r="93">
          <cell r="B93" t="str">
            <v>GD LOS CHORROS</v>
          </cell>
          <cell r="F93" t="str">
            <v>GD LOS CHORROS</v>
          </cell>
        </row>
        <row r="94">
          <cell r="B94" t="str">
            <v>GD CHICORAL</v>
          </cell>
          <cell r="F94" t="str">
            <v>GD CHICORAL</v>
          </cell>
        </row>
        <row r="95">
          <cell r="B95" t="str">
            <v>GD PALERMO</v>
          </cell>
          <cell r="F95" t="str">
            <v>GD PALERMO</v>
          </cell>
        </row>
        <row r="96">
          <cell r="B96" t="str">
            <v>LA INGLESA</v>
          </cell>
          <cell r="F96" t="str">
            <v>LA INGLESA</v>
          </cell>
        </row>
        <row r="97">
          <cell r="B97" t="str">
            <v>BUENAVISTA</v>
          </cell>
          <cell r="F97" t="str">
            <v>BUENAVISTA</v>
          </cell>
        </row>
        <row r="98">
          <cell r="B98" t="str">
            <v>CELSIA SOLAR ALUMINA</v>
          </cell>
          <cell r="F98" t="str">
            <v>CELSIA SOLAR ALUMINA</v>
          </cell>
        </row>
        <row r="99">
          <cell r="B99" t="str">
            <v>SOLAR OLD T</v>
          </cell>
          <cell r="F99" t="str">
            <v>SOLAR OLD T</v>
          </cell>
        </row>
        <row r="100">
          <cell r="B100" t="str">
            <v>ROVIRA</v>
          </cell>
          <cell r="F100" t="str">
            <v>ROVIRA</v>
          </cell>
        </row>
        <row r="101">
          <cell r="B101" t="str">
            <v>AUTOG BIOS CONTEGRAL NEIVA</v>
          </cell>
          <cell r="F101" t="str">
            <v>AUTOG BIOS CONTEGRAL NEIVA</v>
          </cell>
        </row>
        <row r="102">
          <cell r="B102" t="str">
            <v>AUTOG BIOS CONTEGRAL CARTAGO</v>
          </cell>
          <cell r="F102" t="str">
            <v>AUTOG BIOS CONTEGRAL CARTAGO</v>
          </cell>
        </row>
        <row r="103">
          <cell r="B103" t="str">
            <v>AUTOG BIOS CIENAGA ORO</v>
          </cell>
          <cell r="F103" t="str">
            <v>AUTOG BIOS CIENAGA ORO</v>
          </cell>
        </row>
        <row r="104">
          <cell r="B104" t="str">
            <v>MINIGRANJA EL MOLINO</v>
          </cell>
          <cell r="F104" t="str">
            <v>MINIGRANJA EL MOLINO</v>
          </cell>
        </row>
        <row r="105">
          <cell r="B105" t="str">
            <v>MINIGRANJA LA PAZ VALLENATA</v>
          </cell>
          <cell r="F105" t="str">
            <v>MINIGRANJA LA PAZ VALLENATA</v>
          </cell>
        </row>
        <row r="106">
          <cell r="B106" t="str">
            <v>CELSIA SOLAR PUERTO TEJADA</v>
          </cell>
          <cell r="F106" t="str">
            <v>CELSIA SOLAR PUERTO TEJADA</v>
          </cell>
        </row>
        <row r="107">
          <cell r="B107" t="str">
            <v>JUMI</v>
          </cell>
          <cell r="F107" t="str">
            <v>JUMI</v>
          </cell>
        </row>
        <row r="108">
          <cell r="B108" t="str">
            <v>AUTOG UNIMINAS</v>
          </cell>
          <cell r="F108" t="str">
            <v>AUTOG UNIMINAS</v>
          </cell>
        </row>
        <row r="109">
          <cell r="B109" t="str">
            <v>AUTOG MILPA SAN CARLOS</v>
          </cell>
          <cell r="F109" t="str">
            <v>AUTOG MILPA SAN CARLOS</v>
          </cell>
        </row>
        <row r="110">
          <cell r="B110" t="str">
            <v>GD NAOS I</v>
          </cell>
          <cell r="F110" t="str">
            <v>GD NAOS I</v>
          </cell>
        </row>
        <row r="111">
          <cell r="B111" t="str">
            <v>GD ERCO TOLDADO</v>
          </cell>
          <cell r="F111" t="str">
            <v>GD ERCO TOLDADO</v>
          </cell>
        </row>
        <row r="112">
          <cell r="B112" t="str">
            <v>AUTOG BIOS FINCA BUGA</v>
          </cell>
          <cell r="F112" t="str">
            <v>AUTOG BIOS FINCA BUGA</v>
          </cell>
        </row>
        <row r="113">
          <cell r="B113" t="str">
            <v>GD ERCO SALDANA I</v>
          </cell>
          <cell r="F113" t="str">
            <v>GD ERCO SALDANA I</v>
          </cell>
        </row>
        <row r="114">
          <cell r="B114" t="str">
            <v>GD ERCO SALDANA II</v>
          </cell>
          <cell r="F114" t="str">
            <v>GD ERCO SALDANA II</v>
          </cell>
        </row>
        <row r="115">
          <cell r="B115" t="str">
            <v>ZAMBRANO II</v>
          </cell>
          <cell r="F115" t="str">
            <v>ZAMBRANO II</v>
          </cell>
        </row>
        <row r="116">
          <cell r="B116" t="str">
            <v>GD FINCA JM</v>
          </cell>
          <cell r="F116" t="str">
            <v>GD FINCA JM</v>
          </cell>
        </row>
        <row r="117">
          <cell r="B117" t="str">
            <v>GD FINCA ISABEL LOPEZ</v>
          </cell>
          <cell r="F117" t="str">
            <v>GD FINCA ISABEL LOPEZ</v>
          </cell>
        </row>
        <row r="118">
          <cell r="B118" t="str">
            <v>ROKRA</v>
          </cell>
          <cell r="F118" t="str">
            <v>ROKRA</v>
          </cell>
        </row>
        <row r="119">
          <cell r="B119" t="str">
            <v>CENTRO SOLAR</v>
          </cell>
          <cell r="F119" t="str">
            <v>CENTRO SOLAR</v>
          </cell>
        </row>
        <row r="120">
          <cell r="B120" t="str">
            <v>SOL DEL MAR II</v>
          </cell>
          <cell r="F120" t="str">
            <v>SOL DEL MAR II</v>
          </cell>
        </row>
        <row r="121">
          <cell r="B121" t="str">
            <v>ECOPARQUE SOLAR LA CIRA</v>
          </cell>
          <cell r="F121" t="str">
            <v>ECOPARQUE SOLAR LA CIRA</v>
          </cell>
        </row>
        <row r="122">
          <cell r="B122" t="str">
            <v>MINIGRANJA LA PAZ ESMERALDA</v>
          </cell>
          <cell r="F122" t="str">
            <v>MINIGRANJA LA PAZ ESMERALDA</v>
          </cell>
        </row>
        <row r="123">
          <cell r="B123" t="str">
            <v>MINIGRANJA LA PAZ VERSO</v>
          </cell>
          <cell r="F123" t="str">
            <v>MINIGRANJA LA PAZ VERSO</v>
          </cell>
        </row>
        <row r="124">
          <cell r="B124" t="str">
            <v>AUTOG SOLAR PALMIRA II BERRY</v>
          </cell>
          <cell r="F124" t="str">
            <v>AUTOG SOLAR PALMIRA II BERRY</v>
          </cell>
        </row>
        <row r="125">
          <cell r="B125" t="str">
            <v>MINIGRANJA LA PAZ LEYENDA</v>
          </cell>
          <cell r="F125" t="str">
            <v>MINIGRANJA LA PAZ LEYENDA</v>
          </cell>
        </row>
        <row r="126">
          <cell r="B126" t="str">
            <v>GD EL ROBLE</v>
          </cell>
          <cell r="F126" t="str">
            <v>GD EL ROBLE</v>
          </cell>
        </row>
        <row r="127">
          <cell r="B127" t="str">
            <v>AUTOG CELSIA SOLAR TQ JAMUNDI</v>
          </cell>
          <cell r="F127" t="str">
            <v>AUTOG CELSIA SOLAR TQ JAMUNDI</v>
          </cell>
        </row>
        <row r="128">
          <cell r="B128" t="str">
            <v>GD BOCAS DEL PALO</v>
          </cell>
          <cell r="F128" t="str">
            <v>GD BOCAS DEL PALO</v>
          </cell>
        </row>
        <row r="129">
          <cell r="B129" t="str">
            <v>LA PAZ</v>
          </cell>
          <cell r="F129" t="str">
            <v>LA PAZ</v>
          </cell>
        </row>
        <row r="130">
          <cell r="B130" t="str">
            <v>GRANJA SOLAR ASTURIAS</v>
          </cell>
          <cell r="F130" t="str">
            <v>GRANJA SOLAR ASTURIAS</v>
          </cell>
        </row>
        <row r="131">
          <cell r="B131" t="str">
            <v>SOL DE ZAWADY</v>
          </cell>
          <cell r="F131" t="str">
            <v>SOL DE ZAWADY</v>
          </cell>
        </row>
        <row r="132">
          <cell r="B132" t="str">
            <v>GD ERCO GUAMO I</v>
          </cell>
          <cell r="F132" t="str">
            <v>GD ERCO GUAMO I</v>
          </cell>
        </row>
        <row r="133">
          <cell r="B133" t="str">
            <v>GD ERCO GUAMO II</v>
          </cell>
          <cell r="F133" t="str">
            <v>GD ERCO GUAMO II</v>
          </cell>
        </row>
        <row r="134">
          <cell r="B134" t="str">
            <v>GD ERCO GUAMO III</v>
          </cell>
          <cell r="F134" t="str">
            <v>GD ERCO GUAMO III</v>
          </cell>
        </row>
        <row r="135">
          <cell r="B135" t="str">
            <v>GD ERCO GUAMO IV</v>
          </cell>
          <cell r="F135" t="str">
            <v>GD ERCO GUAMO IV</v>
          </cell>
        </row>
        <row r="136">
          <cell r="B136" t="str">
            <v>AUTOG HIDROSOLAR I</v>
          </cell>
          <cell r="F136" t="str">
            <v>AUTOG HIDROSOLAR I</v>
          </cell>
        </row>
        <row r="137">
          <cell r="B137" t="str">
            <v>PARQUE SOLAR BARANOA</v>
          </cell>
          <cell r="F137" t="str">
            <v>PARQUE SOLAR BARANOA</v>
          </cell>
        </row>
        <row r="138">
          <cell r="B138" t="str">
            <v>SOLAR PN I</v>
          </cell>
          <cell r="F138" t="str">
            <v>SOLAR PN I</v>
          </cell>
        </row>
        <row r="139">
          <cell r="B139" t="str">
            <v>MINIGRANJA VILLANUEVA</v>
          </cell>
          <cell r="F139" t="str">
            <v>MINIGRANJA VILLANUEVA</v>
          </cell>
        </row>
        <row r="140">
          <cell r="B140" t="str">
            <v>GD ERCO MARIANGOLA</v>
          </cell>
          <cell r="F140" t="str">
            <v>GD ERCO MARIANGOLA</v>
          </cell>
        </row>
        <row r="141">
          <cell r="B141" t="str">
            <v>MINIGRANJA EL MERENGUE</v>
          </cell>
          <cell r="F141" t="str">
            <v>MINIGRANJA EL MERENGUE</v>
          </cell>
        </row>
        <row r="142">
          <cell r="B142" t="str">
            <v>GD DIOCESIS DE RIOHACHA</v>
          </cell>
          <cell r="F142" t="str">
            <v>GD DIOCESIS DE RIOHACHA</v>
          </cell>
        </row>
        <row r="143">
          <cell r="B143" t="str">
            <v>SOL Y CIELO III</v>
          </cell>
          <cell r="F143" t="str">
            <v>SOL Y CIELO III</v>
          </cell>
        </row>
        <row r="144">
          <cell r="B144" t="str">
            <v>SOL Y CIELO IV</v>
          </cell>
          <cell r="F144" t="str">
            <v>SOL Y CIELO IV</v>
          </cell>
        </row>
        <row r="145">
          <cell r="B145" t="str">
            <v>SOL Y CIELO II</v>
          </cell>
          <cell r="F145" t="str">
            <v>SOL Y CIELO II</v>
          </cell>
        </row>
        <row r="146">
          <cell r="B146" t="str">
            <v>MINIGRANJA EL SON</v>
          </cell>
          <cell r="F146" t="str">
            <v>MINIGRANJA EL SON</v>
          </cell>
        </row>
        <row r="147">
          <cell r="B147" t="str">
            <v>MINIGRANJA LA PUYA</v>
          </cell>
          <cell r="F147" t="str">
            <v>MINIGRANJA LA PUYA</v>
          </cell>
        </row>
        <row r="148">
          <cell r="B148" t="str">
            <v>PARQUE SOLAR URRA</v>
          </cell>
          <cell r="F148" t="str">
            <v>PARQUE SOLAR URRA</v>
          </cell>
        </row>
        <row r="149">
          <cell r="B149" t="str">
            <v>LA MARTINA</v>
          </cell>
          <cell r="F149" t="str">
            <v>LA MARTINA</v>
          </cell>
        </row>
        <row r="150">
          <cell r="B150" t="str">
            <v>SOL Y CIELO V</v>
          </cell>
          <cell r="F150" t="str">
            <v>SOL Y CIELO V</v>
          </cell>
        </row>
        <row r="151">
          <cell r="B151" t="str">
            <v>GD NAOS II</v>
          </cell>
          <cell r="F151" t="str">
            <v>GD NAOS II</v>
          </cell>
        </row>
        <row r="152">
          <cell r="B152" t="str">
            <v>AUTOG PALMERAS DE LA COSTA</v>
          </cell>
          <cell r="F152" t="str">
            <v>AUTOG PALMERAS DE LA COSTA</v>
          </cell>
        </row>
        <row r="153">
          <cell r="A153" t="str">
            <v>4YCF</v>
          </cell>
          <cell r="B153" t="str">
            <v>SHANGRI LA</v>
          </cell>
          <cell r="F153" t="str">
            <v>SHANGRI LA</v>
          </cell>
        </row>
        <row r="154">
          <cell r="B154" t="str">
            <v>MINIGRANJA SAN DIEGO SUR</v>
          </cell>
          <cell r="F154" t="str">
            <v>MINIGRANJA SAN DIEGO SUR</v>
          </cell>
        </row>
        <row r="155">
          <cell r="B155" t="str">
            <v>MINIGRANJA EL COPEY OCCIDENTE</v>
          </cell>
          <cell r="F155" t="str">
            <v>MINIGRANJA EL COPEY OCCIDENTE</v>
          </cell>
        </row>
        <row r="156">
          <cell r="B156" t="str">
            <v>MINIGRANJA LA RESERVA</v>
          </cell>
          <cell r="F156" t="str">
            <v>MINIGRANJA LA RESERVA</v>
          </cell>
        </row>
        <row r="157">
          <cell r="B157" t="str">
            <v>MINIGRANJA EL OLIMPO</v>
          </cell>
          <cell r="F157" t="str">
            <v>MINIGRANJA EL OLIMPO</v>
          </cell>
        </row>
        <row r="158">
          <cell r="B158" t="str">
            <v>MINIGRANJA EL JOROPO</v>
          </cell>
          <cell r="F158" t="str">
            <v>MINIGRANJA EL JOROPO</v>
          </cell>
        </row>
        <row r="159">
          <cell r="B159" t="str">
            <v>SOLAR PALMASECA I</v>
          </cell>
          <cell r="F159" t="str">
            <v>SOLAR PALMASECA I</v>
          </cell>
        </row>
        <row r="160">
          <cell r="B160" t="str">
            <v>SOLAR PALMASECA II</v>
          </cell>
          <cell r="F160" t="str">
            <v>SOLAR PALMASECA II</v>
          </cell>
        </row>
        <row r="161">
          <cell r="B161" t="str">
            <v>PARQUE SOLAR SABANA</v>
          </cell>
          <cell r="F161" t="str">
            <v>PARQUE SOLAR SABANA</v>
          </cell>
        </row>
        <row r="162">
          <cell r="B162" t="str">
            <v>PETALO DEL NORTE DE SANTANDER I</v>
          </cell>
          <cell r="F162" t="str">
            <v>PETALO DEL NORTE DE SANTANDER I</v>
          </cell>
        </row>
        <row r="163">
          <cell r="B163" t="str">
            <v>MINIGRANJA IBIRICO</v>
          </cell>
          <cell r="F163" t="str">
            <v>MINIGRANJA IBIRICO</v>
          </cell>
        </row>
        <row r="164">
          <cell r="B164" t="str">
            <v>PARQUE SOLAR INTI I</v>
          </cell>
          <cell r="F164" t="str">
            <v>PARQUE SOLAR INTI I</v>
          </cell>
        </row>
        <row r="165">
          <cell r="B165" t="str">
            <v>SOLAR ARDOBELA I</v>
          </cell>
          <cell r="F165" t="str">
            <v>SOLAR ARDOBELA I</v>
          </cell>
        </row>
        <row r="166">
          <cell r="B166" t="str">
            <v>SOLAR ARDOBELA II</v>
          </cell>
          <cell r="F166" t="str">
            <v>SOLAR ARDOBELA II</v>
          </cell>
        </row>
        <row r="167">
          <cell r="B167" t="str">
            <v>CELSIA SOLAR ESCOBAL I</v>
          </cell>
          <cell r="F167" t="str">
            <v>CELSIA SOLAR ESCOBAL I</v>
          </cell>
        </row>
        <row r="168">
          <cell r="B168" t="str">
            <v>CELSIA SOLAR ESCOBAL II</v>
          </cell>
          <cell r="F168" t="str">
            <v>CELSIA SOLAR ESCOBAL II</v>
          </cell>
        </row>
        <row r="169">
          <cell r="B169" t="str">
            <v>CELSIA SOLAR ESCOBAL III</v>
          </cell>
          <cell r="F169" t="str">
            <v>CELSIA SOLAR ESCOBAL III</v>
          </cell>
        </row>
        <row r="170">
          <cell r="B170" t="str">
            <v>CELSIA SOLAR ESCOBAL IV</v>
          </cell>
          <cell r="F170" t="str">
            <v>CELSIA SOLAR ESCOBAL IV</v>
          </cell>
        </row>
        <row r="171">
          <cell r="B171" t="str">
            <v>CELSIA SOLAR ESCOBAL V</v>
          </cell>
          <cell r="F171" t="str">
            <v>CELSIA SOLAR ESCOBAL V</v>
          </cell>
        </row>
        <row r="172">
          <cell r="B172" t="str">
            <v>MINIGRANJA VALENCIA ORIENTE I</v>
          </cell>
          <cell r="F172" t="str">
            <v>MINIGRANJA VALENCIA ORIENTE I</v>
          </cell>
        </row>
        <row r="173">
          <cell r="B173" t="str">
            <v>MINIGRANJA VALENCIA ORIENTE II</v>
          </cell>
          <cell r="F173" t="str">
            <v>MINIGRANJA VALENCIA ORIENTE II</v>
          </cell>
        </row>
        <row r="174">
          <cell r="B174" t="str">
            <v>SOL Y CIELO VI</v>
          </cell>
          <cell r="F174" t="str">
            <v>SOL Y CIELO VI</v>
          </cell>
        </row>
        <row r="175">
          <cell r="B175" t="str">
            <v>GD NAOS III</v>
          </cell>
          <cell r="F175" t="str">
            <v>GD NAOS III</v>
          </cell>
        </row>
        <row r="176">
          <cell r="B176" t="str">
            <v>AUTOG QBCO</v>
          </cell>
          <cell r="F176" t="str">
            <v>AUTOG QBCO</v>
          </cell>
        </row>
        <row r="177">
          <cell r="B177" t="str">
            <v>AUTOG COMOLSA</v>
          </cell>
          <cell r="F177" t="str">
            <v>AUTOG COMOLSA</v>
          </cell>
        </row>
        <row r="178">
          <cell r="B178" t="str">
            <v>AUTOG MOLINOS SANTA MARTA</v>
          </cell>
          <cell r="F178" t="str">
            <v>AUTOG MOLINOS SANTA MARTA</v>
          </cell>
        </row>
        <row r="179">
          <cell r="A179" t="str">
            <v>GYP3</v>
          </cell>
          <cell r="B179" t="str">
            <v>GUAYEPO III</v>
          </cell>
          <cell r="F179" t="str">
            <v>GUAYEPO III</v>
          </cell>
        </row>
        <row r="180">
          <cell r="B180" t="str">
            <v>AUTOG CELSIA SOLAR ESCOBAL CEMEX</v>
          </cell>
          <cell r="F180" t="str">
            <v>AUTOG CELSIA SOLAR ESCOBAL CEMEX</v>
          </cell>
        </row>
        <row r="181">
          <cell r="B181" t="str">
            <v>GD SAN MARTIN</v>
          </cell>
          <cell r="F181" t="str">
            <v>GD SAN MARTIN</v>
          </cell>
        </row>
        <row r="182">
          <cell r="B182" t="str">
            <v>GD ERCO PALMAS</v>
          </cell>
          <cell r="F182" t="str">
            <v>GD ERCO PALMAS</v>
          </cell>
        </row>
        <row r="183">
          <cell r="B183" t="str">
            <v>MINIGRANJA LA CUMBIA</v>
          </cell>
          <cell r="F183" t="str">
            <v>MINIGRANJA LA CUMBIA</v>
          </cell>
        </row>
        <row r="184">
          <cell r="B184" t="str">
            <v>GD SAN MARTIN II</v>
          </cell>
          <cell r="F184" t="str">
            <v>GD SAN MARTIN II</v>
          </cell>
        </row>
        <row r="185">
          <cell r="B185" t="str">
            <v>GD PULOY</v>
          </cell>
          <cell r="F185" t="str">
            <v>GD PULOY</v>
          </cell>
        </row>
        <row r="186">
          <cell r="B186" t="str">
            <v>GD SAN MARTIN III</v>
          </cell>
          <cell r="F186" t="str">
            <v>GD SAN MARTIN III</v>
          </cell>
        </row>
        <row r="187">
          <cell r="A187" t="str">
            <v>PORO</v>
          </cell>
          <cell r="B187" t="str">
            <v>PARQUE SOLAR PUERTA DE ORO</v>
          </cell>
          <cell r="F187" t="str">
            <v>PARQUE SOLAR PUERTA DE ORO</v>
          </cell>
        </row>
        <row r="188">
          <cell r="B188" t="str">
            <v>CHENCHE PURIFICACION</v>
          </cell>
          <cell r="F188" t="str">
            <v>CHENCHE PURIFICACION</v>
          </cell>
        </row>
        <row r="189">
          <cell r="B189" t="str">
            <v>MINIGRANJA EL MAPALE</v>
          </cell>
          <cell r="F189" t="str">
            <v>MINIGRANJA EL MAPALE</v>
          </cell>
        </row>
        <row r="190">
          <cell r="B190" t="str">
            <v>GD GRANJA LA RUBIELA</v>
          </cell>
          <cell r="F190" t="str">
            <v>GD GRANJA LA RUBIELA</v>
          </cell>
        </row>
        <row r="191">
          <cell r="B191" t="str">
            <v>PARQUE SOLAR CRLI</v>
          </cell>
          <cell r="F191" t="str">
            <v>PARQUE SOLAR CRLI</v>
          </cell>
        </row>
        <row r="192">
          <cell r="B192" t="str">
            <v>GD ALEJANDRIA I</v>
          </cell>
          <cell r="F192" t="str">
            <v>GD ALEJANDRIA I</v>
          </cell>
        </row>
        <row r="193">
          <cell r="B193" t="str">
            <v>GD ALEJANDRIA II</v>
          </cell>
          <cell r="F193" t="str">
            <v>GD ALEJANDRIA II</v>
          </cell>
        </row>
        <row r="194">
          <cell r="B194" t="str">
            <v>GD ALEJANDRIA III</v>
          </cell>
          <cell r="F194" t="str">
            <v>GD ALEJANDRIA III</v>
          </cell>
        </row>
        <row r="195">
          <cell r="B195" t="str">
            <v>SAN ONOFRE</v>
          </cell>
          <cell r="F195" t="str">
            <v>SAN ONOFRE</v>
          </cell>
        </row>
        <row r="196">
          <cell r="B196" t="str">
            <v>POLARIS I</v>
          </cell>
          <cell r="F196" t="str">
            <v>POLARIS I</v>
          </cell>
        </row>
        <row r="197">
          <cell r="B197" t="str">
            <v>DELTA I</v>
          </cell>
          <cell r="F197" t="str">
            <v>DELTA I</v>
          </cell>
        </row>
        <row r="198">
          <cell r="B198" t="str">
            <v>AUTOG CORONA SOPO</v>
          </cell>
          <cell r="F198" t="str">
            <v>AUTOG CORONA SOPO</v>
          </cell>
        </row>
        <row r="199">
          <cell r="B199" t="str">
            <v>GD ENCANTO</v>
          </cell>
          <cell r="F199" t="str">
            <v>GD ENCANTO</v>
          </cell>
        </row>
        <row r="200">
          <cell r="B200" t="str">
            <v>ALMA II</v>
          </cell>
          <cell r="F200" t="str">
            <v>ALMA II</v>
          </cell>
        </row>
        <row r="201">
          <cell r="B201" t="str">
            <v>GD ERCO ISIDORI</v>
          </cell>
          <cell r="F201" t="str">
            <v>GD ERCO ISIDORI</v>
          </cell>
        </row>
        <row r="202">
          <cell r="B202" t="str">
            <v>GD POLARIS II</v>
          </cell>
          <cell r="F202" t="str">
            <v>GD POLARIS II</v>
          </cell>
        </row>
        <row r="203">
          <cell r="B203" t="str">
            <v>GD GRANJA SAN PELAYO</v>
          </cell>
          <cell r="F203" t="str">
            <v>GD GRANJA SAN PELAYO</v>
          </cell>
        </row>
        <row r="204">
          <cell r="B204" t="str">
            <v>GD BLANCA ENERGY I</v>
          </cell>
          <cell r="F204" t="str">
            <v>GD BLANCA ENERGY I</v>
          </cell>
        </row>
        <row r="205">
          <cell r="B205" t="str">
            <v>GD BLANCA ENERGY II</v>
          </cell>
          <cell r="F205" t="str">
            <v>GD BLANCA ENERGY II</v>
          </cell>
        </row>
        <row r="206">
          <cell r="B206" t="str">
            <v>PARQUE SOLAR NISPEROS</v>
          </cell>
          <cell r="F206" t="str">
            <v>PARQUE SOLAR NISPEROS</v>
          </cell>
        </row>
        <row r="207">
          <cell r="B207" t="str">
            <v>GD SEMILLA DE GUACAMAYAL II</v>
          </cell>
          <cell r="F207" t="str">
            <v>GD SEMILLA DE GUACAMAYAL II</v>
          </cell>
        </row>
        <row r="208">
          <cell r="B208" t="str">
            <v>VALLEDUPAR I</v>
          </cell>
          <cell r="F208" t="str">
            <v>VALLEDUPAR I</v>
          </cell>
        </row>
        <row r="209">
          <cell r="B209" t="str">
            <v>VALLEDUPAR II</v>
          </cell>
          <cell r="F209" t="str">
            <v>VALLEDUPAR II</v>
          </cell>
        </row>
        <row r="210">
          <cell r="B210" t="str">
            <v>VALLEDUPAR III</v>
          </cell>
          <cell r="F210" t="str">
            <v>VALLEDUPAR III</v>
          </cell>
        </row>
        <row r="211">
          <cell r="B211" t="str">
            <v>PARQUE SOLAR HATO GRANDE</v>
          </cell>
          <cell r="F211" t="str">
            <v>PARQUE SOLAR HATO GRANDE</v>
          </cell>
        </row>
        <row r="212">
          <cell r="B212" t="str">
            <v>PARQUE SOLAR BUGAMBILES</v>
          </cell>
          <cell r="F212" t="str">
            <v>PARQUE SOLAR BUGAMBILES</v>
          </cell>
        </row>
        <row r="213">
          <cell r="B213" t="str">
            <v>GD BLANCA ENERGY III</v>
          </cell>
          <cell r="F213" t="str">
            <v>GD BLANCA ENERGY III</v>
          </cell>
        </row>
        <row r="214">
          <cell r="B214" t="str">
            <v>GD PARQUE SOLAR GRANADA I</v>
          </cell>
          <cell r="F214" t="str">
            <v>GD PARQUE SOLAR GRANADA I</v>
          </cell>
        </row>
        <row r="215">
          <cell r="B215" t="str">
            <v>GD PXV IV</v>
          </cell>
          <cell r="F215" t="str">
            <v>GD PXV IV</v>
          </cell>
        </row>
        <row r="216">
          <cell r="B216" t="str">
            <v>GD PXV I</v>
          </cell>
          <cell r="F216" t="str">
            <v>GD PXV I</v>
          </cell>
        </row>
        <row r="217">
          <cell r="B217" t="str">
            <v>GD DELTA II</v>
          </cell>
          <cell r="F217" t="str">
            <v>GD DELTA II</v>
          </cell>
        </row>
        <row r="218">
          <cell r="B218" t="str">
            <v>GD AGUSTIN I</v>
          </cell>
          <cell r="F218" t="str">
            <v>GD AGUSTIN I</v>
          </cell>
        </row>
        <row r="219">
          <cell r="B219" t="str">
            <v>GD MGS 0013 LA MESA</v>
          </cell>
          <cell r="F219" t="str">
            <v>GD MGS 0013 LA MESA</v>
          </cell>
        </row>
        <row r="220">
          <cell r="B220" t="str">
            <v>GD POLARIS III</v>
          </cell>
          <cell r="F220" t="str">
            <v>GD POLARIS III</v>
          </cell>
        </row>
        <row r="221">
          <cell r="B221" t="str">
            <v>GD LAS MERCEDES I</v>
          </cell>
          <cell r="F221" t="str">
            <v>GD LAS MERCEDES I</v>
          </cell>
        </row>
        <row r="222">
          <cell r="B222" t="str">
            <v>GD LAS MERCEDES II</v>
          </cell>
          <cell r="F222" t="str">
            <v>GD LAS MERCEDES II</v>
          </cell>
        </row>
        <row r="223">
          <cell r="B223" t="str">
            <v>ATLANTICO</v>
          </cell>
          <cell r="F223" t="str">
            <v>ATLANTICO</v>
          </cell>
        </row>
        <row r="224">
          <cell r="B224" t="str">
            <v>SUAREZ</v>
          </cell>
          <cell r="F224" t="str">
            <v>SUAREZ</v>
          </cell>
        </row>
        <row r="225">
          <cell r="B225" t="str">
            <v>GD YURBAQUA</v>
          </cell>
          <cell r="F225" t="str">
            <v>GD YURBAQUA</v>
          </cell>
        </row>
        <row r="226">
          <cell r="B226" t="str">
            <v>AUTOG CELSIA SOLAR TQ TECNOSUR</v>
          </cell>
          <cell r="F226" t="str">
            <v>AUTOG CELSIA SOLAR TQ TECNOSUR</v>
          </cell>
        </row>
        <row r="227">
          <cell r="B227" t="str">
            <v>GD SAN PELAYO</v>
          </cell>
          <cell r="F227" t="str">
            <v>GD SAN PELAYO</v>
          </cell>
        </row>
        <row r="228">
          <cell r="B228" t="str">
            <v>PARQUE SOLAR EL JARDIN</v>
          </cell>
          <cell r="F228" t="str">
            <v>PARQUE SOLAR EL JARDIN</v>
          </cell>
        </row>
        <row r="229">
          <cell r="B229" t="str">
            <v>GD WE202</v>
          </cell>
          <cell r="F229" t="str">
            <v>GD WE202</v>
          </cell>
        </row>
        <row r="230">
          <cell r="B230" t="str">
            <v>GD WE2021</v>
          </cell>
          <cell r="F230" t="str">
            <v>GD WE2021</v>
          </cell>
        </row>
        <row r="231">
          <cell r="B231" t="str">
            <v>AUTOG CARVAJAL GINEBRA</v>
          </cell>
          <cell r="F231" t="str">
            <v>AUTOG CARVAJAL GINEBRA</v>
          </cell>
        </row>
        <row r="232">
          <cell r="B232" t="str">
            <v>GD BIOSOLAR</v>
          </cell>
          <cell r="F232" t="str">
            <v>GD BIOSOLAR</v>
          </cell>
        </row>
        <row r="233">
          <cell r="B233" t="str">
            <v>GD ASTROLUMEN LA GARITA</v>
          </cell>
          <cell r="F233" t="str">
            <v>GD ASTROLUMEN LA GARITA</v>
          </cell>
        </row>
        <row r="234">
          <cell r="B234" t="str">
            <v>SOL Y CIELO VII</v>
          </cell>
          <cell r="F234" t="str">
            <v>SOL Y CIELO VII</v>
          </cell>
        </row>
        <row r="235">
          <cell r="B235" t="str">
            <v>EL TAMARINDO I</v>
          </cell>
          <cell r="F235" t="str">
            <v>EL TAMARINDO I</v>
          </cell>
        </row>
        <row r="236">
          <cell r="B236" t="str">
            <v>EL TAMARINDO II</v>
          </cell>
          <cell r="F236" t="str">
            <v>EL TAMARINDO II</v>
          </cell>
        </row>
        <row r="237">
          <cell r="B237" t="str">
            <v>GRANJA SOLAR LA GARITA</v>
          </cell>
          <cell r="F237" t="str">
            <v>GRANJA SOLAR LA GARITA</v>
          </cell>
        </row>
        <row r="238">
          <cell r="B238" t="str">
            <v>GD LA CATEDRAL</v>
          </cell>
          <cell r="F238" t="str">
            <v>GD LA CATEDRAL</v>
          </cell>
        </row>
        <row r="239">
          <cell r="B239" t="str">
            <v>GD CSF ARENALES I</v>
          </cell>
          <cell r="F239" t="str">
            <v>GD CSF ARENALES I</v>
          </cell>
        </row>
        <row r="240">
          <cell r="B240" t="str">
            <v>GD BLANCA ENERGY SOLAR 23</v>
          </cell>
          <cell r="F240" t="str">
            <v>GD BLANCA ENERGY SOLAR 23</v>
          </cell>
        </row>
        <row r="241">
          <cell r="B241" t="str">
            <v>GD BLANCA ENERGY SOLAR 24</v>
          </cell>
          <cell r="F241" t="str">
            <v>GD BLANCA ENERGY SOLAR 24</v>
          </cell>
        </row>
        <row r="242">
          <cell r="B242" t="str">
            <v>GD CADILLO II</v>
          </cell>
          <cell r="F242" t="str">
            <v>GD CADILLO II</v>
          </cell>
        </row>
        <row r="243">
          <cell r="B243" t="str">
            <v>GD JARDINCITO</v>
          </cell>
          <cell r="F243" t="str">
            <v>GD JARDINCITO</v>
          </cell>
        </row>
        <row r="244">
          <cell r="B244" t="str">
            <v>GD CARACOL I</v>
          </cell>
          <cell r="F244" t="str">
            <v>GD CARACOL I</v>
          </cell>
        </row>
        <row r="245">
          <cell r="B245" t="str">
            <v>GD CARACOL II</v>
          </cell>
          <cell r="F245" t="str">
            <v>GD CARACOL II</v>
          </cell>
        </row>
        <row r="246">
          <cell r="B246" t="str">
            <v>GD CARACOL III</v>
          </cell>
          <cell r="F246" t="str">
            <v>GD CARACOL III</v>
          </cell>
        </row>
        <row r="247">
          <cell r="B247" t="str">
            <v>GD ESPERANZA II</v>
          </cell>
          <cell r="F247" t="str">
            <v>GD ESPERANZA II</v>
          </cell>
        </row>
        <row r="248">
          <cell r="B248" t="str">
            <v>GD LAS PILONERAS</v>
          </cell>
          <cell r="F248" t="str">
            <v>GD LAS PILONERAS</v>
          </cell>
        </row>
        <row r="249">
          <cell r="B249" t="str">
            <v>GD PALMERAS I</v>
          </cell>
          <cell r="F249" t="str">
            <v>GD PALMERAS I</v>
          </cell>
        </row>
        <row r="250">
          <cell r="B250" t="str">
            <v>GD PALMERAS II</v>
          </cell>
          <cell r="F250" t="str">
            <v>GD PALMERAS II</v>
          </cell>
        </row>
        <row r="251">
          <cell r="B251" t="str">
            <v>GD PALMERAS III</v>
          </cell>
          <cell r="F251" t="str">
            <v>GD PALMERAS III</v>
          </cell>
        </row>
        <row r="252">
          <cell r="B252" t="str">
            <v>GD PALMERAS IV</v>
          </cell>
          <cell r="F252" t="str">
            <v>GD PALMERAS IV</v>
          </cell>
        </row>
        <row r="253">
          <cell r="B253" t="str">
            <v>GD ESPERANZA I</v>
          </cell>
          <cell r="F253" t="str">
            <v>GD ESPERANZA I</v>
          </cell>
        </row>
        <row r="254">
          <cell r="B254" t="str">
            <v>GD YUAN SOLAR</v>
          </cell>
          <cell r="F254" t="str">
            <v>GD YUAN SOLAR</v>
          </cell>
        </row>
        <row r="255">
          <cell r="B255" t="str">
            <v>GD LA CACICA</v>
          </cell>
          <cell r="F255" t="str">
            <v>GD LA CACICA</v>
          </cell>
        </row>
        <row r="256">
          <cell r="B256" t="str">
            <v>GD SINAI</v>
          </cell>
          <cell r="F256" t="str">
            <v>GD SINAI</v>
          </cell>
        </row>
        <row r="257">
          <cell r="B257" t="str">
            <v>GD EL CASTILLO II</v>
          </cell>
          <cell r="F257" t="str">
            <v>GD EL CASTILLO II</v>
          </cell>
        </row>
        <row r="258">
          <cell r="B258" t="str">
            <v>GD LYRA</v>
          </cell>
          <cell r="F258" t="str">
            <v>GD LYRA</v>
          </cell>
        </row>
        <row r="259">
          <cell r="B259" t="str">
            <v>GD EDEQ SOLAR LA TEBAIDA</v>
          </cell>
          <cell r="F259" t="str">
            <v>GD EDEQ SOLAR LA TEBAIDA</v>
          </cell>
        </row>
        <row r="260">
          <cell r="B260" t="str">
            <v>GD EDEQ SOLAR MONTENEGRO</v>
          </cell>
          <cell r="F260" t="str">
            <v>GD EDEQ SOLAR MONTENEGRO</v>
          </cell>
        </row>
        <row r="261">
          <cell r="B261" t="str">
            <v>GD BONILLA A I</v>
          </cell>
          <cell r="F261" t="str">
            <v>GD BONILLA A I</v>
          </cell>
        </row>
        <row r="262">
          <cell r="B262" t="str">
            <v>GD BONILLA A II</v>
          </cell>
          <cell r="F262" t="str">
            <v>GD BONILLA A II</v>
          </cell>
        </row>
        <row r="263">
          <cell r="B263" t="str">
            <v>GD BONILLA A III</v>
          </cell>
          <cell r="F263" t="str">
            <v>GD BONILLA A III</v>
          </cell>
        </row>
        <row r="264">
          <cell r="B264" t="str">
            <v>GD BONILLA A V</v>
          </cell>
          <cell r="F264" t="str">
            <v>GD BONILLA A V</v>
          </cell>
        </row>
        <row r="265">
          <cell r="B265" t="str">
            <v>GD CANARIOS I</v>
          </cell>
          <cell r="F265" t="str">
            <v>GD CANARIOS I</v>
          </cell>
        </row>
        <row r="266">
          <cell r="B266" t="str">
            <v>GD ERCO GOLONDRINA I</v>
          </cell>
          <cell r="F266" t="str">
            <v>GD ERCO GOLONDRINA I</v>
          </cell>
        </row>
        <row r="267">
          <cell r="B267" t="str">
            <v>GD PEGASUS SOLAR</v>
          </cell>
          <cell r="F267" t="str">
            <v>GD PEGASUS SOLAR</v>
          </cell>
        </row>
        <row r="268">
          <cell r="B268" t="str">
            <v>GD GALILEO SOLAR</v>
          </cell>
          <cell r="F268" t="str">
            <v>GD GALILEO SOLAR</v>
          </cell>
        </row>
        <row r="269">
          <cell r="B269" t="str">
            <v>GD SEMILLAS MONTERIA I</v>
          </cell>
          <cell r="F269" t="str">
            <v>GD SEMILLAS MONTERIA I</v>
          </cell>
        </row>
        <row r="270">
          <cell r="B270" t="str">
            <v>GD SEMILLAS MONTERIA II</v>
          </cell>
          <cell r="F270" t="str">
            <v>GD SEMILLAS MONTERIA II</v>
          </cell>
        </row>
        <row r="271">
          <cell r="B271" t="str">
            <v>GD ORBIS</v>
          </cell>
          <cell r="F271" t="str">
            <v>GD ORBIS</v>
          </cell>
        </row>
        <row r="272">
          <cell r="B272" t="str">
            <v>GD SOLYCIELO 9</v>
          </cell>
          <cell r="F272" t="str">
            <v>GD SOLYCIELO 9</v>
          </cell>
        </row>
        <row r="273">
          <cell r="B273" t="str">
            <v>GD LA MACANA</v>
          </cell>
          <cell r="F273" t="str">
            <v>GD LA MACANA</v>
          </cell>
        </row>
        <row r="274">
          <cell r="B274" t="str">
            <v>GD PARQUE SOLAR GRANADA II</v>
          </cell>
          <cell r="F274" t="str">
            <v>GD PARQUE SOLAR GRANADA II</v>
          </cell>
        </row>
        <row r="275">
          <cell r="B275" t="str">
            <v>GD EMPERATRIZ I</v>
          </cell>
          <cell r="F275" t="str">
            <v>GD EMPERATRIZ I</v>
          </cell>
        </row>
        <row r="276">
          <cell r="B276" t="str">
            <v>GD EMPERATRIZ II</v>
          </cell>
          <cell r="F276" t="str">
            <v>GD EMPERATRIZ II</v>
          </cell>
        </row>
        <row r="277">
          <cell r="B277" t="str">
            <v>GD CORALITO</v>
          </cell>
          <cell r="F277" t="str">
            <v>GD CORALITO</v>
          </cell>
        </row>
        <row r="278">
          <cell r="B278" t="str">
            <v>GD GOLONDRINA</v>
          </cell>
          <cell r="F278" t="str">
            <v>GD GOLONDRINA</v>
          </cell>
        </row>
        <row r="279">
          <cell r="B279" t="str">
            <v>GD SEMILLA DEL PASO IA</v>
          </cell>
          <cell r="F279" t="str">
            <v>GD SEMILLA DEL PASO IA</v>
          </cell>
        </row>
        <row r="280">
          <cell r="B280" t="str">
            <v>GD SEMILLA DEL PASO III</v>
          </cell>
          <cell r="F280" t="str">
            <v>GD SEMILLA DEL PASO III</v>
          </cell>
        </row>
        <row r="281">
          <cell r="B281" t="str">
            <v>GD LOS MANGOS I</v>
          </cell>
          <cell r="F281" t="str">
            <v>GD LOS MANGOS I</v>
          </cell>
        </row>
        <row r="282">
          <cell r="B282" t="str">
            <v>GD LOS MANGOS II</v>
          </cell>
          <cell r="F282" t="str">
            <v>GD LOS MANGOS II</v>
          </cell>
        </row>
        <row r="283">
          <cell r="B283" t="str">
            <v>GD ALAMO SOLAR</v>
          </cell>
          <cell r="F283" t="str">
            <v>GD ALAMO SOLAR</v>
          </cell>
        </row>
        <row r="284">
          <cell r="B284" t="str">
            <v>GD EL PASO NORTE</v>
          </cell>
          <cell r="F284" t="str">
            <v>GD EL PASO NORTE</v>
          </cell>
        </row>
        <row r="285">
          <cell r="B285" t="str">
            <v>GD CHIRIGUANA NORTE I</v>
          </cell>
          <cell r="F285" t="str">
            <v>GD CHIRIGUANA NORTE I</v>
          </cell>
        </row>
        <row r="286">
          <cell r="B286" t="str">
            <v>GD SOL Y CIELO X</v>
          </cell>
          <cell r="F286" t="str">
            <v>GD SOL Y CIELO X</v>
          </cell>
        </row>
        <row r="287">
          <cell r="B287" t="str">
            <v>PLANTA SOLAR SAN FRANCISCO</v>
          </cell>
          <cell r="F287" t="str">
            <v>PLANTA SOLAR SAN FRANCISCO</v>
          </cell>
        </row>
        <row r="288">
          <cell r="B288" t="str">
            <v>GD BONILLA A IV</v>
          </cell>
          <cell r="F288" t="str">
            <v>GD BONILLA A IV</v>
          </cell>
        </row>
        <row r="289">
          <cell r="B289" t="str">
            <v>GD LA HORMIGUITA</v>
          </cell>
          <cell r="F289" t="str">
            <v>GD LA HORMIGUITA</v>
          </cell>
        </row>
        <row r="290">
          <cell r="B290" t="str">
            <v>GD ERCO LAS PIEDRAS I</v>
          </cell>
          <cell r="F290" t="str">
            <v>GD ERCO LAS PIEDRAS I</v>
          </cell>
        </row>
        <row r="291">
          <cell r="B291" t="str">
            <v>GD ERCO LAS PIEDRAS II</v>
          </cell>
          <cell r="F291" t="str">
            <v>GD ERCO LAS PIEDRAS II</v>
          </cell>
        </row>
        <row r="292">
          <cell r="B292" t="str">
            <v>GD SEVILLANO RURAL I</v>
          </cell>
          <cell r="F292" t="str">
            <v>GD SEVILLANO RURAL I</v>
          </cell>
        </row>
        <row r="293">
          <cell r="B293" t="str">
            <v>GD SEVILLANO RURAL II</v>
          </cell>
          <cell r="F293" t="str">
            <v>GD SEVILLANO RURAL II</v>
          </cell>
        </row>
        <row r="294">
          <cell r="B294" t="str">
            <v>GD CANARIOS II</v>
          </cell>
          <cell r="F294" t="str">
            <v>GD CANARIOS II</v>
          </cell>
        </row>
        <row r="295">
          <cell r="B295" t="str">
            <v>GD CANARIOS III</v>
          </cell>
          <cell r="F295" t="str">
            <v>GD CANARIOS III</v>
          </cell>
        </row>
        <row r="296">
          <cell r="B296" t="str">
            <v>GD NAOS IV</v>
          </cell>
          <cell r="F296" t="str">
            <v>GD NAOS IV</v>
          </cell>
        </row>
        <row r="297">
          <cell r="B297" t="str">
            <v>GD VEGA I</v>
          </cell>
          <cell r="F297" t="str">
            <v>GD VEGA I</v>
          </cell>
        </row>
        <row r="298">
          <cell r="B298" t="str">
            <v>GD VEGA II</v>
          </cell>
          <cell r="F298" t="str">
            <v>GD VEGA II</v>
          </cell>
        </row>
        <row r="299">
          <cell r="B299" t="str">
            <v>GD PARQUE SOLAR LA ESPERANZA</v>
          </cell>
          <cell r="F299" t="str">
            <v>GD PARQUE SOLAR LA ESPERANZA</v>
          </cell>
        </row>
        <row r="300">
          <cell r="B300" t="str">
            <v>GD PARQUE SOLAR TRONCAL</v>
          </cell>
          <cell r="F300" t="str">
            <v>GD PARQUE SOLAR TRONCAL</v>
          </cell>
        </row>
        <row r="301">
          <cell r="B301" t="str">
            <v>GD CHIRIGUANA NORTE II</v>
          </cell>
          <cell r="F301" t="str">
            <v>GD CHIRIGUANA NORTE II</v>
          </cell>
        </row>
        <row r="302">
          <cell r="B302" t="str">
            <v>GD CHIRIGUANA NORTE IV</v>
          </cell>
          <cell r="F302" t="str">
            <v>GD CHIRIGUANA NORTE IV</v>
          </cell>
        </row>
        <row r="303">
          <cell r="B303" t="str">
            <v>GD TAURUS VIII</v>
          </cell>
          <cell r="F303" t="str">
            <v>GD TAURUS VIII</v>
          </cell>
        </row>
        <row r="304">
          <cell r="B304" t="str">
            <v>GD TAURUS IX</v>
          </cell>
          <cell r="F304" t="str">
            <v>GD TAURUS IX</v>
          </cell>
        </row>
        <row r="305">
          <cell r="B305" t="str">
            <v>GD TAURUS X</v>
          </cell>
          <cell r="F305" t="str">
            <v>GD TAURUS X</v>
          </cell>
        </row>
        <row r="306">
          <cell r="B306" t="str">
            <v>GD SEMILLA DE EL PASO IIIA</v>
          </cell>
          <cell r="F306" t="str">
            <v>GD SEMILLA DE EL PASO IIIA</v>
          </cell>
        </row>
        <row r="307">
          <cell r="B307" t="str">
            <v>GD SEMILLA DE EL PASO IVA</v>
          </cell>
          <cell r="F307" t="str">
            <v>GD SEMILLA DE EL PASO IVA</v>
          </cell>
        </row>
        <row r="308">
          <cell r="B308" t="str">
            <v>GD MEISSA II</v>
          </cell>
          <cell r="F308" t="str">
            <v>GD MEISSA II</v>
          </cell>
        </row>
        <row r="309">
          <cell r="B309" t="str">
            <v>PLANTA FV DONA JUANA</v>
          </cell>
          <cell r="F309" t="str">
            <v>PLANTA FV DONA JUANA</v>
          </cell>
        </row>
        <row r="310">
          <cell r="B310" t="str">
            <v>GD EL CASTILLO I</v>
          </cell>
          <cell r="F310" t="str">
            <v>GD EL CASTILLO I</v>
          </cell>
        </row>
        <row r="311">
          <cell r="B311" t="str">
            <v>GD EL CASTILLO III</v>
          </cell>
          <cell r="F311" t="str">
            <v>GD EL CASTILLO III</v>
          </cell>
        </row>
        <row r="312">
          <cell r="B312" t="str">
            <v>GD EL CASTILLO IV</v>
          </cell>
          <cell r="F312" t="str">
            <v>GD EL CASTILLO IV</v>
          </cell>
        </row>
        <row r="313">
          <cell r="B313" t="str">
            <v>GD EL CASTILLO V</v>
          </cell>
          <cell r="F313" t="str">
            <v>GD EL CASTILLO V</v>
          </cell>
        </row>
        <row r="314">
          <cell r="B314" t="str">
            <v>GD LOS MANGOS III</v>
          </cell>
          <cell r="F314" t="str">
            <v>GD LOS MANGOS III</v>
          </cell>
        </row>
        <row r="315">
          <cell r="B315" t="str">
            <v>GD SUAMOX</v>
          </cell>
          <cell r="F315" t="str">
            <v>GD SUAMOX</v>
          </cell>
        </row>
        <row r="316">
          <cell r="B316" t="str">
            <v>GD SOL Y CIELO XII</v>
          </cell>
          <cell r="F316" t="str">
            <v>GD SOL Y CIELO XII</v>
          </cell>
        </row>
        <row r="317">
          <cell r="B317" t="str">
            <v>GD VITERBO I</v>
          </cell>
          <cell r="F317" t="str">
            <v>GD VITERBO I</v>
          </cell>
        </row>
        <row r="318">
          <cell r="B318" t="str">
            <v>GD VITERBO II</v>
          </cell>
          <cell r="F318" t="str">
            <v>GD VITERBO II</v>
          </cell>
        </row>
        <row r="319">
          <cell r="B319" t="str">
            <v>GD SOL Y CIELO XI</v>
          </cell>
          <cell r="F319" t="str">
            <v>GD SOL Y CIELO XI</v>
          </cell>
        </row>
        <row r="320">
          <cell r="B320" t="str">
            <v>GD SOL Y CIELO XIII</v>
          </cell>
          <cell r="F320" t="str">
            <v>GD SOL Y CIELO XIII</v>
          </cell>
        </row>
        <row r="321">
          <cell r="B321" t="str">
            <v>GD SOL Y CIELO XIV</v>
          </cell>
          <cell r="F321" t="str">
            <v>GD SOL Y CIELO XIV</v>
          </cell>
        </row>
        <row r="322">
          <cell r="B322" t="str">
            <v>GD NOVA I</v>
          </cell>
          <cell r="F322" t="str">
            <v>GD NOVA I</v>
          </cell>
        </row>
        <row r="323">
          <cell r="B323" t="str">
            <v>GD EL MANDARINO</v>
          </cell>
          <cell r="F323" t="str">
            <v>GD EL MANDARINO</v>
          </cell>
        </row>
        <row r="324">
          <cell r="B324" t="str">
            <v>GD SEMILLAS DE CERETE II</v>
          </cell>
          <cell r="F324" t="str">
            <v>GD SEMILLAS DE CERETE II</v>
          </cell>
        </row>
        <row r="325">
          <cell r="B325" t="str">
            <v>GD PXV II</v>
          </cell>
          <cell r="F325" t="str">
            <v>GD PXV II</v>
          </cell>
        </row>
        <row r="326">
          <cell r="B326" t="str">
            <v>GD ERCO GOLONDRINA II</v>
          </cell>
          <cell r="F326" t="str">
            <v>GD ERCO GOLONDRINA II</v>
          </cell>
        </row>
        <row r="327">
          <cell r="B327" t="str">
            <v>GD ESPERANZA I ETAPA II</v>
          </cell>
          <cell r="F327" t="str">
            <v>GD ESPERANZA I ETAPA II</v>
          </cell>
        </row>
        <row r="328">
          <cell r="B328" t="str">
            <v>GD AGUSTIN II</v>
          </cell>
          <cell r="F328" t="str">
            <v>GD AGUSTIN II</v>
          </cell>
        </row>
        <row r="329">
          <cell r="B329" t="str">
            <v>GD AGUSTIN III</v>
          </cell>
          <cell r="F329" t="str">
            <v>GD AGUSTIN III</v>
          </cell>
        </row>
        <row r="330">
          <cell r="B330" t="str">
            <v>GD SAN ONOFRE I</v>
          </cell>
          <cell r="F330" t="str">
            <v>GD SAN ONOFRE I</v>
          </cell>
        </row>
        <row r="331">
          <cell r="B331" t="str">
            <v>GD SAN ONOFRE II</v>
          </cell>
          <cell r="F331" t="str">
            <v>GD SAN ONOFRE II</v>
          </cell>
        </row>
        <row r="332">
          <cell r="B332" t="str">
            <v>GD SAN ONOFRE III</v>
          </cell>
          <cell r="F332" t="str">
            <v>GD SAN ONOFRE III</v>
          </cell>
        </row>
        <row r="333">
          <cell r="B333" t="str">
            <v>GD GRANJA SOLAR SAN AGUSTIN</v>
          </cell>
          <cell r="F333" t="str">
            <v>GD GRANJA SOLAR SAN AGUSTIN</v>
          </cell>
        </row>
        <row r="334">
          <cell r="B334" t="str">
            <v>GD SABANA DE TORRES</v>
          </cell>
          <cell r="F334" t="str">
            <v>GD SABANA DE TORRES</v>
          </cell>
        </row>
        <row r="335">
          <cell r="B335" t="str">
            <v>GD PIEDECUESTA I</v>
          </cell>
          <cell r="F335" t="str">
            <v>GD PIEDECUESTA I</v>
          </cell>
        </row>
        <row r="336">
          <cell r="B336" t="str">
            <v>GD PIEDECUESTA II</v>
          </cell>
          <cell r="F336" t="str">
            <v>GD PIEDECUESTA II</v>
          </cell>
        </row>
        <row r="337">
          <cell r="B337" t="str">
            <v>GD PIEDECUESTA III</v>
          </cell>
          <cell r="F337" t="str">
            <v>GD PIEDECUESTA III</v>
          </cell>
        </row>
        <row r="338">
          <cell r="B338" t="str">
            <v>GD ERCO PALMAS II</v>
          </cell>
          <cell r="F338" t="str">
            <v>GD ERCO PALMAS II</v>
          </cell>
        </row>
        <row r="339">
          <cell r="B339" t="str">
            <v>GD PISINGO I</v>
          </cell>
          <cell r="F339" t="str">
            <v>GD PISINGO I</v>
          </cell>
        </row>
        <row r="340">
          <cell r="B340" t="str">
            <v>GD PISINGO II</v>
          </cell>
          <cell r="F340" t="str">
            <v>GD PISINGO II</v>
          </cell>
        </row>
        <row r="341">
          <cell r="B341" t="str">
            <v>GD NAOS V</v>
          </cell>
          <cell r="F341" t="str">
            <v>GD NAOS V</v>
          </cell>
        </row>
        <row r="342">
          <cell r="B342" t="str">
            <v>GD GALERAS OCCIDENTE</v>
          </cell>
          <cell r="F342" t="str">
            <v>GD GALERAS OCCIDENTE</v>
          </cell>
        </row>
        <row r="343">
          <cell r="B343" t="str">
            <v>GD LYRA II</v>
          </cell>
          <cell r="F343" t="str">
            <v>GD LYRA II</v>
          </cell>
        </row>
        <row r="344">
          <cell r="B344" t="str">
            <v>GD SAN MARTIN I</v>
          </cell>
          <cell r="F344" t="str">
            <v>GD SAN MARTIN I</v>
          </cell>
        </row>
        <row r="345">
          <cell r="B345" t="str">
            <v>GD PARQUE SOLAR TRONCAL II</v>
          </cell>
          <cell r="F345" t="str">
            <v>GD PARQUE SOLAR TRONCAL II</v>
          </cell>
        </row>
        <row r="346">
          <cell r="B346" t="str">
            <v>GD CALIPSO SOLAR</v>
          </cell>
          <cell r="F346" t="str">
            <v>GD CALIPSO SOLAR</v>
          </cell>
        </row>
        <row r="347">
          <cell r="B347" t="str">
            <v>GD RIGEL SOLAR</v>
          </cell>
          <cell r="F347" t="str">
            <v>GD RIGEL SOLAR</v>
          </cell>
        </row>
        <row r="348">
          <cell r="B348" t="str">
            <v>GD TITAN SOLAR</v>
          </cell>
          <cell r="F348" t="str">
            <v>GD TITAN SOLAR</v>
          </cell>
        </row>
        <row r="349">
          <cell r="B349" t="str">
            <v>TOLU SOLAR</v>
          </cell>
          <cell r="F349" t="str">
            <v>TOLU SOLAR</v>
          </cell>
        </row>
        <row r="350">
          <cell r="B350" t="str">
            <v>GD LEGACY</v>
          </cell>
          <cell r="F350" t="str">
            <v>GD LEGACY</v>
          </cell>
        </row>
        <row r="351">
          <cell r="B351" t="str">
            <v>-</v>
          </cell>
          <cell r="F351" t="str">
            <v>-</v>
          </cell>
        </row>
        <row r="352">
          <cell r="B352" t="str">
            <v>-</v>
          </cell>
          <cell r="F352" t="str">
            <v>-</v>
          </cell>
        </row>
        <row r="353">
          <cell r="B353" t="str">
            <v>PARQUE EOLICO WESP01</v>
          </cell>
          <cell r="F353" t="str">
            <v>PARQUE EOLICO WESP01</v>
          </cell>
        </row>
        <row r="354">
          <cell r="A354" t="str">
            <v>TBQ3</v>
          </cell>
          <cell r="B354" t="str">
            <v>BARRANQUILLA 3</v>
          </cell>
          <cell r="F354" t="str">
            <v>BARRANQUILLA 3</v>
          </cell>
        </row>
        <row r="355">
          <cell r="A355" t="str">
            <v>TBQ4</v>
          </cell>
          <cell r="B355" t="str">
            <v>BARRANQUILLA 4</v>
          </cell>
          <cell r="F355" t="str">
            <v>BARRANQUILLA 4</v>
          </cell>
        </row>
        <row r="356">
          <cell r="A356" t="str">
            <v>CTG1</v>
          </cell>
          <cell r="B356" t="str">
            <v>CARTAGENA 1</v>
          </cell>
          <cell r="F356" t="str">
            <v>CARTAGENA 1</v>
          </cell>
        </row>
        <row r="357">
          <cell r="A357" t="str">
            <v>CTG2</v>
          </cell>
          <cell r="B357" t="str">
            <v>CARTAGENA 2</v>
          </cell>
          <cell r="F357" t="str">
            <v>CARTAGENA 2</v>
          </cell>
        </row>
        <row r="358">
          <cell r="A358" t="str">
            <v>CTG3</v>
          </cell>
          <cell r="B358" t="str">
            <v>CARTAGENA 3</v>
          </cell>
          <cell r="F358" t="str">
            <v>CARTAGENA 3</v>
          </cell>
        </row>
        <row r="359">
          <cell r="A359" t="str">
            <v>TFL1</v>
          </cell>
          <cell r="B359" t="str">
            <v>FLORES I CC</v>
          </cell>
          <cell r="F359" t="str">
            <v>FLORES I CC</v>
          </cell>
        </row>
        <row r="360">
          <cell r="A360" t="str">
            <v>TFL1</v>
          </cell>
          <cell r="B360" t="str">
            <v>FLORES I CC</v>
          </cell>
          <cell r="F360" t="str">
            <v>FLORES I CC</v>
          </cell>
        </row>
        <row r="361">
          <cell r="A361" t="str">
            <v>TFL4</v>
          </cell>
          <cell r="B361" t="str">
            <v>FLORES 4 CC</v>
          </cell>
          <cell r="F361" t="str">
            <v>FLORES 4 CC</v>
          </cell>
        </row>
        <row r="362">
          <cell r="A362" t="str">
            <v>TFL4</v>
          </cell>
          <cell r="B362" t="str">
            <v>FLORES 4 CC</v>
          </cell>
          <cell r="F362" t="str">
            <v>FLORES 4 CC</v>
          </cell>
        </row>
        <row r="363">
          <cell r="A363" t="str">
            <v>TFL4</v>
          </cell>
          <cell r="B363" t="str">
            <v>FLORES 4 CC</v>
          </cell>
          <cell r="F363" t="str">
            <v>FLORES 4 CC</v>
          </cell>
        </row>
        <row r="364">
          <cell r="A364" t="str">
            <v>GEC3</v>
          </cell>
          <cell r="B364" t="str">
            <v>GECELCA 3</v>
          </cell>
          <cell r="F364" t="str">
            <v>GECELCA 3</v>
          </cell>
        </row>
        <row r="365">
          <cell r="A365" t="str">
            <v>GE32</v>
          </cell>
          <cell r="B365" t="str">
            <v>GECELCA 32</v>
          </cell>
          <cell r="F365" t="str">
            <v>GECELCA 32</v>
          </cell>
        </row>
        <row r="366">
          <cell r="A366" t="str">
            <v>TGJ1</v>
          </cell>
          <cell r="B366" t="str">
            <v>GUAJIRA 1</v>
          </cell>
          <cell r="F366" t="str">
            <v>GUAJIRA 1</v>
          </cell>
        </row>
        <row r="367">
          <cell r="A367" t="str">
            <v>TGJ2</v>
          </cell>
          <cell r="B367" t="str">
            <v>GUAJIRA 2</v>
          </cell>
          <cell r="F367" t="str">
            <v>GUAJIRA 2</v>
          </cell>
        </row>
        <row r="368">
          <cell r="A368" t="str">
            <v>MRL1</v>
          </cell>
          <cell r="B368" t="str">
            <v>MERILECTRICA 1</v>
          </cell>
          <cell r="F368" t="str">
            <v>MERILECTRICA 1</v>
          </cell>
        </row>
        <row r="369">
          <cell r="A369" t="str">
            <v>PPA1</v>
          </cell>
          <cell r="B369" t="str">
            <v>PAIPA 1</v>
          </cell>
          <cell r="F369" t="str">
            <v>PAIPA 1</v>
          </cell>
        </row>
        <row r="370">
          <cell r="A370" t="str">
            <v>PPA2</v>
          </cell>
          <cell r="B370" t="str">
            <v>PAIPA 2</v>
          </cell>
          <cell r="F370" t="str">
            <v>PAIPA 2</v>
          </cell>
        </row>
        <row r="371">
          <cell r="A371" t="str">
            <v>PPA3</v>
          </cell>
          <cell r="B371" t="str">
            <v>PAIPA 3</v>
          </cell>
          <cell r="F371" t="str">
            <v>PAIPA 3</v>
          </cell>
        </row>
        <row r="372">
          <cell r="A372" t="str">
            <v>PPA4</v>
          </cell>
          <cell r="B372" t="str">
            <v>PAIPA 4</v>
          </cell>
          <cell r="F372" t="str">
            <v>PAIPA 4</v>
          </cell>
        </row>
        <row r="373">
          <cell r="A373" t="str">
            <v>PRG1</v>
          </cell>
          <cell r="B373" t="str">
            <v>PROELECTRICA 1</v>
          </cell>
          <cell r="F373" t="str">
            <v>PROELECTRICA 1</v>
          </cell>
        </row>
        <row r="374">
          <cell r="A374" t="str">
            <v>PRG2</v>
          </cell>
          <cell r="B374" t="str">
            <v>PROELECTRICA 2</v>
          </cell>
          <cell r="F374" t="str">
            <v>PROELECTRICA 2</v>
          </cell>
        </row>
        <row r="375">
          <cell r="A375" t="str">
            <v>TSJ1</v>
          </cell>
          <cell r="B375" t="str">
            <v>TASAJERO 1</v>
          </cell>
          <cell r="F375" t="str">
            <v>TASAJERO 1</v>
          </cell>
        </row>
        <row r="376">
          <cell r="A376" t="str">
            <v>TSJ2</v>
          </cell>
          <cell r="B376" t="str">
            <v>TASAJERO 2</v>
          </cell>
          <cell r="F376" t="str">
            <v>TASAJERO 2</v>
          </cell>
        </row>
        <row r="377">
          <cell r="A377" t="str">
            <v>TBST</v>
          </cell>
          <cell r="B377" t="str">
            <v>TEBSAB CC</v>
          </cell>
          <cell r="F377" t="str">
            <v>TEBSAB CC</v>
          </cell>
        </row>
        <row r="378">
          <cell r="A378" t="str">
            <v>TBST</v>
          </cell>
          <cell r="B378" t="str">
            <v>TEBSAB CC</v>
          </cell>
          <cell r="F378" t="str">
            <v>TEBSAB CC</v>
          </cell>
        </row>
        <row r="379">
          <cell r="A379" t="str">
            <v>TBST</v>
          </cell>
          <cell r="B379" t="str">
            <v>TEBSAB CC</v>
          </cell>
          <cell r="F379" t="str">
            <v>TEBSAB CC</v>
          </cell>
        </row>
        <row r="380">
          <cell r="A380" t="str">
            <v>TBST</v>
          </cell>
          <cell r="B380" t="str">
            <v>TEBSAB CC</v>
          </cell>
          <cell r="F380" t="str">
            <v>TEBSAB CC</v>
          </cell>
        </row>
        <row r="381">
          <cell r="A381" t="str">
            <v>TBST</v>
          </cell>
          <cell r="B381" t="str">
            <v>TEBSAB CC</v>
          </cell>
          <cell r="F381" t="str">
            <v>TEBSAB CC</v>
          </cell>
        </row>
        <row r="382">
          <cell r="A382" t="str">
            <v>TBST</v>
          </cell>
          <cell r="B382" t="str">
            <v>TEBSAB CC</v>
          </cell>
          <cell r="F382" t="str">
            <v>TEBSAB CC</v>
          </cell>
        </row>
        <row r="383">
          <cell r="A383" t="str">
            <v>TBST</v>
          </cell>
          <cell r="B383" t="str">
            <v>TEBSAB CC</v>
          </cell>
          <cell r="F383" t="str">
            <v>TEBSAB CC</v>
          </cell>
        </row>
        <row r="384">
          <cell r="A384" t="str">
            <v>TCDT</v>
          </cell>
          <cell r="B384" t="str">
            <v>TERMOCANDELARIA CC</v>
          </cell>
          <cell r="F384" t="str">
            <v>TERMOCANDELARIA CC</v>
          </cell>
        </row>
        <row r="385">
          <cell r="A385" t="str">
            <v>TCDT</v>
          </cell>
          <cell r="B385" t="str">
            <v>TERMOCANDELARIA CC</v>
          </cell>
          <cell r="F385" t="str">
            <v>TERMOCANDELARIA CC</v>
          </cell>
        </row>
        <row r="386">
          <cell r="A386" t="str">
            <v>TCDT</v>
          </cell>
          <cell r="B386" t="str">
            <v>TERMOCANDELARIA CC</v>
          </cell>
          <cell r="F386" t="str">
            <v>TERMOCANDELARIA CC</v>
          </cell>
        </row>
        <row r="387">
          <cell r="A387" t="str">
            <v>TCBE</v>
          </cell>
          <cell r="B387" t="str">
            <v>TERMOCARIBE III 1</v>
          </cell>
          <cell r="F387" t="str">
            <v>TERMOCARIBE III</v>
          </cell>
        </row>
        <row r="388">
          <cell r="A388" t="str">
            <v>TRM1</v>
          </cell>
          <cell r="B388" t="str">
            <v>TERMOCENTRO CC</v>
          </cell>
          <cell r="F388" t="str">
            <v>TERMOCENTRO CC</v>
          </cell>
        </row>
        <row r="389">
          <cell r="A389" t="str">
            <v>TRM1</v>
          </cell>
          <cell r="B389" t="str">
            <v>TERMOCENTRO CC</v>
          </cell>
          <cell r="F389" t="str">
            <v>TERMOCENTRO CC</v>
          </cell>
        </row>
        <row r="390">
          <cell r="A390" t="str">
            <v>TRM1</v>
          </cell>
          <cell r="B390" t="str">
            <v>TERMOCENTRO CC</v>
          </cell>
          <cell r="F390" t="str">
            <v>TERMOCENTRO CC</v>
          </cell>
        </row>
        <row r="391">
          <cell r="A391" t="str">
            <v>TDR1</v>
          </cell>
          <cell r="B391" t="str">
            <v>TERMODORADA 1</v>
          </cell>
          <cell r="F391" t="str">
            <v>TERMODORADA 1</v>
          </cell>
        </row>
        <row r="392">
          <cell r="A392" t="str">
            <v>TEC1</v>
          </cell>
          <cell r="B392" t="str">
            <v>TERMOEMCALI CC</v>
          </cell>
          <cell r="F392" t="str">
            <v>TERMOEMCALI CC</v>
          </cell>
        </row>
        <row r="393">
          <cell r="A393" t="str">
            <v>TEC1</v>
          </cell>
          <cell r="B393" t="str">
            <v>TERMOEMCALI CC</v>
          </cell>
          <cell r="F393" t="str">
            <v>TERMOEMCALI CC</v>
          </cell>
        </row>
        <row r="394">
          <cell r="A394" t="str">
            <v>TRN1</v>
          </cell>
          <cell r="B394" t="str">
            <v>TERMONORTE</v>
          </cell>
          <cell r="F394" t="str">
            <v>TERMONORTE</v>
          </cell>
        </row>
        <row r="395">
          <cell r="A395" t="str">
            <v>TRN1</v>
          </cell>
          <cell r="B395" t="str">
            <v>TERMONORTE</v>
          </cell>
          <cell r="F395" t="str">
            <v>TERMONORTE</v>
          </cell>
        </row>
        <row r="396">
          <cell r="A396" t="str">
            <v>TRN1</v>
          </cell>
          <cell r="B396" t="str">
            <v>TERMONORTE</v>
          </cell>
          <cell r="F396" t="str">
            <v>TERMONORTE</v>
          </cell>
        </row>
        <row r="397">
          <cell r="A397" t="str">
            <v>TRN1</v>
          </cell>
          <cell r="B397" t="str">
            <v>TERMONORTE</v>
          </cell>
          <cell r="F397" t="str">
            <v>TERMONORTE</v>
          </cell>
        </row>
        <row r="398">
          <cell r="A398" t="str">
            <v>TRN1</v>
          </cell>
          <cell r="B398" t="str">
            <v>TERMONORTE</v>
          </cell>
          <cell r="F398" t="str">
            <v>TERMONORTE</v>
          </cell>
        </row>
        <row r="399">
          <cell r="A399" t="str">
            <v>TRN1</v>
          </cell>
          <cell r="B399" t="str">
            <v>TERMONORTE</v>
          </cell>
          <cell r="F399" t="str">
            <v>TERMONORTE</v>
          </cell>
        </row>
        <row r="400">
          <cell r="A400" t="str">
            <v>TRN1</v>
          </cell>
          <cell r="B400" t="str">
            <v>TERMONORTE</v>
          </cell>
          <cell r="F400" t="str">
            <v>TERMONORTE</v>
          </cell>
        </row>
        <row r="401">
          <cell r="A401" t="str">
            <v>TRN1</v>
          </cell>
          <cell r="B401" t="str">
            <v>TERMONORTE</v>
          </cell>
          <cell r="F401" t="str">
            <v>TERMONORTE</v>
          </cell>
        </row>
        <row r="402">
          <cell r="A402" t="str">
            <v>TRN1</v>
          </cell>
          <cell r="B402" t="str">
            <v>TERMONORTE</v>
          </cell>
          <cell r="F402" t="str">
            <v>TERMONORTE</v>
          </cell>
        </row>
        <row r="403">
          <cell r="A403" t="str">
            <v>TRN1</v>
          </cell>
          <cell r="B403" t="str">
            <v>TERMONORTE</v>
          </cell>
          <cell r="F403" t="str">
            <v>TERMONORTE</v>
          </cell>
        </row>
        <row r="404">
          <cell r="A404" t="str">
            <v>TSR1</v>
          </cell>
          <cell r="B404" t="str">
            <v>TERMOSIERRA CC</v>
          </cell>
          <cell r="F404" t="str">
            <v>TERMOSIERRA CC</v>
          </cell>
        </row>
        <row r="405">
          <cell r="A405" t="str">
            <v>TSR1</v>
          </cell>
          <cell r="B405" t="str">
            <v>TERMOSIERRA CC</v>
          </cell>
          <cell r="F405" t="str">
            <v>TERMOSIERRA CC</v>
          </cell>
        </row>
        <row r="406">
          <cell r="A406" t="str">
            <v>TSR1</v>
          </cell>
          <cell r="B406" t="str">
            <v>TERMOSIERRA CC</v>
          </cell>
          <cell r="F406" t="str">
            <v>TERMOSIERRA CC</v>
          </cell>
        </row>
        <row r="407">
          <cell r="A407" t="str">
            <v>TVL1</v>
          </cell>
          <cell r="B407" t="str">
            <v>TERMOVALLE CC</v>
          </cell>
          <cell r="F407" t="str">
            <v>TERMOVALLE CC</v>
          </cell>
        </row>
        <row r="408">
          <cell r="A408" t="str">
            <v>TVL1</v>
          </cell>
          <cell r="B408" t="str">
            <v>TERMOVALLE CC</v>
          </cell>
          <cell r="F408" t="str">
            <v>TERMOVALLE CC</v>
          </cell>
        </row>
        <row r="409">
          <cell r="A409" t="str">
            <v>TYP1</v>
          </cell>
          <cell r="B409" t="str">
            <v>TERMOYOPAL 1</v>
          </cell>
          <cell r="F409" t="str">
            <v>TERMOYOPAL 1</v>
          </cell>
        </row>
        <row r="410">
          <cell r="A410" t="str">
            <v>TYP2</v>
          </cell>
          <cell r="B410" t="str">
            <v>TERMOYOPAL 2</v>
          </cell>
          <cell r="F410" t="str">
            <v>TERMOYOPAL 2</v>
          </cell>
        </row>
        <row r="411">
          <cell r="A411" t="str">
            <v>TYP3</v>
          </cell>
          <cell r="B411" t="str">
            <v>TERMOYOPAL G3</v>
          </cell>
          <cell r="F411" t="str">
            <v>TERMOYOPAL G3</v>
          </cell>
        </row>
        <row r="412">
          <cell r="A412" t="str">
            <v>TYP4</v>
          </cell>
          <cell r="B412" t="str">
            <v>TERMOYOPAL G4</v>
          </cell>
          <cell r="F412" t="str">
            <v>TERMOYOPAL G4</v>
          </cell>
        </row>
        <row r="413">
          <cell r="A413" t="str">
            <v>TYP5</v>
          </cell>
          <cell r="B413" t="str">
            <v>TERMOYOPAL G5</v>
          </cell>
          <cell r="F413" t="str">
            <v>TERMOYOPAL G5</v>
          </cell>
        </row>
        <row r="414">
          <cell r="A414" t="str">
            <v>3ENA</v>
          </cell>
          <cell r="B414" t="str">
            <v>TESORITO</v>
          </cell>
          <cell r="F414" t="str">
            <v>TESORITO</v>
          </cell>
        </row>
        <row r="415">
          <cell r="A415" t="str">
            <v>3ENA</v>
          </cell>
          <cell r="B415" t="str">
            <v>TESORITO</v>
          </cell>
          <cell r="F415" t="str">
            <v>TESORITO</v>
          </cell>
        </row>
        <row r="416">
          <cell r="A416" t="str">
            <v>3ENA</v>
          </cell>
          <cell r="B416" t="str">
            <v>TESORITO</v>
          </cell>
          <cell r="F416" t="str">
            <v>TESORITO</v>
          </cell>
        </row>
        <row r="417">
          <cell r="A417" t="str">
            <v>3ENA</v>
          </cell>
          <cell r="B417" t="str">
            <v>TESORITO</v>
          </cell>
          <cell r="F417" t="str">
            <v>TESORITO</v>
          </cell>
        </row>
        <row r="418">
          <cell r="A418" t="str">
            <v>3ENA</v>
          </cell>
          <cell r="B418" t="str">
            <v>TESORITO</v>
          </cell>
          <cell r="F418" t="str">
            <v>TESORITO</v>
          </cell>
        </row>
        <row r="419">
          <cell r="A419" t="str">
            <v>3ENA</v>
          </cell>
          <cell r="B419" t="str">
            <v>TESORITO</v>
          </cell>
          <cell r="F419" t="str">
            <v>TESORITO</v>
          </cell>
        </row>
        <row r="420">
          <cell r="A420" t="str">
            <v>3ENA</v>
          </cell>
          <cell r="B420" t="str">
            <v>TESORITO</v>
          </cell>
          <cell r="F420" t="str">
            <v>TESORITO</v>
          </cell>
        </row>
        <row r="421">
          <cell r="A421" t="str">
            <v>3ENA</v>
          </cell>
          <cell r="B421" t="str">
            <v>TESORITO</v>
          </cell>
          <cell r="F421" t="str">
            <v>TESORITO</v>
          </cell>
        </row>
        <row r="422">
          <cell r="A422" t="str">
            <v>3ENA</v>
          </cell>
          <cell r="B422" t="str">
            <v>TESORITO</v>
          </cell>
          <cell r="F422" t="str">
            <v>TESORITO</v>
          </cell>
        </row>
        <row r="423">
          <cell r="A423" t="str">
            <v>3ENA</v>
          </cell>
          <cell r="B423" t="str">
            <v>TESORITO</v>
          </cell>
          <cell r="F423" t="str">
            <v>TESORITO</v>
          </cell>
        </row>
        <row r="424">
          <cell r="A424" t="str">
            <v>3ENA</v>
          </cell>
          <cell r="B424" t="str">
            <v>TESORITO</v>
          </cell>
          <cell r="F424" t="str">
            <v>TESORITO</v>
          </cell>
        </row>
        <row r="425">
          <cell r="A425" t="str">
            <v>4YCN</v>
          </cell>
          <cell r="B425" t="str">
            <v>VILLANUEVA 1</v>
          </cell>
          <cell r="F425" t="str">
            <v>VILLANUEVA</v>
          </cell>
        </row>
        <row r="426">
          <cell r="A426" t="str">
            <v>ZPA2</v>
          </cell>
          <cell r="B426" t="str">
            <v>ZIPAEMG 2</v>
          </cell>
          <cell r="F426" t="str">
            <v>ZIPAEMG 2</v>
          </cell>
        </row>
        <row r="427">
          <cell r="A427" t="str">
            <v>ZPA3</v>
          </cell>
          <cell r="B427" t="str">
            <v>ZIPAEMG 3</v>
          </cell>
          <cell r="F427" t="str">
            <v>ZIPAEMG 3</v>
          </cell>
        </row>
        <row r="428">
          <cell r="A428" t="str">
            <v>ZPA4</v>
          </cell>
          <cell r="B428" t="str">
            <v>ZIPAEMG 4</v>
          </cell>
          <cell r="F428" t="str">
            <v>ZIPAEMG 4</v>
          </cell>
        </row>
        <row r="429">
          <cell r="A429" t="str">
            <v>ZPA5</v>
          </cell>
          <cell r="B429" t="str">
            <v>ZIPAEMG 5</v>
          </cell>
          <cell r="F429" t="str">
            <v>ZIPAEMG 5</v>
          </cell>
        </row>
        <row r="430">
          <cell r="B430" t="str">
            <v>ALTO ANCHICAYA</v>
          </cell>
          <cell r="F430" t="str">
            <v>ALTO ANCHICAYA</v>
          </cell>
        </row>
        <row r="431">
          <cell r="B431" t="str">
            <v>ALTO ANCHICAYA</v>
          </cell>
          <cell r="F431" t="str">
            <v>ALTO ANCHICAYA</v>
          </cell>
        </row>
        <row r="432">
          <cell r="B432" t="str">
            <v>ALTO ANCHICAYA</v>
          </cell>
          <cell r="F432" t="str">
            <v>ALTO ANCHICAYA</v>
          </cell>
        </row>
        <row r="433">
          <cell r="A433" t="str">
            <v>MOY1</v>
          </cell>
          <cell r="B433" t="str">
            <v>AMOYA LA ESPERANZA</v>
          </cell>
          <cell r="F433" t="str">
            <v>AMOYA LA ESPERANZA</v>
          </cell>
        </row>
        <row r="434">
          <cell r="A434" t="str">
            <v>MOY1</v>
          </cell>
          <cell r="B434" t="str">
            <v>AMOYA LA ESPERANZA</v>
          </cell>
          <cell r="F434" t="str">
            <v>AMOYA LA ESPERANZA</v>
          </cell>
        </row>
        <row r="435">
          <cell r="B435" t="str">
            <v>BAJO ANCHICAYA</v>
          </cell>
          <cell r="F435" t="str">
            <v>BAJO ANCHICAYA</v>
          </cell>
        </row>
        <row r="436">
          <cell r="B436" t="str">
            <v>BAJO ANCHICAYA</v>
          </cell>
          <cell r="F436" t="str">
            <v>BAJO ANCHICAYA</v>
          </cell>
        </row>
        <row r="437">
          <cell r="B437" t="str">
            <v>BAJO ANCHICAYA</v>
          </cell>
          <cell r="F437" t="str">
            <v>BAJO ANCHICAYA</v>
          </cell>
        </row>
        <row r="438">
          <cell r="B438" t="str">
            <v>BAJO ANCHICAYA</v>
          </cell>
          <cell r="F438" t="str">
            <v>BAJO ANCHICAYA</v>
          </cell>
        </row>
        <row r="439">
          <cell r="A439" t="str">
            <v>CHBG</v>
          </cell>
          <cell r="B439" t="str">
            <v>BETANIA</v>
          </cell>
          <cell r="F439" t="str">
            <v>BETANIA</v>
          </cell>
        </row>
        <row r="440">
          <cell r="A440" t="str">
            <v>CHBG</v>
          </cell>
          <cell r="B440" t="str">
            <v>BETANIA</v>
          </cell>
          <cell r="F440" t="str">
            <v>BETANIA</v>
          </cell>
        </row>
        <row r="441">
          <cell r="A441" t="str">
            <v>CHBG</v>
          </cell>
          <cell r="B441" t="str">
            <v>BETANIA</v>
          </cell>
          <cell r="F441" t="str">
            <v>BETANIA</v>
          </cell>
        </row>
        <row r="442">
          <cell r="A442" t="str">
            <v>CLMG</v>
          </cell>
          <cell r="B442" t="str">
            <v>CALIMA</v>
          </cell>
          <cell r="F442" t="str">
            <v>CALIMA</v>
          </cell>
        </row>
        <row r="443">
          <cell r="A443" t="str">
            <v>CLMG</v>
          </cell>
          <cell r="B443" t="str">
            <v>CALIMA</v>
          </cell>
          <cell r="F443" t="str">
            <v>CALIMA</v>
          </cell>
        </row>
        <row r="444">
          <cell r="A444" t="str">
            <v>CLMG</v>
          </cell>
          <cell r="B444" t="str">
            <v>CALIMA</v>
          </cell>
          <cell r="F444" t="str">
            <v>CALIMA</v>
          </cell>
        </row>
        <row r="445">
          <cell r="A445" t="str">
            <v>CLMG</v>
          </cell>
          <cell r="B445" t="str">
            <v>CALIMA</v>
          </cell>
          <cell r="F445" t="str">
            <v>CALIMA</v>
          </cell>
        </row>
        <row r="446">
          <cell r="A446" t="str">
            <v>CLL1</v>
          </cell>
          <cell r="B446" t="str">
            <v>CARLOS LLERAS</v>
          </cell>
          <cell r="F446" t="str">
            <v>CARLOS LLERAS</v>
          </cell>
        </row>
        <row r="447">
          <cell r="A447" t="str">
            <v>CLL1</v>
          </cell>
          <cell r="B447" t="str">
            <v>CARLOS LLERAS</v>
          </cell>
          <cell r="F447" t="str">
            <v>CARLOS LLERAS</v>
          </cell>
        </row>
        <row r="448">
          <cell r="A448" t="str">
            <v>CHVR</v>
          </cell>
          <cell r="B448" t="str">
            <v>CHIVOR</v>
          </cell>
          <cell r="F448" t="str">
            <v>CHIVOR</v>
          </cell>
        </row>
        <row r="449">
          <cell r="A449" t="str">
            <v>CHVR</v>
          </cell>
          <cell r="B449" t="str">
            <v>CHIVOR</v>
          </cell>
          <cell r="F449" t="str">
            <v>CHIVOR</v>
          </cell>
        </row>
        <row r="450">
          <cell r="A450" t="str">
            <v>CHVR</v>
          </cell>
          <cell r="B450" t="str">
            <v>CHIVOR</v>
          </cell>
          <cell r="F450" t="str">
            <v>CHIVOR</v>
          </cell>
        </row>
        <row r="451">
          <cell r="A451" t="str">
            <v>CHVR</v>
          </cell>
          <cell r="B451" t="str">
            <v>CHIVOR</v>
          </cell>
          <cell r="F451" t="str">
            <v>CHIVOR</v>
          </cell>
        </row>
        <row r="452">
          <cell r="A452" t="str">
            <v>CHVR</v>
          </cell>
          <cell r="B452" t="str">
            <v>CHIVOR</v>
          </cell>
          <cell r="F452" t="str">
            <v>CHIVOR</v>
          </cell>
        </row>
        <row r="453">
          <cell r="A453" t="str">
            <v>CHVR</v>
          </cell>
          <cell r="B453" t="str">
            <v>CHIVOR</v>
          </cell>
          <cell r="F453" t="str">
            <v>CHIVOR</v>
          </cell>
        </row>
        <row r="454">
          <cell r="A454" t="str">
            <v>CHVR</v>
          </cell>
          <cell r="B454" t="str">
            <v>CHIVOR</v>
          </cell>
          <cell r="F454" t="str">
            <v>CHIVOR</v>
          </cell>
        </row>
        <row r="455">
          <cell r="A455" t="str">
            <v>CHVR</v>
          </cell>
          <cell r="B455" t="str">
            <v>CHIVOR</v>
          </cell>
          <cell r="F455" t="str">
            <v>CHIVOR</v>
          </cell>
        </row>
        <row r="456">
          <cell r="A456" t="str">
            <v>CUC1</v>
          </cell>
          <cell r="B456" t="str">
            <v>CUCUANA</v>
          </cell>
          <cell r="F456" t="str">
            <v>CUCUANA</v>
          </cell>
        </row>
        <row r="457">
          <cell r="A457" t="str">
            <v>CUC1</v>
          </cell>
          <cell r="B457" t="str">
            <v>CUCUANA</v>
          </cell>
          <cell r="F457" t="str">
            <v>CUCUANA</v>
          </cell>
        </row>
        <row r="458">
          <cell r="A458" t="str">
            <v>DVS1</v>
          </cell>
          <cell r="B458" t="str">
            <v>DARIO VALENCIA SAMPER</v>
          </cell>
          <cell r="F458" t="str">
            <v>DARIO VALENCIA SAMPER</v>
          </cell>
        </row>
        <row r="459">
          <cell r="A459" t="str">
            <v>DVS1</v>
          </cell>
          <cell r="B459" t="str">
            <v>DARIO VALENCIA SAMPER</v>
          </cell>
          <cell r="F459" t="str">
            <v>DARIO VALENCIA SAMPER</v>
          </cell>
        </row>
        <row r="460">
          <cell r="A460" t="str">
            <v>DVS1</v>
          </cell>
          <cell r="B460" t="str">
            <v>DARIO VALENCIA SAMPER</v>
          </cell>
          <cell r="F460" t="str">
            <v>DARIO VALENCIA SAMPER</v>
          </cell>
        </row>
        <row r="461">
          <cell r="A461" t="str">
            <v>QUI1</v>
          </cell>
          <cell r="B461" t="str">
            <v>EL QUIMBO</v>
          </cell>
          <cell r="F461" t="str">
            <v>EL QUIMBO</v>
          </cell>
        </row>
        <row r="462">
          <cell r="A462" t="str">
            <v>QUI1</v>
          </cell>
          <cell r="B462" t="str">
            <v>EL QUIMBO</v>
          </cell>
          <cell r="F462" t="str">
            <v>EL QUIMBO</v>
          </cell>
        </row>
        <row r="463">
          <cell r="A463" t="str">
            <v>HMIN</v>
          </cell>
          <cell r="B463" t="str">
            <v>ESCUELA DE MINAS</v>
          </cell>
          <cell r="F463" t="str">
            <v>ESCUELA DE MINAS</v>
          </cell>
        </row>
        <row r="464">
          <cell r="A464" t="str">
            <v>HMIN</v>
          </cell>
          <cell r="B464" t="str">
            <v>ESCUELA DE MINAS</v>
          </cell>
          <cell r="F464" t="str">
            <v>ESCUELA DE MINAS</v>
          </cell>
        </row>
        <row r="465">
          <cell r="A465" t="str">
            <v>HMIN</v>
          </cell>
          <cell r="B465" t="str">
            <v>ESCUELA DE MINAS</v>
          </cell>
          <cell r="F465" t="str">
            <v>ESCUELA DE MINAS</v>
          </cell>
        </row>
        <row r="466">
          <cell r="A466" t="str">
            <v>ESMR</v>
          </cell>
          <cell r="B466" t="str">
            <v>ESMERALDA</v>
          </cell>
          <cell r="F466" t="str">
            <v>ESMERALDA</v>
          </cell>
        </row>
        <row r="467">
          <cell r="A467" t="str">
            <v>ESMR</v>
          </cell>
          <cell r="B467" t="str">
            <v>ESMERALDA</v>
          </cell>
          <cell r="F467" t="str">
            <v>ESMERALDA</v>
          </cell>
        </row>
        <row r="468">
          <cell r="B468" t="str">
            <v>GUADALUPE III</v>
          </cell>
          <cell r="F468" t="str">
            <v>GUADALUPE III</v>
          </cell>
        </row>
        <row r="469">
          <cell r="B469" t="str">
            <v>GUADALUPE III</v>
          </cell>
          <cell r="F469" t="str">
            <v>GUADALUPE III</v>
          </cell>
        </row>
        <row r="470">
          <cell r="B470" t="str">
            <v>GUADALUPE III</v>
          </cell>
          <cell r="F470" t="str">
            <v>GUADALUPE III</v>
          </cell>
        </row>
        <row r="471">
          <cell r="B471" t="str">
            <v>GUADALUPE III</v>
          </cell>
          <cell r="F471" t="str">
            <v>GUADALUPE III</v>
          </cell>
        </row>
        <row r="472">
          <cell r="B472" t="str">
            <v>GUADALUPE III</v>
          </cell>
          <cell r="F472" t="str">
            <v>GUADALUPE III</v>
          </cell>
        </row>
        <row r="473">
          <cell r="B473" t="str">
            <v>GUADALUPE III</v>
          </cell>
          <cell r="F473" t="str">
            <v>GUADALUPE III</v>
          </cell>
        </row>
        <row r="474">
          <cell r="B474" t="str">
            <v>GUADALUPE IV</v>
          </cell>
          <cell r="F474" t="str">
            <v>GUADALUPE IV</v>
          </cell>
        </row>
        <row r="475">
          <cell r="B475" t="str">
            <v>GUADALUPE IV</v>
          </cell>
          <cell r="F475" t="str">
            <v>GUADALUPE IV</v>
          </cell>
        </row>
        <row r="476">
          <cell r="B476" t="str">
            <v>GUADALUPE IV</v>
          </cell>
          <cell r="F476" t="str">
            <v>GUADALUPE IV</v>
          </cell>
        </row>
        <row r="477">
          <cell r="A477" t="str">
            <v>GTPE</v>
          </cell>
          <cell r="B477" t="str">
            <v>GUATAPE</v>
          </cell>
          <cell r="F477" t="str">
            <v>GUATAPE</v>
          </cell>
        </row>
        <row r="478">
          <cell r="A478" t="str">
            <v>GTPE</v>
          </cell>
          <cell r="B478" t="str">
            <v>GUATAPE</v>
          </cell>
          <cell r="F478" t="str">
            <v>GUATAPE</v>
          </cell>
        </row>
        <row r="479">
          <cell r="A479" t="str">
            <v>GTPE</v>
          </cell>
          <cell r="B479" t="str">
            <v>GUATAPE</v>
          </cell>
          <cell r="F479" t="str">
            <v>GUATAPE</v>
          </cell>
        </row>
        <row r="480">
          <cell r="A480" t="str">
            <v>GTPE</v>
          </cell>
          <cell r="B480" t="str">
            <v>GUATAPE</v>
          </cell>
          <cell r="F480" t="str">
            <v>GUATAPE</v>
          </cell>
        </row>
        <row r="481">
          <cell r="A481" t="str">
            <v>GTPE</v>
          </cell>
          <cell r="B481" t="str">
            <v>GUATAPE</v>
          </cell>
          <cell r="F481" t="str">
            <v>GUATAPE</v>
          </cell>
        </row>
        <row r="482">
          <cell r="A482" t="str">
            <v>GTPE</v>
          </cell>
          <cell r="B482" t="str">
            <v>GUATAPE</v>
          </cell>
          <cell r="F482" t="str">
            <v>GUATAPE</v>
          </cell>
        </row>
        <row r="483">
          <cell r="A483" t="str">
            <v>GTPE</v>
          </cell>
          <cell r="B483" t="str">
            <v>GUATAPE</v>
          </cell>
          <cell r="F483" t="str">
            <v>GUATAPE</v>
          </cell>
        </row>
        <row r="484">
          <cell r="A484" t="str">
            <v>GTPE</v>
          </cell>
          <cell r="B484" t="str">
            <v>GUATAPE</v>
          </cell>
          <cell r="F484" t="str">
            <v>GUATAPE</v>
          </cell>
        </row>
        <row r="485">
          <cell r="A485" t="str">
            <v>GVIO</v>
          </cell>
          <cell r="B485" t="str">
            <v>GUAVIO</v>
          </cell>
          <cell r="F485" t="str">
            <v>GUAVIO</v>
          </cell>
        </row>
        <row r="486">
          <cell r="A486" t="str">
            <v>GVIO</v>
          </cell>
          <cell r="B486" t="str">
            <v>GUAVIO</v>
          </cell>
          <cell r="F486" t="str">
            <v>GUAVIO</v>
          </cell>
        </row>
        <row r="487">
          <cell r="A487" t="str">
            <v>GVIO</v>
          </cell>
          <cell r="B487" t="str">
            <v>GUAVIO</v>
          </cell>
          <cell r="F487" t="str">
            <v>GUAVIO</v>
          </cell>
        </row>
        <row r="488">
          <cell r="A488" t="str">
            <v>GVIO</v>
          </cell>
          <cell r="B488" t="str">
            <v>GUAVIO</v>
          </cell>
          <cell r="F488" t="str">
            <v>GUAVIO</v>
          </cell>
        </row>
        <row r="489">
          <cell r="A489" t="str">
            <v>GVIO</v>
          </cell>
          <cell r="B489" t="str">
            <v>GUAVIO</v>
          </cell>
          <cell r="F489" t="str">
            <v>GUAVIO</v>
          </cell>
        </row>
        <row r="490">
          <cell r="A490" t="str">
            <v>PES1</v>
          </cell>
          <cell r="B490" t="str">
            <v>ITUANGO</v>
          </cell>
          <cell r="F490" t="str">
            <v>ITUANGO</v>
          </cell>
        </row>
        <row r="491">
          <cell r="A491" t="str">
            <v>PES1</v>
          </cell>
          <cell r="B491" t="str">
            <v>ITUANGO</v>
          </cell>
          <cell r="F491" t="str">
            <v>ITUANGO</v>
          </cell>
        </row>
        <row r="492">
          <cell r="A492" t="str">
            <v>PES1</v>
          </cell>
          <cell r="B492" t="str">
            <v>ITUANGO</v>
          </cell>
          <cell r="F492" t="str">
            <v>ITUANGO</v>
          </cell>
        </row>
        <row r="493">
          <cell r="A493" t="str">
            <v>PES1</v>
          </cell>
          <cell r="B493" t="str">
            <v>ITUANGO</v>
          </cell>
          <cell r="F493" t="str">
            <v>ITUANGO</v>
          </cell>
        </row>
        <row r="494">
          <cell r="A494" t="str">
            <v>JAGS</v>
          </cell>
          <cell r="B494" t="str">
            <v>JAGUAS</v>
          </cell>
          <cell r="F494" t="str">
            <v>JAGUAS</v>
          </cell>
        </row>
        <row r="495">
          <cell r="A495" t="str">
            <v>JAGS</v>
          </cell>
          <cell r="B495" t="str">
            <v>JAGUAS</v>
          </cell>
          <cell r="F495" t="str">
            <v>JAGUAS</v>
          </cell>
        </row>
        <row r="496">
          <cell r="B496" t="str">
            <v>LA GUACA</v>
          </cell>
          <cell r="F496" t="str">
            <v>LA GUACA</v>
          </cell>
        </row>
        <row r="497">
          <cell r="B497" t="str">
            <v>LA GUACA</v>
          </cell>
          <cell r="F497" t="str">
            <v>LA GUACA</v>
          </cell>
        </row>
        <row r="498">
          <cell r="B498" t="str">
            <v>LA GUACA</v>
          </cell>
          <cell r="F498" t="str">
            <v>LA GUACA</v>
          </cell>
        </row>
        <row r="499">
          <cell r="A499" t="str">
            <v>LTSJ</v>
          </cell>
          <cell r="B499" t="str">
            <v>LA TASAJERA</v>
          </cell>
          <cell r="F499" t="str">
            <v>LA TASAJERA</v>
          </cell>
        </row>
        <row r="500">
          <cell r="A500" t="str">
            <v>LTSJ</v>
          </cell>
          <cell r="B500" t="str">
            <v>LA TASAJERA</v>
          </cell>
          <cell r="F500" t="str">
            <v>LA TASAJERA</v>
          </cell>
        </row>
        <row r="501">
          <cell r="A501" t="str">
            <v>LTSJ</v>
          </cell>
          <cell r="B501" t="str">
            <v>LA TASAJERA</v>
          </cell>
          <cell r="F501" t="str">
            <v>LA TASAJERA</v>
          </cell>
        </row>
        <row r="502">
          <cell r="A502" t="str">
            <v>HMLG</v>
          </cell>
          <cell r="B502" t="str">
            <v>MIEL I</v>
          </cell>
          <cell r="F502" t="str">
            <v>MIEL I</v>
          </cell>
        </row>
        <row r="503">
          <cell r="A503" t="str">
            <v>HMLG</v>
          </cell>
          <cell r="B503" t="str">
            <v>MIEL I</v>
          </cell>
          <cell r="F503" t="str">
            <v>MIEL I</v>
          </cell>
        </row>
        <row r="504">
          <cell r="A504" t="str">
            <v>HMLG</v>
          </cell>
          <cell r="B504" t="str">
            <v>MIEL I</v>
          </cell>
          <cell r="F504" t="str">
            <v>MIEL I</v>
          </cell>
        </row>
        <row r="505">
          <cell r="B505" t="str">
            <v>PARAISO</v>
          </cell>
          <cell r="F505" t="str">
            <v>PARAISO</v>
          </cell>
        </row>
        <row r="506">
          <cell r="B506" t="str">
            <v>PARAISO</v>
          </cell>
          <cell r="F506" t="str">
            <v>PARAISO</v>
          </cell>
        </row>
        <row r="507">
          <cell r="B507" t="str">
            <v>PARAISO</v>
          </cell>
          <cell r="F507" t="str">
            <v>PARAISO</v>
          </cell>
        </row>
        <row r="508">
          <cell r="A508" t="str">
            <v>PLYS</v>
          </cell>
          <cell r="B508" t="str">
            <v>PLAYAS</v>
          </cell>
          <cell r="F508" t="str">
            <v>PLAYAS</v>
          </cell>
        </row>
        <row r="509">
          <cell r="A509" t="str">
            <v>PLYS</v>
          </cell>
          <cell r="B509" t="str">
            <v>PLAYAS</v>
          </cell>
          <cell r="F509" t="str">
            <v>PLAYAS</v>
          </cell>
        </row>
        <row r="510">
          <cell r="A510" t="str">
            <v>PLYS</v>
          </cell>
          <cell r="B510" t="str">
            <v>PLAYAS</v>
          </cell>
          <cell r="F510" t="str">
            <v>PLAYAS</v>
          </cell>
        </row>
        <row r="511">
          <cell r="A511" t="str">
            <v>PRC2</v>
          </cell>
          <cell r="B511" t="str">
            <v>PORCE II</v>
          </cell>
          <cell r="F511" t="str">
            <v>PORCE II</v>
          </cell>
        </row>
        <row r="512">
          <cell r="A512" t="str">
            <v>PRC2</v>
          </cell>
          <cell r="B512" t="str">
            <v>PORCE II</v>
          </cell>
          <cell r="F512" t="str">
            <v>PORCE II</v>
          </cell>
        </row>
        <row r="513">
          <cell r="A513" t="str">
            <v>PRC2</v>
          </cell>
          <cell r="B513" t="str">
            <v>PORCE II</v>
          </cell>
          <cell r="F513" t="str">
            <v>PORCE II</v>
          </cell>
        </row>
        <row r="514">
          <cell r="A514" t="str">
            <v>PRC3</v>
          </cell>
          <cell r="B514" t="str">
            <v>PORCE III</v>
          </cell>
          <cell r="F514" t="str">
            <v>PORCE III</v>
          </cell>
        </row>
        <row r="515">
          <cell r="A515" t="str">
            <v>PRC3</v>
          </cell>
          <cell r="B515" t="str">
            <v>PORCE III</v>
          </cell>
          <cell r="F515" t="str">
            <v>PORCE III</v>
          </cell>
        </row>
        <row r="516">
          <cell r="A516" t="str">
            <v>PRC3</v>
          </cell>
          <cell r="B516" t="str">
            <v>PORCE III</v>
          </cell>
          <cell r="F516" t="str">
            <v>PORCE III</v>
          </cell>
        </row>
        <row r="517">
          <cell r="A517" t="str">
            <v>PRC3</v>
          </cell>
          <cell r="B517" t="str">
            <v>PORCE III</v>
          </cell>
          <cell r="F517" t="str">
            <v>PORCE III</v>
          </cell>
        </row>
        <row r="518">
          <cell r="A518" t="str">
            <v>PRDO</v>
          </cell>
          <cell r="B518" t="str">
            <v>PRADO</v>
          </cell>
          <cell r="F518" t="str">
            <v>PRADO</v>
          </cell>
        </row>
        <row r="519">
          <cell r="A519" t="str">
            <v>PRDO</v>
          </cell>
          <cell r="B519" t="str">
            <v>PRADO</v>
          </cell>
          <cell r="F519" t="str">
            <v>PRADO</v>
          </cell>
        </row>
        <row r="520">
          <cell r="A520" t="str">
            <v>PRDO</v>
          </cell>
          <cell r="B520" t="str">
            <v>PRADO</v>
          </cell>
          <cell r="F520" t="str">
            <v>PRADO</v>
          </cell>
        </row>
        <row r="521">
          <cell r="A521" t="str">
            <v>2QEK</v>
          </cell>
          <cell r="B521" t="str">
            <v>SALTO II</v>
          </cell>
          <cell r="F521" t="str">
            <v>SALTO II</v>
          </cell>
        </row>
        <row r="522">
          <cell r="A522" t="str">
            <v>SLVJ</v>
          </cell>
          <cell r="B522" t="str">
            <v>SALVAJINA</v>
          </cell>
          <cell r="F522" t="str">
            <v>SALVAJINA</v>
          </cell>
        </row>
        <row r="523">
          <cell r="A523" t="str">
            <v>SLVJ</v>
          </cell>
          <cell r="B523" t="str">
            <v>SALVAJINA</v>
          </cell>
          <cell r="F523" t="str">
            <v>SALVAJINA</v>
          </cell>
        </row>
        <row r="524">
          <cell r="A524" t="str">
            <v>SLVJ</v>
          </cell>
          <cell r="B524" t="str">
            <v>SALVAJINA</v>
          </cell>
          <cell r="F524" t="str">
            <v>SALVAJINA</v>
          </cell>
        </row>
        <row r="525">
          <cell r="A525" t="str">
            <v>SNCR</v>
          </cell>
          <cell r="B525" t="str">
            <v>SAN CARLOS</v>
          </cell>
          <cell r="F525" t="str">
            <v>SAN CARLOS</v>
          </cell>
        </row>
        <row r="526">
          <cell r="A526" t="str">
            <v>SNCR</v>
          </cell>
          <cell r="B526" t="str">
            <v>SAN CARLOS</v>
          </cell>
          <cell r="F526" t="str">
            <v>SAN CARLOS</v>
          </cell>
        </row>
        <row r="527">
          <cell r="A527" t="str">
            <v>SNCR</v>
          </cell>
          <cell r="B527" t="str">
            <v>SAN CARLOS</v>
          </cell>
          <cell r="F527" t="str">
            <v>SAN CARLOS</v>
          </cell>
        </row>
        <row r="528">
          <cell r="A528" t="str">
            <v>SNCR</v>
          </cell>
          <cell r="B528" t="str">
            <v>SAN CARLOS</v>
          </cell>
          <cell r="F528" t="str">
            <v>SAN CARLOS</v>
          </cell>
        </row>
        <row r="529">
          <cell r="A529" t="str">
            <v>SNCR</v>
          </cell>
          <cell r="B529" t="str">
            <v>SAN CARLOS</v>
          </cell>
          <cell r="F529" t="str">
            <v>SAN CARLOS</v>
          </cell>
        </row>
        <row r="530">
          <cell r="A530" t="str">
            <v>SNCR</v>
          </cell>
          <cell r="B530" t="str">
            <v>SAN CARLOS</v>
          </cell>
          <cell r="F530" t="str">
            <v>SAN CARLOS</v>
          </cell>
        </row>
        <row r="531">
          <cell r="A531" t="str">
            <v>SNCR</v>
          </cell>
          <cell r="B531" t="str">
            <v>SAN CARLOS</v>
          </cell>
          <cell r="F531" t="str">
            <v>SAN CARLOS</v>
          </cell>
        </row>
        <row r="532">
          <cell r="A532" t="str">
            <v>SNCR</v>
          </cell>
          <cell r="B532" t="str">
            <v>SAN CARLOS</v>
          </cell>
          <cell r="F532" t="str">
            <v>SAN CARLOS</v>
          </cell>
        </row>
        <row r="533">
          <cell r="A533" t="str">
            <v>SNFR</v>
          </cell>
          <cell r="B533" t="str">
            <v>SAN FRANCISCO</v>
          </cell>
          <cell r="F533" t="str">
            <v>SAN FRANCISCO</v>
          </cell>
        </row>
        <row r="534">
          <cell r="A534" t="str">
            <v>SNFR</v>
          </cell>
          <cell r="B534" t="str">
            <v>SAN FRANCISCO</v>
          </cell>
          <cell r="F534" t="str">
            <v>SAN FRANCISCO</v>
          </cell>
        </row>
        <row r="535">
          <cell r="A535" t="str">
            <v>SNFR</v>
          </cell>
          <cell r="B535" t="str">
            <v>SAN FRANCISCO</v>
          </cell>
          <cell r="F535" t="str">
            <v>SAN FRANCISCO</v>
          </cell>
        </row>
        <row r="536">
          <cell r="A536" t="str">
            <v>SMI1</v>
          </cell>
          <cell r="B536" t="str">
            <v>SAN MIGUEL</v>
          </cell>
          <cell r="F536" t="str">
            <v>SAN MIGUEL</v>
          </cell>
        </row>
        <row r="537">
          <cell r="A537" t="str">
            <v>SMI1</v>
          </cell>
          <cell r="B537" t="str">
            <v>SAN MIGUEL</v>
          </cell>
          <cell r="F537" t="str">
            <v>SAN MIGUEL</v>
          </cell>
        </row>
        <row r="538">
          <cell r="A538" t="str">
            <v>SOG1</v>
          </cell>
          <cell r="B538" t="str">
            <v>SOGAMOSO</v>
          </cell>
          <cell r="F538" t="str">
            <v>SOGAMOSO</v>
          </cell>
        </row>
        <row r="539">
          <cell r="A539" t="str">
            <v>SOG1</v>
          </cell>
          <cell r="B539" t="str">
            <v>SOGAMOSO</v>
          </cell>
          <cell r="F539" t="str">
            <v>SOGAMOSO</v>
          </cell>
        </row>
        <row r="540">
          <cell r="A540" t="str">
            <v>SOG1</v>
          </cell>
          <cell r="B540" t="str">
            <v>SOGAMOSO</v>
          </cell>
          <cell r="F540" t="str">
            <v>SOGAMOSO</v>
          </cell>
        </row>
        <row r="541">
          <cell r="B541" t="str">
            <v>TRONERAS</v>
          </cell>
          <cell r="F541" t="str">
            <v>TRONERAS</v>
          </cell>
        </row>
        <row r="542">
          <cell r="B542" t="str">
            <v>TRONERAS</v>
          </cell>
          <cell r="F542" t="str">
            <v>TRONERAS</v>
          </cell>
        </row>
        <row r="543">
          <cell r="A543" t="str">
            <v>TUJ1</v>
          </cell>
          <cell r="B543" t="str">
            <v>TUNJITA</v>
          </cell>
          <cell r="F543" t="str">
            <v>TUNJITA</v>
          </cell>
        </row>
        <row r="544">
          <cell r="A544" t="str">
            <v>TUJ1</v>
          </cell>
          <cell r="B544" t="str">
            <v>TUNJITA</v>
          </cell>
          <cell r="F544" t="str">
            <v>TUNJITA</v>
          </cell>
        </row>
        <row r="545">
          <cell r="A545" t="str">
            <v>URA1</v>
          </cell>
          <cell r="B545" t="str">
            <v>URRA</v>
          </cell>
          <cell r="F545" t="str">
            <v>URRA</v>
          </cell>
        </row>
        <row r="546">
          <cell r="A546" t="str">
            <v>URA1</v>
          </cell>
          <cell r="B546" t="str">
            <v>URRA</v>
          </cell>
          <cell r="F546" t="str">
            <v>URRA</v>
          </cell>
        </row>
        <row r="547">
          <cell r="A547" t="str">
            <v>URA1</v>
          </cell>
          <cell r="B547" t="str">
            <v>URRA</v>
          </cell>
          <cell r="F547" t="str">
            <v>URRA</v>
          </cell>
        </row>
        <row r="548">
          <cell r="A548" t="str">
            <v>URA1</v>
          </cell>
          <cell r="B548" t="str">
            <v>URRA</v>
          </cell>
          <cell r="F548" t="str">
            <v>URRA</v>
          </cell>
        </row>
        <row r="549">
          <cell r="B549" t="str">
            <v>ALMA II</v>
          </cell>
        </row>
        <row r="550">
          <cell r="B550" t="str">
            <v>ATLANTICO</v>
          </cell>
        </row>
        <row r="551">
          <cell r="B551" t="str">
            <v>AUTOG BIOS CIENAGA ORO</v>
          </cell>
        </row>
        <row r="552">
          <cell r="B552" t="str">
            <v>AUTOG BIOS CONTEGRAL CARTAGO</v>
          </cell>
        </row>
        <row r="553">
          <cell r="B553" t="str">
            <v>AUTOG BIOS CONTEGRAL NEIVA</v>
          </cell>
        </row>
        <row r="554">
          <cell r="B554" t="str">
            <v>AUTOG BIOS FINCA BUGA</v>
          </cell>
        </row>
        <row r="555">
          <cell r="B555" t="str">
            <v>AUTOG BUGA I GRASAS</v>
          </cell>
        </row>
        <row r="556">
          <cell r="B556" t="str">
            <v>AUTOG BUGA I SOLLA</v>
          </cell>
        </row>
        <row r="557">
          <cell r="B557" t="str">
            <v>AUTOG CARVAJAL GINEBRA</v>
          </cell>
        </row>
        <row r="558">
          <cell r="B558" t="str">
            <v>AUTOG CELSIA SOLAR ESCOBAL CEMEX</v>
          </cell>
        </row>
        <row r="559">
          <cell r="B559" t="str">
            <v>AUTOG CELSIA SOLAR ESPINAL</v>
          </cell>
        </row>
        <row r="560">
          <cell r="B560" t="str">
            <v>AUTOG CELSIA SOLAR HARINAS</v>
          </cell>
        </row>
        <row r="561">
          <cell r="B561" t="str">
            <v>AUTOG CELSIA SOLAR LEVAPAN</v>
          </cell>
        </row>
        <row r="562">
          <cell r="B562" t="str">
            <v>AUTOG CELSIA SOLAR PALMIRA 3</v>
          </cell>
        </row>
        <row r="563">
          <cell r="B563" t="str">
            <v>AUTOG CELSIA SOLAR PALMIRA 3 ZONA FRANCA</v>
          </cell>
        </row>
        <row r="564">
          <cell r="B564" t="str">
            <v>AUTOG CELSIA SOLAR TQ JAMUNDI</v>
          </cell>
        </row>
        <row r="565">
          <cell r="B565" t="str">
            <v>AUTOG CELSIA SOLAR TQ TECNOSUR</v>
          </cell>
        </row>
        <row r="566">
          <cell r="B566" t="str">
            <v>AUTOG CELSIA SOLAR YUMBO</v>
          </cell>
        </row>
        <row r="567">
          <cell r="B567" t="str">
            <v>AUTOG CI JEANS</v>
          </cell>
        </row>
        <row r="568">
          <cell r="B568" t="str">
            <v>AUTOG COMOLSA</v>
          </cell>
        </row>
        <row r="569">
          <cell r="B569" t="str">
            <v>AUTOG CORONA SOPO</v>
          </cell>
        </row>
        <row r="570">
          <cell r="B570" t="str">
            <v>AUTOG EL COPEY</v>
          </cell>
        </row>
        <row r="571">
          <cell r="B571" t="str">
            <v>AUTOG HIDROSOLAR I</v>
          </cell>
        </row>
        <row r="572">
          <cell r="B572" t="str">
            <v>AUTOG MILPA SAN CARLOS</v>
          </cell>
        </row>
        <row r="573">
          <cell r="B573" t="str">
            <v>AUTOG MOLINOS SANTA MARTA</v>
          </cell>
        </row>
        <row r="574">
          <cell r="B574" t="str">
            <v>AUTOG PALMERAS DE LA COSTA</v>
          </cell>
        </row>
        <row r="575">
          <cell r="B575" t="str">
            <v>AUTOG PINTUCO</v>
          </cell>
        </row>
        <row r="576">
          <cell r="B576" t="str">
            <v>AUTOG QBCO</v>
          </cell>
        </row>
        <row r="577">
          <cell r="B577" t="str">
            <v>AUTOG SOLAR AYACUCHO</v>
          </cell>
        </row>
        <row r="578">
          <cell r="B578" t="str">
            <v>AUTOG SOLAR PALMIRA</v>
          </cell>
        </row>
        <row r="579">
          <cell r="B579" t="str">
            <v>AUTOG SOLAR PALMIRA II BERRY</v>
          </cell>
        </row>
        <row r="580">
          <cell r="B580" t="str">
            <v>AUTOG SOLAR VASCONIA</v>
          </cell>
        </row>
        <row r="581">
          <cell r="B581" t="str">
            <v>AUTOG UNIMINAS</v>
          </cell>
        </row>
        <row r="582">
          <cell r="B582" t="str">
            <v>BARAYA</v>
          </cell>
        </row>
        <row r="583">
          <cell r="B583" t="str">
            <v>BOSQUES SOLARES DE LOS LLANOS 4</v>
          </cell>
        </row>
        <row r="584">
          <cell r="B584" t="str">
            <v>BOSQUES SOLARES DE LOS LLANOS 5</v>
          </cell>
        </row>
        <row r="585">
          <cell r="B585" t="str">
            <v>BSB 500</v>
          </cell>
        </row>
        <row r="586">
          <cell r="B586" t="str">
            <v>BSB 501</v>
          </cell>
        </row>
        <row r="587">
          <cell r="B587" t="str">
            <v>BSB 502</v>
          </cell>
        </row>
        <row r="588">
          <cell r="B588" t="str">
            <v>BSB 503</v>
          </cell>
        </row>
        <row r="589">
          <cell r="B589" t="str">
            <v>BSB 504</v>
          </cell>
        </row>
        <row r="590">
          <cell r="B590" t="str">
            <v>BUENAVISTA</v>
          </cell>
        </row>
        <row r="591">
          <cell r="B591" t="str">
            <v>CAIMAN CIENAGUERO</v>
          </cell>
        </row>
        <row r="592">
          <cell r="B592" t="str">
            <v>CANAHUATE</v>
          </cell>
        </row>
        <row r="593">
          <cell r="A593" t="str">
            <v>3INX</v>
          </cell>
          <cell r="B593" t="str">
            <v>CARACOLI I</v>
          </cell>
        </row>
        <row r="594">
          <cell r="B594" t="str">
            <v>CELSIA SOLAR ALUMINA</v>
          </cell>
        </row>
        <row r="595">
          <cell r="B595" t="str">
            <v>CELSIA SOLAR BOLIVAR</v>
          </cell>
        </row>
        <row r="596">
          <cell r="B596" t="str">
            <v>CELSIA SOLAR BUGALAGRANDE</v>
          </cell>
        </row>
        <row r="597">
          <cell r="B597" t="str">
            <v>CELSIA SOLAR CARMELO</v>
          </cell>
        </row>
        <row r="598">
          <cell r="B598" t="str">
            <v>CELSIA SOLAR DULIMA</v>
          </cell>
        </row>
        <row r="599">
          <cell r="B599" t="str">
            <v>CELSIA SOLAR ESCOBAL I</v>
          </cell>
        </row>
        <row r="600">
          <cell r="B600" t="str">
            <v>CELSIA SOLAR ESCOBAL II</v>
          </cell>
        </row>
        <row r="601">
          <cell r="B601" t="str">
            <v>CELSIA SOLAR ESCOBAL III</v>
          </cell>
        </row>
        <row r="602">
          <cell r="B602" t="str">
            <v>CELSIA SOLAR ESCOBAL IV</v>
          </cell>
        </row>
        <row r="603">
          <cell r="B603" t="str">
            <v>CELSIA SOLAR ESCOBAL V</v>
          </cell>
        </row>
        <row r="604">
          <cell r="B604" t="str">
            <v>CELSIA SOLAR LA PAILA</v>
          </cell>
        </row>
        <row r="605">
          <cell r="B605" t="str">
            <v>CELSIA SOLAR LA VICTORIA I</v>
          </cell>
        </row>
        <row r="606">
          <cell r="B606" t="str">
            <v>CELSIA SOLAR LA VICTORIA II</v>
          </cell>
        </row>
        <row r="607">
          <cell r="B607" t="str">
            <v>CELSIA SOLAR PUERTO TEJADA</v>
          </cell>
        </row>
        <row r="608">
          <cell r="B608" t="str">
            <v>CELSIA SOLAR YUMA</v>
          </cell>
        </row>
        <row r="609">
          <cell r="B609" t="str">
            <v>CENTRO SOLAR</v>
          </cell>
        </row>
        <row r="610">
          <cell r="B610" t="str">
            <v>CERRITOS</v>
          </cell>
        </row>
        <row r="611">
          <cell r="B611" t="str">
            <v>CHENCHE PURIFICACION</v>
          </cell>
        </row>
        <row r="612">
          <cell r="B612" t="str">
            <v>COMUNIDAD EL SALVADOR I</v>
          </cell>
        </row>
        <row r="613">
          <cell r="B613" t="str">
            <v>COMUNIDAD EL SALVADOR II</v>
          </cell>
        </row>
        <row r="614">
          <cell r="B614" t="str">
            <v>CONDOR</v>
          </cell>
        </row>
        <row r="615">
          <cell r="B615" t="str">
            <v>DELTA I</v>
          </cell>
        </row>
        <row r="616">
          <cell r="B616" t="str">
            <v>ECOPARQUE SOLAR LA CIRA</v>
          </cell>
        </row>
        <row r="617">
          <cell r="A617" t="str">
            <v>EPFV</v>
          </cell>
          <cell r="B617" t="str">
            <v>EL PASO</v>
          </cell>
        </row>
        <row r="618">
          <cell r="B618" t="str">
            <v>EL TAMARINDO I</v>
          </cell>
        </row>
        <row r="619">
          <cell r="B619" t="str">
            <v>EL TAMARINDO II</v>
          </cell>
        </row>
        <row r="620">
          <cell r="A620" t="str">
            <v>3HF5</v>
          </cell>
          <cell r="B620" t="str">
            <v>FUNDACION</v>
          </cell>
        </row>
        <row r="621">
          <cell r="B621" t="str">
            <v>GANDALF</v>
          </cell>
        </row>
        <row r="622">
          <cell r="B622" t="str">
            <v>GD AGUSTIN I</v>
          </cell>
        </row>
        <row r="623">
          <cell r="B623" t="str">
            <v>GD AGUSTIN II</v>
          </cell>
        </row>
        <row r="624">
          <cell r="B624" t="str">
            <v>GD AGUSTIN III</v>
          </cell>
        </row>
        <row r="625">
          <cell r="B625" t="str">
            <v>GD ALAMO SOLAR</v>
          </cell>
        </row>
        <row r="626">
          <cell r="B626" t="str">
            <v>GD ALEJANDRIA I</v>
          </cell>
        </row>
        <row r="627">
          <cell r="B627" t="str">
            <v>GD ALEJANDRIA II</v>
          </cell>
        </row>
        <row r="628">
          <cell r="B628" t="str">
            <v>GD ALEJANDRIA III</v>
          </cell>
        </row>
        <row r="629">
          <cell r="B629" t="str">
            <v>GD ALFEREZ</v>
          </cell>
        </row>
        <row r="630">
          <cell r="B630" t="str">
            <v>GD ASTROLUMEN LA GARITA</v>
          </cell>
        </row>
        <row r="631">
          <cell r="B631" t="str">
            <v>GD BASILICA</v>
          </cell>
        </row>
        <row r="632">
          <cell r="B632" t="str">
            <v>GD BIOSOLAR</v>
          </cell>
        </row>
        <row r="633">
          <cell r="B633" t="str">
            <v>GD BLANCA ENERGY I</v>
          </cell>
        </row>
        <row r="634">
          <cell r="B634" t="str">
            <v>GD BLANCA ENERGY II</v>
          </cell>
        </row>
        <row r="635">
          <cell r="B635" t="str">
            <v>GD BLANCA ENERGY III</v>
          </cell>
        </row>
        <row r="636">
          <cell r="B636" t="str">
            <v>GD BLANCA ENERGY SOLAR 23</v>
          </cell>
        </row>
        <row r="637">
          <cell r="B637" t="str">
            <v>GD BLANCA ENERGY SOLAR 24</v>
          </cell>
        </row>
        <row r="638">
          <cell r="B638" t="str">
            <v>GD BOCAS DEL PALO</v>
          </cell>
        </row>
        <row r="639">
          <cell r="B639" t="str">
            <v>GD BONILLA A I</v>
          </cell>
        </row>
        <row r="640">
          <cell r="B640" t="str">
            <v>GD BONILLA A II</v>
          </cell>
        </row>
        <row r="641">
          <cell r="B641" t="str">
            <v>GD BONILLA A III</v>
          </cell>
        </row>
        <row r="642">
          <cell r="B642" t="str">
            <v>GD BONILLA A IV</v>
          </cell>
        </row>
        <row r="643">
          <cell r="B643" t="str">
            <v>GD BONILLA A V</v>
          </cell>
        </row>
        <row r="644">
          <cell r="B644" t="str">
            <v>GD CADILLO II</v>
          </cell>
        </row>
        <row r="645">
          <cell r="B645" t="str">
            <v>GD CALIPSO SOLAR</v>
          </cell>
        </row>
        <row r="646">
          <cell r="B646" t="str">
            <v>GD CANARIOS I</v>
          </cell>
        </row>
        <row r="647">
          <cell r="B647" t="str">
            <v>GD CANARIOS II</v>
          </cell>
        </row>
        <row r="648">
          <cell r="B648" t="str">
            <v>GD CANARIOS III</v>
          </cell>
        </row>
        <row r="649">
          <cell r="B649" t="str">
            <v>GD CARACOL I</v>
          </cell>
        </row>
        <row r="650">
          <cell r="B650" t="str">
            <v>GD CARACOL II</v>
          </cell>
        </row>
        <row r="651">
          <cell r="B651" t="str">
            <v>GD CARACOL III</v>
          </cell>
        </row>
        <row r="652">
          <cell r="B652" t="str">
            <v>GD CHICORAL</v>
          </cell>
        </row>
        <row r="653">
          <cell r="B653" t="str">
            <v>GD CHIMBI</v>
          </cell>
        </row>
        <row r="654">
          <cell r="B654" t="str">
            <v>GD CHIRIGUANA NORTE I</v>
          </cell>
        </row>
        <row r="655">
          <cell r="B655" t="str">
            <v>GD CHIRIGUANA NORTE II</v>
          </cell>
        </row>
        <row r="656">
          <cell r="B656" t="str">
            <v>GD CHIRIGUANA NORTE IV</v>
          </cell>
        </row>
        <row r="657">
          <cell r="B657" t="str">
            <v>GD CORALITO</v>
          </cell>
        </row>
        <row r="658">
          <cell r="B658" t="str">
            <v>GD CSF ARENALES I</v>
          </cell>
        </row>
        <row r="659">
          <cell r="B659" t="str">
            <v>GD DELTA II</v>
          </cell>
        </row>
        <row r="660">
          <cell r="B660" t="str">
            <v>GD DIOCESIS DE RIOHACHA</v>
          </cell>
        </row>
        <row r="661">
          <cell r="B661" t="str">
            <v>GD EDEQ SOLAR LA TEBAIDA</v>
          </cell>
        </row>
        <row r="662">
          <cell r="B662" t="str">
            <v>GD EDEQ SOLAR MONTENEGRO</v>
          </cell>
        </row>
        <row r="663">
          <cell r="B663" t="str">
            <v>GD EL BANCO</v>
          </cell>
        </row>
        <row r="664">
          <cell r="B664" t="str">
            <v>GD EL CASTILLO I</v>
          </cell>
        </row>
        <row r="665">
          <cell r="B665" t="str">
            <v>GD EL CASTILLO II</v>
          </cell>
        </row>
        <row r="666">
          <cell r="B666" t="str">
            <v>GD EL CASTILLO III</v>
          </cell>
        </row>
        <row r="667">
          <cell r="B667" t="str">
            <v>GD EL CASTILLO IV</v>
          </cell>
        </row>
        <row r="668">
          <cell r="B668" t="str">
            <v>GD EL CASTILLO V</v>
          </cell>
        </row>
        <row r="669">
          <cell r="B669" t="str">
            <v>GD EL MANDARINO</v>
          </cell>
        </row>
        <row r="670">
          <cell r="B670" t="str">
            <v>GD EL PASO NORTE</v>
          </cell>
        </row>
        <row r="671">
          <cell r="B671" t="str">
            <v>GD EL ROBLE</v>
          </cell>
        </row>
        <row r="672">
          <cell r="B672" t="str">
            <v>GD EMPERATRIZ I</v>
          </cell>
        </row>
        <row r="673">
          <cell r="B673" t="str">
            <v>GD EMPERATRIZ II</v>
          </cell>
        </row>
        <row r="674">
          <cell r="B674" t="str">
            <v>GD ENCANTO</v>
          </cell>
        </row>
        <row r="675">
          <cell r="B675" t="str">
            <v>GD ERCO GOLONDRINA I</v>
          </cell>
        </row>
        <row r="676">
          <cell r="B676" t="str">
            <v>GD ERCO GOLONDRINA II</v>
          </cell>
        </row>
        <row r="677">
          <cell r="B677" t="str">
            <v>GD ERCO GUAMO I</v>
          </cell>
        </row>
        <row r="678">
          <cell r="B678" t="str">
            <v>GD ERCO GUAMO II</v>
          </cell>
        </row>
        <row r="679">
          <cell r="B679" t="str">
            <v>GD ERCO GUAMO III</v>
          </cell>
        </row>
        <row r="680">
          <cell r="B680" t="str">
            <v>GD ERCO GUAMO IV</v>
          </cell>
        </row>
        <row r="681">
          <cell r="B681" t="str">
            <v>GD ERCO ISIDORI</v>
          </cell>
        </row>
        <row r="682">
          <cell r="B682" t="str">
            <v>GD ERCO LAS PIEDRAS I</v>
          </cell>
        </row>
        <row r="683">
          <cell r="B683" t="str">
            <v>GD ERCO LAS PIEDRAS II</v>
          </cell>
        </row>
        <row r="684">
          <cell r="B684" t="str">
            <v>GD ERCO MARIANGOLA</v>
          </cell>
        </row>
        <row r="685">
          <cell r="B685" t="str">
            <v>GD ERCO PALMAS</v>
          </cell>
        </row>
        <row r="686">
          <cell r="B686" t="str">
            <v>GD ERCO PALMAS II</v>
          </cell>
        </row>
        <row r="687">
          <cell r="B687" t="str">
            <v>GD ERCO SALDANA I</v>
          </cell>
        </row>
        <row r="688">
          <cell r="B688" t="str">
            <v>GD ERCO SALDANA II</v>
          </cell>
        </row>
        <row r="689">
          <cell r="B689" t="str">
            <v>GD ERCO TOLDADO</v>
          </cell>
        </row>
        <row r="690">
          <cell r="B690" t="str">
            <v>GD ESPERANZA I</v>
          </cell>
        </row>
        <row r="691">
          <cell r="B691" t="str">
            <v>GD ESPERANZA I ETAPA II</v>
          </cell>
        </row>
        <row r="692">
          <cell r="B692" t="str">
            <v>GD ESPERANZA II</v>
          </cell>
        </row>
        <row r="693">
          <cell r="B693" t="str">
            <v>GD FINCA ISABEL LOPEZ</v>
          </cell>
        </row>
        <row r="694">
          <cell r="B694" t="str">
            <v>GD FINCA JM</v>
          </cell>
        </row>
        <row r="695">
          <cell r="B695" t="str">
            <v>GD GALERAS OCCIDENTE</v>
          </cell>
        </row>
        <row r="696">
          <cell r="B696" t="str">
            <v>GD GALILEO SOLAR</v>
          </cell>
        </row>
        <row r="697">
          <cell r="B697" t="str">
            <v>GD GOLONDRINA</v>
          </cell>
        </row>
        <row r="698">
          <cell r="B698" t="str">
            <v>GD GRANJA LA RUBIELA</v>
          </cell>
        </row>
        <row r="699">
          <cell r="B699" t="str">
            <v>GD GRANJA SAN PELAYO</v>
          </cell>
        </row>
        <row r="700">
          <cell r="B700" t="str">
            <v>GD GRANJA SOLAR SAN AGUSTIN</v>
          </cell>
        </row>
        <row r="701">
          <cell r="B701" t="str">
            <v>GD JARDINCITO</v>
          </cell>
        </row>
        <row r="702">
          <cell r="B702" t="str">
            <v>GD LA CACICA</v>
          </cell>
        </row>
        <row r="703">
          <cell r="B703" t="str">
            <v>GD LA CATEDRAL</v>
          </cell>
        </row>
        <row r="704">
          <cell r="B704" t="str">
            <v>GD LA HONDA</v>
          </cell>
        </row>
        <row r="705">
          <cell r="B705" t="str">
            <v>GD LA HORMIGUITA</v>
          </cell>
        </row>
        <row r="706">
          <cell r="B706" t="str">
            <v>GD LA MACANA</v>
          </cell>
        </row>
        <row r="707">
          <cell r="B707" t="str">
            <v>GD LA URIBE</v>
          </cell>
        </row>
        <row r="708">
          <cell r="B708" t="str">
            <v>GD LAS MERCEDES I</v>
          </cell>
        </row>
        <row r="709">
          <cell r="B709" t="str">
            <v>GD LAS MERCEDES II</v>
          </cell>
        </row>
        <row r="710">
          <cell r="B710" t="str">
            <v>GD LAS PILONERAS</v>
          </cell>
        </row>
        <row r="711">
          <cell r="B711" t="str">
            <v>GD LEGACY</v>
          </cell>
        </row>
        <row r="712">
          <cell r="B712" t="str">
            <v>GD LOS CHORROS</v>
          </cell>
        </row>
        <row r="713">
          <cell r="B713" t="str">
            <v>GD LOS MANGOS I</v>
          </cell>
        </row>
        <row r="714">
          <cell r="B714" t="str">
            <v>GD LOS MANGOS II</v>
          </cell>
        </row>
        <row r="715">
          <cell r="B715" t="str">
            <v>GD LOS MANGOS III</v>
          </cell>
        </row>
        <row r="716">
          <cell r="B716" t="str">
            <v>GD LYRA</v>
          </cell>
        </row>
        <row r="717">
          <cell r="B717" t="str">
            <v>GD LYRA II</v>
          </cell>
        </row>
        <row r="718">
          <cell r="B718" t="str">
            <v>GD MEISSA II</v>
          </cell>
        </row>
        <row r="719">
          <cell r="B719" t="str">
            <v>GD MGS 0013 LA MESA</v>
          </cell>
        </row>
        <row r="720">
          <cell r="B720" t="str">
            <v>GD NAOS I</v>
          </cell>
        </row>
        <row r="721">
          <cell r="B721" t="str">
            <v>GD NAOS II</v>
          </cell>
        </row>
        <row r="722">
          <cell r="B722" t="str">
            <v>GD NAOS III</v>
          </cell>
        </row>
        <row r="723">
          <cell r="B723" t="str">
            <v>GD NAOS IV</v>
          </cell>
        </row>
        <row r="724">
          <cell r="B724" t="str">
            <v>GD NAOS V</v>
          </cell>
        </row>
        <row r="725">
          <cell r="B725" t="str">
            <v>GD NOVA I</v>
          </cell>
        </row>
        <row r="726">
          <cell r="B726" t="str">
            <v>GD ORBIS</v>
          </cell>
        </row>
        <row r="727">
          <cell r="B727" t="str">
            <v>GD PALERMO</v>
          </cell>
        </row>
        <row r="728">
          <cell r="B728" t="str">
            <v>GD PALMERAS I</v>
          </cell>
        </row>
        <row r="729">
          <cell r="B729" t="str">
            <v>GD PALMERAS II</v>
          </cell>
        </row>
        <row r="730">
          <cell r="B730" t="str">
            <v>GD PALMERAS III</v>
          </cell>
        </row>
        <row r="731">
          <cell r="B731" t="str">
            <v>GD PALMERAS IV</v>
          </cell>
        </row>
        <row r="732">
          <cell r="B732" t="str">
            <v>GD PARQUE SOLAR GRANADA I</v>
          </cell>
        </row>
        <row r="733">
          <cell r="B733" t="str">
            <v>GD PARQUE SOLAR GRANADA II</v>
          </cell>
        </row>
        <row r="734">
          <cell r="B734" t="str">
            <v>GD PARQUE SOLAR LA ESPERANZA</v>
          </cell>
        </row>
        <row r="735">
          <cell r="B735" t="str">
            <v>GD PARQUE SOLAR TRONCAL</v>
          </cell>
        </row>
        <row r="736">
          <cell r="B736" t="str">
            <v>GD PARQUE SOLAR TRONCAL II</v>
          </cell>
        </row>
        <row r="737">
          <cell r="B737" t="str">
            <v>GD PEGASUS SOLAR</v>
          </cell>
        </row>
        <row r="738">
          <cell r="B738" t="str">
            <v>GD PIEDECUESTA I</v>
          </cell>
        </row>
        <row r="739">
          <cell r="B739" t="str">
            <v>GD PIEDECUESTA II</v>
          </cell>
        </row>
        <row r="740">
          <cell r="B740" t="str">
            <v>GD PIEDECUESTA III</v>
          </cell>
        </row>
        <row r="741">
          <cell r="B741" t="str">
            <v>GD PISINGO I</v>
          </cell>
        </row>
        <row r="742">
          <cell r="B742" t="str">
            <v>GD PISINGO II</v>
          </cell>
        </row>
        <row r="743">
          <cell r="B743" t="str">
            <v>GD POLARIS II</v>
          </cell>
        </row>
        <row r="744">
          <cell r="B744" t="str">
            <v>GD POLARIS III</v>
          </cell>
        </row>
        <row r="745">
          <cell r="B745" t="str">
            <v>GD PULOY</v>
          </cell>
        </row>
        <row r="746">
          <cell r="B746" t="str">
            <v>GD PXV I</v>
          </cell>
        </row>
        <row r="747">
          <cell r="B747" t="str">
            <v>GD PXV II</v>
          </cell>
        </row>
        <row r="748">
          <cell r="B748" t="str">
            <v>GD PXV IV</v>
          </cell>
        </row>
        <row r="749">
          <cell r="B749" t="str">
            <v>GD RIGEL SOLAR</v>
          </cell>
        </row>
        <row r="750">
          <cell r="B750" t="str">
            <v>GD SABANA DE TORRES</v>
          </cell>
        </row>
        <row r="751">
          <cell r="B751" t="str">
            <v>GD SAN MARTIN</v>
          </cell>
        </row>
        <row r="752">
          <cell r="B752" t="str">
            <v>GD SAN MARTIN I</v>
          </cell>
        </row>
        <row r="753">
          <cell r="B753" t="str">
            <v>GD SAN MARTIN II</v>
          </cell>
        </row>
        <row r="754">
          <cell r="B754" t="str">
            <v>GD SAN MARTIN III</v>
          </cell>
        </row>
        <row r="755">
          <cell r="B755" t="str">
            <v>GD SAN ONOFRE I</v>
          </cell>
        </row>
        <row r="756">
          <cell r="B756" t="str">
            <v>GD SAN ONOFRE II</v>
          </cell>
        </row>
        <row r="757">
          <cell r="B757" t="str">
            <v>GD SAN ONOFRE III</v>
          </cell>
        </row>
        <row r="758">
          <cell r="B758" t="str">
            <v>GD SAN PELAYO</v>
          </cell>
        </row>
        <row r="759">
          <cell r="B759" t="str">
            <v>GD SEMILLA DE EL PASO IIIA</v>
          </cell>
        </row>
        <row r="760">
          <cell r="B760" t="str">
            <v>GD SEMILLA DE EL PASO IVA</v>
          </cell>
        </row>
        <row r="761">
          <cell r="B761" t="str">
            <v>GD SEMILLA DE GUACAMAYAL II</v>
          </cell>
        </row>
        <row r="762">
          <cell r="B762" t="str">
            <v>GD SEMILLA DEL PASO IA</v>
          </cell>
        </row>
        <row r="763">
          <cell r="B763" t="str">
            <v>GD SEMILLA DEL PASO III</v>
          </cell>
        </row>
        <row r="764">
          <cell r="B764" t="str">
            <v>GD SEMILLAS DE CERETE II</v>
          </cell>
        </row>
        <row r="765">
          <cell r="B765" t="str">
            <v>GD SEMILLAS MONTERIA I</v>
          </cell>
        </row>
        <row r="766">
          <cell r="B766" t="str">
            <v>GD SEMILLAS MONTERIA II</v>
          </cell>
        </row>
        <row r="767">
          <cell r="B767" t="str">
            <v>GD SEVILLANO RURAL I</v>
          </cell>
        </row>
        <row r="768">
          <cell r="B768" t="str">
            <v>GD SEVILLANO RURAL II</v>
          </cell>
        </row>
        <row r="769">
          <cell r="B769" t="str">
            <v>GD SINAI</v>
          </cell>
        </row>
        <row r="770">
          <cell r="B770" t="str">
            <v>GD SOL Y CIELO X</v>
          </cell>
        </row>
        <row r="771">
          <cell r="B771" t="str">
            <v>GD SOL Y CIELO XI</v>
          </cell>
        </row>
        <row r="772">
          <cell r="B772" t="str">
            <v>GD SOL Y CIELO XII</v>
          </cell>
        </row>
        <row r="773">
          <cell r="B773" t="str">
            <v>GD SOL Y CIELO XIII</v>
          </cell>
        </row>
        <row r="774">
          <cell r="B774" t="str">
            <v>GD SOL Y CIELO XIV</v>
          </cell>
        </row>
        <row r="775">
          <cell r="B775" t="str">
            <v>GD SOLYCIELO 9</v>
          </cell>
        </row>
        <row r="776">
          <cell r="B776" t="str">
            <v>GD SUAMOX</v>
          </cell>
        </row>
        <row r="777">
          <cell r="B777" t="str">
            <v>GD TAURUS IX</v>
          </cell>
        </row>
        <row r="778">
          <cell r="B778" t="str">
            <v>GD TAURUS VIII</v>
          </cell>
        </row>
        <row r="779">
          <cell r="B779" t="str">
            <v>GD TAURUS X</v>
          </cell>
        </row>
        <row r="780">
          <cell r="B780" t="str">
            <v>GD TITAN SOLAR</v>
          </cell>
        </row>
        <row r="781">
          <cell r="B781" t="str">
            <v>GD VEGA I</v>
          </cell>
        </row>
        <row r="782">
          <cell r="B782" t="str">
            <v>GD VEGA II</v>
          </cell>
        </row>
        <row r="783">
          <cell r="B783" t="str">
            <v>GD VITERBO I</v>
          </cell>
        </row>
        <row r="784">
          <cell r="B784" t="str">
            <v>GD VITERBO II</v>
          </cell>
        </row>
        <row r="785">
          <cell r="B785" t="str">
            <v>GD WE202</v>
          </cell>
        </row>
        <row r="786">
          <cell r="B786" t="str">
            <v>GD WE2021</v>
          </cell>
        </row>
        <row r="787">
          <cell r="B787" t="str">
            <v>GD YUAN SOLAR</v>
          </cell>
        </row>
        <row r="788">
          <cell r="B788" t="str">
            <v>GD YURBAQUA</v>
          </cell>
        </row>
        <row r="789">
          <cell r="B789" t="str">
            <v>GR PARQUE SOLAR TUCANES</v>
          </cell>
        </row>
        <row r="790">
          <cell r="B790" t="str">
            <v>GRANJA SOLAR ASTURIAS</v>
          </cell>
        </row>
        <row r="791">
          <cell r="B791" t="str">
            <v>GRANJA SOLAR BELMONTE</v>
          </cell>
        </row>
        <row r="792">
          <cell r="B792" t="str">
            <v>GRANJA SOLAR EL SALADO</v>
          </cell>
        </row>
        <row r="793">
          <cell r="B793" t="str">
            <v>GRANJA SOLAR FLANDES</v>
          </cell>
        </row>
        <row r="794">
          <cell r="B794" t="str">
            <v>GRANJA SOLAR LA GARITA</v>
          </cell>
        </row>
        <row r="795">
          <cell r="B795" t="str">
            <v>GRANJA SOLAR LANCEROS</v>
          </cell>
        </row>
        <row r="796">
          <cell r="B796" t="str">
            <v>GRANJA SOLAR SAN FELIPE</v>
          </cell>
        </row>
        <row r="797">
          <cell r="B797" t="str">
            <v>GUAMO</v>
          </cell>
        </row>
        <row r="798">
          <cell r="A798" t="str">
            <v>GYPO</v>
          </cell>
          <cell r="B798" t="str">
            <v>GUAYEPO</v>
          </cell>
        </row>
        <row r="799">
          <cell r="A799" t="str">
            <v>GYP3</v>
          </cell>
          <cell r="B799" t="str">
            <v>GUAYEPO III</v>
          </cell>
        </row>
        <row r="800">
          <cell r="B800" t="str">
            <v>GY SOLAR AURORA</v>
          </cell>
        </row>
        <row r="801">
          <cell r="B801" t="str">
            <v>HELIOS I</v>
          </cell>
        </row>
        <row r="802">
          <cell r="B802" t="str">
            <v>JEQUES</v>
          </cell>
        </row>
        <row r="803">
          <cell r="B803" t="str">
            <v>JUMI</v>
          </cell>
        </row>
        <row r="804">
          <cell r="B804" t="str">
            <v>LA INGLESA</v>
          </cell>
        </row>
        <row r="805">
          <cell r="B805" t="str">
            <v>LA MARTINA</v>
          </cell>
        </row>
        <row r="806">
          <cell r="A806" t="str">
            <v>MATA</v>
          </cell>
          <cell r="B806" t="str">
            <v>LA MATA</v>
          </cell>
        </row>
        <row r="807">
          <cell r="B807" t="str">
            <v>LA MEDINA</v>
          </cell>
        </row>
        <row r="808">
          <cell r="B808" t="str">
            <v>LA NENERA</v>
          </cell>
        </row>
        <row r="809">
          <cell r="B809" t="str">
            <v>LA PAZ</v>
          </cell>
        </row>
        <row r="810">
          <cell r="B810" t="str">
            <v>LA SIERPE</v>
          </cell>
        </row>
        <row r="811">
          <cell r="B811" t="str">
            <v>LA TOLUA</v>
          </cell>
        </row>
        <row r="812">
          <cell r="A812" t="str">
            <v>3DDT</v>
          </cell>
          <cell r="B812" t="str">
            <v>LATAM SOLAR LA LOMA</v>
          </cell>
        </row>
        <row r="813">
          <cell r="B813" t="str">
            <v>LOS CABALLEROS</v>
          </cell>
        </row>
        <row r="814">
          <cell r="B814" t="str">
            <v>LOS GIRASOLES</v>
          </cell>
        </row>
        <row r="815">
          <cell r="B815" t="str">
            <v>MINIGRANJA EL COPEY OCCIDENTE</v>
          </cell>
        </row>
        <row r="816">
          <cell r="B816" t="str">
            <v>MINIGRANJA EL JOROPO</v>
          </cell>
        </row>
        <row r="817">
          <cell r="B817" t="str">
            <v>MINIGRANJA EL MAPALE</v>
          </cell>
        </row>
        <row r="818">
          <cell r="B818" t="str">
            <v>MINIGRANJA EL MERENGUE</v>
          </cell>
        </row>
        <row r="819">
          <cell r="B819" t="str">
            <v>MINIGRANJA EL MOLINO</v>
          </cell>
        </row>
        <row r="820">
          <cell r="B820" t="str">
            <v>MINIGRANJA EL OLIMPO</v>
          </cell>
        </row>
        <row r="821">
          <cell r="B821" t="str">
            <v>MINIGRANJA EL SON</v>
          </cell>
        </row>
        <row r="822">
          <cell r="B822" t="str">
            <v>MINIGRANJA IBIRICO</v>
          </cell>
        </row>
        <row r="823">
          <cell r="B823" t="str">
            <v>MINIGRANJA LA CUMBIA</v>
          </cell>
        </row>
        <row r="824">
          <cell r="B824" t="str">
            <v>MINIGRANJA LA PAZ ESMERALDA</v>
          </cell>
        </row>
        <row r="825">
          <cell r="B825" t="str">
            <v>MINIGRANJA LA PAZ LEYENDA</v>
          </cell>
        </row>
        <row r="826">
          <cell r="B826" t="str">
            <v>MINIGRANJA LA PAZ VALLENATA</v>
          </cell>
        </row>
        <row r="827">
          <cell r="B827" t="str">
            <v>MINIGRANJA LA PAZ VERSO</v>
          </cell>
        </row>
        <row r="828">
          <cell r="B828" t="str">
            <v>MINIGRANJA LA PUYA</v>
          </cell>
        </row>
        <row r="829">
          <cell r="B829" t="str">
            <v>MINIGRANJA LA RESERVA</v>
          </cell>
        </row>
        <row r="830">
          <cell r="B830" t="str">
            <v>MINIGRANJA SAN DIEGO SUR</v>
          </cell>
        </row>
        <row r="831">
          <cell r="B831" t="str">
            <v>MINIGRANJA SAN PEDRO</v>
          </cell>
        </row>
        <row r="832">
          <cell r="B832" t="str">
            <v>MINIGRANJA VALENCIA ORIENTE I</v>
          </cell>
        </row>
        <row r="833">
          <cell r="B833" t="str">
            <v>MINIGRANJA VALENCIA ORIENTE II</v>
          </cell>
        </row>
        <row r="834">
          <cell r="B834" t="str">
            <v>MINIGRANJA VILLANUEVA</v>
          </cell>
        </row>
        <row r="835">
          <cell r="B835" t="str">
            <v>MONTELIBANO</v>
          </cell>
        </row>
        <row r="836">
          <cell r="B836" t="str">
            <v>NUMBANA</v>
          </cell>
        </row>
        <row r="837">
          <cell r="B837" t="str">
            <v>PARQUE SOLAR ARENAL</v>
          </cell>
        </row>
        <row r="838">
          <cell r="B838" t="str">
            <v>PARQUE SOLAR BARANOA</v>
          </cell>
        </row>
        <row r="839">
          <cell r="B839" t="str">
            <v>PARQUE SOLAR BUGAMBILES</v>
          </cell>
        </row>
        <row r="840">
          <cell r="B840" t="str">
            <v>PARQUE SOLAR CRLI</v>
          </cell>
        </row>
        <row r="841">
          <cell r="B841" t="str">
            <v>PARQUE SOLAR DINAMARCA</v>
          </cell>
        </row>
        <row r="842">
          <cell r="B842" t="str">
            <v>PARQUE SOLAR EL JARDIN</v>
          </cell>
        </row>
        <row r="843">
          <cell r="B843" t="str">
            <v>PARQUE SOLAR HATO GRANDE</v>
          </cell>
        </row>
        <row r="844">
          <cell r="B844" t="str">
            <v>PARQUE SOLAR HONDA I</v>
          </cell>
        </row>
        <row r="845">
          <cell r="B845" t="str">
            <v>PARQUE SOLAR HONDA II</v>
          </cell>
        </row>
        <row r="846">
          <cell r="B846" t="str">
            <v>PARQUE SOLAR INTI I</v>
          </cell>
        </row>
        <row r="847">
          <cell r="B847" t="str">
            <v>PARQUE SOLAR LA MENA</v>
          </cell>
        </row>
        <row r="848">
          <cell r="A848" t="str">
            <v>3IZ6</v>
          </cell>
          <cell r="B848" t="str">
            <v>PARQUE SOLAR LA UNION</v>
          </cell>
        </row>
        <row r="849">
          <cell r="B849" t="str">
            <v>PARQUE SOLAR NISPEROS</v>
          </cell>
        </row>
        <row r="850">
          <cell r="A850" t="str">
            <v>PORO</v>
          </cell>
          <cell r="B850" t="str">
            <v>PARQUE SOLAR PUERTA DE ORO</v>
          </cell>
        </row>
        <row r="851">
          <cell r="B851" t="str">
            <v>PARQUE SOLAR SABANA</v>
          </cell>
        </row>
        <row r="852">
          <cell r="A852" t="str">
            <v>TPUY</v>
          </cell>
          <cell r="B852" t="str">
            <v>PARQUE SOLAR TEPUY</v>
          </cell>
        </row>
        <row r="853">
          <cell r="B853" t="str">
            <v>PARQUE SOLAR URRA</v>
          </cell>
        </row>
        <row r="854">
          <cell r="B854" t="str">
            <v>PARQUE SOLAR VERSALLES</v>
          </cell>
        </row>
        <row r="855">
          <cell r="B855" t="str">
            <v>PETALO DE CORDOBA II</v>
          </cell>
        </row>
        <row r="856">
          <cell r="B856" t="str">
            <v>PETALO DEL MAGDALENA</v>
          </cell>
        </row>
        <row r="857">
          <cell r="B857" t="str">
            <v>PETALO DEL NORTE DE SANTANDER I</v>
          </cell>
        </row>
        <row r="858">
          <cell r="B858" t="str">
            <v>PLANTA FV DONA JUANA</v>
          </cell>
        </row>
        <row r="859">
          <cell r="B859" t="str">
            <v>PLANTA SOLAR BAYUNCA I</v>
          </cell>
        </row>
        <row r="860">
          <cell r="B860" t="str">
            <v>PLANTA SOLAR SAN FRANCISCO</v>
          </cell>
        </row>
        <row r="861">
          <cell r="B861" t="str">
            <v>POLARIS I</v>
          </cell>
        </row>
        <row r="862">
          <cell r="A862" t="str">
            <v>3IRX</v>
          </cell>
          <cell r="B862" t="str">
            <v>PORTON DEL SOL</v>
          </cell>
        </row>
        <row r="863">
          <cell r="B863" t="str">
            <v>ROKRA</v>
          </cell>
        </row>
        <row r="864">
          <cell r="B864" t="str">
            <v>ROVIRA</v>
          </cell>
        </row>
        <row r="865">
          <cell r="B865" t="str">
            <v>SAN ONOFRE</v>
          </cell>
        </row>
        <row r="866">
          <cell r="A866" t="str">
            <v>4YCF</v>
          </cell>
          <cell r="B866" t="str">
            <v>SHANGRI LA</v>
          </cell>
        </row>
        <row r="867">
          <cell r="B867" t="str">
            <v>SINCE</v>
          </cell>
        </row>
        <row r="868">
          <cell r="B868" t="str">
            <v>SOL DE ZAWADY</v>
          </cell>
        </row>
        <row r="869">
          <cell r="B869" t="str">
            <v>SOL DEL MAR II</v>
          </cell>
        </row>
        <row r="870">
          <cell r="B870" t="str">
            <v>SOL Y CIELO I</v>
          </cell>
        </row>
        <row r="871">
          <cell r="B871" t="str">
            <v>SOL Y CIELO II</v>
          </cell>
        </row>
        <row r="872">
          <cell r="B872" t="str">
            <v>SOL Y CIELO III</v>
          </cell>
        </row>
        <row r="873">
          <cell r="B873" t="str">
            <v>SOL Y CIELO IV</v>
          </cell>
        </row>
        <row r="874">
          <cell r="B874" t="str">
            <v>SOL Y CIELO V</v>
          </cell>
        </row>
        <row r="875">
          <cell r="B875" t="str">
            <v>SOL Y CIELO VI</v>
          </cell>
        </row>
        <row r="876">
          <cell r="B876" t="str">
            <v>SOL Y CIELO VII</v>
          </cell>
        </row>
        <row r="877">
          <cell r="B877" t="str">
            <v>SOLAR ALEJANDRIA</v>
          </cell>
        </row>
        <row r="878">
          <cell r="B878" t="str">
            <v>SOLAR ARDOBELA I</v>
          </cell>
        </row>
        <row r="879">
          <cell r="B879" t="str">
            <v>SOLAR ARDOBELA II</v>
          </cell>
        </row>
        <row r="880">
          <cell r="B880" t="str">
            <v>SOLAR OLD T</v>
          </cell>
        </row>
        <row r="881">
          <cell r="B881" t="str">
            <v>SOLAR PALMASECA I</v>
          </cell>
        </row>
        <row r="882">
          <cell r="B882" t="str">
            <v>SOLAR PALMASECA II</v>
          </cell>
        </row>
        <row r="883">
          <cell r="B883" t="str">
            <v>SOLAR PLANETA RICA</v>
          </cell>
        </row>
        <row r="884">
          <cell r="B884" t="str">
            <v>SOLAR PN I</v>
          </cell>
        </row>
        <row r="885">
          <cell r="B885" t="str">
            <v>SUAREZ</v>
          </cell>
        </row>
        <row r="886">
          <cell r="A886" t="str">
            <v>3IQA</v>
          </cell>
          <cell r="B886" t="str">
            <v>SUNNORTE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apacidadEfectiva"/>
    </sheetNames>
    <sheetDataSet>
      <sheetData sheetId="0">
        <row r="145">
          <cell r="B145" t="str">
            <v>ALTO ANCHICAYA</v>
          </cell>
          <cell r="C145">
            <v>355</v>
          </cell>
        </row>
        <row r="146">
          <cell r="B146" t="str">
            <v>AMOYA LA ESPERANZA</v>
          </cell>
          <cell r="C146">
            <v>80</v>
          </cell>
        </row>
        <row r="147">
          <cell r="B147" t="str">
            <v>BAJO ANCHICAYA</v>
          </cell>
          <cell r="C147">
            <v>72</v>
          </cell>
        </row>
        <row r="148">
          <cell r="B148" t="str">
            <v>BETANIA</v>
          </cell>
          <cell r="C148">
            <v>540</v>
          </cell>
        </row>
        <row r="149">
          <cell r="B149" t="str">
            <v>CALIMA</v>
          </cell>
          <cell r="C149">
            <v>132</v>
          </cell>
        </row>
        <row r="150">
          <cell r="B150" t="str">
            <v>CARLOS LLERAS</v>
          </cell>
          <cell r="C150">
            <v>78</v>
          </cell>
        </row>
        <row r="151">
          <cell r="B151" t="str">
            <v>CHIVOR</v>
          </cell>
          <cell r="C151">
            <v>1000</v>
          </cell>
        </row>
        <row r="152">
          <cell r="B152" t="str">
            <v>CUCUANA</v>
          </cell>
          <cell r="C152">
            <v>56</v>
          </cell>
        </row>
        <row r="153">
          <cell r="B153" t="str">
            <v>DARIO VALENCIA SAMPER</v>
          </cell>
          <cell r="C153">
            <v>150</v>
          </cell>
        </row>
        <row r="154">
          <cell r="B154" t="str">
            <v>EL QUIMBO</v>
          </cell>
          <cell r="C154">
            <v>400</v>
          </cell>
        </row>
        <row r="155">
          <cell r="B155" t="str">
            <v>ESCUELA DE MINAS</v>
          </cell>
          <cell r="C155">
            <v>55</v>
          </cell>
        </row>
        <row r="156">
          <cell r="B156" t="str">
            <v>ESMERALDA</v>
          </cell>
          <cell r="C156">
            <v>30</v>
          </cell>
        </row>
        <row r="157">
          <cell r="B157" t="str">
            <v>GUADALUPE III</v>
          </cell>
          <cell r="C157">
            <v>270</v>
          </cell>
        </row>
        <row r="158">
          <cell r="B158" t="str">
            <v>GUADALUPE IV</v>
          </cell>
          <cell r="C158">
            <v>202</v>
          </cell>
        </row>
        <row r="159">
          <cell r="B159" t="str">
            <v>GUATAPE</v>
          </cell>
          <cell r="C159">
            <v>560</v>
          </cell>
        </row>
        <row r="160">
          <cell r="B160" t="str">
            <v>GUAVIO</v>
          </cell>
          <cell r="C160">
            <v>1250</v>
          </cell>
        </row>
        <row r="161">
          <cell r="B161" t="str">
            <v>ITUANGO</v>
          </cell>
          <cell r="C161">
            <v>1200</v>
          </cell>
        </row>
        <row r="162">
          <cell r="B162" t="str">
            <v>JAGUAS</v>
          </cell>
          <cell r="C162">
            <v>170</v>
          </cell>
        </row>
        <row r="163">
          <cell r="B163" t="str">
            <v>LA GUACA</v>
          </cell>
          <cell r="C163">
            <v>324</v>
          </cell>
        </row>
        <row r="164">
          <cell r="B164" t="str">
            <v>LA TASAJERA</v>
          </cell>
          <cell r="C164">
            <v>306</v>
          </cell>
        </row>
        <row r="165">
          <cell r="B165" t="str">
            <v>MIEL I</v>
          </cell>
          <cell r="C165">
            <v>396</v>
          </cell>
        </row>
        <row r="166">
          <cell r="B166" t="str">
            <v>PARAISO</v>
          </cell>
          <cell r="C166">
            <v>276</v>
          </cell>
        </row>
        <row r="167">
          <cell r="B167" t="str">
            <v>PLAYAS</v>
          </cell>
          <cell r="C167">
            <v>207</v>
          </cell>
        </row>
        <row r="168">
          <cell r="B168" t="str">
            <v>PORCE II</v>
          </cell>
          <cell r="C168">
            <v>405</v>
          </cell>
        </row>
        <row r="169">
          <cell r="B169" t="str">
            <v>PORCE III</v>
          </cell>
          <cell r="C169">
            <v>700</v>
          </cell>
        </row>
        <row r="170">
          <cell r="B170" t="str">
            <v>PRADO</v>
          </cell>
          <cell r="C170">
            <v>51</v>
          </cell>
        </row>
        <row r="171">
          <cell r="B171" t="str">
            <v>SALTO II</v>
          </cell>
          <cell r="C171">
            <v>35</v>
          </cell>
        </row>
        <row r="172">
          <cell r="B172" t="str">
            <v>SALVAJINA</v>
          </cell>
          <cell r="C172">
            <v>315</v>
          </cell>
        </row>
        <row r="173">
          <cell r="B173" t="str">
            <v>SAN CARLOS</v>
          </cell>
          <cell r="C173">
            <v>1240</v>
          </cell>
        </row>
        <row r="174">
          <cell r="B174" t="str">
            <v>SAN FRANCISCO</v>
          </cell>
          <cell r="C174">
            <v>135</v>
          </cell>
        </row>
        <row r="175">
          <cell r="B175" t="str">
            <v>SAN MIGUEL</v>
          </cell>
          <cell r="C175">
            <v>50</v>
          </cell>
        </row>
        <row r="176">
          <cell r="B176" t="str">
            <v>SOGAMOSO</v>
          </cell>
          <cell r="C176">
            <v>819</v>
          </cell>
        </row>
        <row r="177">
          <cell r="B177" t="str">
            <v>TRONERAS</v>
          </cell>
          <cell r="C177">
            <v>40</v>
          </cell>
        </row>
        <row r="178">
          <cell r="B178" t="str">
            <v>TUNJITA</v>
          </cell>
          <cell r="C178">
            <v>19</v>
          </cell>
        </row>
        <row r="179">
          <cell r="B179" t="str">
            <v>URRA</v>
          </cell>
          <cell r="C179">
            <v>338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Phidráulica"/>
      <sheetName val="Rampa1"/>
      <sheetName val="Rampa2"/>
    </sheetNames>
    <sheetDataSet>
      <sheetData sheetId="0">
        <row r="10">
          <cell r="A10" t="str">
            <v>CARLOS LLERAS</v>
          </cell>
          <cell r="J10" t="str">
            <v>1,2048</v>
          </cell>
          <cell r="K10" t="str">
            <v>Filo de agua especial</v>
          </cell>
        </row>
        <row r="11">
          <cell r="A11" t="str">
            <v>ALTO TULUA</v>
          </cell>
          <cell r="J11" t="str">
            <v>2,23</v>
          </cell>
          <cell r="K11" t="str">
            <v>Normal</v>
          </cell>
        </row>
        <row r="12">
          <cell r="A12" t="str">
            <v>AMAIME</v>
          </cell>
          <cell r="J12" t="str">
            <v>1,55</v>
          </cell>
          <cell r="K12" t="str">
            <v>Normal</v>
          </cell>
        </row>
        <row r="13">
          <cell r="A13" t="str">
            <v>AMALFI</v>
          </cell>
          <cell r="J13" t="str">
            <v>0</v>
          </cell>
          <cell r="K13" t="str">
            <v>Normal</v>
          </cell>
        </row>
        <row r="14">
          <cell r="A14" t="str">
            <v>AMERICA</v>
          </cell>
          <cell r="J14" t="str">
            <v>0</v>
          </cell>
          <cell r="K14" t="str">
            <v>Normal</v>
          </cell>
        </row>
        <row r="15">
          <cell r="A15" t="str">
            <v>ESCUELA DE MINAS</v>
          </cell>
          <cell r="J15" t="str">
            <v>1,603</v>
          </cell>
          <cell r="K15" t="str">
            <v>Filo de agua</v>
          </cell>
        </row>
        <row r="16">
          <cell r="A16" t="str">
            <v>ASNAZU</v>
          </cell>
          <cell r="J16" t="str">
            <v>0</v>
          </cell>
          <cell r="K16" t="str">
            <v>Normal</v>
          </cell>
        </row>
        <row r="17">
          <cell r="A17" t="str">
            <v>AURES BAJO</v>
          </cell>
          <cell r="J17" t="str">
            <v>0,98</v>
          </cell>
          <cell r="K17" t="str">
            <v>Normal</v>
          </cell>
        </row>
        <row r="18">
          <cell r="A18" t="str">
            <v>AUTOG ARGOS EL CAIRO</v>
          </cell>
          <cell r="J18" t="str">
            <v>0</v>
          </cell>
          <cell r="K18" t="str">
            <v>Normal</v>
          </cell>
        </row>
        <row r="19">
          <cell r="A19" t="str">
            <v>AUTOG AYURA</v>
          </cell>
          <cell r="J19" t="str">
            <v>2,437</v>
          </cell>
          <cell r="K19" t="str">
            <v>Normal</v>
          </cell>
        </row>
        <row r="20">
          <cell r="A20" t="str">
            <v>AUTOG CANTAYUS</v>
          </cell>
          <cell r="J20" t="str">
            <v>1,433</v>
          </cell>
          <cell r="K20" t="str">
            <v>Normal</v>
          </cell>
        </row>
        <row r="21">
          <cell r="A21" t="str">
            <v>AUTOG CEMENTOS DEL NARE</v>
          </cell>
          <cell r="J21" t="str">
            <v>0</v>
          </cell>
          <cell r="K21" t="str">
            <v>Normal</v>
          </cell>
        </row>
        <row r="22">
          <cell r="A22" t="str">
            <v>AUTOG GOLOSINAS TRULULU</v>
          </cell>
          <cell r="J22" t="str">
            <v>0,8</v>
          </cell>
          <cell r="K22" t="str">
            <v>Normal</v>
          </cell>
        </row>
        <row r="23">
          <cell r="A23" t="str">
            <v>AUTOG GRAN COLOMBIA GOLD</v>
          </cell>
          <cell r="J23" t="str">
            <v>1,9</v>
          </cell>
          <cell r="K23" t="str">
            <v>Normal</v>
          </cell>
        </row>
        <row r="24">
          <cell r="A24" t="str">
            <v>GUADALUPE III</v>
          </cell>
          <cell r="J24" t="str">
            <v>4,6155</v>
          </cell>
          <cell r="K24" t="str">
            <v>Cuenta con embalse</v>
          </cell>
        </row>
        <row r="25">
          <cell r="A25" t="str">
            <v>BAJO TULUA</v>
          </cell>
          <cell r="J25" t="str">
            <v>1,65</v>
          </cell>
          <cell r="K25" t="str">
            <v>Normal</v>
          </cell>
        </row>
        <row r="26">
          <cell r="A26" t="str">
            <v>BARROSO</v>
          </cell>
          <cell r="J26" t="str">
            <v>3,2097</v>
          </cell>
          <cell r="K26" t="str">
            <v>Normal</v>
          </cell>
        </row>
        <row r="27">
          <cell r="A27" t="str">
            <v>BAYONA</v>
          </cell>
          <cell r="J27" t="str">
            <v>0,001</v>
          </cell>
          <cell r="K27" t="str">
            <v>Normal</v>
          </cell>
        </row>
        <row r="28">
          <cell r="A28" t="str">
            <v>BELLO</v>
          </cell>
          <cell r="J28" t="str">
            <v>1</v>
          </cell>
          <cell r="K28" t="str">
            <v>Normal</v>
          </cell>
        </row>
        <row r="29">
          <cell r="A29" t="str">
            <v>BELMONTE</v>
          </cell>
          <cell r="J29" t="str">
            <v>0</v>
          </cell>
          <cell r="K29" t="str">
            <v>Normal</v>
          </cell>
        </row>
        <row r="30">
          <cell r="A30" t="str">
            <v>GUADALUPE IV</v>
          </cell>
          <cell r="J30" t="str">
            <v>3,6503</v>
          </cell>
          <cell r="K30" t="str">
            <v>Cuenta con embalse</v>
          </cell>
        </row>
        <row r="31">
          <cell r="A31" t="str">
            <v>CALDERAS</v>
          </cell>
          <cell r="J31" t="str">
            <v>1,3143</v>
          </cell>
          <cell r="K31" t="str">
            <v>Normal</v>
          </cell>
        </row>
        <row r="32">
          <cell r="A32" t="str">
            <v>GUATAPE</v>
          </cell>
          <cell r="J32" t="str">
            <v>7,2183</v>
          </cell>
          <cell r="K32" t="str">
            <v>Cuenta con embalse</v>
          </cell>
        </row>
        <row r="33">
          <cell r="A33" t="str">
            <v>CAMPESTRE (CALARCA)</v>
          </cell>
          <cell r="J33" t="str">
            <v>0,001</v>
          </cell>
          <cell r="K33" t="str">
            <v>Normal</v>
          </cell>
        </row>
        <row r="34">
          <cell r="A34" t="str">
            <v>CAMPESTRE (EPM)</v>
          </cell>
          <cell r="J34" t="str">
            <v>0,875</v>
          </cell>
          <cell r="K34" t="str">
            <v>Normal</v>
          </cell>
        </row>
        <row r="35">
          <cell r="A35" t="str">
            <v>CARACOLI</v>
          </cell>
          <cell r="J35" t="str">
            <v>0,8011</v>
          </cell>
          <cell r="K35" t="str">
            <v>Filo de agua</v>
          </cell>
        </row>
        <row r="36">
          <cell r="A36" t="str">
            <v>ITUANGO</v>
          </cell>
          <cell r="J36" t="str">
            <v>1,7262</v>
          </cell>
          <cell r="K36" t="str">
            <v>Cuenta con embalse</v>
          </cell>
        </row>
        <row r="37">
          <cell r="A37" t="str">
            <v>CARUQUIA</v>
          </cell>
          <cell r="J37" t="str">
            <v>1,53</v>
          </cell>
          <cell r="K37" t="str">
            <v>Normal</v>
          </cell>
        </row>
        <row r="38">
          <cell r="A38" t="str">
            <v>CASCADA</v>
          </cell>
          <cell r="J38" t="str">
            <v>0</v>
          </cell>
          <cell r="K38" t="str">
            <v>Normal</v>
          </cell>
        </row>
        <row r="39">
          <cell r="A39" t="str">
            <v>CAUYA</v>
          </cell>
          <cell r="J39" t="str">
            <v>0,75</v>
          </cell>
          <cell r="K39" t="str">
            <v>Normal</v>
          </cell>
        </row>
        <row r="40">
          <cell r="A40" t="str">
            <v>CHARQUITO</v>
          </cell>
          <cell r="J40" t="str">
            <v>1,1483</v>
          </cell>
          <cell r="K40" t="str">
            <v>Normal</v>
          </cell>
        </row>
        <row r="41">
          <cell r="A41" t="str">
            <v>JAGUAS</v>
          </cell>
          <cell r="J41" t="str">
            <v>2,3591</v>
          </cell>
          <cell r="K41" t="str">
            <v>Cuenta con embalse</v>
          </cell>
        </row>
        <row r="42">
          <cell r="A42" t="str">
            <v>COCONUCO</v>
          </cell>
          <cell r="J42" t="str">
            <v>0</v>
          </cell>
          <cell r="K42" t="str">
            <v>Normal</v>
          </cell>
        </row>
        <row r="43">
          <cell r="A43" t="str">
            <v>COELLO</v>
          </cell>
          <cell r="J43" t="str">
            <v>0,001</v>
          </cell>
          <cell r="K43" t="str">
            <v>Normal</v>
          </cell>
        </row>
        <row r="44">
          <cell r="A44" t="str">
            <v>LA TASAJERA</v>
          </cell>
          <cell r="J44" t="str">
            <v>7,8151</v>
          </cell>
          <cell r="K44" t="str">
            <v>Cuenta con embalse</v>
          </cell>
        </row>
        <row r="45">
          <cell r="A45" t="str">
            <v>CURRUCUCUES</v>
          </cell>
          <cell r="J45" t="str">
            <v>0,52</v>
          </cell>
          <cell r="K45" t="str">
            <v>Normal</v>
          </cell>
        </row>
        <row r="46">
          <cell r="A46" t="str">
            <v>PLAYAS</v>
          </cell>
          <cell r="J46" t="str">
            <v>1,7306</v>
          </cell>
          <cell r="K46" t="str">
            <v>Cuenta con embalse</v>
          </cell>
        </row>
        <row r="47">
          <cell r="A47" t="str">
            <v>EL BOSQUE</v>
          </cell>
          <cell r="J47" t="str">
            <v>0</v>
          </cell>
          <cell r="K47" t="str">
            <v>Normal</v>
          </cell>
        </row>
        <row r="48">
          <cell r="A48" t="str">
            <v>EL COCUYO</v>
          </cell>
          <cell r="J48" t="str">
            <v>0,1</v>
          </cell>
          <cell r="K48" t="str">
            <v>Normal</v>
          </cell>
        </row>
        <row r="49">
          <cell r="A49" t="str">
            <v>EL EDEN</v>
          </cell>
          <cell r="J49" t="str">
            <v>3,7092</v>
          </cell>
          <cell r="K49" t="str">
            <v>Normal</v>
          </cell>
        </row>
        <row r="50">
          <cell r="A50" t="str">
            <v>EL LIMONAR</v>
          </cell>
          <cell r="J50" t="str">
            <v>0</v>
          </cell>
          <cell r="K50" t="str">
            <v>Normal</v>
          </cell>
        </row>
        <row r="51">
          <cell r="A51" t="str">
            <v>EL MOLINO</v>
          </cell>
          <cell r="J51" t="str">
            <v>1,0236</v>
          </cell>
          <cell r="K51" t="str">
            <v>Normal</v>
          </cell>
        </row>
        <row r="52">
          <cell r="A52" t="str">
            <v>EL POPAL</v>
          </cell>
          <cell r="J52" t="str">
            <v>1,442</v>
          </cell>
          <cell r="K52" t="str">
            <v>Normal</v>
          </cell>
        </row>
        <row r="53">
          <cell r="A53" t="str">
            <v>PORCE II</v>
          </cell>
          <cell r="J53" t="str">
            <v>2,1432</v>
          </cell>
          <cell r="K53" t="str">
            <v>Cuenta con embalse</v>
          </cell>
        </row>
        <row r="54">
          <cell r="A54" t="str">
            <v>PORCE III</v>
          </cell>
          <cell r="J54" t="str">
            <v>3,0607</v>
          </cell>
          <cell r="K54" t="str">
            <v>Cuenta con embalse</v>
          </cell>
        </row>
        <row r="55">
          <cell r="A55" t="str">
            <v>SAN CARLOS</v>
          </cell>
          <cell r="J55" t="str">
            <v>5,3998</v>
          </cell>
          <cell r="K55" t="str">
            <v>Cuenta con embalse</v>
          </cell>
        </row>
        <row r="56">
          <cell r="A56" t="str">
            <v>FLORIDA</v>
          </cell>
          <cell r="J56" t="str">
            <v>0,8333</v>
          </cell>
          <cell r="K56" t="str">
            <v>Normal</v>
          </cell>
        </row>
        <row r="57">
          <cell r="A57" t="str">
            <v>GUACAICA</v>
          </cell>
          <cell r="J57" t="str">
            <v>0</v>
          </cell>
          <cell r="K57" t="str">
            <v>Normal</v>
          </cell>
        </row>
        <row r="58">
          <cell r="A58" t="str">
            <v>SAN MIGUEL</v>
          </cell>
          <cell r="J58" t="str">
            <v>1,4933</v>
          </cell>
          <cell r="K58" t="str">
            <v>Filo de agua</v>
          </cell>
        </row>
        <row r="59">
          <cell r="A59" t="str">
            <v>TRONERAS</v>
          </cell>
          <cell r="J59" t="str">
            <v>0,6633</v>
          </cell>
          <cell r="K59" t="str">
            <v>Cuenta con embalse</v>
          </cell>
        </row>
        <row r="60">
          <cell r="A60" t="str">
            <v>GUANAQUITAS</v>
          </cell>
          <cell r="J60" t="str">
            <v>1,4984</v>
          </cell>
          <cell r="K60" t="str">
            <v>Normal</v>
          </cell>
        </row>
        <row r="61">
          <cell r="A61" t="str">
            <v>CHIVOR</v>
          </cell>
          <cell r="J61" t="str">
            <v>6,9833</v>
          </cell>
          <cell r="K61" t="str">
            <v>Cuenta con embalse</v>
          </cell>
        </row>
        <row r="62">
          <cell r="A62" t="str">
            <v>DARIO VALENCIA SAMPER</v>
          </cell>
          <cell r="J62" t="str">
            <v>7,9708</v>
          </cell>
          <cell r="K62" t="str">
            <v>Filo de agua</v>
          </cell>
        </row>
        <row r="63">
          <cell r="A63" t="str">
            <v>GUAVIO MENOR</v>
          </cell>
          <cell r="J63" t="str">
            <v>0</v>
          </cell>
          <cell r="K63" t="str">
            <v>Normal</v>
          </cell>
        </row>
        <row r="64">
          <cell r="A64" t="str">
            <v>HIDROBARRANCAS</v>
          </cell>
          <cell r="J64" t="str">
            <v>4,7</v>
          </cell>
          <cell r="K64" t="str">
            <v>Normal</v>
          </cell>
        </row>
        <row r="65">
          <cell r="A65" t="str">
            <v>HIDROMONTAÑITAS</v>
          </cell>
          <cell r="J65" t="str">
            <v>3,7</v>
          </cell>
          <cell r="K65" t="str">
            <v>Normal</v>
          </cell>
        </row>
        <row r="66">
          <cell r="A66" t="str">
            <v>INSULA</v>
          </cell>
          <cell r="J66" t="str">
            <v>0,85</v>
          </cell>
          <cell r="K66" t="str">
            <v>Normal</v>
          </cell>
        </row>
        <row r="67">
          <cell r="A67" t="str">
            <v>INTERMEDIA</v>
          </cell>
          <cell r="J67" t="str">
            <v>0</v>
          </cell>
          <cell r="K67" t="str">
            <v>Normal</v>
          </cell>
        </row>
        <row r="68">
          <cell r="A68" t="str">
            <v>INZA</v>
          </cell>
          <cell r="J68" t="str">
            <v>0</v>
          </cell>
          <cell r="K68" t="str">
            <v>Normal</v>
          </cell>
        </row>
        <row r="69">
          <cell r="A69" t="str">
            <v>IQUIRA I</v>
          </cell>
          <cell r="J69" t="str">
            <v>0</v>
          </cell>
          <cell r="K69" t="str">
            <v>Normal</v>
          </cell>
        </row>
        <row r="70">
          <cell r="A70" t="str">
            <v>IQUIRA II</v>
          </cell>
          <cell r="J70" t="str">
            <v>0</v>
          </cell>
          <cell r="K70" t="str">
            <v>Normal</v>
          </cell>
        </row>
        <row r="71">
          <cell r="A71" t="str">
            <v>GUAVIO</v>
          </cell>
          <cell r="J71" t="str">
            <v>9,8457</v>
          </cell>
          <cell r="K71" t="str">
            <v>Cuenta con embalse</v>
          </cell>
        </row>
        <row r="72">
          <cell r="A72" t="str">
            <v>LA GUACA</v>
          </cell>
          <cell r="J72" t="str">
            <v>8,6582</v>
          </cell>
          <cell r="K72" t="str">
            <v>Cuenta con embalse</v>
          </cell>
        </row>
        <row r="73">
          <cell r="A73" t="str">
            <v>JUAN GARCIA</v>
          </cell>
          <cell r="J73" t="str">
            <v>1</v>
          </cell>
          <cell r="K73" t="str">
            <v>Normal</v>
          </cell>
        </row>
        <row r="74">
          <cell r="A74" t="str">
            <v>LA CASCADA ( ABEJORRAL)</v>
          </cell>
          <cell r="J74" t="str">
            <v>0</v>
          </cell>
          <cell r="K74" t="str">
            <v>Normal</v>
          </cell>
        </row>
        <row r="75">
          <cell r="A75" t="str">
            <v>LA CASCADA (ANTIOQUIA)</v>
          </cell>
          <cell r="J75" t="str">
            <v>0,001</v>
          </cell>
          <cell r="K75" t="str">
            <v>Normal</v>
          </cell>
        </row>
        <row r="76">
          <cell r="A76" t="str">
            <v>LA CASCADA DE GRANADA</v>
          </cell>
          <cell r="J76" t="str">
            <v>1,8</v>
          </cell>
          <cell r="K76" t="str">
            <v>Normal</v>
          </cell>
        </row>
        <row r="77">
          <cell r="A77" t="str">
            <v>LA CHORRERA</v>
          </cell>
          <cell r="J77" t="str">
            <v>10</v>
          </cell>
          <cell r="K77" t="str">
            <v>Normal</v>
          </cell>
        </row>
        <row r="78">
          <cell r="A78" t="str">
            <v>LA FRISOLERA</v>
          </cell>
          <cell r="J78" t="str">
            <v>0,5625</v>
          </cell>
          <cell r="K78" t="str">
            <v>Normal</v>
          </cell>
        </row>
        <row r="79">
          <cell r="A79" t="str">
            <v>PARAISO</v>
          </cell>
          <cell r="J79" t="str">
            <v>7,3725</v>
          </cell>
          <cell r="K79" t="str">
            <v>Cuenta con embalse</v>
          </cell>
        </row>
        <row r="80">
          <cell r="A80" t="str">
            <v>LA HERRADURA</v>
          </cell>
          <cell r="J80" t="str">
            <v>0,0001</v>
          </cell>
          <cell r="K80" t="str">
            <v>Normal</v>
          </cell>
        </row>
        <row r="81">
          <cell r="A81" t="str">
            <v>LA NAVETA</v>
          </cell>
          <cell r="J81" t="str">
            <v>0,1529</v>
          </cell>
          <cell r="K81" t="str">
            <v>Normal</v>
          </cell>
        </row>
        <row r="82">
          <cell r="A82" t="str">
            <v>LA PITA</v>
          </cell>
          <cell r="J82" t="str">
            <v>0</v>
          </cell>
          <cell r="K82" t="str">
            <v>Normal</v>
          </cell>
        </row>
        <row r="83">
          <cell r="A83" t="str">
            <v>LA REBUSCA</v>
          </cell>
          <cell r="J83" t="str">
            <v>1,09</v>
          </cell>
          <cell r="K83" t="str">
            <v>Normal</v>
          </cell>
        </row>
        <row r="84">
          <cell r="A84" t="str">
            <v>SALTO II</v>
          </cell>
          <cell r="J84" t="str">
            <v>3,3736</v>
          </cell>
          <cell r="K84" t="str">
            <v>Filo de agua</v>
          </cell>
        </row>
        <row r="85">
          <cell r="A85" t="str">
            <v>LA VUELTA</v>
          </cell>
          <cell r="J85" t="str">
            <v>0</v>
          </cell>
          <cell r="K85" t="str">
            <v>Normal</v>
          </cell>
        </row>
        <row r="86">
          <cell r="A86" t="str">
            <v>LAGUNETA</v>
          </cell>
          <cell r="J86" t="str">
            <v>2,509</v>
          </cell>
          <cell r="K86" t="str">
            <v>Normal</v>
          </cell>
        </row>
        <row r="87">
          <cell r="A87" t="str">
            <v>LAS PALMAS</v>
          </cell>
          <cell r="J87" t="str">
            <v>0,15</v>
          </cell>
          <cell r="K87" t="str">
            <v>Normal</v>
          </cell>
        </row>
        <row r="88">
          <cell r="A88" t="str">
            <v>LAS VIOLETAS</v>
          </cell>
          <cell r="J88" t="str">
            <v>0,5559</v>
          </cell>
          <cell r="K88" t="str">
            <v>Normal</v>
          </cell>
        </row>
        <row r="89">
          <cell r="A89" t="str">
            <v>LUZMA I</v>
          </cell>
          <cell r="J89" t="str">
            <v>3,6594</v>
          </cell>
          <cell r="K89" t="str">
            <v>Normal</v>
          </cell>
        </row>
        <row r="90">
          <cell r="A90" t="str">
            <v>LUZMA II</v>
          </cell>
          <cell r="J90" t="str">
            <v>3,6351</v>
          </cell>
          <cell r="K90" t="str">
            <v>Normal</v>
          </cell>
        </row>
        <row r="91">
          <cell r="A91" t="str">
            <v>MAGALLO</v>
          </cell>
          <cell r="J91" t="str">
            <v>0</v>
          </cell>
          <cell r="K91" t="str">
            <v>Normal</v>
          </cell>
        </row>
        <row r="92">
          <cell r="A92" t="str">
            <v>MANANTIALES</v>
          </cell>
          <cell r="J92" t="str">
            <v>0,633</v>
          </cell>
          <cell r="K92" t="str">
            <v>Normal</v>
          </cell>
        </row>
        <row r="93">
          <cell r="A93" t="str">
            <v>TUNJITA</v>
          </cell>
          <cell r="J93" t="str">
            <v>2,4655</v>
          </cell>
          <cell r="K93" t="str">
            <v>Filo de agua</v>
          </cell>
        </row>
        <row r="94">
          <cell r="A94" t="str">
            <v>MIROLINDO</v>
          </cell>
          <cell r="J94" t="str">
            <v>0</v>
          </cell>
          <cell r="K94" t="str">
            <v>Normal</v>
          </cell>
        </row>
        <row r="95">
          <cell r="A95" t="str">
            <v>MONDOMO</v>
          </cell>
          <cell r="J95" t="str">
            <v>0</v>
          </cell>
          <cell r="K95" t="str">
            <v>Normal</v>
          </cell>
        </row>
        <row r="96">
          <cell r="A96" t="str">
            <v>MORRO AZUL</v>
          </cell>
          <cell r="J96" t="str">
            <v>1,1306</v>
          </cell>
          <cell r="K96" t="str">
            <v>Normal</v>
          </cell>
        </row>
        <row r="97">
          <cell r="A97" t="str">
            <v>MULATOS II</v>
          </cell>
          <cell r="J97" t="str">
            <v>1,41</v>
          </cell>
          <cell r="K97" t="str">
            <v>Normal</v>
          </cell>
        </row>
        <row r="98">
          <cell r="A98" t="str">
            <v>MUNICIPAL</v>
          </cell>
          <cell r="J98" t="str">
            <v>0</v>
          </cell>
          <cell r="K98" t="str">
            <v>Normal</v>
          </cell>
        </row>
        <row r="99">
          <cell r="A99" t="str">
            <v>NIMA</v>
          </cell>
          <cell r="J99" t="str">
            <v>0</v>
          </cell>
          <cell r="K99" t="str">
            <v>Normal</v>
          </cell>
        </row>
        <row r="100">
          <cell r="A100" t="str">
            <v>NIQUIA</v>
          </cell>
          <cell r="J100" t="str">
            <v>3,276</v>
          </cell>
          <cell r="K100" t="str">
            <v>Normal</v>
          </cell>
        </row>
        <row r="101">
          <cell r="A101" t="str">
            <v>NUEVO LIBARE</v>
          </cell>
          <cell r="J101" t="str">
            <v>0</v>
          </cell>
          <cell r="K101" t="str">
            <v>Normal</v>
          </cell>
        </row>
        <row r="102">
          <cell r="A102" t="str">
            <v>NUTIBARA</v>
          </cell>
          <cell r="J102" t="str">
            <v>1,125</v>
          </cell>
          <cell r="K102" t="str">
            <v>Normal</v>
          </cell>
        </row>
        <row r="103">
          <cell r="A103" t="str">
            <v>OIBITA</v>
          </cell>
          <cell r="J103" t="str">
            <v>1,6205</v>
          </cell>
          <cell r="K103" t="str">
            <v>Normal</v>
          </cell>
        </row>
        <row r="104">
          <cell r="A104" t="str">
            <v>OVEJAS</v>
          </cell>
          <cell r="J104" t="str">
            <v>0</v>
          </cell>
          <cell r="K104" t="str">
            <v>Normal</v>
          </cell>
        </row>
        <row r="105">
          <cell r="A105" t="str">
            <v>PAJARITO</v>
          </cell>
          <cell r="J105" t="str">
            <v>1,8726</v>
          </cell>
          <cell r="K105" t="str">
            <v>Normal</v>
          </cell>
        </row>
        <row r="106">
          <cell r="A106" t="str">
            <v>PALMAS SAN GIL</v>
          </cell>
          <cell r="J106" t="str">
            <v>0</v>
          </cell>
          <cell r="K106" t="str">
            <v>Normal</v>
          </cell>
        </row>
        <row r="107">
          <cell r="A107" t="str">
            <v>EL QUIMBO</v>
          </cell>
          <cell r="J107" t="str">
            <v>1,1005</v>
          </cell>
          <cell r="K107" t="str">
            <v>Cuenta con embalse</v>
          </cell>
        </row>
        <row r="108">
          <cell r="A108" t="str">
            <v>PASTALES</v>
          </cell>
          <cell r="J108" t="str">
            <v>0</v>
          </cell>
          <cell r="K108" t="str">
            <v>Normal</v>
          </cell>
        </row>
        <row r="109">
          <cell r="A109" t="str">
            <v>PATICO - LA CABRERA</v>
          </cell>
          <cell r="J109" t="str">
            <v>0</v>
          </cell>
          <cell r="K109" t="str">
            <v>Normal</v>
          </cell>
        </row>
        <row r="110">
          <cell r="A110" t="str">
            <v>PCH LA LIBERTAD</v>
          </cell>
          <cell r="J110" t="str">
            <v>1,111</v>
          </cell>
          <cell r="K110" t="str">
            <v>Normal</v>
          </cell>
        </row>
        <row r="111">
          <cell r="A111" t="str">
            <v>PCH LA NOQUE</v>
          </cell>
          <cell r="J111" t="str">
            <v>1,747</v>
          </cell>
          <cell r="K111" t="str">
            <v>Normal</v>
          </cell>
        </row>
        <row r="112">
          <cell r="A112" t="str">
            <v>URRA</v>
          </cell>
          <cell r="J112" t="str">
            <v>0,4756</v>
          </cell>
          <cell r="K112" t="str">
            <v>Cuenta con embalse</v>
          </cell>
        </row>
        <row r="113">
          <cell r="A113" t="str">
            <v>POCUNE</v>
          </cell>
          <cell r="J113" t="str">
            <v>1,018</v>
          </cell>
          <cell r="K113" t="str">
            <v>Normal</v>
          </cell>
        </row>
        <row r="114">
          <cell r="A114" t="str">
            <v>ESMERALDA</v>
          </cell>
          <cell r="J114" t="str">
            <v>1,3135</v>
          </cell>
          <cell r="K114" t="str">
            <v>Filo de agua</v>
          </cell>
        </row>
        <row r="115">
          <cell r="A115" t="str">
            <v>MIEL I</v>
          </cell>
          <cell r="J115" t="str">
            <v>2,0673</v>
          </cell>
          <cell r="K115" t="str">
            <v>Cuenta con embalse</v>
          </cell>
        </row>
        <row r="116">
          <cell r="A116" t="str">
            <v>PORCE III MENOR</v>
          </cell>
          <cell r="J116" t="str">
            <v>0,892</v>
          </cell>
          <cell r="K116" t="str">
            <v>Normal</v>
          </cell>
        </row>
        <row r="117">
          <cell r="A117" t="str">
            <v>SAN FRANCISCO</v>
          </cell>
          <cell r="J117" t="str">
            <v>1,5781</v>
          </cell>
          <cell r="K117" t="str">
            <v>Filo de agua</v>
          </cell>
        </row>
        <row r="118">
          <cell r="A118" t="str">
            <v>PRADO IV</v>
          </cell>
          <cell r="J118" t="str">
            <v>0,4904</v>
          </cell>
          <cell r="K118" t="str">
            <v>Normal</v>
          </cell>
        </row>
        <row r="119">
          <cell r="A119" t="str">
            <v>PROVIDENCIA</v>
          </cell>
          <cell r="J119" t="str">
            <v>0,1</v>
          </cell>
          <cell r="K119" t="str">
            <v>Normal</v>
          </cell>
        </row>
        <row r="120">
          <cell r="A120" t="str">
            <v>PUENTE GUILLERMO</v>
          </cell>
          <cell r="J120" t="str">
            <v>0</v>
          </cell>
          <cell r="K120" t="str">
            <v>Normal</v>
          </cell>
        </row>
        <row r="121">
          <cell r="A121" t="str">
            <v>REMEDIOS</v>
          </cell>
          <cell r="J121" t="str">
            <v>0</v>
          </cell>
          <cell r="K121" t="str">
            <v>Normal</v>
          </cell>
        </row>
        <row r="122">
          <cell r="A122" t="str">
            <v>RIO BOBO</v>
          </cell>
          <cell r="J122" t="str">
            <v>0</v>
          </cell>
          <cell r="K122" t="str">
            <v>Normal</v>
          </cell>
        </row>
        <row r="123">
          <cell r="A123" t="str">
            <v>RIO CALI</v>
          </cell>
          <cell r="J123" t="str">
            <v>0</v>
          </cell>
          <cell r="K123" t="str">
            <v>Normal</v>
          </cell>
        </row>
        <row r="124">
          <cell r="A124" t="str">
            <v>RIO FRIO I</v>
          </cell>
          <cell r="J124" t="str">
            <v>0</v>
          </cell>
          <cell r="K124" t="str">
            <v>Normal</v>
          </cell>
        </row>
        <row r="125">
          <cell r="A125" t="str">
            <v>RIO FRIO II</v>
          </cell>
          <cell r="J125" t="str">
            <v>0</v>
          </cell>
          <cell r="K125" t="str">
            <v>Normal</v>
          </cell>
        </row>
        <row r="126">
          <cell r="A126" t="str">
            <v>RIO GRANDE</v>
          </cell>
          <cell r="J126" t="str">
            <v>0</v>
          </cell>
          <cell r="K126" t="str">
            <v>Normal</v>
          </cell>
        </row>
        <row r="127">
          <cell r="A127" t="str">
            <v>RIO MAYO</v>
          </cell>
          <cell r="J127" t="str">
            <v>1,7</v>
          </cell>
          <cell r="K127" t="str">
            <v>Normal</v>
          </cell>
        </row>
        <row r="128">
          <cell r="A128" t="str">
            <v>RIO PALO</v>
          </cell>
          <cell r="J128" t="str">
            <v>0</v>
          </cell>
          <cell r="K128" t="str">
            <v>Normal</v>
          </cell>
        </row>
        <row r="129">
          <cell r="A129" t="str">
            <v>RIO PIEDRAS</v>
          </cell>
          <cell r="J129" t="str">
            <v>5,88</v>
          </cell>
          <cell r="K129" t="str">
            <v>Por definir</v>
          </cell>
        </row>
        <row r="130">
          <cell r="A130" t="str">
            <v>RIO RECIO</v>
          </cell>
          <cell r="J130" t="str">
            <v>0</v>
          </cell>
          <cell r="K130" t="str">
            <v>Normal</v>
          </cell>
        </row>
        <row r="131">
          <cell r="A131" t="str">
            <v>RIO SAPUYES</v>
          </cell>
          <cell r="J131" t="str">
            <v>0</v>
          </cell>
          <cell r="K131" t="str">
            <v>Normal</v>
          </cell>
        </row>
        <row r="132">
          <cell r="A132" t="str">
            <v>RIOFRIO (TAMESIS)</v>
          </cell>
          <cell r="J132" t="str">
            <v>0</v>
          </cell>
          <cell r="K132" t="str">
            <v>Normal</v>
          </cell>
        </row>
        <row r="133">
          <cell r="A133" t="str">
            <v>RIOGRANDE I</v>
          </cell>
          <cell r="J133" t="str">
            <v>2,9147</v>
          </cell>
          <cell r="K133" t="str">
            <v>Normal</v>
          </cell>
        </row>
        <row r="134">
          <cell r="A134" t="str">
            <v>RIONEGRO</v>
          </cell>
          <cell r="J134" t="str">
            <v>0</v>
          </cell>
          <cell r="K134" t="str">
            <v>Normal</v>
          </cell>
        </row>
        <row r="135">
          <cell r="A135" t="str">
            <v>RUMOR</v>
          </cell>
          <cell r="J135" t="str">
            <v>0,34</v>
          </cell>
          <cell r="K135" t="str">
            <v>Normal</v>
          </cell>
        </row>
        <row r="136">
          <cell r="A136" t="str">
            <v>SAJANDI</v>
          </cell>
          <cell r="J136" t="str">
            <v>0</v>
          </cell>
          <cell r="K136" t="str">
            <v>Normal</v>
          </cell>
        </row>
        <row r="137">
          <cell r="A137" t="str">
            <v>AMOYA LA ESPERANZA</v>
          </cell>
          <cell r="J137" t="str">
            <v>4,8544</v>
          </cell>
          <cell r="K137" t="str">
            <v>Filo de agua</v>
          </cell>
        </row>
        <row r="138">
          <cell r="A138" t="str">
            <v>BETANIA</v>
          </cell>
          <cell r="J138" t="str">
            <v>0,5895</v>
          </cell>
          <cell r="K138" t="str">
            <v>Cuenta con embalse</v>
          </cell>
        </row>
        <row r="139">
          <cell r="A139" t="str">
            <v>SAN ANDRES DE CUERQUIA</v>
          </cell>
          <cell r="J139" t="str">
            <v>4,58</v>
          </cell>
          <cell r="K139" t="str">
            <v>Normal</v>
          </cell>
        </row>
        <row r="140">
          <cell r="A140" t="str">
            <v>SAN BARTOLOME</v>
          </cell>
          <cell r="J140" t="str">
            <v>1,5474</v>
          </cell>
          <cell r="K140" t="str">
            <v>Normal</v>
          </cell>
        </row>
        <row r="141">
          <cell r="A141" t="str">
            <v>SAN CANCIO</v>
          </cell>
          <cell r="J141" t="str">
            <v>0</v>
          </cell>
          <cell r="K141" t="str">
            <v>Normal</v>
          </cell>
        </row>
        <row r="142">
          <cell r="A142" t="str">
            <v>CUCUANA</v>
          </cell>
          <cell r="J142" t="str">
            <v>5,9476</v>
          </cell>
          <cell r="K142" t="str">
            <v>Filo de agua</v>
          </cell>
        </row>
        <row r="143">
          <cell r="A143" t="str">
            <v>PRADO</v>
          </cell>
          <cell r="J143" t="str">
            <v>0,4983</v>
          </cell>
          <cell r="K143" t="str">
            <v>Cuenta con embalse</v>
          </cell>
        </row>
        <row r="144">
          <cell r="A144" t="str">
            <v>SAN FRANCISCO (PUTUMAYO)</v>
          </cell>
          <cell r="J144" t="str">
            <v>0</v>
          </cell>
          <cell r="K144" t="str">
            <v>Normal</v>
          </cell>
        </row>
        <row r="145">
          <cell r="A145" t="str">
            <v>SAN JOSE</v>
          </cell>
          <cell r="J145" t="str">
            <v>0,0001</v>
          </cell>
          <cell r="K145" t="str">
            <v>Normal</v>
          </cell>
        </row>
        <row r="146">
          <cell r="A146" t="str">
            <v>SAN JOSE DE LA MONTAÑA</v>
          </cell>
          <cell r="J146" t="str">
            <v>0</v>
          </cell>
          <cell r="K146" t="str">
            <v>Normal</v>
          </cell>
        </row>
        <row r="147">
          <cell r="A147" t="str">
            <v>SAN JOSE DE LA MONTAÑA II</v>
          </cell>
          <cell r="J147" t="str">
            <v>0,301</v>
          </cell>
          <cell r="K147" t="str">
            <v>Normal</v>
          </cell>
        </row>
        <row r="148">
          <cell r="A148" t="str">
            <v>SAN MATIAS</v>
          </cell>
          <cell r="J148" t="str">
            <v>1,0237</v>
          </cell>
          <cell r="K148" t="str">
            <v>Normal</v>
          </cell>
        </row>
        <row r="149">
          <cell r="A149" t="str">
            <v>SOGAMOSO</v>
          </cell>
          <cell r="J149" t="str">
            <v>1,3971</v>
          </cell>
          <cell r="K149" t="str">
            <v>Cuenta con embalse</v>
          </cell>
        </row>
        <row r="150">
          <cell r="A150" t="str">
            <v>SANTA ANA</v>
          </cell>
          <cell r="J150" t="str">
            <v>0</v>
          </cell>
          <cell r="K150" t="str">
            <v>Normal</v>
          </cell>
        </row>
        <row r="151">
          <cell r="A151" t="str">
            <v>SANTA RITA</v>
          </cell>
          <cell r="J151" t="str">
            <v>0,675</v>
          </cell>
          <cell r="K151" t="str">
            <v>Normal</v>
          </cell>
        </row>
        <row r="152">
          <cell r="A152" t="str">
            <v>SANTIAGO</v>
          </cell>
          <cell r="J152" t="str">
            <v>2,8</v>
          </cell>
          <cell r="K152" t="str">
            <v>Normal</v>
          </cell>
        </row>
        <row r="153">
          <cell r="A153" t="str">
            <v>SILVIA</v>
          </cell>
          <cell r="J153" t="str">
            <v>0</v>
          </cell>
          <cell r="K153" t="str">
            <v>Normal</v>
          </cell>
        </row>
        <row r="154">
          <cell r="A154" t="str">
            <v>ALTO ANCHICAYA</v>
          </cell>
          <cell r="J154" t="str">
            <v>3,5092</v>
          </cell>
          <cell r="K154" t="str">
            <v>Cuenta con embalse</v>
          </cell>
        </row>
        <row r="155">
          <cell r="A155" t="str">
            <v>SONSON</v>
          </cell>
          <cell r="J155" t="str">
            <v>0</v>
          </cell>
          <cell r="K155" t="str">
            <v>Normal</v>
          </cell>
        </row>
        <row r="156">
          <cell r="A156" t="str">
            <v>SUBA</v>
          </cell>
          <cell r="J156" t="str">
            <v>0,944</v>
          </cell>
          <cell r="K156" t="str">
            <v>Normal</v>
          </cell>
        </row>
        <row r="157">
          <cell r="A157" t="str">
            <v>SUEVA 2</v>
          </cell>
          <cell r="J157" t="str">
            <v>0</v>
          </cell>
          <cell r="K157" t="str">
            <v>Normal</v>
          </cell>
        </row>
        <row r="158">
          <cell r="A158" t="str">
            <v>TEQUENDAMA 1</v>
          </cell>
          <cell r="J158" t="str">
            <v>1</v>
          </cell>
          <cell r="K158" t="str">
            <v>Normal</v>
          </cell>
        </row>
        <row r="159">
          <cell r="A159" t="str">
            <v>TEQUENDAMA 2</v>
          </cell>
          <cell r="J159" t="str">
            <v>1</v>
          </cell>
          <cell r="K159" t="str">
            <v>Normal</v>
          </cell>
        </row>
        <row r="160">
          <cell r="A160" t="str">
            <v>TEQUENDAMA 3</v>
          </cell>
          <cell r="J160" t="str">
            <v>1</v>
          </cell>
          <cell r="K160" t="str">
            <v>Normal</v>
          </cell>
        </row>
        <row r="161">
          <cell r="A161" t="str">
            <v>TEQUENDAMA 4</v>
          </cell>
          <cell r="J161" t="str">
            <v>1</v>
          </cell>
          <cell r="K161" t="str">
            <v>Normal</v>
          </cell>
        </row>
        <row r="162">
          <cell r="A162" t="str">
            <v>BAJO ANCHICAYA</v>
          </cell>
          <cell r="J162" t="str">
            <v>0,5905</v>
          </cell>
          <cell r="K162" t="str">
            <v>Cuenta con embalse</v>
          </cell>
        </row>
        <row r="163">
          <cell r="A163" t="str">
            <v>CALIMA</v>
          </cell>
          <cell r="J163" t="str">
            <v>1,9765</v>
          </cell>
          <cell r="K163" t="str">
            <v>Cuenta con embalse</v>
          </cell>
        </row>
        <row r="164">
          <cell r="A164" t="str">
            <v>TZ II</v>
          </cell>
          <cell r="J164" t="str">
            <v>0,7</v>
          </cell>
          <cell r="K164" t="str">
            <v>Normal</v>
          </cell>
        </row>
        <row r="165">
          <cell r="A165" t="str">
            <v>UNION</v>
          </cell>
          <cell r="J165" t="str">
            <v>0,001</v>
          </cell>
          <cell r="K165" t="str">
            <v>Normal</v>
          </cell>
        </row>
        <row r="166">
          <cell r="A166" t="str">
            <v>SALVAJINA</v>
          </cell>
          <cell r="J166" t="str">
            <v>0,8611</v>
          </cell>
          <cell r="K166" t="str">
            <v>Cuenta con embalse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Información_Básica"/>
      <sheetName val="Información_Técnica"/>
      <sheetName val="Curvas_Operación"/>
      <sheetName val="NEP-NPV"/>
    </sheetNames>
    <sheetDataSet>
      <sheetData sheetId="0"/>
      <sheetData sheetId="1">
        <row r="8">
          <cell r="A8" t="str">
            <v>ESMERALDA</v>
          </cell>
          <cell r="F8" t="str">
            <v>67,7</v>
          </cell>
          <cell r="G8">
            <v>528.48</v>
          </cell>
        </row>
        <row r="9">
          <cell r="A9" t="str">
            <v>ALTO ANCHICAYA</v>
          </cell>
          <cell r="F9" t="str">
            <v>6,32</v>
          </cell>
          <cell r="G9">
            <v>38.380000000000003</v>
          </cell>
        </row>
        <row r="10">
          <cell r="A10" t="str">
            <v>CALIMA</v>
          </cell>
          <cell r="F10" t="str">
            <v>104,36</v>
          </cell>
          <cell r="G10">
            <v>529.29999999999995</v>
          </cell>
        </row>
        <row r="11">
          <cell r="A11" t="str">
            <v>PRADO</v>
          </cell>
          <cell r="F11" t="str">
            <v>327,82</v>
          </cell>
          <cell r="G11">
            <v>980.89</v>
          </cell>
        </row>
        <row r="12">
          <cell r="A12" t="str">
            <v>SALVAJINA</v>
          </cell>
          <cell r="F12" t="str">
            <v>91,45</v>
          </cell>
          <cell r="G12">
            <v>807.22</v>
          </cell>
        </row>
        <row r="13">
          <cell r="A13" t="str">
            <v>URRA</v>
          </cell>
          <cell r="F13" t="str">
            <v>354,01</v>
          </cell>
          <cell r="G13">
            <v>1418.17</v>
          </cell>
        </row>
        <row r="14">
          <cell r="A14" t="str">
            <v>ITUANGO</v>
          </cell>
          <cell r="F14" t="str">
            <v>1.299</v>
          </cell>
          <cell r="G14">
            <v>1431</v>
          </cell>
        </row>
        <row r="15">
          <cell r="A15" t="str">
            <v>MIRAFLORES</v>
          </cell>
          <cell r="F15" t="str">
            <v>5,32</v>
          </cell>
          <cell r="G15">
            <v>142.44</v>
          </cell>
        </row>
        <row r="16">
          <cell r="A16" t="str">
            <v>AGREGADO MIRAFLORES - TRONERAS</v>
          </cell>
          <cell r="F16" t="str">
            <v>13,77</v>
          </cell>
          <cell r="G16">
            <v>170.09</v>
          </cell>
        </row>
        <row r="17">
          <cell r="A17" t="str">
            <v>PENOL</v>
          </cell>
          <cell r="F17" t="str">
            <v>77,84</v>
          </cell>
          <cell r="G17">
            <v>1120.02</v>
          </cell>
        </row>
        <row r="18">
          <cell r="A18" t="str">
            <v>PLAYAS</v>
          </cell>
          <cell r="F18" t="str">
            <v>19,57</v>
          </cell>
          <cell r="G18">
            <v>67.59</v>
          </cell>
        </row>
        <row r="19">
          <cell r="A19" t="str">
            <v>PORCE II</v>
          </cell>
          <cell r="F19" t="str">
            <v>38,79</v>
          </cell>
          <cell r="G19">
            <v>124.67</v>
          </cell>
        </row>
        <row r="20">
          <cell r="A20" t="str">
            <v>PORCE III</v>
          </cell>
          <cell r="F20" t="str">
            <v>29,45</v>
          </cell>
          <cell r="G20">
            <v>161.28</v>
          </cell>
        </row>
        <row r="21">
          <cell r="A21" t="str">
            <v>RIOGRANDE2</v>
          </cell>
          <cell r="F21" t="str">
            <v>47,64</v>
          </cell>
          <cell r="G21">
            <v>185.26</v>
          </cell>
        </row>
        <row r="22">
          <cell r="A22" t="str">
            <v>TRONERAS</v>
          </cell>
          <cell r="F22" t="str">
            <v>8,45</v>
          </cell>
          <cell r="G22">
            <v>27.65</v>
          </cell>
        </row>
        <row r="23">
          <cell r="A23" t="str">
            <v>AGREGADO BOGOTÁ</v>
          </cell>
          <cell r="F23" t="str">
            <v>0</v>
          </cell>
          <cell r="G23">
            <v>899.21</v>
          </cell>
        </row>
        <row r="24">
          <cell r="A24" t="str">
            <v>BETANIA</v>
          </cell>
          <cell r="F24" t="str">
            <v>448,19</v>
          </cell>
          <cell r="G24">
            <v>1171.79</v>
          </cell>
        </row>
        <row r="25">
          <cell r="A25" t="str">
            <v>CHUZA</v>
          </cell>
          <cell r="F25" t="str">
            <v>10,32</v>
          </cell>
          <cell r="G25">
            <v>228.43</v>
          </cell>
        </row>
        <row r="26">
          <cell r="A26" t="str">
            <v>EL QUIMBO</v>
          </cell>
          <cell r="F26" t="str">
            <v>453,72</v>
          </cell>
          <cell r="G26">
            <v>2742.14</v>
          </cell>
        </row>
        <row r="27">
          <cell r="A27" t="str">
            <v>EMBALSES BOGOTÁ</v>
          </cell>
          <cell r="F27" t="str">
            <v>10,4</v>
          </cell>
          <cell r="G27">
            <v>1140.05</v>
          </cell>
        </row>
        <row r="28">
          <cell r="A28" t="str">
            <v>GUAVIO</v>
          </cell>
          <cell r="F28" t="str">
            <v>18,47</v>
          </cell>
          <cell r="G28">
            <v>741.69</v>
          </cell>
        </row>
        <row r="29">
          <cell r="A29" t="str">
            <v>MUÑA</v>
          </cell>
          <cell r="F29" t="str">
            <v>0,08</v>
          </cell>
          <cell r="G29">
            <v>12.41</v>
          </cell>
        </row>
        <row r="30">
          <cell r="A30" t="str">
            <v>NEUSA</v>
          </cell>
          <cell r="F30" t="str">
            <v>0</v>
          </cell>
          <cell r="G30">
            <v>117.4</v>
          </cell>
        </row>
        <row r="31">
          <cell r="A31" t="str">
            <v>SISGA</v>
          </cell>
          <cell r="F31" t="str">
            <v>0</v>
          </cell>
          <cell r="G31">
            <v>92.28</v>
          </cell>
        </row>
        <row r="32">
          <cell r="A32" t="str">
            <v>TOMINÉ</v>
          </cell>
          <cell r="F32" t="str">
            <v>0</v>
          </cell>
          <cell r="G32">
            <v>689.53</v>
          </cell>
        </row>
        <row r="33">
          <cell r="A33" t="str">
            <v>AMANI</v>
          </cell>
          <cell r="F33" t="str">
            <v>48,01</v>
          </cell>
          <cell r="G33">
            <v>489.8</v>
          </cell>
        </row>
        <row r="34">
          <cell r="A34" t="str">
            <v>PUNCHINA</v>
          </cell>
          <cell r="F34" t="str">
            <v>13,98</v>
          </cell>
          <cell r="G34">
            <v>57.94</v>
          </cell>
        </row>
        <row r="35">
          <cell r="A35" t="str">
            <v>SAN LORENZO</v>
          </cell>
          <cell r="F35" t="str">
            <v>16,86</v>
          </cell>
          <cell r="G35">
            <v>178.37</v>
          </cell>
        </row>
        <row r="36">
          <cell r="A36" t="str">
            <v>TOPOCORO</v>
          </cell>
          <cell r="F36" t="str">
            <v>555,84</v>
          </cell>
          <cell r="G36">
            <v>3206.49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00_LEEME"/>
      <sheetName val="01_SERIE"/>
      <sheetName val="02_RESUMEN_DIARIO"/>
      <sheetName val="03_POR_RECURSO"/>
      <sheetName val="04_DATOS_CRUDOS"/>
    </sheetNames>
    <sheetDataSet>
      <sheetData sheetId="0"/>
      <sheetData sheetId="1">
        <row r="14042">
          <cell r="H14042" t="str">
            <v>2QEK</v>
          </cell>
          <cell r="K14042">
            <v>25.321271205571765</v>
          </cell>
        </row>
        <row r="14043">
          <cell r="H14043" t="str">
            <v>3DDT</v>
          </cell>
          <cell r="K14043">
            <v>23.71345200371228</v>
          </cell>
        </row>
        <row r="14044">
          <cell r="H14044" t="str">
            <v>3ENA</v>
          </cell>
          <cell r="K14044">
            <v>323.35978194526894</v>
          </cell>
        </row>
        <row r="14045">
          <cell r="H14045" t="str">
            <v>3HF5</v>
          </cell>
          <cell r="K14045">
            <v>22.642129935425253</v>
          </cell>
        </row>
        <row r="14046">
          <cell r="H14046" t="str">
            <v>3INX</v>
          </cell>
          <cell r="K14046">
            <v>22.57468458149043</v>
          </cell>
        </row>
        <row r="14047">
          <cell r="H14047" t="str">
            <v>3IQA</v>
          </cell>
          <cell r="K14047">
            <v>21.277336967578851</v>
          </cell>
        </row>
        <row r="14048">
          <cell r="H14048" t="str">
            <v>3IRX</v>
          </cell>
          <cell r="K14048">
            <v>21.277058267769203</v>
          </cell>
        </row>
        <row r="14049">
          <cell r="H14049" t="str">
            <v>3IZ6</v>
          </cell>
          <cell r="K14049">
            <v>21.738587939544438</v>
          </cell>
        </row>
        <row r="14050">
          <cell r="H14050" t="str">
            <v>4YCF</v>
          </cell>
          <cell r="K14050">
            <v>22.289295976410848</v>
          </cell>
        </row>
        <row r="14051">
          <cell r="H14051" t="str">
            <v>4YCN</v>
          </cell>
          <cell r="K14051">
            <v>66.115955842802151</v>
          </cell>
        </row>
        <row r="14052">
          <cell r="H14052" t="str">
            <v>ALBG</v>
          </cell>
          <cell r="K14052">
            <v>335.83327062587614</v>
          </cell>
        </row>
        <row r="14053">
          <cell r="H14053" t="str">
            <v>CHBG</v>
          </cell>
          <cell r="K14053">
            <v>25.320713805952469</v>
          </cell>
        </row>
        <row r="14054">
          <cell r="H14054" t="str">
            <v>CHVR</v>
          </cell>
          <cell r="K14054">
            <v>42.083671256852533</v>
          </cell>
        </row>
        <row r="14055">
          <cell r="H14055" t="str">
            <v>CLL1</v>
          </cell>
          <cell r="K14055">
            <v>22.295987558840498</v>
          </cell>
        </row>
        <row r="14056">
          <cell r="H14056" t="str">
            <v>CLMG</v>
          </cell>
          <cell r="K14056">
            <v>335.27587100658008</v>
          </cell>
        </row>
        <row r="14057">
          <cell r="H14057" t="str">
            <v>CTG1</v>
          </cell>
          <cell r="K14057">
            <v>390.1415516333202</v>
          </cell>
        </row>
        <row r="14058">
          <cell r="H14058" t="str">
            <v>CTG2</v>
          </cell>
          <cell r="K14058">
            <v>389.67974604873342</v>
          </cell>
        </row>
        <row r="14059">
          <cell r="H14059" t="str">
            <v>CTG3</v>
          </cell>
          <cell r="K14059">
            <v>407.835923848064</v>
          </cell>
        </row>
        <row r="14060">
          <cell r="H14060" t="str">
            <v>CUC1</v>
          </cell>
          <cell r="K14060">
            <v>26.721180349433819</v>
          </cell>
        </row>
        <row r="14061">
          <cell r="H14061" t="str">
            <v>DVS1</v>
          </cell>
          <cell r="K14061">
            <v>25.320992505762117</v>
          </cell>
        </row>
        <row r="14062">
          <cell r="H14062" t="str">
            <v>EPFV</v>
          </cell>
          <cell r="K14062">
            <v>23.713454790710376</v>
          </cell>
        </row>
        <row r="14063">
          <cell r="H14063" t="str">
            <v>ESMR</v>
          </cell>
          <cell r="K14063">
            <v>25.273340412308499</v>
          </cell>
        </row>
        <row r="14064">
          <cell r="H14064" t="str">
            <v>GE32</v>
          </cell>
          <cell r="K14064">
            <v>72.276615135071864</v>
          </cell>
        </row>
        <row r="14065">
          <cell r="H14065" t="str">
            <v>GEC3</v>
          </cell>
          <cell r="K14065">
            <v>70.928544155804332</v>
          </cell>
        </row>
        <row r="14066">
          <cell r="H14066" t="str">
            <v>GTPE</v>
          </cell>
          <cell r="K14066">
            <v>197.59816504045327</v>
          </cell>
        </row>
        <row r="14067">
          <cell r="H14067" t="str">
            <v>GTRG</v>
          </cell>
          <cell r="K14067">
            <v>207.91005799743039</v>
          </cell>
        </row>
        <row r="14068">
          <cell r="H14068" t="str">
            <v>GVIO</v>
          </cell>
          <cell r="K14068">
            <v>25.320716592950564</v>
          </cell>
        </row>
        <row r="14069">
          <cell r="H14069" t="str">
            <v>GYP3</v>
          </cell>
          <cell r="K14069">
            <v>22.642132722423348</v>
          </cell>
        </row>
        <row r="14070">
          <cell r="H14070" t="str">
            <v>GYPO</v>
          </cell>
          <cell r="K14070">
            <v>22.642135509421443</v>
          </cell>
        </row>
        <row r="14071">
          <cell r="H14071" t="str">
            <v>HMIN</v>
          </cell>
          <cell r="K14071">
            <v>22.295984771842399</v>
          </cell>
        </row>
        <row r="14072">
          <cell r="H14072" t="str">
            <v>HMLG</v>
          </cell>
          <cell r="K14072">
            <v>300.99579441987242</v>
          </cell>
        </row>
        <row r="14073">
          <cell r="H14073" t="str">
            <v>JAGS</v>
          </cell>
          <cell r="K14073">
            <v>207.91005799743039</v>
          </cell>
        </row>
        <row r="14074">
          <cell r="H14074" t="str">
            <v>LTSJ</v>
          </cell>
          <cell r="K14074">
            <v>249.43632963498686</v>
          </cell>
        </row>
        <row r="14075">
          <cell r="H14075" t="str">
            <v>MATA</v>
          </cell>
          <cell r="K14075">
            <v>21.738585152546339</v>
          </cell>
        </row>
        <row r="14076">
          <cell r="H14076" t="str">
            <v>MOY1</v>
          </cell>
          <cell r="K14076">
            <v>24.968161333745808</v>
          </cell>
        </row>
        <row r="14077">
          <cell r="H14077" t="str">
            <v>MRL1</v>
          </cell>
          <cell r="K14077">
            <v>344.99134637091043</v>
          </cell>
        </row>
        <row r="14078">
          <cell r="H14078" t="str">
            <v>PES1</v>
          </cell>
          <cell r="K14078">
            <v>24.491581872249579</v>
          </cell>
        </row>
        <row r="14079">
          <cell r="H14079" t="str">
            <v>PGUG</v>
          </cell>
          <cell r="K14079">
            <v>181.15487627121951</v>
          </cell>
        </row>
        <row r="14080">
          <cell r="H14080" t="str">
            <v>PLYS</v>
          </cell>
          <cell r="K14080">
            <v>25.273337625310401</v>
          </cell>
        </row>
        <row r="14081">
          <cell r="H14081" t="str">
            <v>PORO</v>
          </cell>
          <cell r="K14081">
            <v>21.459885342898311</v>
          </cell>
        </row>
        <row r="14082">
          <cell r="H14082" t="str">
            <v>PPA1</v>
          </cell>
          <cell r="K14082">
            <v>79.841921467967637</v>
          </cell>
        </row>
        <row r="14083">
          <cell r="H14083" t="str">
            <v>PPA2</v>
          </cell>
          <cell r="K14083">
            <v>73.231719382735662</v>
          </cell>
        </row>
        <row r="14084">
          <cell r="H14084" t="str">
            <v>PPA3</v>
          </cell>
          <cell r="K14084">
            <v>76.331697365450694</v>
          </cell>
        </row>
        <row r="14085">
          <cell r="H14085" t="str">
            <v>PPA4</v>
          </cell>
          <cell r="K14085">
            <v>66.597827813683594</v>
          </cell>
        </row>
        <row r="14086">
          <cell r="H14086" t="str">
            <v>PRC2</v>
          </cell>
          <cell r="K14086">
            <v>209.16420714084651</v>
          </cell>
        </row>
        <row r="14087">
          <cell r="H14087" t="str">
            <v>PRC3</v>
          </cell>
          <cell r="K14087">
            <v>197.62603502141806</v>
          </cell>
        </row>
        <row r="14088">
          <cell r="H14088" t="str">
            <v>PRDO</v>
          </cell>
          <cell r="K14088">
            <v>306.569790612833</v>
          </cell>
        </row>
        <row r="14089">
          <cell r="H14089" t="str">
            <v>PRG1</v>
          </cell>
          <cell r="K14089">
            <v>251.26125598856214</v>
          </cell>
        </row>
        <row r="14090">
          <cell r="H14090" t="str">
            <v>PRG2</v>
          </cell>
          <cell r="K14090">
            <v>251.26125598856214</v>
          </cell>
        </row>
        <row r="14091">
          <cell r="H14091" t="str">
            <v>QUI1</v>
          </cell>
          <cell r="K14091">
            <v>178.36787817473919</v>
          </cell>
        </row>
        <row r="14092">
          <cell r="H14092" t="str">
            <v>SLVJ</v>
          </cell>
          <cell r="K14092">
            <v>335.55457081622814</v>
          </cell>
        </row>
        <row r="14093">
          <cell r="H14093" t="str">
            <v>SMI1</v>
          </cell>
          <cell r="K14093">
            <v>24.968158546747713</v>
          </cell>
        </row>
        <row r="14094">
          <cell r="H14094" t="str">
            <v>SNCR</v>
          </cell>
          <cell r="K14094">
            <v>207.77070809260636</v>
          </cell>
        </row>
        <row r="14095">
          <cell r="H14095" t="str">
            <v>SNFR</v>
          </cell>
          <cell r="K14095">
            <v>25.273334838312305</v>
          </cell>
        </row>
        <row r="14096">
          <cell r="H14096" t="str">
            <v>SOG1</v>
          </cell>
          <cell r="K14096">
            <v>197.7375149452773</v>
          </cell>
        </row>
        <row r="14097">
          <cell r="H14097" t="str">
            <v>TBQ3</v>
          </cell>
          <cell r="K14097">
            <v>305.81256323001929</v>
          </cell>
        </row>
        <row r="14098">
          <cell r="H14098" t="str">
            <v>TBQ4</v>
          </cell>
          <cell r="K14098">
            <v>292.11056578848354</v>
          </cell>
        </row>
        <row r="14099">
          <cell r="H14099" t="str">
            <v>TBST</v>
          </cell>
          <cell r="K14099">
            <v>209.04492362231716</v>
          </cell>
        </row>
        <row r="14100">
          <cell r="H14100" t="str">
            <v>TCBE</v>
          </cell>
          <cell r="K14100">
            <v>245.25583249026639</v>
          </cell>
        </row>
        <row r="14101">
          <cell r="H14101" t="str">
            <v>TCDT</v>
          </cell>
          <cell r="K14101">
            <v>183.3465715742916</v>
          </cell>
        </row>
        <row r="14102">
          <cell r="H14102" t="str">
            <v>TDR1</v>
          </cell>
          <cell r="K14102">
            <v>751.15451396146693</v>
          </cell>
        </row>
        <row r="14103">
          <cell r="H14103" t="str">
            <v>TEC1</v>
          </cell>
          <cell r="K14103">
            <v>427.43994715851608</v>
          </cell>
        </row>
        <row r="14104">
          <cell r="H14104" t="str">
            <v>TFL1</v>
          </cell>
          <cell r="K14104">
            <v>295.6946453405572</v>
          </cell>
        </row>
        <row r="14105">
          <cell r="H14105" t="str">
            <v>TFL4</v>
          </cell>
          <cell r="K14105">
            <v>309.62963582295873</v>
          </cell>
        </row>
        <row r="14106">
          <cell r="H14106" t="str">
            <v>TGJ1</v>
          </cell>
          <cell r="K14106">
            <v>173.77379051250108</v>
          </cell>
        </row>
        <row r="14107">
          <cell r="H14107" t="str">
            <v>TGJ2</v>
          </cell>
          <cell r="K14107">
            <v>208.64053019851787</v>
          </cell>
        </row>
        <row r="14108">
          <cell r="H14108" t="str">
            <v>TPUY</v>
          </cell>
          <cell r="K14108">
            <v>22.594472267975441</v>
          </cell>
        </row>
        <row r="14109">
          <cell r="H14109" t="str">
            <v>TRM1</v>
          </cell>
          <cell r="K14109">
            <v>279.62676521491937</v>
          </cell>
        </row>
        <row r="14110">
          <cell r="H14110" t="str">
            <v>TRN1</v>
          </cell>
          <cell r="K14110">
            <v>316.32428395051403</v>
          </cell>
        </row>
        <row r="14111">
          <cell r="H14111" t="str">
            <v>TSJ1</v>
          </cell>
          <cell r="K14111">
            <v>66.464330604862198</v>
          </cell>
        </row>
        <row r="14112">
          <cell r="H14112" t="str">
            <v>TSJ2</v>
          </cell>
          <cell r="K14112">
            <v>61.169034221549623</v>
          </cell>
        </row>
        <row r="14113">
          <cell r="H14113" t="str">
            <v>TSR1</v>
          </cell>
          <cell r="K14113">
            <v>387.15751277141874</v>
          </cell>
        </row>
        <row r="14114">
          <cell r="H14114" t="str">
            <v>TUJ1</v>
          </cell>
          <cell r="K14114">
            <v>24.491584659247678</v>
          </cell>
        </row>
        <row r="14115">
          <cell r="H14115" t="str">
            <v>TVL1</v>
          </cell>
          <cell r="K14115">
            <v>444.30295784107977</v>
          </cell>
        </row>
        <row r="14116">
          <cell r="H14116" t="str">
            <v>TYP1</v>
          </cell>
          <cell r="K14116">
            <v>23.438653991399324</v>
          </cell>
        </row>
        <row r="14117">
          <cell r="H14117" t="str">
            <v>TYP2</v>
          </cell>
          <cell r="K14117">
            <v>23.438659565395518</v>
          </cell>
        </row>
        <row r="14118">
          <cell r="H14118" t="str">
            <v>TYP3</v>
          </cell>
          <cell r="K14118">
            <v>23.438656778397419</v>
          </cell>
        </row>
        <row r="14119">
          <cell r="H14119" t="str">
            <v>TYP4</v>
          </cell>
          <cell r="K14119">
            <v>23.438665139391713</v>
          </cell>
        </row>
        <row r="14120">
          <cell r="H14120" t="str">
            <v>TYP5</v>
          </cell>
          <cell r="K14120">
            <v>23.438662352393614</v>
          </cell>
        </row>
        <row r="14121">
          <cell r="H14121" t="str">
            <v>URA1</v>
          </cell>
          <cell r="K14121">
            <v>198.43426446939736</v>
          </cell>
        </row>
        <row r="14122">
          <cell r="H14122" t="str">
            <v>ZPA2</v>
          </cell>
          <cell r="K14122">
            <v>90.782561195510695</v>
          </cell>
        </row>
        <row r="14123">
          <cell r="H14123" t="str">
            <v>ZPA3</v>
          </cell>
          <cell r="K14123">
            <v>83.874429013764981</v>
          </cell>
        </row>
        <row r="14124">
          <cell r="H14124" t="str">
            <v>ZPA4</v>
          </cell>
          <cell r="K14124">
            <v>87.057459539755129</v>
          </cell>
        </row>
        <row r="14125">
          <cell r="H14125" t="str">
            <v>ZPA5</v>
          </cell>
          <cell r="K14125">
            <v>81.96728621634351</v>
          </cell>
        </row>
        <row r="14126">
          <cell r="H14126" t="str">
            <v>2QEK</v>
          </cell>
          <cell r="K14126">
            <v>25.321271205571765</v>
          </cell>
        </row>
        <row r="14127">
          <cell r="H14127" t="str">
            <v>3DDT</v>
          </cell>
          <cell r="K14127">
            <v>23.71345200371228</v>
          </cell>
        </row>
        <row r="14128">
          <cell r="H14128" t="str">
            <v>3ENA</v>
          </cell>
          <cell r="K14128">
            <v>323.35978194526894</v>
          </cell>
        </row>
        <row r="14129">
          <cell r="H14129" t="str">
            <v>3HF5</v>
          </cell>
          <cell r="K14129">
            <v>22.642129935425253</v>
          </cell>
        </row>
        <row r="14130">
          <cell r="H14130" t="str">
            <v>3INX</v>
          </cell>
          <cell r="K14130">
            <v>22.57468458149043</v>
          </cell>
        </row>
        <row r="14131">
          <cell r="H14131" t="str">
            <v>3IQA</v>
          </cell>
          <cell r="K14131">
            <v>21.277336967578851</v>
          </cell>
        </row>
        <row r="14132">
          <cell r="H14132" t="str">
            <v>3IRX</v>
          </cell>
          <cell r="K14132">
            <v>21.277058267769203</v>
          </cell>
        </row>
        <row r="14133">
          <cell r="H14133" t="str">
            <v>3IZ6</v>
          </cell>
          <cell r="K14133">
            <v>21.738587939544438</v>
          </cell>
        </row>
        <row r="14134">
          <cell r="H14134" t="str">
            <v>4YCF</v>
          </cell>
          <cell r="K14134">
            <v>22.289295976410848</v>
          </cell>
        </row>
        <row r="14135">
          <cell r="H14135" t="str">
            <v>4YCN</v>
          </cell>
          <cell r="K14135">
            <v>66.115955842802151</v>
          </cell>
        </row>
        <row r="14136">
          <cell r="H14136" t="str">
            <v>ALBG</v>
          </cell>
          <cell r="K14136">
            <v>335.83327062587614</v>
          </cell>
        </row>
        <row r="14137">
          <cell r="H14137" t="str">
            <v>CHBG</v>
          </cell>
          <cell r="K14137">
            <v>25.320713805952469</v>
          </cell>
        </row>
        <row r="14138">
          <cell r="H14138" t="str">
            <v>CHVR</v>
          </cell>
          <cell r="K14138">
            <v>42.083671256852533</v>
          </cell>
        </row>
        <row r="14139">
          <cell r="H14139" t="str">
            <v>CLL1</v>
          </cell>
          <cell r="K14139">
            <v>22.295987558840498</v>
          </cell>
        </row>
        <row r="14140">
          <cell r="H14140" t="str">
            <v>CLMG</v>
          </cell>
          <cell r="K14140">
            <v>335.27587100658008</v>
          </cell>
        </row>
        <row r="14141">
          <cell r="H14141" t="str">
            <v>CTG1</v>
          </cell>
          <cell r="K14141">
            <v>390.1415516333202</v>
          </cell>
        </row>
        <row r="14142">
          <cell r="H14142" t="str">
            <v>CTG2</v>
          </cell>
          <cell r="K14142">
            <v>389.67974604873342</v>
          </cell>
        </row>
        <row r="14143">
          <cell r="H14143" t="str">
            <v>CTG3</v>
          </cell>
          <cell r="K14143">
            <v>407.835923848064</v>
          </cell>
        </row>
        <row r="14144">
          <cell r="H14144" t="str">
            <v>CUC1</v>
          </cell>
          <cell r="K14144">
            <v>26.721180349433819</v>
          </cell>
        </row>
        <row r="14145">
          <cell r="H14145" t="str">
            <v>DVS1</v>
          </cell>
          <cell r="K14145">
            <v>25.320992505762117</v>
          </cell>
        </row>
        <row r="14146">
          <cell r="H14146" t="str">
            <v>EPFV</v>
          </cell>
          <cell r="K14146">
            <v>23.713454790710376</v>
          </cell>
        </row>
        <row r="14147">
          <cell r="H14147" t="str">
            <v>ESMR</v>
          </cell>
          <cell r="K14147">
            <v>25.273340412308499</v>
          </cell>
        </row>
        <row r="14148">
          <cell r="H14148" t="str">
            <v>GE32</v>
          </cell>
          <cell r="K14148">
            <v>72.276615135071864</v>
          </cell>
        </row>
        <row r="14149">
          <cell r="H14149" t="str">
            <v>GEC3</v>
          </cell>
          <cell r="K14149">
            <v>70.928544155804332</v>
          </cell>
        </row>
        <row r="14150">
          <cell r="H14150" t="str">
            <v>GTPE</v>
          </cell>
          <cell r="K14150">
            <v>197.59816504045327</v>
          </cell>
        </row>
        <row r="14151">
          <cell r="H14151" t="str">
            <v>GTRG</v>
          </cell>
          <cell r="K14151">
            <v>207.91005799743039</v>
          </cell>
        </row>
        <row r="14152">
          <cell r="H14152" t="str">
            <v>GVIO</v>
          </cell>
          <cell r="K14152">
            <v>25.320716592950564</v>
          </cell>
        </row>
        <row r="14153">
          <cell r="H14153" t="str">
            <v>GYP3</v>
          </cell>
          <cell r="K14153">
            <v>22.642132722423348</v>
          </cell>
        </row>
        <row r="14154">
          <cell r="H14154" t="str">
            <v>GYPO</v>
          </cell>
          <cell r="K14154">
            <v>22.642135509421443</v>
          </cell>
        </row>
        <row r="14155">
          <cell r="H14155" t="str">
            <v>HMIN</v>
          </cell>
          <cell r="K14155">
            <v>22.295984771842399</v>
          </cell>
        </row>
        <row r="14156">
          <cell r="H14156" t="str">
            <v>HMLG</v>
          </cell>
          <cell r="K14156">
            <v>300.99579441987242</v>
          </cell>
        </row>
        <row r="14157">
          <cell r="H14157" t="str">
            <v>JAGS</v>
          </cell>
          <cell r="K14157">
            <v>207.91005799743039</v>
          </cell>
        </row>
        <row r="14158">
          <cell r="H14158" t="str">
            <v>LTSJ</v>
          </cell>
          <cell r="K14158">
            <v>249.43632963498686</v>
          </cell>
        </row>
        <row r="14159">
          <cell r="H14159" t="str">
            <v>MATA</v>
          </cell>
          <cell r="K14159">
            <v>21.738585152546339</v>
          </cell>
        </row>
        <row r="14160">
          <cell r="H14160" t="str">
            <v>MOY1</v>
          </cell>
          <cell r="K14160">
            <v>24.968161333745808</v>
          </cell>
        </row>
        <row r="14161">
          <cell r="H14161" t="str">
            <v>MRL1</v>
          </cell>
          <cell r="K14161">
            <v>344.99134637091043</v>
          </cell>
        </row>
        <row r="14162">
          <cell r="H14162" t="str">
            <v>PES1</v>
          </cell>
          <cell r="K14162">
            <v>24.491581872249579</v>
          </cell>
        </row>
        <row r="14163">
          <cell r="H14163" t="str">
            <v>PGUG</v>
          </cell>
          <cell r="K14163">
            <v>181.15487627121951</v>
          </cell>
        </row>
        <row r="14164">
          <cell r="H14164" t="str">
            <v>PLYS</v>
          </cell>
          <cell r="K14164">
            <v>25.273337625310401</v>
          </cell>
        </row>
        <row r="14165">
          <cell r="H14165" t="str">
            <v>PORO</v>
          </cell>
          <cell r="K14165">
            <v>21.459885342898311</v>
          </cell>
        </row>
        <row r="14166">
          <cell r="H14166" t="str">
            <v>PPA1</v>
          </cell>
          <cell r="K14166">
            <v>79.841921467967637</v>
          </cell>
        </row>
        <row r="14167">
          <cell r="H14167" t="str">
            <v>PPA2</v>
          </cell>
          <cell r="K14167">
            <v>73.231719382735662</v>
          </cell>
        </row>
        <row r="14168">
          <cell r="H14168" t="str">
            <v>PPA3</v>
          </cell>
          <cell r="K14168">
            <v>76.331697365450694</v>
          </cell>
        </row>
        <row r="14169">
          <cell r="H14169" t="str">
            <v>PPA4</v>
          </cell>
          <cell r="K14169">
            <v>66.597827813683594</v>
          </cell>
        </row>
        <row r="14170">
          <cell r="H14170" t="str">
            <v>PRC2</v>
          </cell>
          <cell r="K14170">
            <v>209.16420714084651</v>
          </cell>
        </row>
        <row r="14171">
          <cell r="H14171" t="str">
            <v>PRC3</v>
          </cell>
          <cell r="K14171">
            <v>197.62603502141806</v>
          </cell>
        </row>
        <row r="14172">
          <cell r="H14172" t="str">
            <v>PRDO</v>
          </cell>
          <cell r="K14172">
            <v>306.569790612833</v>
          </cell>
        </row>
        <row r="14173">
          <cell r="H14173" t="str">
            <v>PRG1</v>
          </cell>
          <cell r="K14173">
            <v>251.26125598856214</v>
          </cell>
        </row>
        <row r="14174">
          <cell r="H14174" t="str">
            <v>PRG2</v>
          </cell>
          <cell r="K14174">
            <v>251.26125598856214</v>
          </cell>
        </row>
        <row r="14175">
          <cell r="H14175" t="str">
            <v>QUI1</v>
          </cell>
          <cell r="K14175">
            <v>178.36787817473919</v>
          </cell>
        </row>
        <row r="14176">
          <cell r="H14176" t="str">
            <v>SLVJ</v>
          </cell>
          <cell r="K14176">
            <v>335.55457081622814</v>
          </cell>
        </row>
        <row r="14177">
          <cell r="H14177" t="str">
            <v>SMI1</v>
          </cell>
          <cell r="K14177">
            <v>24.968158546747713</v>
          </cell>
        </row>
        <row r="14178">
          <cell r="H14178" t="str">
            <v>SNCR</v>
          </cell>
          <cell r="K14178">
            <v>207.77070809260636</v>
          </cell>
        </row>
        <row r="14179">
          <cell r="H14179" t="str">
            <v>SNFR</v>
          </cell>
          <cell r="K14179">
            <v>25.273334838312305</v>
          </cell>
        </row>
        <row r="14180">
          <cell r="H14180" t="str">
            <v>SOG1</v>
          </cell>
          <cell r="K14180">
            <v>197.7375149452773</v>
          </cell>
        </row>
        <row r="14181">
          <cell r="H14181" t="str">
            <v>TBQ3</v>
          </cell>
          <cell r="K14181">
            <v>305.81256323001929</v>
          </cell>
        </row>
        <row r="14182">
          <cell r="H14182" t="str">
            <v>TBQ4</v>
          </cell>
          <cell r="K14182">
            <v>292.11056578848354</v>
          </cell>
        </row>
        <row r="14183">
          <cell r="H14183" t="str">
            <v>TBST</v>
          </cell>
          <cell r="K14183">
            <v>209.04492362231716</v>
          </cell>
        </row>
        <row r="14184">
          <cell r="H14184" t="str">
            <v>TCBE</v>
          </cell>
          <cell r="K14184">
            <v>245.25583249026639</v>
          </cell>
        </row>
        <row r="14185">
          <cell r="H14185" t="str">
            <v>TCDT</v>
          </cell>
          <cell r="K14185">
            <v>183.3465715742916</v>
          </cell>
        </row>
        <row r="14186">
          <cell r="H14186" t="str">
            <v>TDR1</v>
          </cell>
          <cell r="K14186">
            <v>751.15451396146693</v>
          </cell>
        </row>
        <row r="14187">
          <cell r="H14187" t="str">
            <v>TEC1</v>
          </cell>
          <cell r="K14187">
            <v>427.43994715851608</v>
          </cell>
        </row>
        <row r="14188">
          <cell r="H14188" t="str">
            <v>TFL1</v>
          </cell>
          <cell r="K14188">
            <v>295.6946453405572</v>
          </cell>
        </row>
        <row r="14189">
          <cell r="H14189" t="str">
            <v>TFL4</v>
          </cell>
          <cell r="K14189">
            <v>309.62963582295873</v>
          </cell>
        </row>
        <row r="14190">
          <cell r="H14190" t="str">
            <v>TGJ1</v>
          </cell>
          <cell r="K14190">
            <v>173.77379051250108</v>
          </cell>
        </row>
        <row r="14191">
          <cell r="H14191" t="str">
            <v>TGJ2</v>
          </cell>
          <cell r="K14191">
            <v>208.64053019851787</v>
          </cell>
        </row>
        <row r="14192">
          <cell r="H14192" t="str">
            <v>TPUY</v>
          </cell>
          <cell r="K14192">
            <v>22.594472267975441</v>
          </cell>
        </row>
        <row r="14193">
          <cell r="H14193" t="str">
            <v>TRM1</v>
          </cell>
          <cell r="K14193">
            <v>279.62676521491937</v>
          </cell>
        </row>
        <row r="14194">
          <cell r="H14194" t="str">
            <v>TRN1</v>
          </cell>
          <cell r="K14194">
            <v>316.32428395051403</v>
          </cell>
        </row>
        <row r="14195">
          <cell r="H14195" t="str">
            <v>TSJ1</v>
          </cell>
          <cell r="K14195">
            <v>66.464330604862198</v>
          </cell>
        </row>
        <row r="14196">
          <cell r="H14196" t="str">
            <v>TSJ2</v>
          </cell>
          <cell r="K14196">
            <v>61.169034221549623</v>
          </cell>
        </row>
        <row r="14197">
          <cell r="H14197" t="str">
            <v>TSR1</v>
          </cell>
          <cell r="K14197">
            <v>387.15751277141874</v>
          </cell>
        </row>
        <row r="14198">
          <cell r="H14198" t="str">
            <v>TUJ1</v>
          </cell>
          <cell r="K14198">
            <v>24.491584659247678</v>
          </cell>
        </row>
        <row r="14199">
          <cell r="H14199" t="str">
            <v>TVL1</v>
          </cell>
          <cell r="K14199">
            <v>444.30295784107977</v>
          </cell>
        </row>
        <row r="14200">
          <cell r="H14200" t="str">
            <v>TYP1</v>
          </cell>
          <cell r="K14200">
            <v>23.438653991399324</v>
          </cell>
        </row>
        <row r="14201">
          <cell r="H14201" t="str">
            <v>TYP2</v>
          </cell>
          <cell r="K14201">
            <v>23.438659565395518</v>
          </cell>
        </row>
        <row r="14202">
          <cell r="H14202" t="str">
            <v>TYP3</v>
          </cell>
          <cell r="K14202">
            <v>23.438656778397419</v>
          </cell>
        </row>
        <row r="14203">
          <cell r="H14203" t="str">
            <v>TYP4</v>
          </cell>
          <cell r="K14203">
            <v>23.438665139391713</v>
          </cell>
        </row>
        <row r="14204">
          <cell r="H14204" t="str">
            <v>TYP5</v>
          </cell>
          <cell r="K14204">
            <v>23.438662352393614</v>
          </cell>
        </row>
        <row r="14205">
          <cell r="H14205" t="str">
            <v>URA1</v>
          </cell>
          <cell r="K14205">
            <v>198.43426446939736</v>
          </cell>
        </row>
        <row r="14206">
          <cell r="H14206" t="str">
            <v>ZPA2</v>
          </cell>
          <cell r="K14206">
            <v>90.782561195510695</v>
          </cell>
        </row>
        <row r="14207">
          <cell r="H14207" t="str">
            <v>ZPA3</v>
          </cell>
          <cell r="K14207">
            <v>83.874429013764981</v>
          </cell>
        </row>
        <row r="14208">
          <cell r="H14208" t="str">
            <v>ZPA4</v>
          </cell>
          <cell r="K14208">
            <v>87.057459539755129</v>
          </cell>
        </row>
        <row r="14209">
          <cell r="H14209" t="str">
            <v>ZPA5</v>
          </cell>
          <cell r="K14209">
            <v>81.96728621634351</v>
          </cell>
        </row>
        <row r="14210">
          <cell r="H14210" t="str">
            <v>2QEK</v>
          </cell>
          <cell r="K14210">
            <v>25.321271205571765</v>
          </cell>
        </row>
        <row r="14211">
          <cell r="H14211" t="str">
            <v>3DDT</v>
          </cell>
          <cell r="K14211">
            <v>23.71345200371228</v>
          </cell>
        </row>
        <row r="14212">
          <cell r="H14212" t="str">
            <v>3ENA</v>
          </cell>
          <cell r="K14212">
            <v>323.35978194526894</v>
          </cell>
        </row>
        <row r="14213">
          <cell r="H14213" t="str">
            <v>3HF5</v>
          </cell>
          <cell r="K14213">
            <v>22.642129935425253</v>
          </cell>
        </row>
        <row r="14214">
          <cell r="H14214" t="str">
            <v>3INX</v>
          </cell>
          <cell r="K14214">
            <v>22.57468458149043</v>
          </cell>
        </row>
        <row r="14215">
          <cell r="H14215" t="str">
            <v>3IQA</v>
          </cell>
          <cell r="K14215">
            <v>21.277336967578851</v>
          </cell>
        </row>
        <row r="14216">
          <cell r="H14216" t="str">
            <v>3IRX</v>
          </cell>
          <cell r="K14216">
            <v>21.277058267769203</v>
          </cell>
        </row>
        <row r="14217">
          <cell r="H14217" t="str">
            <v>3IZ6</v>
          </cell>
          <cell r="K14217">
            <v>21.738587939544438</v>
          </cell>
        </row>
        <row r="14218">
          <cell r="H14218" t="str">
            <v>4YCF</v>
          </cell>
          <cell r="K14218">
            <v>22.289295976410848</v>
          </cell>
        </row>
        <row r="14219">
          <cell r="H14219" t="str">
            <v>4YCN</v>
          </cell>
          <cell r="K14219">
            <v>66.115955842802151</v>
          </cell>
        </row>
        <row r="14220">
          <cell r="H14220" t="str">
            <v>ALBG</v>
          </cell>
          <cell r="K14220">
            <v>335.83327062587614</v>
          </cell>
        </row>
        <row r="14221">
          <cell r="H14221" t="str">
            <v>CHBG</v>
          </cell>
          <cell r="K14221">
            <v>25.320713805952469</v>
          </cell>
        </row>
        <row r="14222">
          <cell r="H14222" t="str">
            <v>CHVR</v>
          </cell>
          <cell r="K14222">
            <v>42.083671256852533</v>
          </cell>
        </row>
        <row r="14223">
          <cell r="H14223" t="str">
            <v>CLL1</v>
          </cell>
          <cell r="K14223">
            <v>22.295987558840498</v>
          </cell>
        </row>
        <row r="14224">
          <cell r="H14224" t="str">
            <v>CLMG</v>
          </cell>
          <cell r="K14224">
            <v>335.27587100658008</v>
          </cell>
        </row>
        <row r="14225">
          <cell r="H14225" t="str">
            <v>CTG1</v>
          </cell>
          <cell r="K14225">
            <v>390.1415516333202</v>
          </cell>
        </row>
        <row r="14226">
          <cell r="H14226" t="str">
            <v>CTG2</v>
          </cell>
          <cell r="K14226">
            <v>389.67974604873342</v>
          </cell>
        </row>
        <row r="14227">
          <cell r="H14227" t="str">
            <v>CTG3</v>
          </cell>
          <cell r="K14227">
            <v>407.835923848064</v>
          </cell>
        </row>
        <row r="14228">
          <cell r="H14228" t="str">
            <v>CUC1</v>
          </cell>
          <cell r="K14228">
            <v>26.721180349433819</v>
          </cell>
        </row>
        <row r="14229">
          <cell r="H14229" t="str">
            <v>DVS1</v>
          </cell>
          <cell r="K14229">
            <v>25.320992505762117</v>
          </cell>
        </row>
        <row r="14230">
          <cell r="H14230" t="str">
            <v>EPFV</v>
          </cell>
          <cell r="K14230">
            <v>23.713454790710376</v>
          </cell>
        </row>
        <row r="14231">
          <cell r="H14231" t="str">
            <v>ESMR</v>
          </cell>
          <cell r="K14231">
            <v>25.273340412308499</v>
          </cell>
        </row>
        <row r="14232">
          <cell r="H14232" t="str">
            <v>GE32</v>
          </cell>
          <cell r="K14232">
            <v>72.276615135071864</v>
          </cell>
        </row>
        <row r="14233">
          <cell r="H14233" t="str">
            <v>GEC3</v>
          </cell>
          <cell r="K14233">
            <v>70.928544155804332</v>
          </cell>
        </row>
        <row r="14234">
          <cell r="H14234" t="str">
            <v>GTPE</v>
          </cell>
          <cell r="K14234">
            <v>197.59816504045327</v>
          </cell>
        </row>
        <row r="14235">
          <cell r="H14235" t="str">
            <v>GTRG</v>
          </cell>
          <cell r="K14235">
            <v>207.91005799743039</v>
          </cell>
        </row>
        <row r="14236">
          <cell r="H14236" t="str">
            <v>GVIO</v>
          </cell>
          <cell r="K14236">
            <v>25.320716592950564</v>
          </cell>
        </row>
        <row r="14237">
          <cell r="H14237" t="str">
            <v>GYP3</v>
          </cell>
          <cell r="K14237">
            <v>22.642132722423348</v>
          </cell>
        </row>
        <row r="14238">
          <cell r="H14238" t="str">
            <v>GYPO</v>
          </cell>
          <cell r="K14238">
            <v>22.642135509421443</v>
          </cell>
        </row>
        <row r="14239">
          <cell r="H14239" t="str">
            <v>HMIN</v>
          </cell>
          <cell r="K14239">
            <v>22.295984771842399</v>
          </cell>
        </row>
        <row r="14240">
          <cell r="H14240" t="str">
            <v>HMLG</v>
          </cell>
          <cell r="K14240">
            <v>300.99579441987242</v>
          </cell>
        </row>
        <row r="14241">
          <cell r="H14241" t="str">
            <v>JAGS</v>
          </cell>
          <cell r="K14241">
            <v>207.91005799743039</v>
          </cell>
        </row>
        <row r="14242">
          <cell r="H14242" t="str">
            <v>LTSJ</v>
          </cell>
          <cell r="K14242">
            <v>249.43632963498686</v>
          </cell>
        </row>
        <row r="14243">
          <cell r="H14243" t="str">
            <v>MATA</v>
          </cell>
          <cell r="K14243">
            <v>21.738585152546339</v>
          </cell>
        </row>
        <row r="14244">
          <cell r="H14244" t="str">
            <v>MOY1</v>
          </cell>
          <cell r="K14244">
            <v>24.968161333745808</v>
          </cell>
        </row>
        <row r="14245">
          <cell r="H14245" t="str">
            <v>MRL1</v>
          </cell>
          <cell r="K14245">
            <v>344.99134637091043</v>
          </cell>
        </row>
        <row r="14246">
          <cell r="H14246" t="str">
            <v>PES1</v>
          </cell>
          <cell r="K14246">
            <v>24.491581872249579</v>
          </cell>
        </row>
        <row r="14247">
          <cell r="H14247" t="str">
            <v>PGUG</v>
          </cell>
          <cell r="K14247">
            <v>181.15487627121951</v>
          </cell>
        </row>
        <row r="14248">
          <cell r="H14248" t="str">
            <v>PLYS</v>
          </cell>
          <cell r="K14248">
            <v>25.273337625310401</v>
          </cell>
        </row>
        <row r="14249">
          <cell r="H14249" t="str">
            <v>PORO</v>
          </cell>
          <cell r="K14249">
            <v>21.459885342898311</v>
          </cell>
        </row>
        <row r="14250">
          <cell r="H14250" t="str">
            <v>PPA1</v>
          </cell>
          <cell r="K14250">
            <v>79.841921467967637</v>
          </cell>
        </row>
        <row r="14251">
          <cell r="H14251" t="str">
            <v>PPA2</v>
          </cell>
          <cell r="K14251">
            <v>73.231719382735662</v>
          </cell>
        </row>
        <row r="14252">
          <cell r="H14252" t="str">
            <v>PPA3</v>
          </cell>
          <cell r="K14252">
            <v>76.331697365450694</v>
          </cell>
        </row>
        <row r="14253">
          <cell r="H14253" t="str">
            <v>PPA4</v>
          </cell>
          <cell r="K14253">
            <v>66.597827813683594</v>
          </cell>
        </row>
        <row r="14254">
          <cell r="H14254" t="str">
            <v>PRC2</v>
          </cell>
          <cell r="K14254">
            <v>209.16420714084651</v>
          </cell>
        </row>
        <row r="14255">
          <cell r="H14255" t="str">
            <v>PRC3</v>
          </cell>
          <cell r="K14255">
            <v>197.62603502141806</v>
          </cell>
        </row>
        <row r="14256">
          <cell r="H14256" t="str">
            <v>PRDO</v>
          </cell>
          <cell r="K14256">
            <v>306.569790612833</v>
          </cell>
        </row>
        <row r="14257">
          <cell r="H14257" t="str">
            <v>PRG1</v>
          </cell>
          <cell r="K14257">
            <v>251.26125598856214</v>
          </cell>
        </row>
        <row r="14258">
          <cell r="H14258" t="str">
            <v>PRG2</v>
          </cell>
          <cell r="K14258">
            <v>251.26125598856214</v>
          </cell>
        </row>
        <row r="14259">
          <cell r="H14259" t="str">
            <v>QUI1</v>
          </cell>
          <cell r="K14259">
            <v>178.36787817473919</v>
          </cell>
        </row>
        <row r="14260">
          <cell r="H14260" t="str">
            <v>SLVJ</v>
          </cell>
          <cell r="K14260">
            <v>335.55457081622814</v>
          </cell>
        </row>
        <row r="14261">
          <cell r="H14261" t="str">
            <v>SMI1</v>
          </cell>
          <cell r="K14261">
            <v>24.968158546747713</v>
          </cell>
        </row>
        <row r="14262">
          <cell r="H14262" t="str">
            <v>SNCR</v>
          </cell>
          <cell r="K14262">
            <v>207.77070809260636</v>
          </cell>
        </row>
        <row r="14263">
          <cell r="H14263" t="str">
            <v>SNFR</v>
          </cell>
          <cell r="K14263">
            <v>25.273334838312305</v>
          </cell>
        </row>
        <row r="14264">
          <cell r="H14264" t="str">
            <v>SOG1</v>
          </cell>
          <cell r="K14264">
            <v>197.7375149452773</v>
          </cell>
        </row>
        <row r="14265">
          <cell r="H14265" t="str">
            <v>TBQ3</v>
          </cell>
          <cell r="K14265">
            <v>305.81256323001929</v>
          </cell>
        </row>
        <row r="14266">
          <cell r="H14266" t="str">
            <v>TBQ4</v>
          </cell>
          <cell r="K14266">
            <v>292.11056578848354</v>
          </cell>
        </row>
        <row r="14267">
          <cell r="H14267" t="str">
            <v>TBST</v>
          </cell>
          <cell r="K14267">
            <v>209.04492362231716</v>
          </cell>
        </row>
        <row r="14268">
          <cell r="H14268" t="str">
            <v>TCBE</v>
          </cell>
          <cell r="K14268">
            <v>245.25583249026639</v>
          </cell>
        </row>
        <row r="14269">
          <cell r="H14269" t="str">
            <v>TCDT</v>
          </cell>
          <cell r="K14269">
            <v>183.3465715742916</v>
          </cell>
        </row>
        <row r="14270">
          <cell r="H14270" t="str">
            <v>TDR1</v>
          </cell>
          <cell r="K14270">
            <v>751.15451396146693</v>
          </cell>
        </row>
        <row r="14271">
          <cell r="H14271" t="str">
            <v>TEC1</v>
          </cell>
          <cell r="K14271">
            <v>427.43994715851608</v>
          </cell>
        </row>
        <row r="14272">
          <cell r="H14272" t="str">
            <v>TFL1</v>
          </cell>
          <cell r="K14272">
            <v>295.6946453405572</v>
          </cell>
        </row>
        <row r="14273">
          <cell r="H14273" t="str">
            <v>TFL4</v>
          </cell>
          <cell r="K14273">
            <v>309.62963582295873</v>
          </cell>
        </row>
        <row r="14274">
          <cell r="H14274" t="str">
            <v>TGJ1</v>
          </cell>
          <cell r="K14274">
            <v>173.77379051250108</v>
          </cell>
        </row>
        <row r="14275">
          <cell r="H14275" t="str">
            <v>TGJ2</v>
          </cell>
          <cell r="K14275">
            <v>208.64053019851787</v>
          </cell>
        </row>
        <row r="14276">
          <cell r="H14276" t="str">
            <v>TPUY</v>
          </cell>
          <cell r="K14276">
            <v>22.594472267975441</v>
          </cell>
        </row>
        <row r="14277">
          <cell r="H14277" t="str">
            <v>TRM1</v>
          </cell>
          <cell r="K14277">
            <v>279.62676521491937</v>
          </cell>
        </row>
        <row r="14278">
          <cell r="H14278" t="str">
            <v>TRN1</v>
          </cell>
          <cell r="K14278">
            <v>316.32428395051403</v>
          </cell>
        </row>
        <row r="14279">
          <cell r="H14279" t="str">
            <v>TSJ1</v>
          </cell>
          <cell r="K14279">
            <v>66.464330604862198</v>
          </cell>
        </row>
        <row r="14280">
          <cell r="H14280" t="str">
            <v>TSJ2</v>
          </cell>
          <cell r="K14280">
            <v>61.169034221549623</v>
          </cell>
        </row>
        <row r="14281">
          <cell r="H14281" t="str">
            <v>TSR1</v>
          </cell>
          <cell r="K14281">
            <v>387.15751277141874</v>
          </cell>
        </row>
        <row r="14282">
          <cell r="H14282" t="str">
            <v>TUJ1</v>
          </cell>
          <cell r="K14282">
            <v>24.491584659247678</v>
          </cell>
        </row>
        <row r="14283">
          <cell r="H14283" t="str">
            <v>TVL1</v>
          </cell>
          <cell r="K14283">
            <v>444.30295784107977</v>
          </cell>
        </row>
        <row r="14284">
          <cell r="H14284" t="str">
            <v>TYP1</v>
          </cell>
          <cell r="K14284">
            <v>23.438653991399324</v>
          </cell>
        </row>
        <row r="14285">
          <cell r="H14285" t="str">
            <v>TYP2</v>
          </cell>
          <cell r="K14285">
            <v>23.438659565395518</v>
          </cell>
        </row>
        <row r="14286">
          <cell r="H14286" t="str">
            <v>TYP3</v>
          </cell>
          <cell r="K14286">
            <v>23.438656778397419</v>
          </cell>
        </row>
        <row r="14287">
          <cell r="H14287" t="str">
            <v>TYP4</v>
          </cell>
          <cell r="K14287">
            <v>23.438665139391713</v>
          </cell>
        </row>
        <row r="14288">
          <cell r="H14288" t="str">
            <v>TYP5</v>
          </cell>
          <cell r="K14288">
            <v>23.438662352393614</v>
          </cell>
        </row>
        <row r="14289">
          <cell r="H14289" t="str">
            <v>URA1</v>
          </cell>
          <cell r="K14289">
            <v>198.43426446939736</v>
          </cell>
        </row>
        <row r="14290">
          <cell r="H14290" t="str">
            <v>ZPA2</v>
          </cell>
          <cell r="K14290">
            <v>90.782561195510695</v>
          </cell>
        </row>
        <row r="14291">
          <cell r="H14291" t="str">
            <v>ZPA3</v>
          </cell>
          <cell r="K14291">
            <v>83.874429013764981</v>
          </cell>
        </row>
        <row r="14292">
          <cell r="H14292" t="str">
            <v>ZPA4</v>
          </cell>
          <cell r="K14292">
            <v>87.057459539755129</v>
          </cell>
        </row>
        <row r="14293">
          <cell r="H14293" t="str">
            <v>ZPA5</v>
          </cell>
          <cell r="K14293">
            <v>81.96728621634351</v>
          </cell>
        </row>
        <row r="14294">
          <cell r="H14294" t="str">
            <v>2QEK</v>
          </cell>
          <cell r="K14294">
            <v>25.321271205571765</v>
          </cell>
        </row>
        <row r="14295">
          <cell r="H14295" t="str">
            <v>3DDT</v>
          </cell>
          <cell r="K14295">
            <v>23.71345200371228</v>
          </cell>
        </row>
        <row r="14296">
          <cell r="H14296" t="str">
            <v>3ENA</v>
          </cell>
          <cell r="K14296">
            <v>323.35978194526894</v>
          </cell>
        </row>
        <row r="14297">
          <cell r="H14297" t="str">
            <v>3HF5</v>
          </cell>
          <cell r="K14297">
            <v>22.642129935425253</v>
          </cell>
        </row>
        <row r="14298">
          <cell r="H14298" t="str">
            <v>3INX</v>
          </cell>
          <cell r="K14298">
            <v>22.57468458149043</v>
          </cell>
        </row>
        <row r="14299">
          <cell r="H14299" t="str">
            <v>3IQA</v>
          </cell>
          <cell r="K14299">
            <v>21.277336967578851</v>
          </cell>
        </row>
        <row r="14300">
          <cell r="H14300" t="str">
            <v>3IRX</v>
          </cell>
          <cell r="K14300">
            <v>21.277058267769203</v>
          </cell>
        </row>
        <row r="14301">
          <cell r="H14301" t="str">
            <v>3IZ6</v>
          </cell>
          <cell r="K14301">
            <v>21.738587939544438</v>
          </cell>
        </row>
        <row r="14302">
          <cell r="H14302" t="str">
            <v>4YCF</v>
          </cell>
          <cell r="K14302">
            <v>22.289295976410848</v>
          </cell>
        </row>
        <row r="14303">
          <cell r="H14303" t="str">
            <v>4YCN</v>
          </cell>
          <cell r="K14303">
            <v>66.115955842802151</v>
          </cell>
        </row>
        <row r="14304">
          <cell r="H14304" t="str">
            <v>ALBG</v>
          </cell>
          <cell r="K14304">
            <v>335.83327062587614</v>
          </cell>
        </row>
        <row r="14305">
          <cell r="H14305" t="str">
            <v>CHBG</v>
          </cell>
          <cell r="K14305">
            <v>25.320713805952469</v>
          </cell>
        </row>
        <row r="14306">
          <cell r="H14306" t="str">
            <v>CHVR</v>
          </cell>
          <cell r="K14306">
            <v>42.083671256852533</v>
          </cell>
        </row>
        <row r="14307">
          <cell r="H14307" t="str">
            <v>CLL1</v>
          </cell>
          <cell r="K14307">
            <v>22.295987558840498</v>
          </cell>
        </row>
        <row r="14308">
          <cell r="H14308" t="str">
            <v>CLMG</v>
          </cell>
          <cell r="K14308">
            <v>335.27587100658008</v>
          </cell>
        </row>
        <row r="14309">
          <cell r="H14309" t="str">
            <v>CTG1</v>
          </cell>
          <cell r="K14309">
            <v>390.1415516333202</v>
          </cell>
        </row>
        <row r="14310">
          <cell r="H14310" t="str">
            <v>CTG2</v>
          </cell>
          <cell r="K14310">
            <v>389.67974604873342</v>
          </cell>
        </row>
        <row r="14311">
          <cell r="H14311" t="str">
            <v>CTG3</v>
          </cell>
          <cell r="K14311">
            <v>407.835923848064</v>
          </cell>
        </row>
        <row r="14312">
          <cell r="H14312" t="str">
            <v>CUC1</v>
          </cell>
          <cell r="K14312">
            <v>26.721180349433819</v>
          </cell>
        </row>
        <row r="14313">
          <cell r="H14313" t="str">
            <v>DVS1</v>
          </cell>
          <cell r="K14313">
            <v>25.320992505762117</v>
          </cell>
        </row>
        <row r="14314">
          <cell r="H14314" t="str">
            <v>EPFV</v>
          </cell>
          <cell r="K14314">
            <v>23.713454790710376</v>
          </cell>
        </row>
        <row r="14315">
          <cell r="H14315" t="str">
            <v>ESMR</v>
          </cell>
          <cell r="K14315">
            <v>25.273340412308499</v>
          </cell>
        </row>
        <row r="14316">
          <cell r="H14316" t="str">
            <v>GE32</v>
          </cell>
          <cell r="K14316">
            <v>72.276615135071864</v>
          </cell>
        </row>
        <row r="14317">
          <cell r="H14317" t="str">
            <v>GEC3</v>
          </cell>
          <cell r="K14317">
            <v>70.928544155804332</v>
          </cell>
        </row>
        <row r="14318">
          <cell r="H14318" t="str">
            <v>GTPE</v>
          </cell>
          <cell r="K14318">
            <v>197.59816504045327</v>
          </cell>
        </row>
        <row r="14319">
          <cell r="H14319" t="str">
            <v>GTRG</v>
          </cell>
          <cell r="K14319">
            <v>207.91005799743039</v>
          </cell>
        </row>
        <row r="14320">
          <cell r="H14320" t="str">
            <v>GVIO</v>
          </cell>
          <cell r="K14320">
            <v>25.320716592950564</v>
          </cell>
        </row>
        <row r="14321">
          <cell r="H14321" t="str">
            <v>GYP3</v>
          </cell>
          <cell r="K14321">
            <v>22.642132722423348</v>
          </cell>
        </row>
        <row r="14322">
          <cell r="H14322" t="str">
            <v>GYPO</v>
          </cell>
          <cell r="K14322">
            <v>22.642135509421443</v>
          </cell>
        </row>
        <row r="14323">
          <cell r="H14323" t="str">
            <v>HMIN</v>
          </cell>
          <cell r="K14323">
            <v>22.295984771842399</v>
          </cell>
        </row>
        <row r="14324">
          <cell r="H14324" t="str">
            <v>HMLG</v>
          </cell>
          <cell r="K14324">
            <v>300.99579441987242</v>
          </cell>
        </row>
        <row r="14325">
          <cell r="H14325" t="str">
            <v>JAGS</v>
          </cell>
          <cell r="K14325">
            <v>207.91005799743039</v>
          </cell>
        </row>
        <row r="14326">
          <cell r="H14326" t="str">
            <v>LTSJ</v>
          </cell>
          <cell r="K14326">
            <v>249.43632963498686</v>
          </cell>
        </row>
        <row r="14327">
          <cell r="H14327" t="str">
            <v>MATA</v>
          </cell>
          <cell r="K14327">
            <v>21.738585152546339</v>
          </cell>
        </row>
        <row r="14328">
          <cell r="H14328" t="str">
            <v>MOY1</v>
          </cell>
          <cell r="K14328">
            <v>24.968161333745808</v>
          </cell>
        </row>
        <row r="14329">
          <cell r="H14329" t="str">
            <v>MRL1</v>
          </cell>
          <cell r="K14329">
            <v>344.99134637091043</v>
          </cell>
        </row>
        <row r="14330">
          <cell r="H14330" t="str">
            <v>PES1</v>
          </cell>
          <cell r="K14330">
            <v>24.491581872249579</v>
          </cell>
        </row>
        <row r="14331">
          <cell r="H14331" t="str">
            <v>PGUG</v>
          </cell>
          <cell r="K14331">
            <v>181.15487627121951</v>
          </cell>
        </row>
        <row r="14332">
          <cell r="H14332" t="str">
            <v>PLYS</v>
          </cell>
          <cell r="K14332">
            <v>25.273337625310401</v>
          </cell>
        </row>
        <row r="14333">
          <cell r="H14333" t="str">
            <v>PORO</v>
          </cell>
          <cell r="K14333">
            <v>21.459885342898311</v>
          </cell>
        </row>
        <row r="14334">
          <cell r="H14334" t="str">
            <v>PPA1</v>
          </cell>
          <cell r="K14334">
            <v>79.841921467967637</v>
          </cell>
        </row>
        <row r="14335">
          <cell r="H14335" t="str">
            <v>PPA2</v>
          </cell>
          <cell r="K14335">
            <v>73.231719382735662</v>
          </cell>
        </row>
        <row r="14336">
          <cell r="H14336" t="str">
            <v>PPA3</v>
          </cell>
          <cell r="K14336">
            <v>76.331697365450694</v>
          </cell>
        </row>
        <row r="14337">
          <cell r="H14337" t="str">
            <v>PPA4</v>
          </cell>
          <cell r="K14337">
            <v>66.597827813683594</v>
          </cell>
        </row>
        <row r="14338">
          <cell r="H14338" t="str">
            <v>PRC2</v>
          </cell>
          <cell r="K14338">
            <v>209.16420714084651</v>
          </cell>
        </row>
        <row r="14339">
          <cell r="H14339" t="str">
            <v>PRC3</v>
          </cell>
          <cell r="K14339">
            <v>197.62603502141806</v>
          </cell>
        </row>
        <row r="14340">
          <cell r="H14340" t="str">
            <v>PRDO</v>
          </cell>
          <cell r="K14340">
            <v>306.569790612833</v>
          </cell>
        </row>
        <row r="14341">
          <cell r="H14341" t="str">
            <v>PRG1</v>
          </cell>
          <cell r="K14341">
            <v>251.26125598856214</v>
          </cell>
        </row>
        <row r="14342">
          <cell r="H14342" t="str">
            <v>PRG2</v>
          </cell>
          <cell r="K14342">
            <v>251.26125598856214</v>
          </cell>
        </row>
        <row r="14343">
          <cell r="H14343" t="str">
            <v>QUI1</v>
          </cell>
          <cell r="K14343">
            <v>178.36787817473919</v>
          </cell>
        </row>
        <row r="14344">
          <cell r="H14344" t="str">
            <v>SLVJ</v>
          </cell>
          <cell r="K14344">
            <v>335.55457081622814</v>
          </cell>
        </row>
        <row r="14345">
          <cell r="H14345" t="str">
            <v>SMI1</v>
          </cell>
          <cell r="K14345">
            <v>24.968158546747713</v>
          </cell>
        </row>
        <row r="14346">
          <cell r="H14346" t="str">
            <v>SNCR</v>
          </cell>
          <cell r="K14346">
            <v>207.77070809260636</v>
          </cell>
        </row>
        <row r="14347">
          <cell r="H14347" t="str">
            <v>SNFR</v>
          </cell>
          <cell r="K14347">
            <v>25.273334838312305</v>
          </cell>
        </row>
        <row r="14348">
          <cell r="H14348" t="str">
            <v>SOG1</v>
          </cell>
          <cell r="K14348">
            <v>197.7375149452773</v>
          </cell>
        </row>
        <row r="14349">
          <cell r="H14349" t="str">
            <v>TBQ3</v>
          </cell>
          <cell r="K14349">
            <v>305.81256323001929</v>
          </cell>
        </row>
        <row r="14350">
          <cell r="H14350" t="str">
            <v>TBQ4</v>
          </cell>
          <cell r="K14350">
            <v>292.11056578848354</v>
          </cell>
        </row>
        <row r="14351">
          <cell r="H14351" t="str">
            <v>TBST</v>
          </cell>
          <cell r="K14351">
            <v>209.04492362231716</v>
          </cell>
        </row>
        <row r="14352">
          <cell r="H14352" t="str">
            <v>TCBE</v>
          </cell>
          <cell r="K14352">
            <v>245.25583249026639</v>
          </cell>
        </row>
        <row r="14353">
          <cell r="H14353" t="str">
            <v>TCDT</v>
          </cell>
          <cell r="K14353">
            <v>183.3465715742916</v>
          </cell>
        </row>
        <row r="14354">
          <cell r="H14354" t="str">
            <v>TDR1</v>
          </cell>
          <cell r="K14354">
            <v>751.15451396146693</v>
          </cell>
        </row>
        <row r="14355">
          <cell r="H14355" t="str">
            <v>TEC1</v>
          </cell>
          <cell r="K14355">
            <v>427.43994715851608</v>
          </cell>
        </row>
        <row r="14356">
          <cell r="H14356" t="str">
            <v>TFL1</v>
          </cell>
          <cell r="K14356">
            <v>295.6946453405572</v>
          </cell>
        </row>
        <row r="14357">
          <cell r="H14357" t="str">
            <v>TFL4</v>
          </cell>
          <cell r="K14357">
            <v>309.62963582295873</v>
          </cell>
        </row>
        <row r="14358">
          <cell r="H14358" t="str">
            <v>TGJ1</v>
          </cell>
          <cell r="K14358">
            <v>173.77379051250108</v>
          </cell>
        </row>
        <row r="14359">
          <cell r="H14359" t="str">
            <v>TGJ2</v>
          </cell>
          <cell r="K14359">
            <v>208.64053019851787</v>
          </cell>
        </row>
        <row r="14360">
          <cell r="H14360" t="str">
            <v>TPUY</v>
          </cell>
          <cell r="K14360">
            <v>22.594472267975441</v>
          </cell>
        </row>
        <row r="14361">
          <cell r="H14361" t="str">
            <v>TRM1</v>
          </cell>
          <cell r="K14361">
            <v>279.62676521491937</v>
          </cell>
        </row>
        <row r="14362">
          <cell r="H14362" t="str">
            <v>TRN1</v>
          </cell>
          <cell r="K14362">
            <v>316.32428395051403</v>
          </cell>
        </row>
        <row r="14363">
          <cell r="H14363" t="str">
            <v>TSJ1</v>
          </cell>
          <cell r="K14363">
            <v>66.464330604862198</v>
          </cell>
        </row>
        <row r="14364">
          <cell r="H14364" t="str">
            <v>TSJ2</v>
          </cell>
          <cell r="K14364">
            <v>61.169034221549623</v>
          </cell>
        </row>
        <row r="14365">
          <cell r="H14365" t="str">
            <v>TSR1</v>
          </cell>
          <cell r="K14365">
            <v>387.15751277141874</v>
          </cell>
        </row>
        <row r="14366">
          <cell r="H14366" t="str">
            <v>TUJ1</v>
          </cell>
          <cell r="K14366">
            <v>24.491584659247678</v>
          </cell>
        </row>
        <row r="14367">
          <cell r="H14367" t="str">
            <v>TVL1</v>
          </cell>
          <cell r="K14367">
            <v>444.30295784107977</v>
          </cell>
        </row>
        <row r="14368">
          <cell r="H14368" t="str">
            <v>TYP1</v>
          </cell>
          <cell r="K14368">
            <v>23.438653991399324</v>
          </cell>
        </row>
        <row r="14369">
          <cell r="H14369" t="str">
            <v>TYP2</v>
          </cell>
          <cell r="K14369">
            <v>23.438659565395518</v>
          </cell>
        </row>
        <row r="14370">
          <cell r="H14370" t="str">
            <v>TYP3</v>
          </cell>
          <cell r="K14370">
            <v>23.438656778397419</v>
          </cell>
        </row>
        <row r="14371">
          <cell r="H14371" t="str">
            <v>TYP4</v>
          </cell>
          <cell r="K14371">
            <v>23.438665139391713</v>
          </cell>
        </row>
        <row r="14372">
          <cell r="H14372" t="str">
            <v>TYP5</v>
          </cell>
          <cell r="K14372">
            <v>23.438662352393614</v>
          </cell>
        </row>
        <row r="14373">
          <cell r="H14373" t="str">
            <v>URA1</v>
          </cell>
          <cell r="K14373">
            <v>198.43426446939736</v>
          </cell>
        </row>
        <row r="14374">
          <cell r="H14374" t="str">
            <v>ZPA2</v>
          </cell>
          <cell r="K14374">
            <v>90.782561195510695</v>
          </cell>
        </row>
        <row r="14375">
          <cell r="H14375" t="str">
            <v>ZPA3</v>
          </cell>
          <cell r="K14375">
            <v>83.874429013764981</v>
          </cell>
        </row>
        <row r="14376">
          <cell r="H14376" t="str">
            <v>ZPA4</v>
          </cell>
          <cell r="K14376">
            <v>87.057459539755129</v>
          </cell>
        </row>
        <row r="14377">
          <cell r="H14377" t="str">
            <v>ZPA5</v>
          </cell>
          <cell r="K14377">
            <v>81.96728621634351</v>
          </cell>
        </row>
        <row r="14378">
          <cell r="H14378" t="str">
            <v>2QEK</v>
          </cell>
          <cell r="K14378">
            <v>25.321271205571765</v>
          </cell>
        </row>
        <row r="14379">
          <cell r="H14379" t="str">
            <v>3DDT</v>
          </cell>
          <cell r="K14379">
            <v>23.71345200371228</v>
          </cell>
        </row>
        <row r="14380">
          <cell r="H14380" t="str">
            <v>3ENA</v>
          </cell>
          <cell r="K14380">
            <v>323.35978194526894</v>
          </cell>
        </row>
        <row r="14381">
          <cell r="H14381" t="str">
            <v>3HF5</v>
          </cell>
          <cell r="K14381">
            <v>22.642129935425253</v>
          </cell>
        </row>
        <row r="14382">
          <cell r="H14382" t="str">
            <v>3INX</v>
          </cell>
          <cell r="K14382">
            <v>22.57468458149043</v>
          </cell>
        </row>
        <row r="14383">
          <cell r="H14383" t="str">
            <v>3IQA</v>
          </cell>
          <cell r="K14383">
            <v>21.277336967578851</v>
          </cell>
        </row>
        <row r="14384">
          <cell r="H14384" t="str">
            <v>3IRX</v>
          </cell>
          <cell r="K14384">
            <v>21.277058267769203</v>
          </cell>
        </row>
        <row r="14385">
          <cell r="H14385" t="str">
            <v>3IZ6</v>
          </cell>
          <cell r="K14385">
            <v>21.738587939544438</v>
          </cell>
        </row>
        <row r="14386">
          <cell r="H14386" t="str">
            <v>4YCF</v>
          </cell>
          <cell r="K14386">
            <v>22.289295976410848</v>
          </cell>
        </row>
        <row r="14387">
          <cell r="H14387" t="str">
            <v>4YCN</v>
          </cell>
          <cell r="K14387">
            <v>66.115955842802151</v>
          </cell>
        </row>
        <row r="14388">
          <cell r="H14388" t="str">
            <v>ALBG</v>
          </cell>
          <cell r="K14388">
            <v>335.83327062587614</v>
          </cell>
        </row>
        <row r="14389">
          <cell r="H14389" t="str">
            <v>CHBG</v>
          </cell>
          <cell r="K14389">
            <v>25.320713805952469</v>
          </cell>
        </row>
        <row r="14390">
          <cell r="H14390" t="str">
            <v>CHVR</v>
          </cell>
          <cell r="K14390">
            <v>42.083671256852533</v>
          </cell>
        </row>
        <row r="14391">
          <cell r="H14391" t="str">
            <v>CLL1</v>
          </cell>
          <cell r="K14391">
            <v>22.295987558840498</v>
          </cell>
        </row>
        <row r="14392">
          <cell r="H14392" t="str">
            <v>CLMG</v>
          </cell>
          <cell r="K14392">
            <v>335.27587100658008</v>
          </cell>
        </row>
        <row r="14393">
          <cell r="H14393" t="str">
            <v>CTG1</v>
          </cell>
          <cell r="K14393">
            <v>390.1415516333202</v>
          </cell>
        </row>
        <row r="14394">
          <cell r="H14394" t="str">
            <v>CTG2</v>
          </cell>
          <cell r="K14394">
            <v>389.67974604873342</v>
          </cell>
        </row>
        <row r="14395">
          <cell r="H14395" t="str">
            <v>CTG3</v>
          </cell>
          <cell r="K14395">
            <v>407.835923848064</v>
          </cell>
        </row>
        <row r="14396">
          <cell r="H14396" t="str">
            <v>CUC1</v>
          </cell>
          <cell r="K14396">
            <v>26.721180349433819</v>
          </cell>
        </row>
        <row r="14397">
          <cell r="H14397" t="str">
            <v>DVS1</v>
          </cell>
          <cell r="K14397">
            <v>25.320992505762117</v>
          </cell>
        </row>
        <row r="14398">
          <cell r="H14398" t="str">
            <v>EPFV</v>
          </cell>
          <cell r="K14398">
            <v>23.713454790710376</v>
          </cell>
        </row>
        <row r="14399">
          <cell r="H14399" t="str">
            <v>ESMR</v>
          </cell>
          <cell r="K14399">
            <v>25.273340412308499</v>
          </cell>
        </row>
        <row r="14400">
          <cell r="H14400" t="str">
            <v>GE32</v>
          </cell>
          <cell r="K14400">
            <v>72.276615135071864</v>
          </cell>
        </row>
        <row r="14401">
          <cell r="H14401" t="str">
            <v>GEC3</v>
          </cell>
          <cell r="K14401">
            <v>70.928544155804332</v>
          </cell>
        </row>
        <row r="14402">
          <cell r="H14402" t="str">
            <v>GTPE</v>
          </cell>
          <cell r="K14402">
            <v>197.59816504045327</v>
          </cell>
        </row>
        <row r="14403">
          <cell r="H14403" t="str">
            <v>GTRG</v>
          </cell>
          <cell r="K14403">
            <v>207.91005799743039</v>
          </cell>
        </row>
        <row r="14404">
          <cell r="H14404" t="str">
            <v>GVIO</v>
          </cell>
          <cell r="K14404">
            <v>25.320716592950564</v>
          </cell>
        </row>
        <row r="14405">
          <cell r="H14405" t="str">
            <v>GYP3</v>
          </cell>
          <cell r="K14405">
            <v>22.642132722423348</v>
          </cell>
        </row>
        <row r="14406">
          <cell r="H14406" t="str">
            <v>GYPO</v>
          </cell>
          <cell r="K14406">
            <v>22.642135509421443</v>
          </cell>
        </row>
        <row r="14407">
          <cell r="H14407" t="str">
            <v>HMIN</v>
          </cell>
          <cell r="K14407">
            <v>22.295984771842399</v>
          </cell>
        </row>
        <row r="14408">
          <cell r="H14408" t="str">
            <v>HMLG</v>
          </cell>
          <cell r="K14408">
            <v>300.99579441987242</v>
          </cell>
        </row>
        <row r="14409">
          <cell r="H14409" t="str">
            <v>JAGS</v>
          </cell>
          <cell r="K14409">
            <v>207.91005799743039</v>
          </cell>
        </row>
        <row r="14410">
          <cell r="H14410" t="str">
            <v>LTSJ</v>
          </cell>
          <cell r="K14410">
            <v>249.43632963498686</v>
          </cell>
        </row>
        <row r="14411">
          <cell r="H14411" t="str">
            <v>MATA</v>
          </cell>
          <cell r="K14411">
            <v>21.738585152546339</v>
          </cell>
        </row>
        <row r="14412">
          <cell r="H14412" t="str">
            <v>MOY1</v>
          </cell>
          <cell r="K14412">
            <v>24.968161333745808</v>
          </cell>
        </row>
        <row r="14413">
          <cell r="H14413" t="str">
            <v>MRL1</v>
          </cell>
          <cell r="K14413">
            <v>344.99134637091043</v>
          </cell>
        </row>
        <row r="14414">
          <cell r="H14414" t="str">
            <v>PES1</v>
          </cell>
          <cell r="K14414">
            <v>24.491581872249579</v>
          </cell>
        </row>
        <row r="14415">
          <cell r="H14415" t="str">
            <v>PGUG</v>
          </cell>
          <cell r="K14415">
            <v>181.15487627121951</v>
          </cell>
        </row>
        <row r="14416">
          <cell r="H14416" t="str">
            <v>PLYS</v>
          </cell>
          <cell r="K14416">
            <v>25.273337625310401</v>
          </cell>
        </row>
        <row r="14417">
          <cell r="H14417" t="str">
            <v>PORO</v>
          </cell>
          <cell r="K14417">
            <v>21.459885342898311</v>
          </cell>
        </row>
        <row r="14418">
          <cell r="H14418" t="str">
            <v>PPA1</v>
          </cell>
          <cell r="K14418">
            <v>79.841921467967637</v>
          </cell>
        </row>
        <row r="14419">
          <cell r="H14419" t="str">
            <v>PPA2</v>
          </cell>
          <cell r="K14419">
            <v>73.231719382735662</v>
          </cell>
        </row>
        <row r="14420">
          <cell r="H14420" t="str">
            <v>PPA3</v>
          </cell>
          <cell r="K14420">
            <v>76.331697365450694</v>
          </cell>
        </row>
        <row r="14421">
          <cell r="H14421" t="str">
            <v>PPA4</v>
          </cell>
          <cell r="K14421">
            <v>66.597827813683594</v>
          </cell>
        </row>
        <row r="14422">
          <cell r="H14422" t="str">
            <v>PRC2</v>
          </cell>
          <cell r="K14422">
            <v>209.16420714084651</v>
          </cell>
        </row>
        <row r="14423">
          <cell r="H14423" t="str">
            <v>PRC3</v>
          </cell>
          <cell r="K14423">
            <v>197.62603502141806</v>
          </cell>
        </row>
        <row r="14424">
          <cell r="H14424" t="str">
            <v>PRDO</v>
          </cell>
          <cell r="K14424">
            <v>306.569790612833</v>
          </cell>
        </row>
        <row r="14425">
          <cell r="H14425" t="str">
            <v>PRG1</v>
          </cell>
          <cell r="K14425">
            <v>251.26125598856214</v>
          </cell>
        </row>
        <row r="14426">
          <cell r="H14426" t="str">
            <v>PRG2</v>
          </cell>
          <cell r="K14426">
            <v>251.26125598856214</v>
          </cell>
        </row>
        <row r="14427">
          <cell r="H14427" t="str">
            <v>QUI1</v>
          </cell>
          <cell r="K14427">
            <v>178.36787817473919</v>
          </cell>
        </row>
        <row r="14428">
          <cell r="H14428" t="str">
            <v>SLVJ</v>
          </cell>
          <cell r="K14428">
            <v>335.55457081622814</v>
          </cell>
        </row>
        <row r="14429">
          <cell r="H14429" t="str">
            <v>SMI1</v>
          </cell>
          <cell r="K14429">
            <v>24.968158546747713</v>
          </cell>
        </row>
        <row r="14430">
          <cell r="H14430" t="str">
            <v>SNCR</v>
          </cell>
          <cell r="K14430">
            <v>207.77070809260636</v>
          </cell>
        </row>
        <row r="14431">
          <cell r="H14431" t="str">
            <v>SNFR</v>
          </cell>
          <cell r="K14431">
            <v>25.273334838312305</v>
          </cell>
        </row>
        <row r="14432">
          <cell r="H14432" t="str">
            <v>SOG1</v>
          </cell>
          <cell r="K14432">
            <v>197.7375149452773</v>
          </cell>
        </row>
        <row r="14433">
          <cell r="H14433" t="str">
            <v>TBQ3</v>
          </cell>
          <cell r="K14433">
            <v>305.81256323001929</v>
          </cell>
        </row>
        <row r="14434">
          <cell r="H14434" t="str">
            <v>TBQ4</v>
          </cell>
          <cell r="K14434">
            <v>292.11056578848354</v>
          </cell>
        </row>
        <row r="14435">
          <cell r="H14435" t="str">
            <v>TBST</v>
          </cell>
          <cell r="K14435">
            <v>209.04492362231716</v>
          </cell>
        </row>
        <row r="14436">
          <cell r="H14436" t="str">
            <v>TCBE</v>
          </cell>
          <cell r="K14436">
            <v>245.25583249026639</v>
          </cell>
        </row>
        <row r="14437">
          <cell r="H14437" t="str">
            <v>TCDT</v>
          </cell>
          <cell r="K14437">
            <v>183.3465715742916</v>
          </cell>
        </row>
        <row r="14438">
          <cell r="H14438" t="str">
            <v>TDR1</v>
          </cell>
          <cell r="K14438">
            <v>751.15451396146693</v>
          </cell>
        </row>
        <row r="14439">
          <cell r="H14439" t="str">
            <v>TEC1</v>
          </cell>
          <cell r="K14439">
            <v>427.43994715851608</v>
          </cell>
        </row>
        <row r="14440">
          <cell r="H14440" t="str">
            <v>TFL1</v>
          </cell>
          <cell r="K14440">
            <v>295.6946453405572</v>
          </cell>
        </row>
        <row r="14441">
          <cell r="H14441" t="str">
            <v>TFL4</v>
          </cell>
          <cell r="K14441">
            <v>309.62963582295873</v>
          </cell>
        </row>
        <row r="14442">
          <cell r="H14442" t="str">
            <v>TGJ1</v>
          </cell>
          <cell r="K14442">
            <v>173.77379051250108</v>
          </cell>
        </row>
        <row r="14443">
          <cell r="H14443" t="str">
            <v>TGJ2</v>
          </cell>
          <cell r="K14443">
            <v>208.64053019851787</v>
          </cell>
        </row>
        <row r="14444">
          <cell r="H14444" t="str">
            <v>TPUY</v>
          </cell>
          <cell r="K14444">
            <v>22.594472267975441</v>
          </cell>
        </row>
        <row r="14445">
          <cell r="H14445" t="str">
            <v>TRM1</v>
          </cell>
          <cell r="K14445">
            <v>279.62676521491937</v>
          </cell>
        </row>
        <row r="14446">
          <cell r="H14446" t="str">
            <v>TRN1</v>
          </cell>
          <cell r="K14446">
            <v>316.32428395051403</v>
          </cell>
        </row>
        <row r="14447">
          <cell r="H14447" t="str">
            <v>TSJ1</v>
          </cell>
          <cell r="K14447">
            <v>66.464330604862198</v>
          </cell>
        </row>
        <row r="14448">
          <cell r="H14448" t="str">
            <v>TSJ2</v>
          </cell>
          <cell r="K14448">
            <v>61.169034221549623</v>
          </cell>
        </row>
        <row r="14449">
          <cell r="H14449" t="str">
            <v>TSR1</v>
          </cell>
          <cell r="K14449">
            <v>387.15751277141874</v>
          </cell>
        </row>
        <row r="14450">
          <cell r="H14450" t="str">
            <v>TUJ1</v>
          </cell>
          <cell r="K14450">
            <v>24.491584659247678</v>
          </cell>
        </row>
        <row r="14451">
          <cell r="H14451" t="str">
            <v>TVL1</v>
          </cell>
          <cell r="K14451">
            <v>444.30295784107977</v>
          </cell>
        </row>
        <row r="14452">
          <cell r="H14452" t="str">
            <v>TYP1</v>
          </cell>
          <cell r="K14452">
            <v>23.438653991399324</v>
          </cell>
        </row>
        <row r="14453">
          <cell r="H14453" t="str">
            <v>TYP2</v>
          </cell>
          <cell r="K14453">
            <v>23.438659565395518</v>
          </cell>
        </row>
        <row r="14454">
          <cell r="H14454" t="str">
            <v>TYP3</v>
          </cell>
          <cell r="K14454">
            <v>23.438656778397419</v>
          </cell>
        </row>
        <row r="14455">
          <cell r="H14455" t="str">
            <v>TYP4</v>
          </cell>
          <cell r="K14455">
            <v>23.438665139391713</v>
          </cell>
        </row>
        <row r="14456">
          <cell r="H14456" t="str">
            <v>TYP5</v>
          </cell>
          <cell r="K14456">
            <v>23.438662352393614</v>
          </cell>
        </row>
        <row r="14457">
          <cell r="H14457" t="str">
            <v>URA1</v>
          </cell>
          <cell r="K14457">
            <v>198.43426446939736</v>
          </cell>
        </row>
        <row r="14458">
          <cell r="H14458" t="str">
            <v>ZPA2</v>
          </cell>
          <cell r="K14458">
            <v>90.782561195510695</v>
          </cell>
        </row>
        <row r="14459">
          <cell r="H14459" t="str">
            <v>ZPA3</v>
          </cell>
          <cell r="K14459">
            <v>83.874429013764981</v>
          </cell>
        </row>
        <row r="14460">
          <cell r="H14460" t="str">
            <v>ZPA4</v>
          </cell>
          <cell r="K14460">
            <v>87.057459539755129</v>
          </cell>
        </row>
        <row r="14461">
          <cell r="H14461" t="str">
            <v>ZPA5</v>
          </cell>
          <cell r="K14461">
            <v>81.96728621634351</v>
          </cell>
        </row>
        <row r="14462">
          <cell r="H14462" t="str">
            <v>2QEK</v>
          </cell>
          <cell r="K14462">
            <v>25.321271205571765</v>
          </cell>
        </row>
        <row r="14463">
          <cell r="H14463" t="str">
            <v>3DDT</v>
          </cell>
          <cell r="K14463">
            <v>23.71345200371228</v>
          </cell>
        </row>
        <row r="14464">
          <cell r="H14464" t="str">
            <v>3ENA</v>
          </cell>
          <cell r="K14464">
            <v>323.35978194526894</v>
          </cell>
        </row>
        <row r="14465">
          <cell r="H14465" t="str">
            <v>3HF5</v>
          </cell>
          <cell r="K14465">
            <v>22.642129935425253</v>
          </cell>
        </row>
        <row r="14466">
          <cell r="H14466" t="str">
            <v>3INX</v>
          </cell>
          <cell r="K14466">
            <v>22.57468458149043</v>
          </cell>
        </row>
        <row r="14467">
          <cell r="H14467" t="str">
            <v>3IQA</v>
          </cell>
          <cell r="K14467">
            <v>21.277336967578851</v>
          </cell>
        </row>
        <row r="14468">
          <cell r="H14468" t="str">
            <v>3IRX</v>
          </cell>
          <cell r="K14468">
            <v>21.277058267769203</v>
          </cell>
        </row>
        <row r="14469">
          <cell r="H14469" t="str">
            <v>3IZ6</v>
          </cell>
          <cell r="K14469">
            <v>21.738587939544438</v>
          </cell>
        </row>
        <row r="14470">
          <cell r="H14470" t="str">
            <v>4YCF</v>
          </cell>
          <cell r="K14470">
            <v>22.289295976410848</v>
          </cell>
        </row>
        <row r="14471">
          <cell r="H14471" t="str">
            <v>4YCN</v>
          </cell>
          <cell r="K14471">
            <v>66.115955842802151</v>
          </cell>
        </row>
        <row r="14472">
          <cell r="H14472" t="str">
            <v>ALBG</v>
          </cell>
          <cell r="K14472">
            <v>335.83327062587614</v>
          </cell>
        </row>
        <row r="14473">
          <cell r="H14473" t="str">
            <v>CHBG</v>
          </cell>
          <cell r="K14473">
            <v>25.320713805952469</v>
          </cell>
        </row>
        <row r="14474">
          <cell r="H14474" t="str">
            <v>CHVR</v>
          </cell>
          <cell r="K14474">
            <v>42.083671256852533</v>
          </cell>
        </row>
        <row r="14475">
          <cell r="H14475" t="str">
            <v>CLL1</v>
          </cell>
          <cell r="K14475">
            <v>22.295987558840498</v>
          </cell>
        </row>
        <row r="14476">
          <cell r="H14476" t="str">
            <v>CLMG</v>
          </cell>
          <cell r="K14476">
            <v>335.27587100658008</v>
          </cell>
        </row>
        <row r="14477">
          <cell r="H14477" t="str">
            <v>CTG1</v>
          </cell>
          <cell r="K14477">
            <v>390.1415516333202</v>
          </cell>
        </row>
        <row r="14478">
          <cell r="H14478" t="str">
            <v>CTG2</v>
          </cell>
          <cell r="K14478">
            <v>389.67974604873342</v>
          </cell>
        </row>
        <row r="14479">
          <cell r="H14479" t="str">
            <v>CTG3</v>
          </cell>
          <cell r="K14479">
            <v>407.835923848064</v>
          </cell>
        </row>
        <row r="14480">
          <cell r="H14480" t="str">
            <v>CUC1</v>
          </cell>
          <cell r="K14480">
            <v>26.721180349433819</v>
          </cell>
        </row>
        <row r="14481">
          <cell r="H14481" t="str">
            <v>DVS1</v>
          </cell>
          <cell r="K14481">
            <v>25.320992505762117</v>
          </cell>
        </row>
        <row r="14482">
          <cell r="H14482" t="str">
            <v>EPFV</v>
          </cell>
          <cell r="K14482">
            <v>23.713454790710376</v>
          </cell>
        </row>
        <row r="14483">
          <cell r="H14483" t="str">
            <v>ESMR</v>
          </cell>
          <cell r="K14483">
            <v>25.273340412308499</v>
          </cell>
        </row>
        <row r="14484">
          <cell r="H14484" t="str">
            <v>GE32</v>
          </cell>
          <cell r="K14484">
            <v>72.276615135071864</v>
          </cell>
        </row>
        <row r="14485">
          <cell r="H14485" t="str">
            <v>GEC3</v>
          </cell>
          <cell r="K14485">
            <v>70.928544155804332</v>
          </cell>
        </row>
        <row r="14486">
          <cell r="H14486" t="str">
            <v>GTPE</v>
          </cell>
          <cell r="K14486">
            <v>197.59816504045327</v>
          </cell>
        </row>
        <row r="14487">
          <cell r="H14487" t="str">
            <v>GTRG</v>
          </cell>
          <cell r="K14487">
            <v>207.91005799743039</v>
          </cell>
        </row>
        <row r="14488">
          <cell r="H14488" t="str">
            <v>GVIO</v>
          </cell>
          <cell r="K14488">
            <v>25.320716592950564</v>
          </cell>
        </row>
        <row r="14489">
          <cell r="H14489" t="str">
            <v>GYP3</v>
          </cell>
          <cell r="K14489">
            <v>22.642132722423348</v>
          </cell>
        </row>
        <row r="14490">
          <cell r="H14490" t="str">
            <v>GYPO</v>
          </cell>
          <cell r="K14490">
            <v>22.642135509421443</v>
          </cell>
        </row>
        <row r="14491">
          <cell r="H14491" t="str">
            <v>HMIN</v>
          </cell>
          <cell r="K14491">
            <v>22.295984771842399</v>
          </cell>
        </row>
        <row r="14492">
          <cell r="H14492" t="str">
            <v>HMLG</v>
          </cell>
          <cell r="K14492">
            <v>300.99579441987242</v>
          </cell>
        </row>
        <row r="14493">
          <cell r="H14493" t="str">
            <v>JAGS</v>
          </cell>
          <cell r="K14493">
            <v>207.91005799743039</v>
          </cell>
        </row>
        <row r="14494">
          <cell r="H14494" t="str">
            <v>LTSJ</v>
          </cell>
          <cell r="K14494">
            <v>249.43632963498686</v>
          </cell>
        </row>
        <row r="14495">
          <cell r="H14495" t="str">
            <v>MATA</v>
          </cell>
          <cell r="K14495">
            <v>21.738585152546339</v>
          </cell>
        </row>
        <row r="14496">
          <cell r="H14496" t="str">
            <v>MOY1</v>
          </cell>
          <cell r="K14496">
            <v>24.968161333745808</v>
          </cell>
        </row>
        <row r="14497">
          <cell r="H14497" t="str">
            <v>MRL1</v>
          </cell>
          <cell r="K14497">
            <v>344.99134637091043</v>
          </cell>
        </row>
        <row r="14498">
          <cell r="H14498" t="str">
            <v>PES1</v>
          </cell>
          <cell r="K14498">
            <v>24.491581872249579</v>
          </cell>
        </row>
        <row r="14499">
          <cell r="H14499" t="str">
            <v>PGUG</v>
          </cell>
          <cell r="K14499">
            <v>181.15487627121951</v>
          </cell>
        </row>
        <row r="14500">
          <cell r="H14500" t="str">
            <v>PLYS</v>
          </cell>
          <cell r="K14500">
            <v>25.273337625310401</v>
          </cell>
        </row>
        <row r="14501">
          <cell r="H14501" t="str">
            <v>PORO</v>
          </cell>
          <cell r="K14501">
            <v>21.459885342898311</v>
          </cell>
        </row>
        <row r="14502">
          <cell r="H14502" t="str">
            <v>PPA1</v>
          </cell>
          <cell r="K14502">
            <v>79.841921467967637</v>
          </cell>
        </row>
        <row r="14503">
          <cell r="H14503" t="str">
            <v>PPA2</v>
          </cell>
          <cell r="K14503">
            <v>73.231719382735662</v>
          </cell>
        </row>
        <row r="14504">
          <cell r="H14504" t="str">
            <v>PPA3</v>
          </cell>
          <cell r="K14504">
            <v>76.331697365450694</v>
          </cell>
        </row>
        <row r="14505">
          <cell r="H14505" t="str">
            <v>PPA4</v>
          </cell>
          <cell r="K14505">
            <v>66.597827813683594</v>
          </cell>
        </row>
        <row r="14506">
          <cell r="H14506" t="str">
            <v>PRC2</v>
          </cell>
          <cell r="K14506">
            <v>209.16420714084651</v>
          </cell>
        </row>
        <row r="14507">
          <cell r="H14507" t="str">
            <v>PRC3</v>
          </cell>
          <cell r="K14507">
            <v>197.62603502141806</v>
          </cell>
        </row>
        <row r="14508">
          <cell r="H14508" t="str">
            <v>PRDO</v>
          </cell>
          <cell r="K14508">
            <v>306.569790612833</v>
          </cell>
        </row>
        <row r="14509">
          <cell r="H14509" t="str">
            <v>PRG1</v>
          </cell>
          <cell r="K14509">
            <v>251.26125598856214</v>
          </cell>
        </row>
        <row r="14510">
          <cell r="H14510" t="str">
            <v>PRG2</v>
          </cell>
          <cell r="K14510">
            <v>251.26125598856214</v>
          </cell>
        </row>
        <row r="14511">
          <cell r="H14511" t="str">
            <v>QUI1</v>
          </cell>
          <cell r="K14511">
            <v>178.36787817473919</v>
          </cell>
        </row>
        <row r="14512">
          <cell r="H14512" t="str">
            <v>SLVJ</v>
          </cell>
          <cell r="K14512">
            <v>335.55457081622814</v>
          </cell>
        </row>
        <row r="14513">
          <cell r="H14513" t="str">
            <v>SMI1</v>
          </cell>
          <cell r="K14513">
            <v>24.968158546747713</v>
          </cell>
        </row>
        <row r="14514">
          <cell r="H14514" t="str">
            <v>SNCR</v>
          </cell>
          <cell r="K14514">
            <v>207.77070809260636</v>
          </cell>
        </row>
        <row r="14515">
          <cell r="H14515" t="str">
            <v>SNFR</v>
          </cell>
          <cell r="K14515">
            <v>25.273334838312305</v>
          </cell>
        </row>
        <row r="14516">
          <cell r="H14516" t="str">
            <v>SOG1</v>
          </cell>
          <cell r="K14516">
            <v>197.7375149452773</v>
          </cell>
        </row>
        <row r="14517">
          <cell r="H14517" t="str">
            <v>TBQ3</v>
          </cell>
          <cell r="K14517">
            <v>305.81256323001929</v>
          </cell>
        </row>
        <row r="14518">
          <cell r="H14518" t="str">
            <v>TBQ4</v>
          </cell>
          <cell r="K14518">
            <v>292.11056578848354</v>
          </cell>
        </row>
        <row r="14519">
          <cell r="H14519" t="str">
            <v>TBST</v>
          </cell>
          <cell r="K14519">
            <v>209.04492362231716</v>
          </cell>
        </row>
        <row r="14520">
          <cell r="H14520" t="str">
            <v>TCBE</v>
          </cell>
          <cell r="K14520">
            <v>245.25583249026639</v>
          </cell>
        </row>
        <row r="14521">
          <cell r="H14521" t="str">
            <v>TCDT</v>
          </cell>
          <cell r="K14521">
            <v>183.3465715742916</v>
          </cell>
        </row>
        <row r="14522">
          <cell r="H14522" t="str">
            <v>TDR1</v>
          </cell>
          <cell r="K14522">
            <v>751.15451396146693</v>
          </cell>
        </row>
        <row r="14523">
          <cell r="H14523" t="str">
            <v>TEC1</v>
          </cell>
          <cell r="K14523">
            <v>427.43994715851608</v>
          </cell>
        </row>
        <row r="14524">
          <cell r="H14524" t="str">
            <v>TFL1</v>
          </cell>
          <cell r="K14524">
            <v>295.6946453405572</v>
          </cell>
        </row>
        <row r="14525">
          <cell r="H14525" t="str">
            <v>TFL4</v>
          </cell>
          <cell r="K14525">
            <v>309.62963582295873</v>
          </cell>
        </row>
        <row r="14526">
          <cell r="H14526" t="str">
            <v>TGJ1</v>
          </cell>
          <cell r="K14526">
            <v>173.77379051250108</v>
          </cell>
        </row>
        <row r="14527">
          <cell r="H14527" t="str">
            <v>TGJ2</v>
          </cell>
          <cell r="K14527">
            <v>208.64053019851787</v>
          </cell>
        </row>
        <row r="14528">
          <cell r="H14528" t="str">
            <v>TPUY</v>
          </cell>
          <cell r="K14528">
            <v>22.594472267975441</v>
          </cell>
        </row>
        <row r="14529">
          <cell r="H14529" t="str">
            <v>TRM1</v>
          </cell>
          <cell r="K14529">
            <v>279.62676521491937</v>
          </cell>
        </row>
        <row r="14530">
          <cell r="H14530" t="str">
            <v>TRN1</v>
          </cell>
          <cell r="K14530">
            <v>316.32428395051403</v>
          </cell>
        </row>
        <row r="14531">
          <cell r="H14531" t="str">
            <v>TSJ1</v>
          </cell>
          <cell r="K14531">
            <v>66.464330604862198</v>
          </cell>
        </row>
        <row r="14532">
          <cell r="H14532" t="str">
            <v>TSJ2</v>
          </cell>
          <cell r="K14532">
            <v>61.169034221549623</v>
          </cell>
        </row>
        <row r="14533">
          <cell r="H14533" t="str">
            <v>TSR1</v>
          </cell>
          <cell r="K14533">
            <v>387.15751277141874</v>
          </cell>
        </row>
        <row r="14534">
          <cell r="H14534" t="str">
            <v>TUJ1</v>
          </cell>
          <cell r="K14534">
            <v>24.491584659247678</v>
          </cell>
        </row>
        <row r="14535">
          <cell r="H14535" t="str">
            <v>TVL1</v>
          </cell>
          <cell r="K14535">
            <v>444.30295784107977</v>
          </cell>
        </row>
        <row r="14536">
          <cell r="H14536" t="str">
            <v>TYP1</v>
          </cell>
          <cell r="K14536">
            <v>23.438653991399324</v>
          </cell>
        </row>
        <row r="14537">
          <cell r="H14537" t="str">
            <v>TYP2</v>
          </cell>
          <cell r="K14537">
            <v>23.438659565395518</v>
          </cell>
        </row>
        <row r="14538">
          <cell r="H14538" t="str">
            <v>TYP3</v>
          </cell>
          <cell r="K14538">
            <v>23.438656778397419</v>
          </cell>
        </row>
        <row r="14539">
          <cell r="H14539" t="str">
            <v>TYP4</v>
          </cell>
          <cell r="K14539">
            <v>23.438665139391713</v>
          </cell>
        </row>
        <row r="14540">
          <cell r="H14540" t="str">
            <v>TYP5</v>
          </cell>
          <cell r="K14540">
            <v>23.438662352393614</v>
          </cell>
        </row>
        <row r="14541">
          <cell r="H14541" t="str">
            <v>URA1</v>
          </cell>
          <cell r="K14541">
            <v>198.43426446939736</v>
          </cell>
        </row>
        <row r="14542">
          <cell r="H14542" t="str">
            <v>ZPA2</v>
          </cell>
          <cell r="K14542">
            <v>90.782561195510695</v>
          </cell>
        </row>
        <row r="14543">
          <cell r="H14543" t="str">
            <v>ZPA3</v>
          </cell>
          <cell r="K14543">
            <v>83.874429013764981</v>
          </cell>
        </row>
        <row r="14544">
          <cell r="H14544" t="str">
            <v>ZPA4</v>
          </cell>
          <cell r="K14544">
            <v>87.057459539755129</v>
          </cell>
        </row>
        <row r="14545">
          <cell r="H14545" t="str">
            <v>ZPA5</v>
          </cell>
          <cell r="K14545">
            <v>81.96728621634351</v>
          </cell>
        </row>
        <row r="14546">
          <cell r="H14546" t="str">
            <v>2QEK</v>
          </cell>
          <cell r="K14546">
            <v>25.321271205571765</v>
          </cell>
        </row>
        <row r="14547">
          <cell r="H14547" t="str">
            <v>3DDT</v>
          </cell>
          <cell r="K14547">
            <v>23.71345200371228</v>
          </cell>
        </row>
        <row r="14548">
          <cell r="H14548" t="str">
            <v>3ENA</v>
          </cell>
          <cell r="K14548">
            <v>323.35978194526894</v>
          </cell>
        </row>
        <row r="14549">
          <cell r="H14549" t="str">
            <v>3HF5</v>
          </cell>
          <cell r="K14549">
            <v>22.642129935425253</v>
          </cell>
        </row>
        <row r="14550">
          <cell r="H14550" t="str">
            <v>3INX</v>
          </cell>
          <cell r="K14550">
            <v>22.57468458149043</v>
          </cell>
        </row>
        <row r="14551">
          <cell r="H14551" t="str">
            <v>3IQA</v>
          </cell>
          <cell r="K14551">
            <v>21.277336967578851</v>
          </cell>
        </row>
        <row r="14552">
          <cell r="H14552" t="str">
            <v>3IRX</v>
          </cell>
          <cell r="K14552">
            <v>21.277058267769203</v>
          </cell>
        </row>
        <row r="14553">
          <cell r="H14553" t="str">
            <v>3IZ6</v>
          </cell>
          <cell r="K14553">
            <v>21.738587939544438</v>
          </cell>
        </row>
        <row r="14554">
          <cell r="H14554" t="str">
            <v>4YCF</v>
          </cell>
          <cell r="K14554">
            <v>22.289295976410848</v>
          </cell>
        </row>
        <row r="14555">
          <cell r="H14555" t="str">
            <v>4YCN</v>
          </cell>
          <cell r="K14555">
            <v>66.115955842802151</v>
          </cell>
        </row>
        <row r="14556">
          <cell r="H14556" t="str">
            <v>ALBG</v>
          </cell>
          <cell r="K14556">
            <v>335.83327062587614</v>
          </cell>
        </row>
        <row r="14557">
          <cell r="H14557" t="str">
            <v>CHBG</v>
          </cell>
          <cell r="K14557">
            <v>25.320713805952469</v>
          </cell>
        </row>
        <row r="14558">
          <cell r="H14558" t="str">
            <v>CHVR</v>
          </cell>
          <cell r="K14558">
            <v>42.083671256852533</v>
          </cell>
        </row>
        <row r="14559">
          <cell r="H14559" t="str">
            <v>CLL1</v>
          </cell>
          <cell r="K14559">
            <v>22.295987558840498</v>
          </cell>
        </row>
        <row r="14560">
          <cell r="H14560" t="str">
            <v>CLMG</v>
          </cell>
          <cell r="K14560">
            <v>335.27587100658008</v>
          </cell>
        </row>
        <row r="14561">
          <cell r="H14561" t="str">
            <v>CTG1</v>
          </cell>
          <cell r="K14561">
            <v>390.1415516333202</v>
          </cell>
        </row>
        <row r="14562">
          <cell r="H14562" t="str">
            <v>CTG2</v>
          </cell>
          <cell r="K14562">
            <v>389.67974604873342</v>
          </cell>
        </row>
        <row r="14563">
          <cell r="H14563" t="str">
            <v>CTG3</v>
          </cell>
          <cell r="K14563">
            <v>407.835923848064</v>
          </cell>
        </row>
        <row r="14564">
          <cell r="H14564" t="str">
            <v>CUC1</v>
          </cell>
          <cell r="K14564">
            <v>26.721180349433819</v>
          </cell>
        </row>
        <row r="14565">
          <cell r="H14565" t="str">
            <v>DVS1</v>
          </cell>
          <cell r="K14565">
            <v>25.320992505762117</v>
          </cell>
        </row>
        <row r="14566">
          <cell r="H14566" t="str">
            <v>EPFV</v>
          </cell>
          <cell r="K14566">
            <v>23.713454790710376</v>
          </cell>
        </row>
        <row r="14567">
          <cell r="H14567" t="str">
            <v>ESMR</v>
          </cell>
          <cell r="K14567">
            <v>25.273340412308499</v>
          </cell>
        </row>
        <row r="14568">
          <cell r="H14568" t="str">
            <v>GE32</v>
          </cell>
          <cell r="K14568">
            <v>72.276615135071864</v>
          </cell>
        </row>
        <row r="14569">
          <cell r="H14569" t="str">
            <v>GEC3</v>
          </cell>
          <cell r="K14569">
            <v>70.928544155804332</v>
          </cell>
        </row>
        <row r="14570">
          <cell r="H14570" t="str">
            <v>GTPE</v>
          </cell>
          <cell r="K14570">
            <v>197.59816504045327</v>
          </cell>
        </row>
        <row r="14571">
          <cell r="H14571" t="str">
            <v>GTRG</v>
          </cell>
          <cell r="K14571">
            <v>207.91005799743039</v>
          </cell>
        </row>
        <row r="14572">
          <cell r="H14572" t="str">
            <v>GVIO</v>
          </cell>
          <cell r="K14572">
            <v>25.320716592950564</v>
          </cell>
        </row>
        <row r="14573">
          <cell r="H14573" t="str">
            <v>GYP3</v>
          </cell>
          <cell r="K14573">
            <v>22.642132722423348</v>
          </cell>
        </row>
        <row r="14574">
          <cell r="H14574" t="str">
            <v>GYPO</v>
          </cell>
          <cell r="K14574">
            <v>22.642135509421443</v>
          </cell>
        </row>
        <row r="14575">
          <cell r="H14575" t="str">
            <v>HMIN</v>
          </cell>
          <cell r="K14575">
            <v>22.295984771842399</v>
          </cell>
        </row>
        <row r="14576">
          <cell r="H14576" t="str">
            <v>HMLG</v>
          </cell>
          <cell r="K14576">
            <v>300.99579441987242</v>
          </cell>
        </row>
        <row r="14577">
          <cell r="H14577" t="str">
            <v>JAGS</v>
          </cell>
          <cell r="K14577">
            <v>207.91005799743039</v>
          </cell>
        </row>
        <row r="14578">
          <cell r="H14578" t="str">
            <v>LTSJ</v>
          </cell>
          <cell r="K14578">
            <v>249.43632963498686</v>
          </cell>
        </row>
        <row r="14579">
          <cell r="H14579" t="str">
            <v>MATA</v>
          </cell>
          <cell r="K14579">
            <v>21.738585152546339</v>
          </cell>
        </row>
        <row r="14580">
          <cell r="H14580" t="str">
            <v>MOY1</v>
          </cell>
          <cell r="K14580">
            <v>24.968161333745808</v>
          </cell>
        </row>
        <row r="14581">
          <cell r="H14581" t="str">
            <v>MRL1</v>
          </cell>
          <cell r="K14581">
            <v>344.99134637091043</v>
          </cell>
        </row>
        <row r="14582">
          <cell r="H14582" t="str">
            <v>PES1</v>
          </cell>
          <cell r="K14582">
            <v>24.491581872249579</v>
          </cell>
        </row>
        <row r="14583">
          <cell r="H14583" t="str">
            <v>PGUG</v>
          </cell>
          <cell r="K14583">
            <v>181.15487627121951</v>
          </cell>
        </row>
        <row r="14584">
          <cell r="H14584" t="str">
            <v>PLYS</v>
          </cell>
          <cell r="K14584">
            <v>25.273337625310401</v>
          </cell>
        </row>
        <row r="14585">
          <cell r="H14585" t="str">
            <v>PORO</v>
          </cell>
          <cell r="K14585">
            <v>21.459885342898311</v>
          </cell>
        </row>
        <row r="14586">
          <cell r="H14586" t="str">
            <v>PPA1</v>
          </cell>
          <cell r="K14586">
            <v>79.841921467967637</v>
          </cell>
        </row>
        <row r="14587">
          <cell r="H14587" t="str">
            <v>PPA2</v>
          </cell>
          <cell r="K14587">
            <v>73.231719382735662</v>
          </cell>
        </row>
        <row r="14588">
          <cell r="H14588" t="str">
            <v>PPA3</v>
          </cell>
          <cell r="K14588">
            <v>76.331697365450694</v>
          </cell>
        </row>
        <row r="14589">
          <cell r="H14589" t="str">
            <v>PPA4</v>
          </cell>
          <cell r="K14589">
            <v>66.597827813683594</v>
          </cell>
        </row>
        <row r="14590">
          <cell r="H14590" t="str">
            <v>PRC2</v>
          </cell>
          <cell r="K14590">
            <v>209.16420714084651</v>
          </cell>
        </row>
        <row r="14591">
          <cell r="H14591" t="str">
            <v>PRC3</v>
          </cell>
          <cell r="K14591">
            <v>197.62603502141806</v>
          </cell>
        </row>
        <row r="14592">
          <cell r="H14592" t="str">
            <v>PRDO</v>
          </cell>
          <cell r="K14592">
            <v>306.569790612833</v>
          </cell>
        </row>
        <row r="14593">
          <cell r="H14593" t="str">
            <v>PRG1</v>
          </cell>
          <cell r="K14593">
            <v>251.26125598856214</v>
          </cell>
        </row>
        <row r="14594">
          <cell r="H14594" t="str">
            <v>PRG2</v>
          </cell>
          <cell r="K14594">
            <v>251.26125598856214</v>
          </cell>
        </row>
        <row r="14595">
          <cell r="H14595" t="str">
            <v>QUI1</v>
          </cell>
          <cell r="K14595">
            <v>178.36787817473919</v>
          </cell>
        </row>
        <row r="14596">
          <cell r="H14596" t="str">
            <v>SLVJ</v>
          </cell>
          <cell r="K14596">
            <v>335.55457081622814</v>
          </cell>
        </row>
        <row r="14597">
          <cell r="H14597" t="str">
            <v>SMI1</v>
          </cell>
          <cell r="K14597">
            <v>24.968158546747713</v>
          </cell>
        </row>
        <row r="14598">
          <cell r="H14598" t="str">
            <v>SNCR</v>
          </cell>
          <cell r="K14598">
            <v>207.77070809260636</v>
          </cell>
        </row>
        <row r="14599">
          <cell r="H14599" t="str">
            <v>SNFR</v>
          </cell>
          <cell r="K14599">
            <v>25.273334838312305</v>
          </cell>
        </row>
        <row r="14600">
          <cell r="H14600" t="str">
            <v>SOG1</v>
          </cell>
          <cell r="K14600">
            <v>197.7375149452773</v>
          </cell>
        </row>
        <row r="14601">
          <cell r="H14601" t="str">
            <v>TBQ3</v>
          </cell>
          <cell r="K14601">
            <v>305.81256323001929</v>
          </cell>
        </row>
        <row r="14602">
          <cell r="H14602" t="str">
            <v>TBQ4</v>
          </cell>
          <cell r="K14602">
            <v>292.11056578848354</v>
          </cell>
        </row>
        <row r="14603">
          <cell r="H14603" t="str">
            <v>TBST</v>
          </cell>
          <cell r="K14603">
            <v>209.04492362231716</v>
          </cell>
        </row>
        <row r="14604">
          <cell r="H14604" t="str">
            <v>TCBE</v>
          </cell>
          <cell r="K14604">
            <v>245.25583249026639</v>
          </cell>
        </row>
        <row r="14605">
          <cell r="H14605" t="str">
            <v>TCDT</v>
          </cell>
          <cell r="K14605">
            <v>183.3465715742916</v>
          </cell>
        </row>
        <row r="14606">
          <cell r="H14606" t="str">
            <v>TDR1</v>
          </cell>
          <cell r="K14606">
            <v>751.15451396146693</v>
          </cell>
        </row>
        <row r="14607">
          <cell r="H14607" t="str">
            <v>TEC1</v>
          </cell>
          <cell r="K14607">
            <v>427.43994715851608</v>
          </cell>
        </row>
        <row r="14608">
          <cell r="H14608" t="str">
            <v>TFL1</v>
          </cell>
          <cell r="K14608">
            <v>295.6946453405572</v>
          </cell>
        </row>
        <row r="14609">
          <cell r="H14609" t="str">
            <v>TFL4</v>
          </cell>
          <cell r="K14609">
            <v>309.62963582295873</v>
          </cell>
        </row>
        <row r="14610">
          <cell r="H14610" t="str">
            <v>TGJ1</v>
          </cell>
          <cell r="K14610">
            <v>173.77379051250108</v>
          </cell>
        </row>
        <row r="14611">
          <cell r="H14611" t="str">
            <v>TGJ2</v>
          </cell>
          <cell r="K14611">
            <v>208.64053019851787</v>
          </cell>
        </row>
        <row r="14612">
          <cell r="H14612" t="str">
            <v>TPUY</v>
          </cell>
          <cell r="K14612">
            <v>22.594472267975441</v>
          </cell>
        </row>
        <row r="14613">
          <cell r="H14613" t="str">
            <v>TRM1</v>
          </cell>
          <cell r="K14613">
            <v>279.62676521491937</v>
          </cell>
        </row>
        <row r="14614">
          <cell r="H14614" t="str">
            <v>TRN1</v>
          </cell>
          <cell r="K14614">
            <v>316.32428395051403</v>
          </cell>
        </row>
        <row r="14615">
          <cell r="H14615" t="str">
            <v>TSJ1</v>
          </cell>
          <cell r="K14615">
            <v>66.464330604862198</v>
          </cell>
        </row>
        <row r="14616">
          <cell r="H14616" t="str">
            <v>TSJ2</v>
          </cell>
          <cell r="K14616">
            <v>61.169034221549623</v>
          </cell>
        </row>
        <row r="14617">
          <cell r="H14617" t="str">
            <v>TSR1</v>
          </cell>
          <cell r="K14617">
            <v>387.15751277141874</v>
          </cell>
        </row>
        <row r="14618">
          <cell r="H14618" t="str">
            <v>TUJ1</v>
          </cell>
          <cell r="K14618">
            <v>24.491584659247678</v>
          </cell>
        </row>
        <row r="14619">
          <cell r="H14619" t="str">
            <v>TVL1</v>
          </cell>
          <cell r="K14619">
            <v>444.30295784107977</v>
          </cell>
        </row>
        <row r="14620">
          <cell r="H14620" t="str">
            <v>TYP1</v>
          </cell>
          <cell r="K14620">
            <v>23.438653991399324</v>
          </cell>
        </row>
        <row r="14621">
          <cell r="H14621" t="str">
            <v>TYP2</v>
          </cell>
          <cell r="K14621">
            <v>23.438659565395518</v>
          </cell>
        </row>
        <row r="14622">
          <cell r="H14622" t="str">
            <v>TYP3</v>
          </cell>
          <cell r="K14622">
            <v>23.438656778397419</v>
          </cell>
        </row>
        <row r="14623">
          <cell r="H14623" t="str">
            <v>TYP4</v>
          </cell>
          <cell r="K14623">
            <v>23.438665139391713</v>
          </cell>
        </row>
        <row r="14624">
          <cell r="H14624" t="str">
            <v>TYP5</v>
          </cell>
          <cell r="K14624">
            <v>23.438662352393614</v>
          </cell>
        </row>
        <row r="14625">
          <cell r="H14625" t="str">
            <v>URA1</v>
          </cell>
          <cell r="K14625">
            <v>198.43426446939736</v>
          </cell>
        </row>
        <row r="14626">
          <cell r="H14626" t="str">
            <v>ZPA2</v>
          </cell>
          <cell r="K14626">
            <v>90.782561195510695</v>
          </cell>
        </row>
        <row r="14627">
          <cell r="H14627" t="str">
            <v>ZPA3</v>
          </cell>
          <cell r="K14627">
            <v>83.874429013764981</v>
          </cell>
        </row>
        <row r="14628">
          <cell r="H14628" t="str">
            <v>ZPA4</v>
          </cell>
          <cell r="K14628">
            <v>87.057459539755129</v>
          </cell>
        </row>
        <row r="14629">
          <cell r="H14629" t="str">
            <v>ZPA5</v>
          </cell>
          <cell r="K14629">
            <v>81.96728621634351</v>
          </cell>
        </row>
        <row r="14630">
          <cell r="H14630" t="str">
            <v>2QEK</v>
          </cell>
          <cell r="K14630">
            <v>25.321271205571765</v>
          </cell>
        </row>
        <row r="14631">
          <cell r="H14631" t="str">
            <v>3DDT</v>
          </cell>
          <cell r="K14631">
            <v>23.71345200371228</v>
          </cell>
        </row>
        <row r="14632">
          <cell r="H14632" t="str">
            <v>3ENA</v>
          </cell>
          <cell r="K14632">
            <v>323.35978194526894</v>
          </cell>
        </row>
        <row r="14633">
          <cell r="H14633" t="str">
            <v>3HF5</v>
          </cell>
          <cell r="K14633">
            <v>22.642129935425253</v>
          </cell>
        </row>
        <row r="14634">
          <cell r="H14634" t="str">
            <v>3INX</v>
          </cell>
          <cell r="K14634">
            <v>22.57468458149043</v>
          </cell>
        </row>
        <row r="14635">
          <cell r="H14635" t="str">
            <v>3IQA</v>
          </cell>
          <cell r="K14635">
            <v>21.277336967578851</v>
          </cell>
        </row>
        <row r="14636">
          <cell r="H14636" t="str">
            <v>3IRX</v>
          </cell>
          <cell r="K14636">
            <v>21.277058267769203</v>
          </cell>
        </row>
        <row r="14637">
          <cell r="H14637" t="str">
            <v>3IZ6</v>
          </cell>
          <cell r="K14637">
            <v>21.738587939544438</v>
          </cell>
        </row>
        <row r="14638">
          <cell r="H14638" t="str">
            <v>4YCF</v>
          </cell>
          <cell r="K14638">
            <v>22.289295976410848</v>
          </cell>
        </row>
        <row r="14639">
          <cell r="H14639" t="str">
            <v>4YCN</v>
          </cell>
          <cell r="K14639">
            <v>66.115955842802151</v>
          </cell>
        </row>
        <row r="14640">
          <cell r="H14640" t="str">
            <v>ALBG</v>
          </cell>
          <cell r="K14640">
            <v>335.83327062587614</v>
          </cell>
        </row>
        <row r="14641">
          <cell r="H14641" t="str">
            <v>CHBG</v>
          </cell>
          <cell r="K14641">
            <v>25.320713805952469</v>
          </cell>
        </row>
        <row r="14642">
          <cell r="H14642" t="str">
            <v>CHVR</v>
          </cell>
          <cell r="K14642">
            <v>42.083671256852533</v>
          </cell>
        </row>
        <row r="14643">
          <cell r="H14643" t="str">
            <v>CLL1</v>
          </cell>
          <cell r="K14643">
            <v>22.295987558840498</v>
          </cell>
        </row>
        <row r="14644">
          <cell r="H14644" t="str">
            <v>CLMG</v>
          </cell>
          <cell r="K14644">
            <v>335.27587100658008</v>
          </cell>
        </row>
        <row r="14645">
          <cell r="H14645" t="str">
            <v>CTG1</v>
          </cell>
          <cell r="K14645">
            <v>390.1415516333202</v>
          </cell>
        </row>
        <row r="14646">
          <cell r="H14646" t="str">
            <v>CTG2</v>
          </cell>
          <cell r="K14646">
            <v>389.67974604873342</v>
          </cell>
        </row>
        <row r="14647">
          <cell r="H14647" t="str">
            <v>CTG3</v>
          </cell>
          <cell r="K14647">
            <v>407.835923848064</v>
          </cell>
        </row>
        <row r="14648">
          <cell r="H14648" t="str">
            <v>CUC1</v>
          </cell>
          <cell r="K14648">
            <v>26.721180349433819</v>
          </cell>
        </row>
        <row r="14649">
          <cell r="H14649" t="str">
            <v>DVS1</v>
          </cell>
          <cell r="K14649">
            <v>25.320992505762117</v>
          </cell>
        </row>
        <row r="14650">
          <cell r="H14650" t="str">
            <v>EPFV</v>
          </cell>
          <cell r="K14650">
            <v>23.713454790710376</v>
          </cell>
        </row>
        <row r="14651">
          <cell r="H14651" t="str">
            <v>ESMR</v>
          </cell>
          <cell r="K14651">
            <v>25.273340412308499</v>
          </cell>
        </row>
        <row r="14652">
          <cell r="H14652" t="str">
            <v>GE32</v>
          </cell>
          <cell r="K14652">
            <v>72.276615135071864</v>
          </cell>
        </row>
        <row r="14653">
          <cell r="H14653" t="str">
            <v>GEC3</v>
          </cell>
          <cell r="K14653">
            <v>70.928544155804332</v>
          </cell>
        </row>
        <row r="14654">
          <cell r="H14654" t="str">
            <v>GTPE</v>
          </cell>
          <cell r="K14654">
            <v>197.59816504045327</v>
          </cell>
        </row>
        <row r="14655">
          <cell r="H14655" t="str">
            <v>GTRG</v>
          </cell>
          <cell r="K14655">
            <v>207.91005799743039</v>
          </cell>
        </row>
        <row r="14656">
          <cell r="H14656" t="str">
            <v>GVIO</v>
          </cell>
          <cell r="K14656">
            <v>25.320716592950564</v>
          </cell>
        </row>
        <row r="14657">
          <cell r="H14657" t="str">
            <v>GYP3</v>
          </cell>
          <cell r="K14657">
            <v>22.642132722423348</v>
          </cell>
        </row>
        <row r="14658">
          <cell r="H14658" t="str">
            <v>GYPO</v>
          </cell>
          <cell r="K14658">
            <v>22.642135509421443</v>
          </cell>
        </row>
        <row r="14659">
          <cell r="H14659" t="str">
            <v>HMIN</v>
          </cell>
          <cell r="K14659">
            <v>22.295984771842399</v>
          </cell>
        </row>
        <row r="14660">
          <cell r="H14660" t="str">
            <v>HMLG</v>
          </cell>
          <cell r="K14660">
            <v>300.99579441987242</v>
          </cell>
        </row>
        <row r="14661">
          <cell r="H14661" t="str">
            <v>JAGS</v>
          </cell>
          <cell r="K14661">
            <v>207.91005799743039</v>
          </cell>
        </row>
        <row r="14662">
          <cell r="H14662" t="str">
            <v>LTSJ</v>
          </cell>
          <cell r="K14662">
            <v>249.43632963498686</v>
          </cell>
        </row>
        <row r="14663">
          <cell r="H14663" t="str">
            <v>MATA</v>
          </cell>
          <cell r="K14663">
            <v>21.738585152546339</v>
          </cell>
        </row>
        <row r="14664">
          <cell r="H14664" t="str">
            <v>MOY1</v>
          </cell>
          <cell r="K14664">
            <v>24.968161333745808</v>
          </cell>
        </row>
        <row r="14665">
          <cell r="H14665" t="str">
            <v>MRL1</v>
          </cell>
          <cell r="K14665">
            <v>344.99134637091043</v>
          </cell>
        </row>
        <row r="14666">
          <cell r="H14666" t="str">
            <v>PES1</v>
          </cell>
          <cell r="K14666">
            <v>24.491581872249579</v>
          </cell>
        </row>
        <row r="14667">
          <cell r="H14667" t="str">
            <v>PGUG</v>
          </cell>
          <cell r="K14667">
            <v>181.15487627121951</v>
          </cell>
        </row>
        <row r="14668">
          <cell r="H14668" t="str">
            <v>PLYS</v>
          </cell>
          <cell r="K14668">
            <v>25.273337625310401</v>
          </cell>
        </row>
        <row r="14669">
          <cell r="H14669" t="str">
            <v>PORO</v>
          </cell>
          <cell r="K14669">
            <v>21.459885342898311</v>
          </cell>
        </row>
        <row r="14670">
          <cell r="H14670" t="str">
            <v>PPA1</v>
          </cell>
          <cell r="K14670">
            <v>79.841921467967637</v>
          </cell>
        </row>
        <row r="14671">
          <cell r="H14671" t="str">
            <v>PPA2</v>
          </cell>
          <cell r="K14671">
            <v>73.231719382735662</v>
          </cell>
        </row>
        <row r="14672">
          <cell r="H14672" t="str">
            <v>PPA3</v>
          </cell>
          <cell r="K14672">
            <v>76.331697365450694</v>
          </cell>
        </row>
        <row r="14673">
          <cell r="H14673" t="str">
            <v>PPA4</v>
          </cell>
          <cell r="K14673">
            <v>66.597827813683594</v>
          </cell>
        </row>
        <row r="14674">
          <cell r="H14674" t="str">
            <v>PRC2</v>
          </cell>
          <cell r="K14674">
            <v>209.16420714084651</v>
          </cell>
        </row>
        <row r="14675">
          <cell r="H14675" t="str">
            <v>PRC3</v>
          </cell>
          <cell r="K14675">
            <v>197.62603502141806</v>
          </cell>
        </row>
        <row r="14676">
          <cell r="H14676" t="str">
            <v>PRDO</v>
          </cell>
          <cell r="K14676">
            <v>306.569790612833</v>
          </cell>
        </row>
        <row r="14677">
          <cell r="H14677" t="str">
            <v>PRG1</v>
          </cell>
          <cell r="K14677">
            <v>251.26125598856214</v>
          </cell>
        </row>
        <row r="14678">
          <cell r="H14678" t="str">
            <v>PRG2</v>
          </cell>
          <cell r="K14678">
            <v>251.26125598856214</v>
          </cell>
        </row>
        <row r="14679">
          <cell r="H14679" t="str">
            <v>QUI1</v>
          </cell>
          <cell r="K14679">
            <v>178.36787817473919</v>
          </cell>
        </row>
        <row r="14680">
          <cell r="H14680" t="str">
            <v>SLVJ</v>
          </cell>
          <cell r="K14680">
            <v>335.55457081622814</v>
          </cell>
        </row>
        <row r="14681">
          <cell r="H14681" t="str">
            <v>SMI1</v>
          </cell>
          <cell r="K14681">
            <v>24.968158546747713</v>
          </cell>
        </row>
        <row r="14682">
          <cell r="H14682" t="str">
            <v>SNCR</v>
          </cell>
          <cell r="K14682">
            <v>207.77070809260636</v>
          </cell>
        </row>
        <row r="14683">
          <cell r="H14683" t="str">
            <v>SNFR</v>
          </cell>
          <cell r="K14683">
            <v>25.273334838312305</v>
          </cell>
        </row>
        <row r="14684">
          <cell r="H14684" t="str">
            <v>SOG1</v>
          </cell>
          <cell r="K14684">
            <v>197.7375149452773</v>
          </cell>
        </row>
        <row r="14685">
          <cell r="H14685" t="str">
            <v>TBQ3</v>
          </cell>
          <cell r="K14685">
            <v>305.81256323001929</v>
          </cell>
        </row>
        <row r="14686">
          <cell r="H14686" t="str">
            <v>TBQ4</v>
          </cell>
          <cell r="K14686">
            <v>292.11056578848354</v>
          </cell>
        </row>
        <row r="14687">
          <cell r="H14687" t="str">
            <v>TBST</v>
          </cell>
          <cell r="K14687">
            <v>209.04492362231716</v>
          </cell>
        </row>
        <row r="14688">
          <cell r="H14688" t="str">
            <v>TCBE</v>
          </cell>
          <cell r="K14688">
            <v>245.25583249026639</v>
          </cell>
        </row>
        <row r="14689">
          <cell r="H14689" t="str">
            <v>TCDT</v>
          </cell>
          <cell r="K14689">
            <v>183.3465715742916</v>
          </cell>
        </row>
        <row r="14690">
          <cell r="H14690" t="str">
            <v>TDR1</v>
          </cell>
          <cell r="K14690">
            <v>751.15451396146693</v>
          </cell>
        </row>
        <row r="14691">
          <cell r="H14691" t="str">
            <v>TEC1</v>
          </cell>
          <cell r="K14691">
            <v>427.43994715851608</v>
          </cell>
        </row>
        <row r="14692">
          <cell r="H14692" t="str">
            <v>TFL1</v>
          </cell>
          <cell r="K14692">
            <v>295.6946453405572</v>
          </cell>
        </row>
        <row r="14693">
          <cell r="H14693" t="str">
            <v>TFL4</v>
          </cell>
          <cell r="K14693">
            <v>309.62963582295873</v>
          </cell>
        </row>
        <row r="14694">
          <cell r="H14694" t="str">
            <v>TGJ1</v>
          </cell>
          <cell r="K14694">
            <v>173.77379051250108</v>
          </cell>
        </row>
        <row r="14695">
          <cell r="H14695" t="str">
            <v>TGJ2</v>
          </cell>
          <cell r="K14695">
            <v>208.64053019851787</v>
          </cell>
        </row>
        <row r="14696">
          <cell r="H14696" t="str">
            <v>TPUY</v>
          </cell>
          <cell r="K14696">
            <v>22.594472267975441</v>
          </cell>
        </row>
        <row r="14697">
          <cell r="H14697" t="str">
            <v>TRM1</v>
          </cell>
          <cell r="K14697">
            <v>279.62676521491937</v>
          </cell>
        </row>
        <row r="14698">
          <cell r="H14698" t="str">
            <v>TRN1</v>
          </cell>
          <cell r="K14698">
            <v>316.32428395051403</v>
          </cell>
        </row>
        <row r="14699">
          <cell r="H14699" t="str">
            <v>TSJ1</v>
          </cell>
          <cell r="K14699">
            <v>66.464330604862198</v>
          </cell>
        </row>
        <row r="14700">
          <cell r="H14700" t="str">
            <v>TSJ2</v>
          </cell>
          <cell r="K14700">
            <v>61.169034221549623</v>
          </cell>
        </row>
        <row r="14701">
          <cell r="H14701" t="str">
            <v>TSR1</v>
          </cell>
          <cell r="K14701">
            <v>387.15751277141874</v>
          </cell>
        </row>
        <row r="14702">
          <cell r="H14702" t="str">
            <v>TUJ1</v>
          </cell>
          <cell r="K14702">
            <v>24.491584659247678</v>
          </cell>
        </row>
        <row r="14703">
          <cell r="H14703" t="str">
            <v>TVL1</v>
          </cell>
          <cell r="K14703">
            <v>444.30295784107977</v>
          </cell>
        </row>
        <row r="14704">
          <cell r="H14704" t="str">
            <v>TYP1</v>
          </cell>
          <cell r="K14704">
            <v>23.438653991399324</v>
          </cell>
        </row>
        <row r="14705">
          <cell r="H14705" t="str">
            <v>TYP2</v>
          </cell>
          <cell r="K14705">
            <v>23.438659565395518</v>
          </cell>
        </row>
        <row r="14706">
          <cell r="H14706" t="str">
            <v>TYP3</v>
          </cell>
          <cell r="K14706">
            <v>23.438656778397419</v>
          </cell>
        </row>
        <row r="14707">
          <cell r="H14707" t="str">
            <v>TYP4</v>
          </cell>
          <cell r="K14707">
            <v>23.438665139391713</v>
          </cell>
        </row>
        <row r="14708">
          <cell r="H14708" t="str">
            <v>TYP5</v>
          </cell>
          <cell r="K14708">
            <v>23.438662352393614</v>
          </cell>
        </row>
        <row r="14709">
          <cell r="H14709" t="str">
            <v>URA1</v>
          </cell>
          <cell r="K14709">
            <v>198.43426446939736</v>
          </cell>
        </row>
        <row r="14710">
          <cell r="H14710" t="str">
            <v>ZPA2</v>
          </cell>
          <cell r="K14710">
            <v>90.782561195510695</v>
          </cell>
        </row>
        <row r="14711">
          <cell r="H14711" t="str">
            <v>ZPA3</v>
          </cell>
          <cell r="K14711">
            <v>83.874429013764981</v>
          </cell>
        </row>
        <row r="14712">
          <cell r="H14712" t="str">
            <v>ZPA4</v>
          </cell>
          <cell r="K14712">
            <v>87.057459539755129</v>
          </cell>
        </row>
        <row r="14713">
          <cell r="H14713" t="str">
            <v>ZPA5</v>
          </cell>
          <cell r="K14713">
            <v>81.96728621634351</v>
          </cell>
        </row>
        <row r="14714">
          <cell r="H14714" t="str">
            <v>2QEK</v>
          </cell>
          <cell r="K14714">
            <v>25.321271205571765</v>
          </cell>
        </row>
        <row r="14715">
          <cell r="H14715" t="str">
            <v>3DDT</v>
          </cell>
          <cell r="K14715">
            <v>23.71345200371228</v>
          </cell>
        </row>
        <row r="14716">
          <cell r="H14716" t="str">
            <v>3ENA</v>
          </cell>
          <cell r="K14716">
            <v>323.35978194526894</v>
          </cell>
        </row>
        <row r="14717">
          <cell r="H14717" t="str">
            <v>3HF5</v>
          </cell>
          <cell r="K14717">
            <v>22.642129935425253</v>
          </cell>
        </row>
        <row r="14718">
          <cell r="H14718" t="str">
            <v>3INX</v>
          </cell>
          <cell r="K14718">
            <v>22.57468458149043</v>
          </cell>
        </row>
        <row r="14719">
          <cell r="H14719" t="str">
            <v>3IQA</v>
          </cell>
          <cell r="K14719">
            <v>21.277336967578851</v>
          </cell>
        </row>
        <row r="14720">
          <cell r="H14720" t="str">
            <v>3IRX</v>
          </cell>
          <cell r="K14720">
            <v>21.277058267769203</v>
          </cell>
        </row>
        <row r="14721">
          <cell r="H14721" t="str">
            <v>3IZ6</v>
          </cell>
          <cell r="K14721">
            <v>21.738587939544438</v>
          </cell>
        </row>
        <row r="14722">
          <cell r="H14722" t="str">
            <v>4YCF</v>
          </cell>
          <cell r="K14722">
            <v>22.289295976410848</v>
          </cell>
        </row>
        <row r="14723">
          <cell r="H14723" t="str">
            <v>4YCN</v>
          </cell>
          <cell r="K14723">
            <v>66.115955842802151</v>
          </cell>
        </row>
        <row r="14724">
          <cell r="H14724" t="str">
            <v>ALBG</v>
          </cell>
          <cell r="K14724">
            <v>335.83327062587614</v>
          </cell>
        </row>
        <row r="14725">
          <cell r="H14725" t="str">
            <v>CHBG</v>
          </cell>
          <cell r="K14725">
            <v>25.320713805952469</v>
          </cell>
        </row>
        <row r="14726">
          <cell r="H14726" t="str">
            <v>CHVR</v>
          </cell>
          <cell r="K14726">
            <v>42.083671256852533</v>
          </cell>
        </row>
        <row r="14727">
          <cell r="H14727" t="str">
            <v>CLL1</v>
          </cell>
          <cell r="K14727">
            <v>22.295987558840498</v>
          </cell>
        </row>
        <row r="14728">
          <cell r="H14728" t="str">
            <v>CLMG</v>
          </cell>
          <cell r="K14728">
            <v>335.27587100658008</v>
          </cell>
        </row>
        <row r="14729">
          <cell r="H14729" t="str">
            <v>CTG1</v>
          </cell>
          <cell r="K14729">
            <v>390.1415516333202</v>
          </cell>
        </row>
        <row r="14730">
          <cell r="H14730" t="str">
            <v>CTG2</v>
          </cell>
          <cell r="K14730">
            <v>389.67974604873342</v>
          </cell>
        </row>
        <row r="14731">
          <cell r="H14731" t="str">
            <v>CTG3</v>
          </cell>
          <cell r="K14731">
            <v>407.835923848064</v>
          </cell>
        </row>
        <row r="14732">
          <cell r="H14732" t="str">
            <v>CUC1</v>
          </cell>
          <cell r="K14732">
            <v>26.721180349433819</v>
          </cell>
        </row>
        <row r="14733">
          <cell r="H14733" t="str">
            <v>DVS1</v>
          </cell>
          <cell r="K14733">
            <v>25.320992505762117</v>
          </cell>
        </row>
        <row r="14734">
          <cell r="H14734" t="str">
            <v>EPFV</v>
          </cell>
          <cell r="K14734">
            <v>23.713454790710376</v>
          </cell>
        </row>
        <row r="14735">
          <cell r="H14735" t="str">
            <v>ESMR</v>
          </cell>
          <cell r="K14735">
            <v>25.273340412308499</v>
          </cell>
        </row>
        <row r="14736">
          <cell r="H14736" t="str">
            <v>GE32</v>
          </cell>
          <cell r="K14736">
            <v>72.276615135071864</v>
          </cell>
        </row>
        <row r="14737">
          <cell r="H14737" t="str">
            <v>GEC3</v>
          </cell>
          <cell r="K14737">
            <v>70.928544155804332</v>
          </cell>
        </row>
        <row r="14738">
          <cell r="H14738" t="str">
            <v>GTPE</v>
          </cell>
          <cell r="K14738">
            <v>197.59816504045327</v>
          </cell>
        </row>
        <row r="14739">
          <cell r="H14739" t="str">
            <v>GTRG</v>
          </cell>
          <cell r="K14739">
            <v>207.91005799743039</v>
          </cell>
        </row>
        <row r="14740">
          <cell r="H14740" t="str">
            <v>GVIO</v>
          </cell>
          <cell r="K14740">
            <v>25.320716592950564</v>
          </cell>
        </row>
        <row r="14741">
          <cell r="H14741" t="str">
            <v>GYP3</v>
          </cell>
          <cell r="K14741">
            <v>22.642132722423348</v>
          </cell>
        </row>
        <row r="14742">
          <cell r="H14742" t="str">
            <v>GYPO</v>
          </cell>
          <cell r="K14742">
            <v>22.642135509421443</v>
          </cell>
        </row>
        <row r="14743">
          <cell r="H14743" t="str">
            <v>HMIN</v>
          </cell>
          <cell r="K14743">
            <v>22.295984771842399</v>
          </cell>
        </row>
        <row r="14744">
          <cell r="H14744" t="str">
            <v>HMLG</v>
          </cell>
          <cell r="K14744">
            <v>300.99579441987242</v>
          </cell>
        </row>
        <row r="14745">
          <cell r="H14745" t="str">
            <v>JAGS</v>
          </cell>
          <cell r="K14745">
            <v>207.91005799743039</v>
          </cell>
        </row>
        <row r="14746">
          <cell r="H14746" t="str">
            <v>LTSJ</v>
          </cell>
          <cell r="K14746">
            <v>249.43632963498686</v>
          </cell>
        </row>
        <row r="14747">
          <cell r="H14747" t="str">
            <v>MATA</v>
          </cell>
          <cell r="K14747">
            <v>21.738585152546339</v>
          </cell>
        </row>
        <row r="14748">
          <cell r="H14748" t="str">
            <v>MOY1</v>
          </cell>
          <cell r="K14748">
            <v>24.968161333745808</v>
          </cell>
        </row>
        <row r="14749">
          <cell r="H14749" t="str">
            <v>MRL1</v>
          </cell>
          <cell r="K14749">
            <v>344.99134637091043</v>
          </cell>
        </row>
        <row r="14750">
          <cell r="H14750" t="str">
            <v>PES1</v>
          </cell>
          <cell r="K14750">
            <v>24.491581872249579</v>
          </cell>
        </row>
        <row r="14751">
          <cell r="H14751" t="str">
            <v>PGUG</v>
          </cell>
          <cell r="K14751">
            <v>181.15487627121951</v>
          </cell>
        </row>
        <row r="14752">
          <cell r="H14752" t="str">
            <v>PLYS</v>
          </cell>
          <cell r="K14752">
            <v>25.273337625310401</v>
          </cell>
        </row>
        <row r="14753">
          <cell r="H14753" t="str">
            <v>PORO</v>
          </cell>
          <cell r="K14753">
            <v>21.459885342898311</v>
          </cell>
        </row>
        <row r="14754">
          <cell r="H14754" t="str">
            <v>PPA1</v>
          </cell>
          <cell r="K14754">
            <v>79.841921467967637</v>
          </cell>
        </row>
        <row r="14755">
          <cell r="H14755" t="str">
            <v>PPA2</v>
          </cell>
          <cell r="K14755">
            <v>73.231719382735662</v>
          </cell>
        </row>
        <row r="14756">
          <cell r="H14756" t="str">
            <v>PPA3</v>
          </cell>
          <cell r="K14756">
            <v>76.331697365450694</v>
          </cell>
        </row>
        <row r="14757">
          <cell r="H14757" t="str">
            <v>PPA4</v>
          </cell>
          <cell r="K14757">
            <v>66.597827813683594</v>
          </cell>
        </row>
        <row r="14758">
          <cell r="H14758" t="str">
            <v>PRC2</v>
          </cell>
          <cell r="K14758">
            <v>209.16420714084651</v>
          </cell>
        </row>
        <row r="14759">
          <cell r="H14759" t="str">
            <v>PRC3</v>
          </cell>
          <cell r="K14759">
            <v>197.62603502141806</v>
          </cell>
        </row>
        <row r="14760">
          <cell r="H14760" t="str">
            <v>PRDO</v>
          </cell>
          <cell r="K14760">
            <v>306.569790612833</v>
          </cell>
        </row>
        <row r="14761">
          <cell r="H14761" t="str">
            <v>PRG1</v>
          </cell>
          <cell r="K14761">
            <v>251.26125598856214</v>
          </cell>
        </row>
        <row r="14762">
          <cell r="H14762" t="str">
            <v>PRG2</v>
          </cell>
          <cell r="K14762">
            <v>251.26125598856214</v>
          </cell>
        </row>
        <row r="14763">
          <cell r="H14763" t="str">
            <v>QUI1</v>
          </cell>
          <cell r="K14763">
            <v>178.36787817473919</v>
          </cell>
        </row>
        <row r="14764">
          <cell r="H14764" t="str">
            <v>SLVJ</v>
          </cell>
          <cell r="K14764">
            <v>335.55457081622814</v>
          </cell>
        </row>
        <row r="14765">
          <cell r="H14765" t="str">
            <v>SMI1</v>
          </cell>
          <cell r="K14765">
            <v>24.968158546747713</v>
          </cell>
        </row>
        <row r="14766">
          <cell r="H14766" t="str">
            <v>SNCR</v>
          </cell>
          <cell r="K14766">
            <v>207.77070809260636</v>
          </cell>
        </row>
        <row r="14767">
          <cell r="H14767" t="str">
            <v>SNFR</v>
          </cell>
          <cell r="K14767">
            <v>25.273334838312305</v>
          </cell>
        </row>
        <row r="14768">
          <cell r="H14768" t="str">
            <v>SOG1</v>
          </cell>
          <cell r="K14768">
            <v>197.7375149452773</v>
          </cell>
        </row>
        <row r="14769">
          <cell r="H14769" t="str">
            <v>TBQ3</v>
          </cell>
          <cell r="K14769">
            <v>305.81256323001929</v>
          </cell>
        </row>
        <row r="14770">
          <cell r="H14770" t="str">
            <v>TBQ4</v>
          </cell>
          <cell r="K14770">
            <v>292.11056578848354</v>
          </cell>
        </row>
        <row r="14771">
          <cell r="H14771" t="str">
            <v>TBST</v>
          </cell>
          <cell r="K14771">
            <v>209.04492362231716</v>
          </cell>
        </row>
        <row r="14772">
          <cell r="H14772" t="str">
            <v>TCBE</v>
          </cell>
          <cell r="K14772">
            <v>245.25583249026639</v>
          </cell>
        </row>
        <row r="14773">
          <cell r="H14773" t="str">
            <v>TCDT</v>
          </cell>
          <cell r="K14773">
            <v>183.3465715742916</v>
          </cell>
        </row>
        <row r="14774">
          <cell r="H14774" t="str">
            <v>TDR1</v>
          </cell>
          <cell r="K14774">
            <v>751.15451396146693</v>
          </cell>
        </row>
        <row r="14775">
          <cell r="H14775" t="str">
            <v>TEC1</v>
          </cell>
          <cell r="K14775">
            <v>427.43994715851608</v>
          </cell>
        </row>
        <row r="14776">
          <cell r="H14776" t="str">
            <v>TFL1</v>
          </cell>
          <cell r="K14776">
            <v>295.6946453405572</v>
          </cell>
        </row>
        <row r="14777">
          <cell r="H14777" t="str">
            <v>TFL4</v>
          </cell>
          <cell r="K14777">
            <v>309.62963582295873</v>
          </cell>
        </row>
        <row r="14778">
          <cell r="H14778" t="str">
            <v>TGJ1</v>
          </cell>
          <cell r="K14778">
            <v>173.77379051250108</v>
          </cell>
        </row>
        <row r="14779">
          <cell r="H14779" t="str">
            <v>TGJ2</v>
          </cell>
          <cell r="K14779">
            <v>208.64053019851787</v>
          </cell>
        </row>
        <row r="14780">
          <cell r="H14780" t="str">
            <v>TPUY</v>
          </cell>
          <cell r="K14780">
            <v>22.594472267975441</v>
          </cell>
        </row>
        <row r="14781">
          <cell r="H14781" t="str">
            <v>TRM1</v>
          </cell>
          <cell r="K14781">
            <v>279.62676521491937</v>
          </cell>
        </row>
        <row r="14782">
          <cell r="H14782" t="str">
            <v>TRN1</v>
          </cell>
          <cell r="K14782">
            <v>316.32428395051403</v>
          </cell>
        </row>
        <row r="14783">
          <cell r="H14783" t="str">
            <v>TSJ1</v>
          </cell>
          <cell r="K14783">
            <v>66.464330604862198</v>
          </cell>
        </row>
        <row r="14784">
          <cell r="H14784" t="str">
            <v>TSJ2</v>
          </cell>
          <cell r="K14784">
            <v>61.169034221549623</v>
          </cell>
        </row>
        <row r="14785">
          <cell r="H14785" t="str">
            <v>TSR1</v>
          </cell>
          <cell r="K14785">
            <v>387.15751277141874</v>
          </cell>
        </row>
        <row r="14786">
          <cell r="H14786" t="str">
            <v>TUJ1</v>
          </cell>
          <cell r="K14786">
            <v>24.491584659247678</v>
          </cell>
        </row>
        <row r="14787">
          <cell r="H14787" t="str">
            <v>TVL1</v>
          </cell>
          <cell r="K14787">
            <v>444.30295784107977</v>
          </cell>
        </row>
        <row r="14788">
          <cell r="H14788" t="str">
            <v>TYP1</v>
          </cell>
          <cell r="K14788">
            <v>23.438653991399324</v>
          </cell>
        </row>
        <row r="14789">
          <cell r="H14789" t="str">
            <v>TYP2</v>
          </cell>
          <cell r="K14789">
            <v>23.438659565395518</v>
          </cell>
        </row>
        <row r="14790">
          <cell r="H14790" t="str">
            <v>TYP3</v>
          </cell>
          <cell r="K14790">
            <v>23.438656778397419</v>
          </cell>
        </row>
        <row r="14791">
          <cell r="H14791" t="str">
            <v>TYP4</v>
          </cell>
          <cell r="K14791">
            <v>23.438665139391713</v>
          </cell>
        </row>
        <row r="14792">
          <cell r="H14792" t="str">
            <v>TYP5</v>
          </cell>
          <cell r="K14792">
            <v>23.438662352393614</v>
          </cell>
        </row>
        <row r="14793">
          <cell r="H14793" t="str">
            <v>URA1</v>
          </cell>
          <cell r="K14793">
            <v>198.43426446939736</v>
          </cell>
        </row>
        <row r="14794">
          <cell r="H14794" t="str">
            <v>ZPA2</v>
          </cell>
          <cell r="K14794">
            <v>90.782561195510695</v>
          </cell>
        </row>
        <row r="14795">
          <cell r="H14795" t="str">
            <v>ZPA3</v>
          </cell>
          <cell r="K14795">
            <v>83.874429013764981</v>
          </cell>
        </row>
        <row r="14796">
          <cell r="H14796" t="str">
            <v>ZPA4</v>
          </cell>
          <cell r="K14796">
            <v>87.057459539755129</v>
          </cell>
        </row>
        <row r="14797">
          <cell r="H14797" t="str">
            <v>ZPA5</v>
          </cell>
          <cell r="K14797">
            <v>81.96728621634351</v>
          </cell>
        </row>
        <row r="14798">
          <cell r="H14798" t="str">
            <v>2QEK</v>
          </cell>
          <cell r="K14798">
            <v>25.321271205571765</v>
          </cell>
        </row>
        <row r="14799">
          <cell r="H14799" t="str">
            <v>3DDT</v>
          </cell>
          <cell r="K14799">
            <v>23.71345200371228</v>
          </cell>
        </row>
        <row r="14800">
          <cell r="H14800" t="str">
            <v>3ENA</v>
          </cell>
          <cell r="K14800">
            <v>323.35978194526894</v>
          </cell>
        </row>
        <row r="14801">
          <cell r="H14801" t="str">
            <v>3HF5</v>
          </cell>
          <cell r="K14801">
            <v>22.642129935425253</v>
          </cell>
        </row>
        <row r="14802">
          <cell r="H14802" t="str">
            <v>3INX</v>
          </cell>
          <cell r="K14802">
            <v>22.57468458149043</v>
          </cell>
        </row>
        <row r="14803">
          <cell r="H14803" t="str">
            <v>3IQA</v>
          </cell>
          <cell r="K14803">
            <v>21.277336967578851</v>
          </cell>
        </row>
        <row r="14804">
          <cell r="H14804" t="str">
            <v>3IRX</v>
          </cell>
          <cell r="K14804">
            <v>21.277058267769203</v>
          </cell>
        </row>
        <row r="14805">
          <cell r="H14805" t="str">
            <v>3IZ6</v>
          </cell>
          <cell r="K14805">
            <v>21.738587939544438</v>
          </cell>
        </row>
        <row r="14806">
          <cell r="H14806" t="str">
            <v>4YCF</v>
          </cell>
          <cell r="K14806">
            <v>22.289295976410848</v>
          </cell>
        </row>
        <row r="14807">
          <cell r="H14807" t="str">
            <v>4YCN</v>
          </cell>
          <cell r="K14807">
            <v>66.115955842802151</v>
          </cell>
        </row>
        <row r="14808">
          <cell r="H14808" t="str">
            <v>ALBG</v>
          </cell>
          <cell r="K14808">
            <v>335.83327062587614</v>
          </cell>
        </row>
        <row r="14809">
          <cell r="H14809" t="str">
            <v>CHBG</v>
          </cell>
          <cell r="K14809">
            <v>25.320713805952469</v>
          </cell>
        </row>
        <row r="14810">
          <cell r="H14810" t="str">
            <v>CHVR</v>
          </cell>
          <cell r="K14810">
            <v>42.083671256852533</v>
          </cell>
        </row>
        <row r="14811">
          <cell r="H14811" t="str">
            <v>CLL1</v>
          </cell>
          <cell r="K14811">
            <v>22.295987558840498</v>
          </cell>
        </row>
        <row r="14812">
          <cell r="H14812" t="str">
            <v>CLMG</v>
          </cell>
          <cell r="K14812">
            <v>335.27587100658008</v>
          </cell>
        </row>
        <row r="14813">
          <cell r="H14813" t="str">
            <v>CTG1</v>
          </cell>
          <cell r="K14813">
            <v>390.1415516333202</v>
          </cell>
        </row>
        <row r="14814">
          <cell r="H14814" t="str">
            <v>CTG2</v>
          </cell>
          <cell r="K14814">
            <v>389.67974604873342</v>
          </cell>
        </row>
        <row r="14815">
          <cell r="H14815" t="str">
            <v>CTG3</v>
          </cell>
          <cell r="K14815">
            <v>407.835923848064</v>
          </cell>
        </row>
        <row r="14816">
          <cell r="H14816" t="str">
            <v>CUC1</v>
          </cell>
          <cell r="K14816">
            <v>26.721180349433819</v>
          </cell>
        </row>
        <row r="14817">
          <cell r="H14817" t="str">
            <v>DVS1</v>
          </cell>
          <cell r="K14817">
            <v>25.320992505762117</v>
          </cell>
        </row>
        <row r="14818">
          <cell r="H14818" t="str">
            <v>EPFV</v>
          </cell>
          <cell r="K14818">
            <v>23.713454790710376</v>
          </cell>
        </row>
        <row r="14819">
          <cell r="H14819" t="str">
            <v>ESMR</v>
          </cell>
          <cell r="K14819">
            <v>25.273340412308499</v>
          </cell>
        </row>
        <row r="14820">
          <cell r="H14820" t="str">
            <v>GE32</v>
          </cell>
          <cell r="K14820">
            <v>72.276615135071864</v>
          </cell>
        </row>
        <row r="14821">
          <cell r="H14821" t="str">
            <v>GEC3</v>
          </cell>
          <cell r="K14821">
            <v>70.928544155804332</v>
          </cell>
        </row>
        <row r="14822">
          <cell r="H14822" t="str">
            <v>GTPE</v>
          </cell>
          <cell r="K14822">
            <v>197.59816504045327</v>
          </cell>
        </row>
        <row r="14823">
          <cell r="H14823" t="str">
            <v>GTRG</v>
          </cell>
          <cell r="K14823">
            <v>207.91005799743039</v>
          </cell>
        </row>
        <row r="14824">
          <cell r="H14824" t="str">
            <v>GVIO</v>
          </cell>
          <cell r="K14824">
            <v>25.320716592950564</v>
          </cell>
        </row>
        <row r="14825">
          <cell r="H14825" t="str">
            <v>GYP3</v>
          </cell>
          <cell r="K14825">
            <v>22.642132722423348</v>
          </cell>
        </row>
        <row r="14826">
          <cell r="H14826" t="str">
            <v>GYPO</v>
          </cell>
          <cell r="K14826">
            <v>22.642135509421443</v>
          </cell>
        </row>
        <row r="14827">
          <cell r="H14827" t="str">
            <v>HMIN</v>
          </cell>
          <cell r="K14827">
            <v>22.295984771842399</v>
          </cell>
        </row>
        <row r="14828">
          <cell r="H14828" t="str">
            <v>HMLG</v>
          </cell>
          <cell r="K14828">
            <v>300.99579441987242</v>
          </cell>
        </row>
        <row r="14829">
          <cell r="H14829" t="str">
            <v>JAGS</v>
          </cell>
          <cell r="K14829">
            <v>207.91005799743039</v>
          </cell>
        </row>
        <row r="14830">
          <cell r="H14830" t="str">
            <v>LTSJ</v>
          </cell>
          <cell r="K14830">
            <v>249.43632963498686</v>
          </cell>
        </row>
        <row r="14831">
          <cell r="H14831" t="str">
            <v>MATA</v>
          </cell>
          <cell r="K14831">
            <v>21.738585152546339</v>
          </cell>
        </row>
        <row r="14832">
          <cell r="H14832" t="str">
            <v>MOY1</v>
          </cell>
          <cell r="K14832">
            <v>24.968161333745808</v>
          </cell>
        </row>
        <row r="14833">
          <cell r="H14833" t="str">
            <v>MRL1</v>
          </cell>
          <cell r="K14833">
            <v>344.99134637091043</v>
          </cell>
        </row>
        <row r="14834">
          <cell r="H14834" t="str">
            <v>PES1</v>
          </cell>
          <cell r="K14834">
            <v>24.491581872249579</v>
          </cell>
        </row>
        <row r="14835">
          <cell r="H14835" t="str">
            <v>PGUG</v>
          </cell>
          <cell r="K14835">
            <v>181.15487627121951</v>
          </cell>
        </row>
        <row r="14836">
          <cell r="H14836" t="str">
            <v>PLYS</v>
          </cell>
          <cell r="K14836">
            <v>25.273337625310401</v>
          </cell>
        </row>
        <row r="14837">
          <cell r="H14837" t="str">
            <v>PORO</v>
          </cell>
          <cell r="K14837">
            <v>21.459885342898311</v>
          </cell>
        </row>
        <row r="14838">
          <cell r="H14838" t="str">
            <v>PPA1</v>
          </cell>
          <cell r="K14838">
            <v>79.841921467967637</v>
          </cell>
        </row>
        <row r="14839">
          <cell r="H14839" t="str">
            <v>PPA2</v>
          </cell>
          <cell r="K14839">
            <v>73.231719382735662</v>
          </cell>
        </row>
        <row r="14840">
          <cell r="H14840" t="str">
            <v>PPA3</v>
          </cell>
          <cell r="K14840">
            <v>76.331697365450694</v>
          </cell>
        </row>
        <row r="14841">
          <cell r="H14841" t="str">
            <v>PPA4</v>
          </cell>
          <cell r="K14841">
            <v>66.597827813683594</v>
          </cell>
        </row>
        <row r="14842">
          <cell r="H14842" t="str">
            <v>PRC2</v>
          </cell>
          <cell r="K14842">
            <v>209.16420714084651</v>
          </cell>
        </row>
        <row r="14843">
          <cell r="H14843" t="str">
            <v>PRC3</v>
          </cell>
          <cell r="K14843">
            <v>197.62603502141806</v>
          </cell>
        </row>
        <row r="14844">
          <cell r="H14844" t="str">
            <v>PRDO</v>
          </cell>
          <cell r="K14844">
            <v>306.569790612833</v>
          </cell>
        </row>
        <row r="14845">
          <cell r="H14845" t="str">
            <v>PRG1</v>
          </cell>
          <cell r="K14845">
            <v>251.26125598856214</v>
          </cell>
        </row>
        <row r="14846">
          <cell r="H14846" t="str">
            <v>PRG2</v>
          </cell>
          <cell r="K14846">
            <v>251.26125598856214</v>
          </cell>
        </row>
        <row r="14847">
          <cell r="H14847" t="str">
            <v>QUI1</v>
          </cell>
          <cell r="K14847">
            <v>178.36787817473919</v>
          </cell>
        </row>
        <row r="14848">
          <cell r="H14848" t="str">
            <v>SLVJ</v>
          </cell>
          <cell r="K14848">
            <v>335.55457081622814</v>
          </cell>
        </row>
        <row r="14849">
          <cell r="H14849" t="str">
            <v>SMI1</v>
          </cell>
          <cell r="K14849">
            <v>24.968158546747713</v>
          </cell>
        </row>
        <row r="14850">
          <cell r="H14850" t="str">
            <v>SNCR</v>
          </cell>
          <cell r="K14850">
            <v>207.77070809260636</v>
          </cell>
        </row>
        <row r="14851">
          <cell r="H14851" t="str">
            <v>SNFR</v>
          </cell>
          <cell r="K14851">
            <v>25.273334838312305</v>
          </cell>
        </row>
        <row r="14852">
          <cell r="H14852" t="str">
            <v>SOG1</v>
          </cell>
          <cell r="K14852">
            <v>197.7375149452773</v>
          </cell>
        </row>
        <row r="14853">
          <cell r="H14853" t="str">
            <v>TBQ3</v>
          </cell>
          <cell r="K14853">
            <v>305.81256323001929</v>
          </cell>
        </row>
        <row r="14854">
          <cell r="H14854" t="str">
            <v>TBQ4</v>
          </cell>
          <cell r="K14854">
            <v>292.11056578848354</v>
          </cell>
        </row>
        <row r="14855">
          <cell r="H14855" t="str">
            <v>TBST</v>
          </cell>
          <cell r="K14855">
            <v>209.04492362231716</v>
          </cell>
        </row>
        <row r="14856">
          <cell r="H14856" t="str">
            <v>TCBE</v>
          </cell>
          <cell r="K14856">
            <v>245.25583249026639</v>
          </cell>
        </row>
        <row r="14857">
          <cell r="H14857" t="str">
            <v>TCDT</v>
          </cell>
          <cell r="K14857">
            <v>183.3465715742916</v>
          </cell>
        </row>
        <row r="14858">
          <cell r="H14858" t="str">
            <v>TDR1</v>
          </cell>
          <cell r="K14858">
            <v>751.15451396146693</v>
          </cell>
        </row>
        <row r="14859">
          <cell r="H14859" t="str">
            <v>TEC1</v>
          </cell>
          <cell r="K14859">
            <v>427.43994715851608</v>
          </cell>
        </row>
        <row r="14860">
          <cell r="H14860" t="str">
            <v>TFL1</v>
          </cell>
          <cell r="K14860">
            <v>295.6946453405572</v>
          </cell>
        </row>
        <row r="14861">
          <cell r="H14861" t="str">
            <v>TFL4</v>
          </cell>
          <cell r="K14861">
            <v>309.62963582295873</v>
          </cell>
        </row>
        <row r="14862">
          <cell r="H14862" t="str">
            <v>TGJ1</v>
          </cell>
          <cell r="K14862">
            <v>173.77379051250108</v>
          </cell>
        </row>
        <row r="14863">
          <cell r="H14863" t="str">
            <v>TGJ2</v>
          </cell>
          <cell r="K14863">
            <v>208.64053019851787</v>
          </cell>
        </row>
        <row r="14864">
          <cell r="H14864" t="str">
            <v>TPUY</v>
          </cell>
          <cell r="K14864">
            <v>22.594472267975441</v>
          </cell>
        </row>
        <row r="14865">
          <cell r="H14865" t="str">
            <v>TRM1</v>
          </cell>
          <cell r="K14865">
            <v>279.62676521491937</v>
          </cell>
        </row>
        <row r="14866">
          <cell r="H14866" t="str">
            <v>TRN1</v>
          </cell>
          <cell r="K14866">
            <v>316.32428395051403</v>
          </cell>
        </row>
        <row r="14867">
          <cell r="H14867" t="str">
            <v>TSJ1</v>
          </cell>
          <cell r="K14867">
            <v>66.464330604862198</v>
          </cell>
        </row>
        <row r="14868">
          <cell r="H14868" t="str">
            <v>TSJ2</v>
          </cell>
          <cell r="K14868">
            <v>61.169034221549623</v>
          </cell>
        </row>
        <row r="14869">
          <cell r="H14869" t="str">
            <v>TSR1</v>
          </cell>
          <cell r="K14869">
            <v>387.15751277141874</v>
          </cell>
        </row>
        <row r="14870">
          <cell r="H14870" t="str">
            <v>TUJ1</v>
          </cell>
          <cell r="K14870">
            <v>24.491584659247678</v>
          </cell>
        </row>
        <row r="14871">
          <cell r="H14871" t="str">
            <v>TVL1</v>
          </cell>
          <cell r="K14871">
            <v>444.30295784107977</v>
          </cell>
        </row>
        <row r="14872">
          <cell r="H14872" t="str">
            <v>TYP1</v>
          </cell>
          <cell r="K14872">
            <v>23.438653991399324</v>
          </cell>
        </row>
        <row r="14873">
          <cell r="H14873" t="str">
            <v>TYP2</v>
          </cell>
          <cell r="K14873">
            <v>23.438659565395518</v>
          </cell>
        </row>
        <row r="14874">
          <cell r="H14874" t="str">
            <v>TYP3</v>
          </cell>
          <cell r="K14874">
            <v>23.438656778397419</v>
          </cell>
        </row>
        <row r="14875">
          <cell r="H14875" t="str">
            <v>TYP4</v>
          </cell>
          <cell r="K14875">
            <v>23.438665139391713</v>
          </cell>
        </row>
        <row r="14876">
          <cell r="H14876" t="str">
            <v>TYP5</v>
          </cell>
          <cell r="K14876">
            <v>23.438662352393614</v>
          </cell>
        </row>
        <row r="14877">
          <cell r="H14877" t="str">
            <v>URA1</v>
          </cell>
          <cell r="K14877">
            <v>198.43426446939736</v>
          </cell>
        </row>
        <row r="14878">
          <cell r="H14878" t="str">
            <v>ZPA2</v>
          </cell>
          <cell r="K14878">
            <v>90.782561195510695</v>
          </cell>
        </row>
        <row r="14879">
          <cell r="H14879" t="str">
            <v>ZPA3</v>
          </cell>
          <cell r="K14879">
            <v>83.874429013764981</v>
          </cell>
        </row>
        <row r="14880">
          <cell r="H14880" t="str">
            <v>ZPA4</v>
          </cell>
          <cell r="K14880">
            <v>87.057459539755129</v>
          </cell>
        </row>
        <row r="14881">
          <cell r="H14881" t="str">
            <v>ZPA5</v>
          </cell>
          <cell r="K14881">
            <v>81.96728621634351</v>
          </cell>
        </row>
        <row r="14882">
          <cell r="H14882" t="str">
            <v>2QEK</v>
          </cell>
          <cell r="K14882">
            <v>25.321271205571765</v>
          </cell>
        </row>
        <row r="14883">
          <cell r="H14883" t="str">
            <v>3DDT</v>
          </cell>
          <cell r="K14883">
            <v>23.71345200371228</v>
          </cell>
        </row>
        <row r="14884">
          <cell r="H14884" t="str">
            <v>3ENA</v>
          </cell>
          <cell r="K14884">
            <v>323.35978194526894</v>
          </cell>
        </row>
        <row r="14885">
          <cell r="H14885" t="str">
            <v>3HF5</v>
          </cell>
          <cell r="K14885">
            <v>22.642129935425253</v>
          </cell>
        </row>
        <row r="14886">
          <cell r="H14886" t="str">
            <v>3INX</v>
          </cell>
          <cell r="K14886">
            <v>22.57468458149043</v>
          </cell>
        </row>
        <row r="14887">
          <cell r="H14887" t="str">
            <v>3IQA</v>
          </cell>
          <cell r="K14887">
            <v>21.277336967578851</v>
          </cell>
        </row>
        <row r="14888">
          <cell r="H14888" t="str">
            <v>3IRX</v>
          </cell>
          <cell r="K14888">
            <v>21.277058267769203</v>
          </cell>
        </row>
        <row r="14889">
          <cell r="H14889" t="str">
            <v>3IZ6</v>
          </cell>
          <cell r="K14889">
            <v>21.738587939544438</v>
          </cell>
        </row>
        <row r="14890">
          <cell r="H14890" t="str">
            <v>4YCF</v>
          </cell>
          <cell r="K14890">
            <v>22.289295976410848</v>
          </cell>
        </row>
        <row r="14891">
          <cell r="H14891" t="str">
            <v>4YCN</v>
          </cell>
          <cell r="K14891">
            <v>66.115955842802151</v>
          </cell>
        </row>
        <row r="14892">
          <cell r="H14892" t="str">
            <v>ALBG</v>
          </cell>
          <cell r="K14892">
            <v>335.83327062587614</v>
          </cell>
        </row>
        <row r="14893">
          <cell r="H14893" t="str">
            <v>CHBG</v>
          </cell>
          <cell r="K14893">
            <v>25.320713805952469</v>
          </cell>
        </row>
        <row r="14894">
          <cell r="H14894" t="str">
            <v>CHVR</v>
          </cell>
          <cell r="K14894">
            <v>42.083671256852533</v>
          </cell>
        </row>
        <row r="14895">
          <cell r="H14895" t="str">
            <v>CLL1</v>
          </cell>
          <cell r="K14895">
            <v>22.295987558840498</v>
          </cell>
        </row>
        <row r="14896">
          <cell r="H14896" t="str">
            <v>CLMG</v>
          </cell>
          <cell r="K14896">
            <v>335.27587100658008</v>
          </cell>
        </row>
        <row r="14897">
          <cell r="H14897" t="str">
            <v>CTG1</v>
          </cell>
          <cell r="K14897">
            <v>390.1415516333202</v>
          </cell>
        </row>
        <row r="14898">
          <cell r="H14898" t="str">
            <v>CTG2</v>
          </cell>
          <cell r="K14898">
            <v>389.67974604873342</v>
          </cell>
        </row>
        <row r="14899">
          <cell r="H14899" t="str">
            <v>CTG3</v>
          </cell>
          <cell r="K14899">
            <v>407.835923848064</v>
          </cell>
        </row>
        <row r="14900">
          <cell r="H14900" t="str">
            <v>CUC1</v>
          </cell>
          <cell r="K14900">
            <v>26.721180349433819</v>
          </cell>
        </row>
        <row r="14901">
          <cell r="H14901" t="str">
            <v>DVS1</v>
          </cell>
          <cell r="K14901">
            <v>25.320992505762117</v>
          </cell>
        </row>
        <row r="14902">
          <cell r="H14902" t="str">
            <v>EPFV</v>
          </cell>
          <cell r="K14902">
            <v>23.713454790710376</v>
          </cell>
        </row>
        <row r="14903">
          <cell r="H14903" t="str">
            <v>ESMR</v>
          </cell>
          <cell r="K14903">
            <v>25.273340412308499</v>
          </cell>
        </row>
        <row r="14904">
          <cell r="H14904" t="str">
            <v>GE32</v>
          </cell>
          <cell r="K14904">
            <v>72.276615135071864</v>
          </cell>
        </row>
        <row r="14905">
          <cell r="H14905" t="str">
            <v>GEC3</v>
          </cell>
          <cell r="K14905">
            <v>70.928544155804332</v>
          </cell>
        </row>
        <row r="14906">
          <cell r="H14906" t="str">
            <v>GTPE</v>
          </cell>
          <cell r="K14906">
            <v>197.59816504045327</v>
          </cell>
        </row>
        <row r="14907">
          <cell r="H14907" t="str">
            <v>GTRG</v>
          </cell>
          <cell r="K14907">
            <v>207.91005799743039</v>
          </cell>
        </row>
        <row r="14908">
          <cell r="H14908" t="str">
            <v>GVIO</v>
          </cell>
          <cell r="K14908">
            <v>25.320716592950564</v>
          </cell>
        </row>
        <row r="14909">
          <cell r="H14909" t="str">
            <v>GYP3</v>
          </cell>
          <cell r="K14909">
            <v>22.642132722423348</v>
          </cell>
        </row>
        <row r="14910">
          <cell r="H14910" t="str">
            <v>GYPO</v>
          </cell>
          <cell r="K14910">
            <v>22.642135509421443</v>
          </cell>
        </row>
        <row r="14911">
          <cell r="H14911" t="str">
            <v>HMIN</v>
          </cell>
          <cell r="K14911">
            <v>22.295984771842399</v>
          </cell>
        </row>
        <row r="14912">
          <cell r="H14912" t="str">
            <v>HMLG</v>
          </cell>
          <cell r="K14912">
            <v>300.99579441987242</v>
          </cell>
        </row>
        <row r="14913">
          <cell r="H14913" t="str">
            <v>JAGS</v>
          </cell>
          <cell r="K14913">
            <v>207.91005799743039</v>
          </cell>
        </row>
        <row r="14914">
          <cell r="H14914" t="str">
            <v>LTSJ</v>
          </cell>
          <cell r="K14914">
            <v>249.43632963498686</v>
          </cell>
        </row>
        <row r="14915">
          <cell r="H14915" t="str">
            <v>MATA</v>
          </cell>
          <cell r="K14915">
            <v>21.738585152546339</v>
          </cell>
        </row>
        <row r="14916">
          <cell r="H14916" t="str">
            <v>MOY1</v>
          </cell>
          <cell r="K14916">
            <v>24.968161333745808</v>
          </cell>
        </row>
        <row r="14917">
          <cell r="H14917" t="str">
            <v>MRL1</v>
          </cell>
          <cell r="K14917">
            <v>344.99134637091043</v>
          </cell>
        </row>
        <row r="14918">
          <cell r="H14918" t="str">
            <v>PES1</v>
          </cell>
          <cell r="K14918">
            <v>24.491581872249579</v>
          </cell>
        </row>
        <row r="14919">
          <cell r="H14919" t="str">
            <v>PGUG</v>
          </cell>
          <cell r="K14919">
            <v>181.15487627121951</v>
          </cell>
        </row>
        <row r="14920">
          <cell r="H14920" t="str">
            <v>PLYS</v>
          </cell>
          <cell r="K14920">
            <v>25.273337625310401</v>
          </cell>
        </row>
        <row r="14921">
          <cell r="H14921" t="str">
            <v>PORO</v>
          </cell>
          <cell r="K14921">
            <v>21.459885342898311</v>
          </cell>
        </row>
        <row r="14922">
          <cell r="H14922" t="str">
            <v>PPA1</v>
          </cell>
          <cell r="K14922">
            <v>79.841921467967637</v>
          </cell>
        </row>
        <row r="14923">
          <cell r="H14923" t="str">
            <v>PPA2</v>
          </cell>
          <cell r="K14923">
            <v>73.231719382735662</v>
          </cell>
        </row>
        <row r="14924">
          <cell r="H14924" t="str">
            <v>PPA3</v>
          </cell>
          <cell r="K14924">
            <v>76.331697365450694</v>
          </cell>
        </row>
        <row r="14925">
          <cell r="H14925" t="str">
            <v>PPA4</v>
          </cell>
          <cell r="K14925">
            <v>66.597827813683594</v>
          </cell>
        </row>
        <row r="14926">
          <cell r="H14926" t="str">
            <v>PRC2</v>
          </cell>
          <cell r="K14926">
            <v>209.16420714084651</v>
          </cell>
        </row>
        <row r="14927">
          <cell r="H14927" t="str">
            <v>PRC3</v>
          </cell>
          <cell r="K14927">
            <v>197.62603502141806</v>
          </cell>
        </row>
        <row r="14928">
          <cell r="H14928" t="str">
            <v>PRDO</v>
          </cell>
          <cell r="K14928">
            <v>306.569790612833</v>
          </cell>
        </row>
        <row r="14929">
          <cell r="H14929" t="str">
            <v>PRG1</v>
          </cell>
          <cell r="K14929">
            <v>251.26125598856214</v>
          </cell>
        </row>
        <row r="14930">
          <cell r="H14930" t="str">
            <v>PRG2</v>
          </cell>
          <cell r="K14930">
            <v>251.26125598856214</v>
          </cell>
        </row>
        <row r="14931">
          <cell r="H14931" t="str">
            <v>QUI1</v>
          </cell>
          <cell r="K14931">
            <v>178.36787817473919</v>
          </cell>
        </row>
        <row r="14932">
          <cell r="H14932" t="str">
            <v>SLVJ</v>
          </cell>
          <cell r="K14932">
            <v>335.55457081622814</v>
          </cell>
        </row>
        <row r="14933">
          <cell r="H14933" t="str">
            <v>SMI1</v>
          </cell>
          <cell r="K14933">
            <v>24.968158546747713</v>
          </cell>
        </row>
        <row r="14934">
          <cell r="H14934" t="str">
            <v>SNCR</v>
          </cell>
          <cell r="K14934">
            <v>207.77070809260636</v>
          </cell>
        </row>
        <row r="14935">
          <cell r="H14935" t="str">
            <v>SNFR</v>
          </cell>
          <cell r="K14935">
            <v>25.273334838312305</v>
          </cell>
        </row>
        <row r="14936">
          <cell r="H14936" t="str">
            <v>SOG1</v>
          </cell>
          <cell r="K14936">
            <v>197.7375149452773</v>
          </cell>
        </row>
        <row r="14937">
          <cell r="H14937" t="str">
            <v>TBQ3</v>
          </cell>
          <cell r="K14937">
            <v>305.81256323001929</v>
          </cell>
        </row>
        <row r="14938">
          <cell r="H14938" t="str">
            <v>TBQ4</v>
          </cell>
          <cell r="K14938">
            <v>292.11056578848354</v>
          </cell>
        </row>
        <row r="14939">
          <cell r="H14939" t="str">
            <v>TBST</v>
          </cell>
          <cell r="K14939">
            <v>209.04492362231716</v>
          </cell>
        </row>
        <row r="14940">
          <cell r="H14940" t="str">
            <v>TCBE</v>
          </cell>
          <cell r="K14940">
            <v>245.25583249026639</v>
          </cell>
        </row>
        <row r="14941">
          <cell r="H14941" t="str">
            <v>TCDT</v>
          </cell>
          <cell r="K14941">
            <v>183.3465715742916</v>
          </cell>
        </row>
        <row r="14942">
          <cell r="H14942" t="str">
            <v>TDR1</v>
          </cell>
          <cell r="K14942">
            <v>751.15451396146693</v>
          </cell>
        </row>
        <row r="14943">
          <cell r="H14943" t="str">
            <v>TEC1</v>
          </cell>
          <cell r="K14943">
            <v>427.43994715851608</v>
          </cell>
        </row>
        <row r="14944">
          <cell r="H14944" t="str">
            <v>TFL1</v>
          </cell>
          <cell r="K14944">
            <v>295.6946453405572</v>
          </cell>
        </row>
        <row r="14945">
          <cell r="H14945" t="str">
            <v>TFL4</v>
          </cell>
          <cell r="K14945">
            <v>309.62963582295873</v>
          </cell>
        </row>
        <row r="14946">
          <cell r="H14946" t="str">
            <v>TGJ1</v>
          </cell>
          <cell r="K14946">
            <v>173.77379051250108</v>
          </cell>
        </row>
        <row r="14947">
          <cell r="H14947" t="str">
            <v>TGJ2</v>
          </cell>
          <cell r="K14947">
            <v>208.64053019851787</v>
          </cell>
        </row>
        <row r="14948">
          <cell r="H14948" t="str">
            <v>TPUY</v>
          </cell>
          <cell r="K14948">
            <v>22.594472267975441</v>
          </cell>
        </row>
        <row r="14949">
          <cell r="H14949" t="str">
            <v>TRM1</v>
          </cell>
          <cell r="K14949">
            <v>279.62676521491937</v>
          </cell>
        </row>
        <row r="14950">
          <cell r="H14950" t="str">
            <v>TRN1</v>
          </cell>
          <cell r="K14950">
            <v>316.32428395051403</v>
          </cell>
        </row>
        <row r="14951">
          <cell r="H14951" t="str">
            <v>TSJ1</v>
          </cell>
          <cell r="K14951">
            <v>66.464330604862198</v>
          </cell>
        </row>
        <row r="14952">
          <cell r="H14952" t="str">
            <v>TSJ2</v>
          </cell>
          <cell r="K14952">
            <v>61.169034221549623</v>
          </cell>
        </row>
        <row r="14953">
          <cell r="H14953" t="str">
            <v>TSR1</v>
          </cell>
          <cell r="K14953">
            <v>387.15751277141874</v>
          </cell>
        </row>
        <row r="14954">
          <cell r="H14954" t="str">
            <v>TUJ1</v>
          </cell>
          <cell r="K14954">
            <v>24.491584659247678</v>
          </cell>
        </row>
        <row r="14955">
          <cell r="H14955" t="str">
            <v>TVL1</v>
          </cell>
          <cell r="K14955">
            <v>444.30295784107977</v>
          </cell>
        </row>
        <row r="14956">
          <cell r="H14956" t="str">
            <v>TYP1</v>
          </cell>
          <cell r="K14956">
            <v>23.438653991399324</v>
          </cell>
        </row>
        <row r="14957">
          <cell r="H14957" t="str">
            <v>TYP2</v>
          </cell>
          <cell r="K14957">
            <v>23.438659565395518</v>
          </cell>
        </row>
        <row r="14958">
          <cell r="H14958" t="str">
            <v>TYP3</v>
          </cell>
          <cell r="K14958">
            <v>23.438656778397419</v>
          </cell>
        </row>
        <row r="14959">
          <cell r="H14959" t="str">
            <v>TYP4</v>
          </cell>
          <cell r="K14959">
            <v>23.438665139391713</v>
          </cell>
        </row>
        <row r="14960">
          <cell r="H14960" t="str">
            <v>TYP5</v>
          </cell>
          <cell r="K14960">
            <v>23.438662352393614</v>
          </cell>
        </row>
        <row r="14961">
          <cell r="H14961" t="str">
            <v>URA1</v>
          </cell>
          <cell r="K14961">
            <v>198.43426446939736</v>
          </cell>
        </row>
        <row r="14962">
          <cell r="H14962" t="str">
            <v>ZPA2</v>
          </cell>
          <cell r="K14962">
            <v>90.782561195510695</v>
          </cell>
        </row>
        <row r="14963">
          <cell r="H14963" t="str">
            <v>ZPA3</v>
          </cell>
          <cell r="K14963">
            <v>83.874429013764981</v>
          </cell>
        </row>
        <row r="14964">
          <cell r="H14964" t="str">
            <v>ZPA4</v>
          </cell>
          <cell r="K14964">
            <v>87.057459539755129</v>
          </cell>
        </row>
        <row r="14965">
          <cell r="H14965" t="str">
            <v>ZPA5</v>
          </cell>
          <cell r="K14965">
            <v>81.96728621634351</v>
          </cell>
        </row>
        <row r="14966">
          <cell r="H14966" t="str">
            <v>2QEK</v>
          </cell>
          <cell r="K14966">
            <v>25.321271205571765</v>
          </cell>
        </row>
        <row r="14967">
          <cell r="H14967" t="str">
            <v>3DDT</v>
          </cell>
          <cell r="K14967">
            <v>23.71345200371228</v>
          </cell>
        </row>
        <row r="14968">
          <cell r="H14968" t="str">
            <v>3ENA</v>
          </cell>
          <cell r="K14968">
            <v>323.35978194526894</v>
          </cell>
        </row>
        <row r="14969">
          <cell r="H14969" t="str">
            <v>3HF5</v>
          </cell>
          <cell r="K14969">
            <v>22.642129935425253</v>
          </cell>
        </row>
        <row r="14970">
          <cell r="H14970" t="str">
            <v>3INX</v>
          </cell>
          <cell r="K14970">
            <v>22.57468458149043</v>
          </cell>
        </row>
        <row r="14971">
          <cell r="H14971" t="str">
            <v>3IQA</v>
          </cell>
          <cell r="K14971">
            <v>21.277336967578851</v>
          </cell>
        </row>
        <row r="14972">
          <cell r="H14972" t="str">
            <v>3IRX</v>
          </cell>
          <cell r="K14972">
            <v>21.277058267769203</v>
          </cell>
        </row>
        <row r="14973">
          <cell r="H14973" t="str">
            <v>3IZ6</v>
          </cell>
          <cell r="K14973">
            <v>21.738587939544438</v>
          </cell>
        </row>
        <row r="14974">
          <cell r="H14974" t="str">
            <v>4YCF</v>
          </cell>
          <cell r="K14974">
            <v>22.289295976410848</v>
          </cell>
        </row>
        <row r="14975">
          <cell r="H14975" t="str">
            <v>4YCN</v>
          </cell>
          <cell r="K14975">
            <v>66.115955842802151</v>
          </cell>
        </row>
        <row r="14976">
          <cell r="H14976" t="str">
            <v>ALBG</v>
          </cell>
          <cell r="K14976">
            <v>335.83327062587614</v>
          </cell>
        </row>
        <row r="14977">
          <cell r="H14977" t="str">
            <v>CHBG</v>
          </cell>
          <cell r="K14977">
            <v>25.320713805952469</v>
          </cell>
        </row>
        <row r="14978">
          <cell r="H14978" t="str">
            <v>CHVR</v>
          </cell>
          <cell r="K14978">
            <v>42.083671256852533</v>
          </cell>
        </row>
        <row r="14979">
          <cell r="H14979" t="str">
            <v>CLL1</v>
          </cell>
          <cell r="K14979">
            <v>22.295987558840498</v>
          </cell>
        </row>
        <row r="14980">
          <cell r="H14980" t="str">
            <v>CLMG</v>
          </cell>
          <cell r="K14980">
            <v>335.27587100658008</v>
          </cell>
        </row>
        <row r="14981">
          <cell r="H14981" t="str">
            <v>CTG1</v>
          </cell>
          <cell r="K14981">
            <v>390.1415516333202</v>
          </cell>
        </row>
        <row r="14982">
          <cell r="H14982" t="str">
            <v>CTG2</v>
          </cell>
          <cell r="K14982">
            <v>389.67974604873342</v>
          </cell>
        </row>
        <row r="14983">
          <cell r="H14983" t="str">
            <v>CTG3</v>
          </cell>
          <cell r="K14983">
            <v>407.835923848064</v>
          </cell>
        </row>
        <row r="14984">
          <cell r="H14984" t="str">
            <v>CUC1</v>
          </cell>
          <cell r="K14984">
            <v>26.721180349433819</v>
          </cell>
        </row>
        <row r="14985">
          <cell r="H14985" t="str">
            <v>DVS1</v>
          </cell>
          <cell r="K14985">
            <v>25.320992505762117</v>
          </cell>
        </row>
        <row r="14986">
          <cell r="H14986" t="str">
            <v>EPFV</v>
          </cell>
          <cell r="K14986">
            <v>23.713454790710376</v>
          </cell>
        </row>
        <row r="14987">
          <cell r="H14987" t="str">
            <v>ESMR</v>
          </cell>
          <cell r="K14987">
            <v>25.273340412308499</v>
          </cell>
        </row>
        <row r="14988">
          <cell r="H14988" t="str">
            <v>GE32</v>
          </cell>
          <cell r="K14988">
            <v>72.276615135071864</v>
          </cell>
        </row>
        <row r="14989">
          <cell r="H14989" t="str">
            <v>GEC3</v>
          </cell>
          <cell r="K14989">
            <v>70.928544155804332</v>
          </cell>
        </row>
        <row r="14990">
          <cell r="H14990" t="str">
            <v>GTPE</v>
          </cell>
          <cell r="K14990">
            <v>197.59816504045327</v>
          </cell>
        </row>
        <row r="14991">
          <cell r="H14991" t="str">
            <v>GTRG</v>
          </cell>
          <cell r="K14991">
            <v>207.91005799743039</v>
          </cell>
        </row>
        <row r="14992">
          <cell r="H14992" t="str">
            <v>GVIO</v>
          </cell>
          <cell r="K14992">
            <v>25.320716592950564</v>
          </cell>
        </row>
        <row r="14993">
          <cell r="H14993" t="str">
            <v>GYP3</v>
          </cell>
          <cell r="K14993">
            <v>22.642132722423348</v>
          </cell>
        </row>
        <row r="14994">
          <cell r="H14994" t="str">
            <v>GYPO</v>
          </cell>
          <cell r="K14994">
            <v>22.642135509421443</v>
          </cell>
        </row>
        <row r="14995">
          <cell r="H14995" t="str">
            <v>HMIN</v>
          </cell>
          <cell r="K14995">
            <v>22.295984771842399</v>
          </cell>
        </row>
        <row r="14996">
          <cell r="H14996" t="str">
            <v>HMLG</v>
          </cell>
          <cell r="K14996">
            <v>300.99579441987242</v>
          </cell>
        </row>
        <row r="14997">
          <cell r="H14997" t="str">
            <v>JAGS</v>
          </cell>
          <cell r="K14997">
            <v>207.91005799743039</v>
          </cell>
        </row>
        <row r="14998">
          <cell r="H14998" t="str">
            <v>LTSJ</v>
          </cell>
          <cell r="K14998">
            <v>249.43632963498686</v>
          </cell>
        </row>
        <row r="14999">
          <cell r="H14999" t="str">
            <v>MATA</v>
          </cell>
          <cell r="K14999">
            <v>21.738585152546339</v>
          </cell>
        </row>
        <row r="15000">
          <cell r="H15000" t="str">
            <v>MOY1</v>
          </cell>
          <cell r="K15000">
            <v>24.968161333745808</v>
          </cell>
        </row>
        <row r="15001">
          <cell r="H15001" t="str">
            <v>MRL1</v>
          </cell>
          <cell r="K15001">
            <v>344.99134637091043</v>
          </cell>
        </row>
        <row r="15002">
          <cell r="H15002" t="str">
            <v>PES1</v>
          </cell>
          <cell r="K15002">
            <v>24.491581872249579</v>
          </cell>
        </row>
        <row r="15003">
          <cell r="H15003" t="str">
            <v>PGUG</v>
          </cell>
          <cell r="K15003">
            <v>181.15487627121951</v>
          </cell>
        </row>
        <row r="15004">
          <cell r="H15004" t="str">
            <v>PLYS</v>
          </cell>
          <cell r="K15004">
            <v>25.273337625310401</v>
          </cell>
        </row>
        <row r="15005">
          <cell r="H15005" t="str">
            <v>PORO</v>
          </cell>
          <cell r="K15005">
            <v>21.459885342898311</v>
          </cell>
        </row>
        <row r="15006">
          <cell r="H15006" t="str">
            <v>PPA1</v>
          </cell>
          <cell r="K15006">
            <v>79.841921467967637</v>
          </cell>
        </row>
        <row r="15007">
          <cell r="H15007" t="str">
            <v>PPA2</v>
          </cell>
          <cell r="K15007">
            <v>73.231719382735662</v>
          </cell>
        </row>
        <row r="15008">
          <cell r="H15008" t="str">
            <v>PPA3</v>
          </cell>
          <cell r="K15008">
            <v>76.331697365450694</v>
          </cell>
        </row>
        <row r="15009">
          <cell r="H15009" t="str">
            <v>PPA4</v>
          </cell>
          <cell r="K15009">
            <v>66.597827813683594</v>
          </cell>
        </row>
        <row r="15010">
          <cell r="H15010" t="str">
            <v>PRC2</v>
          </cell>
          <cell r="K15010">
            <v>209.16420714084651</v>
          </cell>
        </row>
        <row r="15011">
          <cell r="H15011" t="str">
            <v>PRC3</v>
          </cell>
          <cell r="K15011">
            <v>197.62603502141806</v>
          </cell>
        </row>
        <row r="15012">
          <cell r="H15012" t="str">
            <v>PRDO</v>
          </cell>
          <cell r="K15012">
            <v>306.569790612833</v>
          </cell>
        </row>
        <row r="15013">
          <cell r="H15013" t="str">
            <v>PRG1</v>
          </cell>
          <cell r="K15013">
            <v>251.26125598856214</v>
          </cell>
        </row>
        <row r="15014">
          <cell r="H15014" t="str">
            <v>PRG2</v>
          </cell>
          <cell r="K15014">
            <v>251.26125598856214</v>
          </cell>
        </row>
        <row r="15015">
          <cell r="H15015" t="str">
            <v>QUI1</v>
          </cell>
          <cell r="K15015">
            <v>178.36787817473919</v>
          </cell>
        </row>
        <row r="15016">
          <cell r="H15016" t="str">
            <v>SLVJ</v>
          </cell>
          <cell r="K15016">
            <v>335.55457081622814</v>
          </cell>
        </row>
        <row r="15017">
          <cell r="H15017" t="str">
            <v>SMI1</v>
          </cell>
          <cell r="K15017">
            <v>24.968158546747713</v>
          </cell>
        </row>
        <row r="15018">
          <cell r="H15018" t="str">
            <v>SNCR</v>
          </cell>
          <cell r="K15018">
            <v>207.77070809260636</v>
          </cell>
        </row>
        <row r="15019">
          <cell r="H15019" t="str">
            <v>SNFR</v>
          </cell>
          <cell r="K15019">
            <v>25.273334838312305</v>
          </cell>
        </row>
        <row r="15020">
          <cell r="H15020" t="str">
            <v>SOG1</v>
          </cell>
          <cell r="K15020">
            <v>197.7375149452773</v>
          </cell>
        </row>
        <row r="15021">
          <cell r="H15021" t="str">
            <v>TBQ3</v>
          </cell>
          <cell r="K15021">
            <v>305.81256323001929</v>
          </cell>
        </row>
        <row r="15022">
          <cell r="H15022" t="str">
            <v>TBQ4</v>
          </cell>
          <cell r="K15022">
            <v>292.11056578848354</v>
          </cell>
        </row>
        <row r="15023">
          <cell r="H15023" t="str">
            <v>TBST</v>
          </cell>
          <cell r="K15023">
            <v>209.04492362231716</v>
          </cell>
        </row>
        <row r="15024">
          <cell r="H15024" t="str">
            <v>TCBE</v>
          </cell>
          <cell r="K15024">
            <v>245.25583249026639</v>
          </cell>
        </row>
        <row r="15025">
          <cell r="H15025" t="str">
            <v>TCDT</v>
          </cell>
          <cell r="K15025">
            <v>183.3465715742916</v>
          </cell>
        </row>
        <row r="15026">
          <cell r="H15026" t="str">
            <v>TDR1</v>
          </cell>
          <cell r="K15026">
            <v>751.15451396146693</v>
          </cell>
        </row>
        <row r="15027">
          <cell r="H15027" t="str">
            <v>TEC1</v>
          </cell>
          <cell r="K15027">
            <v>427.43994715851608</v>
          </cell>
        </row>
        <row r="15028">
          <cell r="H15028" t="str">
            <v>TFL1</v>
          </cell>
          <cell r="K15028">
            <v>295.6946453405572</v>
          </cell>
        </row>
        <row r="15029">
          <cell r="H15029" t="str">
            <v>TFL4</v>
          </cell>
          <cell r="K15029">
            <v>309.62963582295873</v>
          </cell>
        </row>
        <row r="15030">
          <cell r="H15030" t="str">
            <v>TGJ1</v>
          </cell>
          <cell r="K15030">
            <v>173.77379051250108</v>
          </cell>
        </row>
        <row r="15031">
          <cell r="H15031" t="str">
            <v>TGJ2</v>
          </cell>
          <cell r="K15031">
            <v>208.64053019851787</v>
          </cell>
        </row>
        <row r="15032">
          <cell r="H15032" t="str">
            <v>TPUY</v>
          </cell>
          <cell r="K15032">
            <v>22.594472267975441</v>
          </cell>
        </row>
        <row r="15033">
          <cell r="H15033" t="str">
            <v>TRM1</v>
          </cell>
          <cell r="K15033">
            <v>279.62676521491937</v>
          </cell>
        </row>
        <row r="15034">
          <cell r="H15034" t="str">
            <v>TRN1</v>
          </cell>
          <cell r="K15034">
            <v>316.32428395051403</v>
          </cell>
        </row>
        <row r="15035">
          <cell r="H15035" t="str">
            <v>TSJ1</v>
          </cell>
          <cell r="K15035">
            <v>66.464330604862198</v>
          </cell>
        </row>
        <row r="15036">
          <cell r="H15036" t="str">
            <v>TSJ2</v>
          </cell>
          <cell r="K15036">
            <v>61.169034221549623</v>
          </cell>
        </row>
        <row r="15037">
          <cell r="H15037" t="str">
            <v>TSR1</v>
          </cell>
          <cell r="K15037">
            <v>387.15751277141874</v>
          </cell>
        </row>
        <row r="15038">
          <cell r="H15038" t="str">
            <v>TUJ1</v>
          </cell>
          <cell r="K15038">
            <v>24.491584659247678</v>
          </cell>
        </row>
        <row r="15039">
          <cell r="H15039" t="str">
            <v>TVL1</v>
          </cell>
          <cell r="K15039">
            <v>444.30295784107977</v>
          </cell>
        </row>
        <row r="15040">
          <cell r="H15040" t="str">
            <v>TYP1</v>
          </cell>
          <cell r="K15040">
            <v>23.438653991399324</v>
          </cell>
        </row>
        <row r="15041">
          <cell r="H15041" t="str">
            <v>TYP2</v>
          </cell>
          <cell r="K15041">
            <v>23.438659565395518</v>
          </cell>
        </row>
        <row r="15042">
          <cell r="H15042" t="str">
            <v>TYP3</v>
          </cell>
          <cell r="K15042">
            <v>23.438656778397419</v>
          </cell>
        </row>
        <row r="15043">
          <cell r="H15043" t="str">
            <v>TYP4</v>
          </cell>
          <cell r="K15043">
            <v>23.438665139391713</v>
          </cell>
        </row>
        <row r="15044">
          <cell r="H15044" t="str">
            <v>TYP5</v>
          </cell>
          <cell r="K15044">
            <v>23.438662352393614</v>
          </cell>
        </row>
        <row r="15045">
          <cell r="H15045" t="str">
            <v>URA1</v>
          </cell>
          <cell r="K15045">
            <v>198.43426446939736</v>
          </cell>
        </row>
        <row r="15046">
          <cell r="H15046" t="str">
            <v>ZPA2</v>
          </cell>
          <cell r="K15046">
            <v>90.782561195510695</v>
          </cell>
        </row>
        <row r="15047">
          <cell r="H15047" t="str">
            <v>ZPA3</v>
          </cell>
          <cell r="K15047">
            <v>83.874429013764981</v>
          </cell>
        </row>
        <row r="15048">
          <cell r="H15048" t="str">
            <v>ZPA4</v>
          </cell>
          <cell r="K15048">
            <v>87.057459539755129</v>
          </cell>
        </row>
        <row r="15049">
          <cell r="H15049" t="str">
            <v>ZPA5</v>
          </cell>
          <cell r="K15049">
            <v>81.96728621634351</v>
          </cell>
        </row>
        <row r="15050">
          <cell r="H15050" t="str">
            <v>2QEK</v>
          </cell>
          <cell r="K15050">
            <v>25.321271205571765</v>
          </cell>
        </row>
        <row r="15051">
          <cell r="H15051" t="str">
            <v>3DDT</v>
          </cell>
          <cell r="K15051">
            <v>23.71345200371228</v>
          </cell>
        </row>
        <row r="15052">
          <cell r="H15052" t="str">
            <v>3ENA</v>
          </cell>
          <cell r="K15052">
            <v>323.35978194526894</v>
          </cell>
        </row>
        <row r="15053">
          <cell r="H15053" t="str">
            <v>3HF5</v>
          </cell>
          <cell r="K15053">
            <v>22.642129935425253</v>
          </cell>
        </row>
        <row r="15054">
          <cell r="H15054" t="str">
            <v>3INX</v>
          </cell>
          <cell r="K15054">
            <v>22.57468458149043</v>
          </cell>
        </row>
        <row r="15055">
          <cell r="H15055" t="str">
            <v>3IQA</v>
          </cell>
          <cell r="K15055">
            <v>21.277336967578851</v>
          </cell>
        </row>
        <row r="15056">
          <cell r="H15056" t="str">
            <v>3IRX</v>
          </cell>
          <cell r="K15056">
            <v>21.277058267769203</v>
          </cell>
        </row>
        <row r="15057">
          <cell r="H15057" t="str">
            <v>3IZ6</v>
          </cell>
          <cell r="K15057">
            <v>21.738587939544438</v>
          </cell>
        </row>
        <row r="15058">
          <cell r="H15058" t="str">
            <v>4YCF</v>
          </cell>
          <cell r="K15058">
            <v>22.289295976410848</v>
          </cell>
        </row>
        <row r="15059">
          <cell r="H15059" t="str">
            <v>4YCN</v>
          </cell>
          <cell r="K15059">
            <v>66.115955842802151</v>
          </cell>
        </row>
        <row r="15060">
          <cell r="H15060" t="str">
            <v>ALBG</v>
          </cell>
          <cell r="K15060">
            <v>335.83327062587614</v>
          </cell>
        </row>
        <row r="15061">
          <cell r="H15061" t="str">
            <v>CHBG</v>
          </cell>
          <cell r="K15061">
            <v>25.320713805952469</v>
          </cell>
        </row>
        <row r="15062">
          <cell r="H15062" t="str">
            <v>CHVR</v>
          </cell>
          <cell r="K15062">
            <v>42.083671256852533</v>
          </cell>
        </row>
        <row r="15063">
          <cell r="H15063" t="str">
            <v>CLL1</v>
          </cell>
          <cell r="K15063">
            <v>22.295987558840498</v>
          </cell>
        </row>
        <row r="15064">
          <cell r="H15064" t="str">
            <v>CLMG</v>
          </cell>
          <cell r="K15064">
            <v>335.27587100658008</v>
          </cell>
        </row>
        <row r="15065">
          <cell r="H15065" t="str">
            <v>CTG1</v>
          </cell>
          <cell r="K15065">
            <v>390.1415516333202</v>
          </cell>
        </row>
        <row r="15066">
          <cell r="H15066" t="str">
            <v>CTG2</v>
          </cell>
          <cell r="K15066">
            <v>389.67974604873342</v>
          </cell>
        </row>
        <row r="15067">
          <cell r="H15067" t="str">
            <v>CTG3</v>
          </cell>
          <cell r="K15067">
            <v>407.835923848064</v>
          </cell>
        </row>
        <row r="15068">
          <cell r="H15068" t="str">
            <v>CUC1</v>
          </cell>
          <cell r="K15068">
            <v>26.721180349433819</v>
          </cell>
        </row>
        <row r="15069">
          <cell r="H15069" t="str">
            <v>DVS1</v>
          </cell>
          <cell r="K15069">
            <v>25.320992505762117</v>
          </cell>
        </row>
        <row r="15070">
          <cell r="H15070" t="str">
            <v>EPFV</v>
          </cell>
          <cell r="K15070">
            <v>23.713454790710376</v>
          </cell>
        </row>
        <row r="15071">
          <cell r="H15071" t="str">
            <v>ESMR</v>
          </cell>
          <cell r="K15071">
            <v>25.273340412308499</v>
          </cell>
        </row>
        <row r="15072">
          <cell r="H15072" t="str">
            <v>GE32</v>
          </cell>
          <cell r="K15072">
            <v>72.276615135071864</v>
          </cell>
        </row>
        <row r="15073">
          <cell r="H15073" t="str">
            <v>GEC3</v>
          </cell>
          <cell r="K15073">
            <v>70.928544155804332</v>
          </cell>
        </row>
        <row r="15074">
          <cell r="H15074" t="str">
            <v>GTPE</v>
          </cell>
          <cell r="K15074">
            <v>197.59816504045327</v>
          </cell>
        </row>
        <row r="15075">
          <cell r="H15075" t="str">
            <v>GTRG</v>
          </cell>
          <cell r="K15075">
            <v>207.91005799743039</v>
          </cell>
        </row>
        <row r="15076">
          <cell r="H15076" t="str">
            <v>GVIO</v>
          </cell>
          <cell r="K15076">
            <v>25.320716592950564</v>
          </cell>
        </row>
        <row r="15077">
          <cell r="H15077" t="str">
            <v>GYP3</v>
          </cell>
          <cell r="K15077">
            <v>22.642132722423348</v>
          </cell>
        </row>
        <row r="15078">
          <cell r="H15078" t="str">
            <v>GYPO</v>
          </cell>
          <cell r="K15078">
            <v>22.642135509421443</v>
          </cell>
        </row>
        <row r="15079">
          <cell r="H15079" t="str">
            <v>HMIN</v>
          </cell>
          <cell r="K15079">
            <v>22.295984771842399</v>
          </cell>
        </row>
        <row r="15080">
          <cell r="H15080" t="str">
            <v>HMLG</v>
          </cell>
          <cell r="K15080">
            <v>300.99579441987242</v>
          </cell>
        </row>
        <row r="15081">
          <cell r="H15081" t="str">
            <v>JAGS</v>
          </cell>
          <cell r="K15081">
            <v>207.91005799743039</v>
          </cell>
        </row>
        <row r="15082">
          <cell r="H15082" t="str">
            <v>LTSJ</v>
          </cell>
          <cell r="K15082">
            <v>249.43632963498686</v>
          </cell>
        </row>
        <row r="15083">
          <cell r="H15083" t="str">
            <v>MATA</v>
          </cell>
          <cell r="K15083">
            <v>21.738585152546339</v>
          </cell>
        </row>
        <row r="15084">
          <cell r="H15084" t="str">
            <v>MOY1</v>
          </cell>
          <cell r="K15084">
            <v>24.968161333745808</v>
          </cell>
        </row>
        <row r="15085">
          <cell r="H15085" t="str">
            <v>MRL1</v>
          </cell>
          <cell r="K15085">
            <v>344.99134637091043</v>
          </cell>
        </row>
        <row r="15086">
          <cell r="H15086" t="str">
            <v>PES1</v>
          </cell>
          <cell r="K15086">
            <v>24.491581872249579</v>
          </cell>
        </row>
        <row r="15087">
          <cell r="H15087" t="str">
            <v>PGUG</v>
          </cell>
          <cell r="K15087">
            <v>181.15487627121951</v>
          </cell>
        </row>
        <row r="15088">
          <cell r="H15088" t="str">
            <v>PLYS</v>
          </cell>
          <cell r="K15088">
            <v>25.273337625310401</v>
          </cell>
        </row>
        <row r="15089">
          <cell r="H15089" t="str">
            <v>PORO</v>
          </cell>
          <cell r="K15089">
            <v>21.459885342898311</v>
          </cell>
        </row>
        <row r="15090">
          <cell r="H15090" t="str">
            <v>PPA1</v>
          </cell>
          <cell r="K15090">
            <v>79.841921467967637</v>
          </cell>
        </row>
        <row r="15091">
          <cell r="H15091" t="str">
            <v>PPA2</v>
          </cell>
          <cell r="K15091">
            <v>73.231719382735662</v>
          </cell>
        </row>
        <row r="15092">
          <cell r="H15092" t="str">
            <v>PPA3</v>
          </cell>
          <cell r="K15092">
            <v>76.331697365450694</v>
          </cell>
        </row>
        <row r="15093">
          <cell r="H15093" t="str">
            <v>PPA4</v>
          </cell>
          <cell r="K15093">
            <v>66.597827813683594</v>
          </cell>
        </row>
        <row r="15094">
          <cell r="H15094" t="str">
            <v>PRC2</v>
          </cell>
          <cell r="K15094">
            <v>209.16420714084651</v>
          </cell>
        </row>
        <row r="15095">
          <cell r="H15095" t="str">
            <v>PRC3</v>
          </cell>
          <cell r="K15095">
            <v>197.62603502141806</v>
          </cell>
        </row>
        <row r="15096">
          <cell r="H15096" t="str">
            <v>PRDO</v>
          </cell>
          <cell r="K15096">
            <v>306.569790612833</v>
          </cell>
        </row>
        <row r="15097">
          <cell r="H15097" t="str">
            <v>PRG1</v>
          </cell>
          <cell r="K15097">
            <v>251.26125598856214</v>
          </cell>
        </row>
        <row r="15098">
          <cell r="H15098" t="str">
            <v>PRG2</v>
          </cell>
          <cell r="K15098">
            <v>251.26125598856214</v>
          </cell>
        </row>
        <row r="15099">
          <cell r="H15099" t="str">
            <v>QUI1</v>
          </cell>
          <cell r="K15099">
            <v>178.36787817473919</v>
          </cell>
        </row>
        <row r="15100">
          <cell r="H15100" t="str">
            <v>SLVJ</v>
          </cell>
          <cell r="K15100">
            <v>335.55457081622814</v>
          </cell>
        </row>
        <row r="15101">
          <cell r="H15101" t="str">
            <v>SMI1</v>
          </cell>
          <cell r="K15101">
            <v>24.968158546747713</v>
          </cell>
        </row>
        <row r="15102">
          <cell r="H15102" t="str">
            <v>SNCR</v>
          </cell>
          <cell r="K15102">
            <v>207.77070809260636</v>
          </cell>
        </row>
        <row r="15103">
          <cell r="H15103" t="str">
            <v>SNFR</v>
          </cell>
          <cell r="K15103">
            <v>25.273334838312305</v>
          </cell>
        </row>
        <row r="15104">
          <cell r="H15104" t="str">
            <v>SOG1</v>
          </cell>
          <cell r="K15104">
            <v>197.7375149452773</v>
          </cell>
        </row>
        <row r="15105">
          <cell r="H15105" t="str">
            <v>TBQ3</v>
          </cell>
          <cell r="K15105">
            <v>305.81256323001929</v>
          </cell>
        </row>
        <row r="15106">
          <cell r="H15106" t="str">
            <v>TBQ4</v>
          </cell>
          <cell r="K15106">
            <v>292.11056578848354</v>
          </cell>
        </row>
        <row r="15107">
          <cell r="H15107" t="str">
            <v>TBST</v>
          </cell>
          <cell r="K15107">
            <v>209.04492362231716</v>
          </cell>
        </row>
        <row r="15108">
          <cell r="H15108" t="str">
            <v>TCBE</v>
          </cell>
          <cell r="K15108">
            <v>245.25583249026639</v>
          </cell>
        </row>
        <row r="15109">
          <cell r="H15109" t="str">
            <v>TCDT</v>
          </cell>
          <cell r="K15109">
            <v>183.3465715742916</v>
          </cell>
        </row>
        <row r="15110">
          <cell r="H15110" t="str">
            <v>TDR1</v>
          </cell>
          <cell r="K15110">
            <v>751.15451396146693</v>
          </cell>
        </row>
        <row r="15111">
          <cell r="H15111" t="str">
            <v>TEC1</v>
          </cell>
          <cell r="K15111">
            <v>427.43994715851608</v>
          </cell>
        </row>
        <row r="15112">
          <cell r="H15112" t="str">
            <v>TFL1</v>
          </cell>
          <cell r="K15112">
            <v>295.6946453405572</v>
          </cell>
        </row>
        <row r="15113">
          <cell r="H15113" t="str">
            <v>TFL4</v>
          </cell>
          <cell r="K15113">
            <v>309.62963582295873</v>
          </cell>
        </row>
        <row r="15114">
          <cell r="H15114" t="str">
            <v>TGJ1</v>
          </cell>
          <cell r="K15114">
            <v>173.77379051250108</v>
          </cell>
        </row>
        <row r="15115">
          <cell r="H15115" t="str">
            <v>TGJ2</v>
          </cell>
          <cell r="K15115">
            <v>208.64053019851787</v>
          </cell>
        </row>
        <row r="15116">
          <cell r="H15116" t="str">
            <v>TPUY</v>
          </cell>
          <cell r="K15116">
            <v>22.594472267975441</v>
          </cell>
        </row>
        <row r="15117">
          <cell r="H15117" t="str">
            <v>TRM1</v>
          </cell>
          <cell r="K15117">
            <v>279.62676521491937</v>
          </cell>
        </row>
        <row r="15118">
          <cell r="H15118" t="str">
            <v>TRN1</v>
          </cell>
          <cell r="K15118">
            <v>316.32428395051403</v>
          </cell>
        </row>
        <row r="15119">
          <cell r="H15119" t="str">
            <v>TSJ1</v>
          </cell>
          <cell r="K15119">
            <v>66.464330604862198</v>
          </cell>
        </row>
        <row r="15120">
          <cell r="H15120" t="str">
            <v>TSJ2</v>
          </cell>
          <cell r="K15120">
            <v>61.169034221549623</v>
          </cell>
        </row>
        <row r="15121">
          <cell r="H15121" t="str">
            <v>TSR1</v>
          </cell>
          <cell r="K15121">
            <v>387.15751277141874</v>
          </cell>
        </row>
        <row r="15122">
          <cell r="H15122" t="str">
            <v>TUJ1</v>
          </cell>
          <cell r="K15122">
            <v>24.491584659247678</v>
          </cell>
        </row>
        <row r="15123">
          <cell r="H15123" t="str">
            <v>TVL1</v>
          </cell>
          <cell r="K15123">
            <v>444.30295784107977</v>
          </cell>
        </row>
        <row r="15124">
          <cell r="H15124" t="str">
            <v>TYP1</v>
          </cell>
          <cell r="K15124">
            <v>23.438653991399324</v>
          </cell>
        </row>
        <row r="15125">
          <cell r="H15125" t="str">
            <v>TYP2</v>
          </cell>
          <cell r="K15125">
            <v>23.438659565395518</v>
          </cell>
        </row>
        <row r="15126">
          <cell r="H15126" t="str">
            <v>TYP3</v>
          </cell>
          <cell r="K15126">
            <v>23.438656778397419</v>
          </cell>
        </row>
        <row r="15127">
          <cell r="H15127" t="str">
            <v>TYP4</v>
          </cell>
          <cell r="K15127">
            <v>23.438665139391713</v>
          </cell>
        </row>
        <row r="15128">
          <cell r="H15128" t="str">
            <v>TYP5</v>
          </cell>
          <cell r="K15128">
            <v>23.438662352393614</v>
          </cell>
        </row>
        <row r="15129">
          <cell r="H15129" t="str">
            <v>URA1</v>
          </cell>
          <cell r="K15129">
            <v>198.43426446939736</v>
          </cell>
        </row>
        <row r="15130">
          <cell r="H15130" t="str">
            <v>ZPA2</v>
          </cell>
          <cell r="K15130">
            <v>90.782561195510695</v>
          </cell>
        </row>
        <row r="15131">
          <cell r="H15131" t="str">
            <v>ZPA3</v>
          </cell>
          <cell r="K15131">
            <v>83.874429013764981</v>
          </cell>
        </row>
        <row r="15132">
          <cell r="H15132" t="str">
            <v>ZPA4</v>
          </cell>
          <cell r="K15132">
            <v>87.057459539755129</v>
          </cell>
        </row>
        <row r="15133">
          <cell r="H15133" t="str">
            <v>ZPA5</v>
          </cell>
          <cell r="K15133">
            <v>81.96728621634351</v>
          </cell>
        </row>
        <row r="15134">
          <cell r="H15134" t="str">
            <v>2QEK</v>
          </cell>
          <cell r="K15134">
            <v>25.321271205571765</v>
          </cell>
        </row>
        <row r="15135">
          <cell r="H15135" t="str">
            <v>3DDT</v>
          </cell>
          <cell r="K15135">
            <v>23.71345200371228</v>
          </cell>
        </row>
        <row r="15136">
          <cell r="H15136" t="str">
            <v>3ENA</v>
          </cell>
          <cell r="K15136">
            <v>323.35978194526894</v>
          </cell>
        </row>
        <row r="15137">
          <cell r="H15137" t="str">
            <v>3HF5</v>
          </cell>
          <cell r="K15137">
            <v>22.642129935425253</v>
          </cell>
        </row>
        <row r="15138">
          <cell r="H15138" t="str">
            <v>3INX</v>
          </cell>
          <cell r="K15138">
            <v>22.57468458149043</v>
          </cell>
        </row>
        <row r="15139">
          <cell r="H15139" t="str">
            <v>3IQA</v>
          </cell>
          <cell r="K15139">
            <v>21.277336967578851</v>
          </cell>
        </row>
        <row r="15140">
          <cell r="H15140" t="str">
            <v>3IRX</v>
          </cell>
          <cell r="K15140">
            <v>21.277058267769203</v>
          </cell>
        </row>
        <row r="15141">
          <cell r="H15141" t="str">
            <v>3IZ6</v>
          </cell>
          <cell r="K15141">
            <v>21.738587939544438</v>
          </cell>
        </row>
        <row r="15142">
          <cell r="H15142" t="str">
            <v>4YCF</v>
          </cell>
          <cell r="K15142">
            <v>22.289295976410848</v>
          </cell>
        </row>
        <row r="15143">
          <cell r="H15143" t="str">
            <v>4YCN</v>
          </cell>
          <cell r="K15143">
            <v>66.115955842802151</v>
          </cell>
        </row>
        <row r="15144">
          <cell r="H15144" t="str">
            <v>ALBG</v>
          </cell>
          <cell r="K15144">
            <v>335.83327062587614</v>
          </cell>
        </row>
        <row r="15145">
          <cell r="H15145" t="str">
            <v>CHBG</v>
          </cell>
          <cell r="K15145">
            <v>25.320713805952469</v>
          </cell>
        </row>
        <row r="15146">
          <cell r="H15146" t="str">
            <v>CHVR</v>
          </cell>
          <cell r="K15146">
            <v>42.083671256852533</v>
          </cell>
        </row>
        <row r="15147">
          <cell r="H15147" t="str">
            <v>CLL1</v>
          </cell>
          <cell r="K15147">
            <v>22.295987558840498</v>
          </cell>
        </row>
        <row r="15148">
          <cell r="H15148" t="str">
            <v>CLMG</v>
          </cell>
          <cell r="K15148">
            <v>335.27587100658008</v>
          </cell>
        </row>
        <row r="15149">
          <cell r="H15149" t="str">
            <v>CTG1</v>
          </cell>
          <cell r="K15149">
            <v>390.1415516333202</v>
          </cell>
        </row>
        <row r="15150">
          <cell r="H15150" t="str">
            <v>CTG2</v>
          </cell>
          <cell r="K15150">
            <v>389.67974604873342</v>
          </cell>
        </row>
        <row r="15151">
          <cell r="H15151" t="str">
            <v>CTG3</v>
          </cell>
          <cell r="K15151">
            <v>407.835923848064</v>
          </cell>
        </row>
        <row r="15152">
          <cell r="H15152" t="str">
            <v>CUC1</v>
          </cell>
          <cell r="K15152">
            <v>26.721180349433819</v>
          </cell>
        </row>
        <row r="15153">
          <cell r="H15153" t="str">
            <v>DVS1</v>
          </cell>
          <cell r="K15153">
            <v>25.320992505762117</v>
          </cell>
        </row>
        <row r="15154">
          <cell r="H15154" t="str">
            <v>EPFV</v>
          </cell>
          <cell r="K15154">
            <v>23.713454790710376</v>
          </cell>
        </row>
        <row r="15155">
          <cell r="H15155" t="str">
            <v>ESMR</v>
          </cell>
          <cell r="K15155">
            <v>25.273340412308499</v>
          </cell>
        </row>
        <row r="15156">
          <cell r="H15156" t="str">
            <v>GE32</v>
          </cell>
          <cell r="K15156">
            <v>72.276615135071864</v>
          </cell>
        </row>
        <row r="15157">
          <cell r="H15157" t="str">
            <v>GEC3</v>
          </cell>
          <cell r="K15157">
            <v>70.928544155804332</v>
          </cell>
        </row>
        <row r="15158">
          <cell r="H15158" t="str">
            <v>GTPE</v>
          </cell>
          <cell r="K15158">
            <v>197.59816504045327</v>
          </cell>
        </row>
        <row r="15159">
          <cell r="H15159" t="str">
            <v>GTRG</v>
          </cell>
          <cell r="K15159">
            <v>207.91005799743039</v>
          </cell>
        </row>
        <row r="15160">
          <cell r="H15160" t="str">
            <v>GVIO</v>
          </cell>
          <cell r="K15160">
            <v>25.320716592950564</v>
          </cell>
        </row>
        <row r="15161">
          <cell r="H15161" t="str">
            <v>GYP3</v>
          </cell>
          <cell r="K15161">
            <v>22.642132722423348</v>
          </cell>
        </row>
        <row r="15162">
          <cell r="H15162" t="str">
            <v>GYPO</v>
          </cell>
          <cell r="K15162">
            <v>22.642135509421443</v>
          </cell>
        </row>
        <row r="15163">
          <cell r="H15163" t="str">
            <v>HMIN</v>
          </cell>
          <cell r="K15163">
            <v>22.295984771842399</v>
          </cell>
        </row>
        <row r="15164">
          <cell r="H15164" t="str">
            <v>HMLG</v>
          </cell>
          <cell r="K15164">
            <v>300.99579441987242</v>
          </cell>
        </row>
        <row r="15165">
          <cell r="H15165" t="str">
            <v>JAGS</v>
          </cell>
          <cell r="K15165">
            <v>207.91005799743039</v>
          </cell>
        </row>
        <row r="15166">
          <cell r="H15166" t="str">
            <v>LTSJ</v>
          </cell>
          <cell r="K15166">
            <v>249.43632963498686</v>
          </cell>
        </row>
        <row r="15167">
          <cell r="H15167" t="str">
            <v>MATA</v>
          </cell>
          <cell r="K15167">
            <v>21.738585152546339</v>
          </cell>
        </row>
        <row r="15168">
          <cell r="H15168" t="str">
            <v>MOY1</v>
          </cell>
          <cell r="K15168">
            <v>24.968161333745808</v>
          </cell>
        </row>
        <row r="15169">
          <cell r="H15169" t="str">
            <v>MRL1</v>
          </cell>
          <cell r="K15169">
            <v>344.99134637091043</v>
          </cell>
        </row>
        <row r="15170">
          <cell r="H15170" t="str">
            <v>PES1</v>
          </cell>
          <cell r="K15170">
            <v>24.491581872249579</v>
          </cell>
        </row>
        <row r="15171">
          <cell r="H15171" t="str">
            <v>PGUG</v>
          </cell>
          <cell r="K15171">
            <v>181.15487627121951</v>
          </cell>
        </row>
        <row r="15172">
          <cell r="H15172" t="str">
            <v>PLYS</v>
          </cell>
          <cell r="K15172">
            <v>25.273337625310401</v>
          </cell>
        </row>
        <row r="15173">
          <cell r="H15173" t="str">
            <v>PORO</v>
          </cell>
          <cell r="K15173">
            <v>21.459885342898311</v>
          </cell>
        </row>
        <row r="15174">
          <cell r="H15174" t="str">
            <v>PPA1</v>
          </cell>
          <cell r="K15174">
            <v>79.841921467967637</v>
          </cell>
        </row>
        <row r="15175">
          <cell r="H15175" t="str">
            <v>PPA2</v>
          </cell>
          <cell r="K15175">
            <v>73.231719382735662</v>
          </cell>
        </row>
        <row r="15176">
          <cell r="H15176" t="str">
            <v>PPA3</v>
          </cell>
          <cell r="K15176">
            <v>76.331697365450694</v>
          </cell>
        </row>
        <row r="15177">
          <cell r="H15177" t="str">
            <v>PPA4</v>
          </cell>
          <cell r="K15177">
            <v>66.597827813683594</v>
          </cell>
        </row>
        <row r="15178">
          <cell r="H15178" t="str">
            <v>PRC2</v>
          </cell>
          <cell r="K15178">
            <v>209.16420714084651</v>
          </cell>
        </row>
        <row r="15179">
          <cell r="H15179" t="str">
            <v>PRC3</v>
          </cell>
          <cell r="K15179">
            <v>197.62603502141806</v>
          </cell>
        </row>
        <row r="15180">
          <cell r="H15180" t="str">
            <v>PRDO</v>
          </cell>
          <cell r="K15180">
            <v>306.569790612833</v>
          </cell>
        </row>
        <row r="15181">
          <cell r="H15181" t="str">
            <v>PRG1</v>
          </cell>
          <cell r="K15181">
            <v>251.26125598856214</v>
          </cell>
        </row>
        <row r="15182">
          <cell r="H15182" t="str">
            <v>PRG2</v>
          </cell>
          <cell r="K15182">
            <v>251.26125598856214</v>
          </cell>
        </row>
        <row r="15183">
          <cell r="H15183" t="str">
            <v>QUI1</v>
          </cell>
          <cell r="K15183">
            <v>178.36787817473919</v>
          </cell>
        </row>
        <row r="15184">
          <cell r="H15184" t="str">
            <v>SLVJ</v>
          </cell>
          <cell r="K15184">
            <v>335.55457081622814</v>
          </cell>
        </row>
        <row r="15185">
          <cell r="H15185" t="str">
            <v>SMI1</v>
          </cell>
          <cell r="K15185">
            <v>24.968158546747713</v>
          </cell>
        </row>
        <row r="15186">
          <cell r="H15186" t="str">
            <v>SNCR</v>
          </cell>
          <cell r="K15186">
            <v>207.77070809260636</v>
          </cell>
        </row>
        <row r="15187">
          <cell r="H15187" t="str">
            <v>SNFR</v>
          </cell>
          <cell r="K15187">
            <v>25.273334838312305</v>
          </cell>
        </row>
        <row r="15188">
          <cell r="H15188" t="str">
            <v>SOG1</v>
          </cell>
          <cell r="K15188">
            <v>197.7375149452773</v>
          </cell>
        </row>
        <row r="15189">
          <cell r="H15189" t="str">
            <v>TBQ3</v>
          </cell>
          <cell r="K15189">
            <v>305.81256323001929</v>
          </cell>
        </row>
        <row r="15190">
          <cell r="H15190" t="str">
            <v>TBQ4</v>
          </cell>
          <cell r="K15190">
            <v>292.11056578848354</v>
          </cell>
        </row>
        <row r="15191">
          <cell r="H15191" t="str">
            <v>TBST</v>
          </cell>
          <cell r="K15191">
            <v>209.04492362231716</v>
          </cell>
        </row>
        <row r="15192">
          <cell r="H15192" t="str">
            <v>TCBE</v>
          </cell>
          <cell r="K15192">
            <v>245.25583249026639</v>
          </cell>
        </row>
        <row r="15193">
          <cell r="H15193" t="str">
            <v>TCDT</v>
          </cell>
          <cell r="K15193">
            <v>183.3465715742916</v>
          </cell>
        </row>
        <row r="15194">
          <cell r="H15194" t="str">
            <v>TDR1</v>
          </cell>
          <cell r="K15194">
            <v>751.15451396146693</v>
          </cell>
        </row>
        <row r="15195">
          <cell r="H15195" t="str">
            <v>TEC1</v>
          </cell>
          <cell r="K15195">
            <v>427.43994715851608</v>
          </cell>
        </row>
        <row r="15196">
          <cell r="H15196" t="str">
            <v>TFL1</v>
          </cell>
          <cell r="K15196">
            <v>295.6946453405572</v>
          </cell>
        </row>
        <row r="15197">
          <cell r="H15197" t="str">
            <v>TFL4</v>
          </cell>
          <cell r="K15197">
            <v>309.62963582295873</v>
          </cell>
        </row>
        <row r="15198">
          <cell r="H15198" t="str">
            <v>TGJ1</v>
          </cell>
          <cell r="K15198">
            <v>173.77379051250108</v>
          </cell>
        </row>
        <row r="15199">
          <cell r="H15199" t="str">
            <v>TGJ2</v>
          </cell>
          <cell r="K15199">
            <v>208.64053019851787</v>
          </cell>
        </row>
        <row r="15200">
          <cell r="H15200" t="str">
            <v>TPUY</v>
          </cell>
          <cell r="K15200">
            <v>22.594472267975441</v>
          </cell>
        </row>
        <row r="15201">
          <cell r="H15201" t="str">
            <v>TRM1</v>
          </cell>
          <cell r="K15201">
            <v>279.62676521491937</v>
          </cell>
        </row>
        <row r="15202">
          <cell r="H15202" t="str">
            <v>TRN1</v>
          </cell>
          <cell r="K15202">
            <v>316.32428395051403</v>
          </cell>
        </row>
        <row r="15203">
          <cell r="H15203" t="str">
            <v>TSJ1</v>
          </cell>
          <cell r="K15203">
            <v>66.464330604862198</v>
          </cell>
        </row>
        <row r="15204">
          <cell r="H15204" t="str">
            <v>TSJ2</v>
          </cell>
          <cell r="K15204">
            <v>61.169034221549623</v>
          </cell>
        </row>
        <row r="15205">
          <cell r="H15205" t="str">
            <v>TSR1</v>
          </cell>
          <cell r="K15205">
            <v>387.15751277141874</v>
          </cell>
        </row>
        <row r="15206">
          <cell r="H15206" t="str">
            <v>TUJ1</v>
          </cell>
          <cell r="K15206">
            <v>24.491584659247678</v>
          </cell>
        </row>
        <row r="15207">
          <cell r="H15207" t="str">
            <v>TVL1</v>
          </cell>
          <cell r="K15207">
            <v>444.30295784107977</v>
          </cell>
        </row>
        <row r="15208">
          <cell r="H15208" t="str">
            <v>TYP1</v>
          </cell>
          <cell r="K15208">
            <v>23.438653991399324</v>
          </cell>
        </row>
        <row r="15209">
          <cell r="H15209" t="str">
            <v>TYP2</v>
          </cell>
          <cell r="K15209">
            <v>23.438659565395518</v>
          </cell>
        </row>
        <row r="15210">
          <cell r="H15210" t="str">
            <v>TYP3</v>
          </cell>
          <cell r="K15210">
            <v>23.438656778397419</v>
          </cell>
        </row>
        <row r="15211">
          <cell r="H15211" t="str">
            <v>TYP4</v>
          </cell>
          <cell r="K15211">
            <v>23.438665139391713</v>
          </cell>
        </row>
        <row r="15212">
          <cell r="H15212" t="str">
            <v>TYP5</v>
          </cell>
          <cell r="K15212">
            <v>23.438662352393614</v>
          </cell>
        </row>
        <row r="15213">
          <cell r="H15213" t="str">
            <v>URA1</v>
          </cell>
          <cell r="K15213">
            <v>198.43426446939736</v>
          </cell>
        </row>
        <row r="15214">
          <cell r="H15214" t="str">
            <v>ZPA2</v>
          </cell>
          <cell r="K15214">
            <v>90.782561195510695</v>
          </cell>
        </row>
        <row r="15215">
          <cell r="H15215" t="str">
            <v>ZPA3</v>
          </cell>
          <cell r="K15215">
            <v>83.874429013764981</v>
          </cell>
        </row>
        <row r="15216">
          <cell r="H15216" t="str">
            <v>ZPA4</v>
          </cell>
          <cell r="K15216">
            <v>87.057459539755129</v>
          </cell>
        </row>
        <row r="15217">
          <cell r="H15217" t="str">
            <v>ZPA5</v>
          </cell>
          <cell r="K15217">
            <v>81.96728621634351</v>
          </cell>
        </row>
        <row r="15218">
          <cell r="H15218" t="str">
            <v>2QEK</v>
          </cell>
          <cell r="K15218">
            <v>25.321271205571765</v>
          </cell>
        </row>
        <row r="15219">
          <cell r="H15219" t="str">
            <v>3DDT</v>
          </cell>
          <cell r="K15219">
            <v>23.71345200371228</v>
          </cell>
        </row>
        <row r="15220">
          <cell r="H15220" t="str">
            <v>3ENA</v>
          </cell>
          <cell r="K15220">
            <v>323.35978194526894</v>
          </cell>
        </row>
        <row r="15221">
          <cell r="H15221" t="str">
            <v>3HF5</v>
          </cell>
          <cell r="K15221">
            <v>22.642129935425253</v>
          </cell>
        </row>
        <row r="15222">
          <cell r="H15222" t="str">
            <v>3INX</v>
          </cell>
          <cell r="K15222">
            <v>22.57468458149043</v>
          </cell>
        </row>
        <row r="15223">
          <cell r="H15223" t="str">
            <v>3IQA</v>
          </cell>
          <cell r="K15223">
            <v>21.277336967578851</v>
          </cell>
        </row>
        <row r="15224">
          <cell r="H15224" t="str">
            <v>3IRX</v>
          </cell>
          <cell r="K15224">
            <v>21.277058267769203</v>
          </cell>
        </row>
        <row r="15225">
          <cell r="H15225" t="str">
            <v>3IZ6</v>
          </cell>
          <cell r="K15225">
            <v>21.738587939544438</v>
          </cell>
        </row>
        <row r="15226">
          <cell r="H15226" t="str">
            <v>4YCF</v>
          </cell>
          <cell r="K15226">
            <v>22.289295976410848</v>
          </cell>
        </row>
        <row r="15227">
          <cell r="H15227" t="str">
            <v>4YCN</v>
          </cell>
          <cell r="K15227">
            <v>66.115955842802151</v>
          </cell>
        </row>
        <row r="15228">
          <cell r="H15228" t="str">
            <v>ALBG</v>
          </cell>
          <cell r="K15228">
            <v>335.83327062587614</v>
          </cell>
        </row>
        <row r="15229">
          <cell r="H15229" t="str">
            <v>CHBG</v>
          </cell>
          <cell r="K15229">
            <v>25.320713805952469</v>
          </cell>
        </row>
        <row r="15230">
          <cell r="H15230" t="str">
            <v>CHVR</v>
          </cell>
          <cell r="K15230">
            <v>42.083671256852533</v>
          </cell>
        </row>
        <row r="15231">
          <cell r="H15231" t="str">
            <v>CLL1</v>
          </cell>
          <cell r="K15231">
            <v>22.295987558840498</v>
          </cell>
        </row>
        <row r="15232">
          <cell r="H15232" t="str">
            <v>CLMG</v>
          </cell>
          <cell r="K15232">
            <v>335.27587100658008</v>
          </cell>
        </row>
        <row r="15233">
          <cell r="H15233" t="str">
            <v>CTG1</v>
          </cell>
          <cell r="K15233">
            <v>390.1415516333202</v>
          </cell>
        </row>
        <row r="15234">
          <cell r="H15234" t="str">
            <v>CTG2</v>
          </cell>
          <cell r="K15234">
            <v>389.67974604873342</v>
          </cell>
        </row>
        <row r="15235">
          <cell r="H15235" t="str">
            <v>CTG3</v>
          </cell>
          <cell r="K15235">
            <v>407.835923848064</v>
          </cell>
        </row>
        <row r="15236">
          <cell r="H15236" t="str">
            <v>CUC1</v>
          </cell>
          <cell r="K15236">
            <v>26.721180349433819</v>
          </cell>
        </row>
        <row r="15237">
          <cell r="H15237" t="str">
            <v>DVS1</v>
          </cell>
          <cell r="K15237">
            <v>25.320992505762117</v>
          </cell>
        </row>
        <row r="15238">
          <cell r="H15238" t="str">
            <v>EPFV</v>
          </cell>
          <cell r="K15238">
            <v>23.713454790710376</v>
          </cell>
        </row>
        <row r="15239">
          <cell r="H15239" t="str">
            <v>ESMR</v>
          </cell>
          <cell r="K15239">
            <v>25.273340412308499</v>
          </cell>
        </row>
        <row r="15240">
          <cell r="H15240" t="str">
            <v>GE32</v>
          </cell>
          <cell r="K15240">
            <v>72.276615135071864</v>
          </cell>
        </row>
        <row r="15241">
          <cell r="H15241" t="str">
            <v>GEC3</v>
          </cell>
          <cell r="K15241">
            <v>70.928544155804332</v>
          </cell>
        </row>
        <row r="15242">
          <cell r="H15242" t="str">
            <v>GTPE</v>
          </cell>
          <cell r="K15242">
            <v>197.59816504045327</v>
          </cell>
        </row>
        <row r="15243">
          <cell r="H15243" t="str">
            <v>GTRG</v>
          </cell>
          <cell r="K15243">
            <v>207.91005799743039</v>
          </cell>
        </row>
        <row r="15244">
          <cell r="H15244" t="str">
            <v>GVIO</v>
          </cell>
          <cell r="K15244">
            <v>25.320716592950564</v>
          </cell>
        </row>
        <row r="15245">
          <cell r="H15245" t="str">
            <v>GYP3</v>
          </cell>
          <cell r="K15245">
            <v>22.642132722423348</v>
          </cell>
        </row>
        <row r="15246">
          <cell r="H15246" t="str">
            <v>GYPO</v>
          </cell>
          <cell r="K15246">
            <v>22.642135509421443</v>
          </cell>
        </row>
        <row r="15247">
          <cell r="H15247" t="str">
            <v>HMIN</v>
          </cell>
          <cell r="K15247">
            <v>22.295984771842399</v>
          </cell>
        </row>
        <row r="15248">
          <cell r="H15248" t="str">
            <v>HMLG</v>
          </cell>
          <cell r="K15248">
            <v>300.99579441987242</v>
          </cell>
        </row>
        <row r="15249">
          <cell r="H15249" t="str">
            <v>JAGS</v>
          </cell>
          <cell r="K15249">
            <v>207.91005799743039</v>
          </cell>
        </row>
        <row r="15250">
          <cell r="H15250" t="str">
            <v>LTSJ</v>
          </cell>
          <cell r="K15250">
            <v>249.43632963498686</v>
          </cell>
        </row>
        <row r="15251">
          <cell r="H15251" t="str">
            <v>MATA</v>
          </cell>
          <cell r="K15251">
            <v>21.738585152546339</v>
          </cell>
        </row>
        <row r="15252">
          <cell r="H15252" t="str">
            <v>MOY1</v>
          </cell>
          <cell r="K15252">
            <v>24.968161333745808</v>
          </cell>
        </row>
        <row r="15253">
          <cell r="H15253" t="str">
            <v>MRL1</v>
          </cell>
          <cell r="K15253">
            <v>344.99134637091043</v>
          </cell>
        </row>
        <row r="15254">
          <cell r="H15254" t="str">
            <v>PES1</v>
          </cell>
          <cell r="K15254">
            <v>24.491581872249579</v>
          </cell>
        </row>
        <row r="15255">
          <cell r="H15255" t="str">
            <v>PGUG</v>
          </cell>
          <cell r="K15255">
            <v>181.15487627121951</v>
          </cell>
        </row>
        <row r="15256">
          <cell r="H15256" t="str">
            <v>PLYS</v>
          </cell>
          <cell r="K15256">
            <v>25.273337625310401</v>
          </cell>
        </row>
        <row r="15257">
          <cell r="H15257" t="str">
            <v>PORO</v>
          </cell>
          <cell r="K15257">
            <v>21.459885342898311</v>
          </cell>
        </row>
        <row r="15258">
          <cell r="H15258" t="str">
            <v>PPA1</v>
          </cell>
          <cell r="K15258">
            <v>79.841921467967637</v>
          </cell>
        </row>
        <row r="15259">
          <cell r="H15259" t="str">
            <v>PPA2</v>
          </cell>
          <cell r="K15259">
            <v>73.231719382735662</v>
          </cell>
        </row>
        <row r="15260">
          <cell r="H15260" t="str">
            <v>PPA3</v>
          </cell>
          <cell r="K15260">
            <v>76.331697365450694</v>
          </cell>
        </row>
        <row r="15261">
          <cell r="H15261" t="str">
            <v>PPA4</v>
          </cell>
          <cell r="K15261">
            <v>66.597827813683594</v>
          </cell>
        </row>
        <row r="15262">
          <cell r="H15262" t="str">
            <v>PRC2</v>
          </cell>
          <cell r="K15262">
            <v>209.16420714084651</v>
          </cell>
        </row>
        <row r="15263">
          <cell r="H15263" t="str">
            <v>PRC3</v>
          </cell>
          <cell r="K15263">
            <v>197.62603502141806</v>
          </cell>
        </row>
        <row r="15264">
          <cell r="H15264" t="str">
            <v>PRDO</v>
          </cell>
          <cell r="K15264">
            <v>306.569790612833</v>
          </cell>
        </row>
        <row r="15265">
          <cell r="H15265" t="str">
            <v>PRG1</v>
          </cell>
          <cell r="K15265">
            <v>251.26125598856214</v>
          </cell>
        </row>
        <row r="15266">
          <cell r="H15266" t="str">
            <v>PRG2</v>
          </cell>
          <cell r="K15266">
            <v>251.26125598856214</v>
          </cell>
        </row>
        <row r="15267">
          <cell r="H15267" t="str">
            <v>QUI1</v>
          </cell>
          <cell r="K15267">
            <v>178.36787817473919</v>
          </cell>
        </row>
        <row r="15268">
          <cell r="H15268" t="str">
            <v>SLVJ</v>
          </cell>
          <cell r="K15268">
            <v>335.55457081622814</v>
          </cell>
        </row>
        <row r="15269">
          <cell r="H15269" t="str">
            <v>SMI1</v>
          </cell>
          <cell r="K15269">
            <v>24.968158546747713</v>
          </cell>
        </row>
        <row r="15270">
          <cell r="H15270" t="str">
            <v>SNCR</v>
          </cell>
          <cell r="K15270">
            <v>207.77070809260636</v>
          </cell>
        </row>
        <row r="15271">
          <cell r="H15271" t="str">
            <v>SNFR</v>
          </cell>
          <cell r="K15271">
            <v>25.273334838312305</v>
          </cell>
        </row>
        <row r="15272">
          <cell r="H15272" t="str">
            <v>SOG1</v>
          </cell>
          <cell r="K15272">
            <v>197.7375149452773</v>
          </cell>
        </row>
        <row r="15273">
          <cell r="H15273" t="str">
            <v>TBQ3</v>
          </cell>
          <cell r="K15273">
            <v>305.81256323001929</v>
          </cell>
        </row>
        <row r="15274">
          <cell r="H15274" t="str">
            <v>TBQ4</v>
          </cell>
          <cell r="K15274">
            <v>292.11056578848354</v>
          </cell>
        </row>
        <row r="15275">
          <cell r="H15275" t="str">
            <v>TBST</v>
          </cell>
          <cell r="K15275">
            <v>209.04492362231716</v>
          </cell>
        </row>
        <row r="15276">
          <cell r="H15276" t="str">
            <v>TCBE</v>
          </cell>
          <cell r="K15276">
            <v>245.25583249026639</v>
          </cell>
        </row>
        <row r="15277">
          <cell r="H15277" t="str">
            <v>TCDT</v>
          </cell>
          <cell r="K15277">
            <v>183.3465715742916</v>
          </cell>
        </row>
        <row r="15278">
          <cell r="H15278" t="str">
            <v>TDR1</v>
          </cell>
          <cell r="K15278">
            <v>751.15451396146693</v>
          </cell>
        </row>
        <row r="15279">
          <cell r="H15279" t="str">
            <v>TEC1</v>
          </cell>
          <cell r="K15279">
            <v>427.43994715851608</v>
          </cell>
        </row>
        <row r="15280">
          <cell r="H15280" t="str">
            <v>TFL1</v>
          </cell>
          <cell r="K15280">
            <v>295.6946453405572</v>
          </cell>
        </row>
        <row r="15281">
          <cell r="H15281" t="str">
            <v>TFL4</v>
          </cell>
          <cell r="K15281">
            <v>309.62963582295873</v>
          </cell>
        </row>
        <row r="15282">
          <cell r="H15282" t="str">
            <v>TGJ1</v>
          </cell>
          <cell r="K15282">
            <v>173.77379051250108</v>
          </cell>
        </row>
        <row r="15283">
          <cell r="H15283" t="str">
            <v>TGJ2</v>
          </cell>
          <cell r="K15283">
            <v>208.64053019851787</v>
          </cell>
        </row>
        <row r="15284">
          <cell r="H15284" t="str">
            <v>TPUY</v>
          </cell>
          <cell r="K15284">
            <v>22.594472267975441</v>
          </cell>
        </row>
        <row r="15285">
          <cell r="H15285" t="str">
            <v>TRM1</v>
          </cell>
          <cell r="K15285">
            <v>279.62676521491937</v>
          </cell>
        </row>
        <row r="15286">
          <cell r="H15286" t="str">
            <v>TRN1</v>
          </cell>
          <cell r="K15286">
            <v>316.32428395051403</v>
          </cell>
        </row>
        <row r="15287">
          <cell r="H15287" t="str">
            <v>TSJ1</v>
          </cell>
          <cell r="K15287">
            <v>66.464330604862198</v>
          </cell>
        </row>
        <row r="15288">
          <cell r="H15288" t="str">
            <v>TSJ2</v>
          </cell>
          <cell r="K15288">
            <v>61.169034221549623</v>
          </cell>
        </row>
        <row r="15289">
          <cell r="H15289" t="str">
            <v>TSR1</v>
          </cell>
          <cell r="K15289">
            <v>387.15751277141874</v>
          </cell>
        </row>
        <row r="15290">
          <cell r="H15290" t="str">
            <v>TUJ1</v>
          </cell>
          <cell r="K15290">
            <v>24.491584659247678</v>
          </cell>
        </row>
        <row r="15291">
          <cell r="H15291" t="str">
            <v>TVL1</v>
          </cell>
          <cell r="K15291">
            <v>444.30295784107977</v>
          </cell>
        </row>
        <row r="15292">
          <cell r="H15292" t="str">
            <v>TYP1</v>
          </cell>
          <cell r="K15292">
            <v>23.438653991399324</v>
          </cell>
        </row>
        <row r="15293">
          <cell r="H15293" t="str">
            <v>TYP2</v>
          </cell>
          <cell r="K15293">
            <v>23.438659565395518</v>
          </cell>
        </row>
        <row r="15294">
          <cell r="H15294" t="str">
            <v>TYP3</v>
          </cell>
          <cell r="K15294">
            <v>23.438656778397419</v>
          </cell>
        </row>
        <row r="15295">
          <cell r="H15295" t="str">
            <v>TYP4</v>
          </cell>
          <cell r="K15295">
            <v>23.438665139391713</v>
          </cell>
        </row>
        <row r="15296">
          <cell r="H15296" t="str">
            <v>TYP5</v>
          </cell>
          <cell r="K15296">
            <v>23.438662352393614</v>
          </cell>
        </row>
        <row r="15297">
          <cell r="H15297" t="str">
            <v>URA1</v>
          </cell>
          <cell r="K15297">
            <v>198.43426446939736</v>
          </cell>
        </row>
        <row r="15298">
          <cell r="H15298" t="str">
            <v>ZPA2</v>
          </cell>
          <cell r="K15298">
            <v>90.782561195510695</v>
          </cell>
        </row>
        <row r="15299">
          <cell r="H15299" t="str">
            <v>ZPA3</v>
          </cell>
          <cell r="K15299">
            <v>83.874429013764981</v>
          </cell>
        </row>
        <row r="15300">
          <cell r="H15300" t="str">
            <v>ZPA4</v>
          </cell>
          <cell r="K15300">
            <v>87.057459539755129</v>
          </cell>
        </row>
        <row r="15301">
          <cell r="H15301" t="str">
            <v>ZPA5</v>
          </cell>
          <cell r="K15301">
            <v>81.96728621634351</v>
          </cell>
        </row>
        <row r="15302">
          <cell r="H15302" t="str">
            <v>2QEK</v>
          </cell>
          <cell r="K15302">
            <v>25.321271205571765</v>
          </cell>
        </row>
        <row r="15303">
          <cell r="H15303" t="str">
            <v>3DDT</v>
          </cell>
          <cell r="K15303">
            <v>23.71345200371228</v>
          </cell>
        </row>
        <row r="15304">
          <cell r="H15304" t="str">
            <v>3ENA</v>
          </cell>
          <cell r="K15304">
            <v>323.35978194526894</v>
          </cell>
        </row>
        <row r="15305">
          <cell r="H15305" t="str">
            <v>3HF5</v>
          </cell>
          <cell r="K15305">
            <v>22.642129935425253</v>
          </cell>
        </row>
        <row r="15306">
          <cell r="H15306" t="str">
            <v>3INX</v>
          </cell>
          <cell r="K15306">
            <v>22.57468458149043</v>
          </cell>
        </row>
        <row r="15307">
          <cell r="H15307" t="str">
            <v>3IQA</v>
          </cell>
          <cell r="K15307">
            <v>21.277336967578851</v>
          </cell>
        </row>
        <row r="15308">
          <cell r="H15308" t="str">
            <v>3IRX</v>
          </cell>
          <cell r="K15308">
            <v>21.277058267769203</v>
          </cell>
        </row>
        <row r="15309">
          <cell r="H15309" t="str">
            <v>3IZ6</v>
          </cell>
          <cell r="K15309">
            <v>21.738587939544438</v>
          </cell>
        </row>
        <row r="15310">
          <cell r="H15310" t="str">
            <v>4YCF</v>
          </cell>
          <cell r="K15310">
            <v>22.289295976410848</v>
          </cell>
        </row>
        <row r="15311">
          <cell r="H15311" t="str">
            <v>4YCN</v>
          </cell>
          <cell r="K15311">
            <v>66.115955842802151</v>
          </cell>
        </row>
        <row r="15312">
          <cell r="H15312" t="str">
            <v>ALBG</v>
          </cell>
          <cell r="K15312">
            <v>335.83327062587614</v>
          </cell>
        </row>
        <row r="15313">
          <cell r="H15313" t="str">
            <v>CHBG</v>
          </cell>
          <cell r="K15313">
            <v>25.320713805952469</v>
          </cell>
        </row>
        <row r="15314">
          <cell r="H15314" t="str">
            <v>CHVR</v>
          </cell>
          <cell r="K15314">
            <v>42.083671256852533</v>
          </cell>
        </row>
        <row r="15315">
          <cell r="H15315" t="str">
            <v>CLL1</v>
          </cell>
          <cell r="K15315">
            <v>22.295987558840498</v>
          </cell>
        </row>
        <row r="15316">
          <cell r="H15316" t="str">
            <v>CLMG</v>
          </cell>
          <cell r="K15316">
            <v>335.27587100658008</v>
          </cell>
        </row>
        <row r="15317">
          <cell r="H15317" t="str">
            <v>CTG1</v>
          </cell>
          <cell r="K15317">
            <v>390.1415516333202</v>
          </cell>
        </row>
        <row r="15318">
          <cell r="H15318" t="str">
            <v>CTG2</v>
          </cell>
          <cell r="K15318">
            <v>389.67974604873342</v>
          </cell>
        </row>
        <row r="15319">
          <cell r="H15319" t="str">
            <v>CTG3</v>
          </cell>
          <cell r="K15319">
            <v>407.835923848064</v>
          </cell>
        </row>
        <row r="15320">
          <cell r="H15320" t="str">
            <v>CUC1</v>
          </cell>
          <cell r="K15320">
            <v>26.721180349433819</v>
          </cell>
        </row>
        <row r="15321">
          <cell r="H15321" t="str">
            <v>DVS1</v>
          </cell>
          <cell r="K15321">
            <v>25.320992505762117</v>
          </cell>
        </row>
        <row r="15322">
          <cell r="H15322" t="str">
            <v>EPFV</v>
          </cell>
          <cell r="K15322">
            <v>23.713454790710376</v>
          </cell>
        </row>
        <row r="15323">
          <cell r="H15323" t="str">
            <v>ESMR</v>
          </cell>
          <cell r="K15323">
            <v>25.273340412308499</v>
          </cell>
        </row>
        <row r="15324">
          <cell r="H15324" t="str">
            <v>GE32</v>
          </cell>
          <cell r="K15324">
            <v>72.276615135071864</v>
          </cell>
        </row>
        <row r="15325">
          <cell r="H15325" t="str">
            <v>GEC3</v>
          </cell>
          <cell r="K15325">
            <v>70.928544155804332</v>
          </cell>
        </row>
        <row r="15326">
          <cell r="H15326" t="str">
            <v>GTPE</v>
          </cell>
          <cell r="K15326">
            <v>197.59816504045327</v>
          </cell>
        </row>
        <row r="15327">
          <cell r="H15327" t="str">
            <v>GTRG</v>
          </cell>
          <cell r="K15327">
            <v>207.91005799743039</v>
          </cell>
        </row>
        <row r="15328">
          <cell r="H15328" t="str">
            <v>GVIO</v>
          </cell>
          <cell r="K15328">
            <v>25.320716592950564</v>
          </cell>
        </row>
        <row r="15329">
          <cell r="H15329" t="str">
            <v>GYP3</v>
          </cell>
          <cell r="K15329">
            <v>22.642132722423348</v>
          </cell>
        </row>
        <row r="15330">
          <cell r="H15330" t="str">
            <v>GYPO</v>
          </cell>
          <cell r="K15330">
            <v>22.642135509421443</v>
          </cell>
        </row>
        <row r="15331">
          <cell r="H15331" t="str">
            <v>HMIN</v>
          </cell>
          <cell r="K15331">
            <v>22.295984771842399</v>
          </cell>
        </row>
        <row r="15332">
          <cell r="H15332" t="str">
            <v>HMLG</v>
          </cell>
          <cell r="K15332">
            <v>300.99579441987242</v>
          </cell>
        </row>
        <row r="15333">
          <cell r="H15333" t="str">
            <v>JAGS</v>
          </cell>
          <cell r="K15333">
            <v>207.91005799743039</v>
          </cell>
        </row>
        <row r="15334">
          <cell r="H15334" t="str">
            <v>LTSJ</v>
          </cell>
          <cell r="K15334">
            <v>249.43632963498686</v>
          </cell>
        </row>
        <row r="15335">
          <cell r="H15335" t="str">
            <v>MATA</v>
          </cell>
          <cell r="K15335">
            <v>21.738585152546339</v>
          </cell>
        </row>
        <row r="15336">
          <cell r="H15336" t="str">
            <v>MOY1</v>
          </cell>
          <cell r="K15336">
            <v>24.968161333745808</v>
          </cell>
        </row>
        <row r="15337">
          <cell r="H15337" t="str">
            <v>MRL1</v>
          </cell>
          <cell r="K15337">
            <v>344.99134637091043</v>
          </cell>
        </row>
        <row r="15338">
          <cell r="H15338" t="str">
            <v>PES1</v>
          </cell>
          <cell r="K15338">
            <v>24.491581872249579</v>
          </cell>
        </row>
        <row r="15339">
          <cell r="H15339" t="str">
            <v>PGUG</v>
          </cell>
          <cell r="K15339">
            <v>181.15487627121951</v>
          </cell>
        </row>
        <row r="15340">
          <cell r="H15340" t="str">
            <v>PLYS</v>
          </cell>
          <cell r="K15340">
            <v>25.273337625310401</v>
          </cell>
        </row>
        <row r="15341">
          <cell r="H15341" t="str">
            <v>PORO</v>
          </cell>
          <cell r="K15341">
            <v>21.459885342898311</v>
          </cell>
        </row>
        <row r="15342">
          <cell r="H15342" t="str">
            <v>PPA1</v>
          </cell>
          <cell r="K15342">
            <v>79.841921467967637</v>
          </cell>
        </row>
        <row r="15343">
          <cell r="H15343" t="str">
            <v>PPA2</v>
          </cell>
          <cell r="K15343">
            <v>73.231719382735662</v>
          </cell>
        </row>
        <row r="15344">
          <cell r="H15344" t="str">
            <v>PPA3</v>
          </cell>
          <cell r="K15344">
            <v>76.331697365450694</v>
          </cell>
        </row>
        <row r="15345">
          <cell r="H15345" t="str">
            <v>PPA4</v>
          </cell>
          <cell r="K15345">
            <v>66.597827813683594</v>
          </cell>
        </row>
        <row r="15346">
          <cell r="H15346" t="str">
            <v>PRC2</v>
          </cell>
          <cell r="K15346">
            <v>209.16420714084651</v>
          </cell>
        </row>
        <row r="15347">
          <cell r="H15347" t="str">
            <v>PRC3</v>
          </cell>
          <cell r="K15347">
            <v>197.62603502141806</v>
          </cell>
        </row>
        <row r="15348">
          <cell r="H15348" t="str">
            <v>PRDO</v>
          </cell>
          <cell r="K15348">
            <v>306.569790612833</v>
          </cell>
        </row>
        <row r="15349">
          <cell r="H15349" t="str">
            <v>PRG1</v>
          </cell>
          <cell r="K15349">
            <v>251.26125598856214</v>
          </cell>
        </row>
        <row r="15350">
          <cell r="H15350" t="str">
            <v>PRG2</v>
          </cell>
          <cell r="K15350">
            <v>251.26125598856214</v>
          </cell>
        </row>
        <row r="15351">
          <cell r="H15351" t="str">
            <v>QUI1</v>
          </cell>
          <cell r="K15351">
            <v>178.36787817473919</v>
          </cell>
        </row>
        <row r="15352">
          <cell r="H15352" t="str">
            <v>SLVJ</v>
          </cell>
          <cell r="K15352">
            <v>335.55457081622814</v>
          </cell>
        </row>
        <row r="15353">
          <cell r="H15353" t="str">
            <v>SMI1</v>
          </cell>
          <cell r="K15353">
            <v>24.968158546747713</v>
          </cell>
        </row>
        <row r="15354">
          <cell r="H15354" t="str">
            <v>SNCR</v>
          </cell>
          <cell r="K15354">
            <v>207.77070809260636</v>
          </cell>
        </row>
        <row r="15355">
          <cell r="H15355" t="str">
            <v>SNFR</v>
          </cell>
          <cell r="K15355">
            <v>25.273334838312305</v>
          </cell>
        </row>
        <row r="15356">
          <cell r="H15356" t="str">
            <v>SOG1</v>
          </cell>
          <cell r="K15356">
            <v>197.7375149452773</v>
          </cell>
        </row>
        <row r="15357">
          <cell r="H15357" t="str">
            <v>TBQ3</v>
          </cell>
          <cell r="K15357">
            <v>305.81256323001929</v>
          </cell>
        </row>
        <row r="15358">
          <cell r="H15358" t="str">
            <v>TBQ4</v>
          </cell>
          <cell r="K15358">
            <v>292.11056578848354</v>
          </cell>
        </row>
        <row r="15359">
          <cell r="H15359" t="str">
            <v>TBST</v>
          </cell>
          <cell r="K15359">
            <v>209.04492362231716</v>
          </cell>
        </row>
        <row r="15360">
          <cell r="H15360" t="str">
            <v>TCBE</v>
          </cell>
          <cell r="K15360">
            <v>245.25583249026639</v>
          </cell>
        </row>
        <row r="15361">
          <cell r="H15361" t="str">
            <v>TCDT</v>
          </cell>
          <cell r="K15361">
            <v>183.3465715742916</v>
          </cell>
        </row>
        <row r="15362">
          <cell r="H15362" t="str">
            <v>TDR1</v>
          </cell>
          <cell r="K15362">
            <v>751.15451396146693</v>
          </cell>
        </row>
        <row r="15363">
          <cell r="H15363" t="str">
            <v>TEC1</v>
          </cell>
          <cell r="K15363">
            <v>427.43994715851608</v>
          </cell>
        </row>
        <row r="15364">
          <cell r="H15364" t="str">
            <v>TFL1</v>
          </cell>
          <cell r="K15364">
            <v>295.6946453405572</v>
          </cell>
        </row>
        <row r="15365">
          <cell r="H15365" t="str">
            <v>TFL4</v>
          </cell>
          <cell r="K15365">
            <v>309.62963582295873</v>
          </cell>
        </row>
        <row r="15366">
          <cell r="H15366" t="str">
            <v>TGJ1</v>
          </cell>
          <cell r="K15366">
            <v>173.77379051250108</v>
          </cell>
        </row>
        <row r="15367">
          <cell r="H15367" t="str">
            <v>TGJ2</v>
          </cell>
          <cell r="K15367">
            <v>208.64053019851787</v>
          </cell>
        </row>
        <row r="15368">
          <cell r="H15368" t="str">
            <v>TPUY</v>
          </cell>
          <cell r="K15368">
            <v>22.594472267975441</v>
          </cell>
        </row>
        <row r="15369">
          <cell r="H15369" t="str">
            <v>TRM1</v>
          </cell>
          <cell r="K15369">
            <v>279.62676521491937</v>
          </cell>
        </row>
        <row r="15370">
          <cell r="H15370" t="str">
            <v>TRN1</v>
          </cell>
          <cell r="K15370">
            <v>316.32428395051403</v>
          </cell>
        </row>
        <row r="15371">
          <cell r="H15371" t="str">
            <v>TSJ1</v>
          </cell>
          <cell r="K15371">
            <v>66.464330604862198</v>
          </cell>
        </row>
        <row r="15372">
          <cell r="H15372" t="str">
            <v>TSJ2</v>
          </cell>
          <cell r="K15372">
            <v>61.169034221549623</v>
          </cell>
        </row>
        <row r="15373">
          <cell r="H15373" t="str">
            <v>TSR1</v>
          </cell>
          <cell r="K15373">
            <v>387.15751277141874</v>
          </cell>
        </row>
        <row r="15374">
          <cell r="H15374" t="str">
            <v>TUJ1</v>
          </cell>
          <cell r="K15374">
            <v>24.491584659247678</v>
          </cell>
        </row>
        <row r="15375">
          <cell r="H15375" t="str">
            <v>TVL1</v>
          </cell>
          <cell r="K15375">
            <v>444.30295784107977</v>
          </cell>
        </row>
        <row r="15376">
          <cell r="H15376" t="str">
            <v>TYP1</v>
          </cell>
          <cell r="K15376">
            <v>23.438653991399324</v>
          </cell>
        </row>
        <row r="15377">
          <cell r="H15377" t="str">
            <v>TYP2</v>
          </cell>
          <cell r="K15377">
            <v>23.438659565395518</v>
          </cell>
        </row>
        <row r="15378">
          <cell r="H15378" t="str">
            <v>TYP3</v>
          </cell>
          <cell r="K15378">
            <v>23.438656778397419</v>
          </cell>
        </row>
        <row r="15379">
          <cell r="H15379" t="str">
            <v>TYP4</v>
          </cell>
          <cell r="K15379">
            <v>23.438665139391713</v>
          </cell>
        </row>
        <row r="15380">
          <cell r="H15380" t="str">
            <v>TYP5</v>
          </cell>
          <cell r="K15380">
            <v>23.438662352393614</v>
          </cell>
        </row>
        <row r="15381">
          <cell r="H15381" t="str">
            <v>URA1</v>
          </cell>
          <cell r="K15381">
            <v>198.43426446939736</v>
          </cell>
        </row>
        <row r="15382">
          <cell r="H15382" t="str">
            <v>ZPA2</v>
          </cell>
          <cell r="K15382">
            <v>90.782561195510695</v>
          </cell>
        </row>
        <row r="15383">
          <cell r="H15383" t="str">
            <v>ZPA3</v>
          </cell>
          <cell r="K15383">
            <v>83.874429013764981</v>
          </cell>
        </row>
        <row r="15384">
          <cell r="H15384" t="str">
            <v>ZPA4</v>
          </cell>
          <cell r="K15384">
            <v>87.057459539755129</v>
          </cell>
        </row>
        <row r="15385">
          <cell r="H15385" t="str">
            <v>ZPA5</v>
          </cell>
          <cell r="K15385">
            <v>81.96728621634351</v>
          </cell>
        </row>
        <row r="15386">
          <cell r="H15386" t="str">
            <v>2QEK</v>
          </cell>
          <cell r="K15386">
            <v>25.321271205571765</v>
          </cell>
        </row>
        <row r="15387">
          <cell r="H15387" t="str">
            <v>3DDT</v>
          </cell>
          <cell r="K15387">
            <v>23.71345200371228</v>
          </cell>
        </row>
        <row r="15388">
          <cell r="H15388" t="str">
            <v>3ENA</v>
          </cell>
          <cell r="K15388">
            <v>323.35978194526894</v>
          </cell>
        </row>
        <row r="15389">
          <cell r="H15389" t="str">
            <v>3HF5</v>
          </cell>
          <cell r="K15389">
            <v>22.642129935425253</v>
          </cell>
        </row>
        <row r="15390">
          <cell r="H15390" t="str">
            <v>3INX</v>
          </cell>
          <cell r="K15390">
            <v>22.57468458149043</v>
          </cell>
        </row>
        <row r="15391">
          <cell r="H15391" t="str">
            <v>3IQA</v>
          </cell>
          <cell r="K15391">
            <v>21.277336967578851</v>
          </cell>
        </row>
        <row r="15392">
          <cell r="H15392" t="str">
            <v>3IRX</v>
          </cell>
          <cell r="K15392">
            <v>21.277058267769203</v>
          </cell>
        </row>
        <row r="15393">
          <cell r="H15393" t="str">
            <v>3IZ6</v>
          </cell>
          <cell r="K15393">
            <v>21.738587939544438</v>
          </cell>
        </row>
        <row r="15394">
          <cell r="H15394" t="str">
            <v>4YCF</v>
          </cell>
          <cell r="K15394">
            <v>22.289295976410848</v>
          </cell>
        </row>
        <row r="15395">
          <cell r="H15395" t="str">
            <v>4YCN</v>
          </cell>
          <cell r="K15395">
            <v>66.115955842802151</v>
          </cell>
        </row>
        <row r="15396">
          <cell r="H15396" t="str">
            <v>ALBG</v>
          </cell>
          <cell r="K15396">
            <v>335.83327062587614</v>
          </cell>
        </row>
        <row r="15397">
          <cell r="H15397" t="str">
            <v>CHBG</v>
          </cell>
          <cell r="K15397">
            <v>25.320713805952469</v>
          </cell>
        </row>
        <row r="15398">
          <cell r="H15398" t="str">
            <v>CHVR</v>
          </cell>
          <cell r="K15398">
            <v>42.083671256852533</v>
          </cell>
        </row>
        <row r="15399">
          <cell r="H15399" t="str">
            <v>CLL1</v>
          </cell>
          <cell r="K15399">
            <v>22.295987558840498</v>
          </cell>
        </row>
        <row r="15400">
          <cell r="H15400" t="str">
            <v>CLMG</v>
          </cell>
          <cell r="K15400">
            <v>335.27587100658008</v>
          </cell>
        </row>
        <row r="15401">
          <cell r="H15401" t="str">
            <v>CTG1</v>
          </cell>
          <cell r="K15401">
            <v>390.1415516333202</v>
          </cell>
        </row>
        <row r="15402">
          <cell r="H15402" t="str">
            <v>CTG2</v>
          </cell>
          <cell r="K15402">
            <v>389.67974604873342</v>
          </cell>
        </row>
        <row r="15403">
          <cell r="H15403" t="str">
            <v>CTG3</v>
          </cell>
          <cell r="K15403">
            <v>407.835923848064</v>
          </cell>
        </row>
        <row r="15404">
          <cell r="H15404" t="str">
            <v>CUC1</v>
          </cell>
          <cell r="K15404">
            <v>26.721180349433819</v>
          </cell>
        </row>
        <row r="15405">
          <cell r="H15405" t="str">
            <v>DVS1</v>
          </cell>
          <cell r="K15405">
            <v>25.320992505762117</v>
          </cell>
        </row>
        <row r="15406">
          <cell r="H15406" t="str">
            <v>EPFV</v>
          </cell>
          <cell r="K15406">
            <v>23.713454790710376</v>
          </cell>
        </row>
        <row r="15407">
          <cell r="H15407" t="str">
            <v>ESMR</v>
          </cell>
          <cell r="K15407">
            <v>25.273340412308499</v>
          </cell>
        </row>
        <row r="15408">
          <cell r="H15408" t="str">
            <v>GE32</v>
          </cell>
          <cell r="K15408">
            <v>72.276615135071864</v>
          </cell>
        </row>
        <row r="15409">
          <cell r="H15409" t="str">
            <v>GEC3</v>
          </cell>
          <cell r="K15409">
            <v>70.928544155804332</v>
          </cell>
        </row>
        <row r="15410">
          <cell r="H15410" t="str">
            <v>GTPE</v>
          </cell>
          <cell r="K15410">
            <v>197.59816504045327</v>
          </cell>
        </row>
        <row r="15411">
          <cell r="H15411" t="str">
            <v>GTRG</v>
          </cell>
          <cell r="K15411">
            <v>207.91005799743039</v>
          </cell>
        </row>
        <row r="15412">
          <cell r="H15412" t="str">
            <v>GVIO</v>
          </cell>
          <cell r="K15412">
            <v>25.320716592950564</v>
          </cell>
        </row>
        <row r="15413">
          <cell r="H15413" t="str">
            <v>GYP3</v>
          </cell>
          <cell r="K15413">
            <v>22.642132722423348</v>
          </cell>
        </row>
        <row r="15414">
          <cell r="H15414" t="str">
            <v>GYPO</v>
          </cell>
          <cell r="K15414">
            <v>22.642135509421443</v>
          </cell>
        </row>
        <row r="15415">
          <cell r="H15415" t="str">
            <v>HMIN</v>
          </cell>
          <cell r="K15415">
            <v>22.295984771842399</v>
          </cell>
        </row>
        <row r="15416">
          <cell r="H15416" t="str">
            <v>HMLG</v>
          </cell>
          <cell r="K15416">
            <v>300.99579441987242</v>
          </cell>
        </row>
        <row r="15417">
          <cell r="H15417" t="str">
            <v>JAGS</v>
          </cell>
          <cell r="K15417">
            <v>207.91005799743039</v>
          </cell>
        </row>
        <row r="15418">
          <cell r="H15418" t="str">
            <v>LTSJ</v>
          </cell>
          <cell r="K15418">
            <v>249.43632963498686</v>
          </cell>
        </row>
        <row r="15419">
          <cell r="H15419" t="str">
            <v>MATA</v>
          </cell>
          <cell r="K15419">
            <v>21.738585152546339</v>
          </cell>
        </row>
        <row r="15420">
          <cell r="H15420" t="str">
            <v>MOY1</v>
          </cell>
          <cell r="K15420">
            <v>24.968161333745808</v>
          </cell>
        </row>
        <row r="15421">
          <cell r="H15421" t="str">
            <v>MRL1</v>
          </cell>
          <cell r="K15421">
            <v>344.99134637091043</v>
          </cell>
        </row>
        <row r="15422">
          <cell r="H15422" t="str">
            <v>PES1</v>
          </cell>
          <cell r="K15422">
            <v>24.491581872249579</v>
          </cell>
        </row>
        <row r="15423">
          <cell r="H15423" t="str">
            <v>PGUG</v>
          </cell>
          <cell r="K15423">
            <v>181.15487627121951</v>
          </cell>
        </row>
        <row r="15424">
          <cell r="H15424" t="str">
            <v>PLYS</v>
          </cell>
          <cell r="K15424">
            <v>25.273337625310401</v>
          </cell>
        </row>
        <row r="15425">
          <cell r="H15425" t="str">
            <v>PORO</v>
          </cell>
          <cell r="K15425">
            <v>21.459885342898311</v>
          </cell>
        </row>
        <row r="15426">
          <cell r="H15426" t="str">
            <v>PPA1</v>
          </cell>
          <cell r="K15426">
            <v>79.841921467967637</v>
          </cell>
        </row>
        <row r="15427">
          <cell r="H15427" t="str">
            <v>PPA2</v>
          </cell>
          <cell r="K15427">
            <v>73.231719382735662</v>
          </cell>
        </row>
        <row r="15428">
          <cell r="H15428" t="str">
            <v>PPA3</v>
          </cell>
          <cell r="K15428">
            <v>76.331697365450694</v>
          </cell>
        </row>
        <row r="15429">
          <cell r="H15429" t="str">
            <v>PPA4</v>
          </cell>
          <cell r="K15429">
            <v>66.597827813683594</v>
          </cell>
        </row>
        <row r="15430">
          <cell r="H15430" t="str">
            <v>PRC2</v>
          </cell>
          <cell r="K15430">
            <v>209.16420714084651</v>
          </cell>
        </row>
        <row r="15431">
          <cell r="H15431" t="str">
            <v>PRC3</v>
          </cell>
          <cell r="K15431">
            <v>197.62603502141806</v>
          </cell>
        </row>
        <row r="15432">
          <cell r="H15432" t="str">
            <v>PRDO</v>
          </cell>
          <cell r="K15432">
            <v>306.569790612833</v>
          </cell>
        </row>
        <row r="15433">
          <cell r="H15433" t="str">
            <v>PRG1</v>
          </cell>
          <cell r="K15433">
            <v>251.26125598856214</v>
          </cell>
        </row>
        <row r="15434">
          <cell r="H15434" t="str">
            <v>PRG2</v>
          </cell>
          <cell r="K15434">
            <v>251.26125598856214</v>
          </cell>
        </row>
        <row r="15435">
          <cell r="H15435" t="str">
            <v>QUI1</v>
          </cell>
          <cell r="K15435">
            <v>178.36787817473919</v>
          </cell>
        </row>
        <row r="15436">
          <cell r="H15436" t="str">
            <v>SLVJ</v>
          </cell>
          <cell r="K15436">
            <v>335.55457081622814</v>
          </cell>
        </row>
        <row r="15437">
          <cell r="H15437" t="str">
            <v>SMI1</v>
          </cell>
          <cell r="K15437">
            <v>24.968158546747713</v>
          </cell>
        </row>
        <row r="15438">
          <cell r="H15438" t="str">
            <v>SNCR</v>
          </cell>
          <cell r="K15438">
            <v>207.77070809260636</v>
          </cell>
        </row>
        <row r="15439">
          <cell r="H15439" t="str">
            <v>SNFR</v>
          </cell>
          <cell r="K15439">
            <v>25.273334838312305</v>
          </cell>
        </row>
        <row r="15440">
          <cell r="H15440" t="str">
            <v>SOG1</v>
          </cell>
          <cell r="K15440">
            <v>197.7375149452773</v>
          </cell>
        </row>
        <row r="15441">
          <cell r="H15441" t="str">
            <v>TBQ3</v>
          </cell>
          <cell r="K15441">
            <v>305.81256323001929</v>
          </cell>
        </row>
        <row r="15442">
          <cell r="H15442" t="str">
            <v>TBQ4</v>
          </cell>
          <cell r="K15442">
            <v>292.11056578848354</v>
          </cell>
        </row>
        <row r="15443">
          <cell r="H15443" t="str">
            <v>TBST</v>
          </cell>
          <cell r="K15443">
            <v>209.04492362231716</v>
          </cell>
        </row>
        <row r="15444">
          <cell r="H15444" t="str">
            <v>TCBE</v>
          </cell>
          <cell r="K15444">
            <v>245.25583249026639</v>
          </cell>
        </row>
        <row r="15445">
          <cell r="H15445" t="str">
            <v>TCDT</v>
          </cell>
          <cell r="K15445">
            <v>183.3465715742916</v>
          </cell>
        </row>
        <row r="15446">
          <cell r="H15446" t="str">
            <v>TDR1</v>
          </cell>
          <cell r="K15446">
            <v>751.15451396146693</v>
          </cell>
        </row>
        <row r="15447">
          <cell r="H15447" t="str">
            <v>TEC1</v>
          </cell>
          <cell r="K15447">
            <v>427.43994715851608</v>
          </cell>
        </row>
        <row r="15448">
          <cell r="H15448" t="str">
            <v>TFL1</v>
          </cell>
          <cell r="K15448">
            <v>295.6946453405572</v>
          </cell>
        </row>
        <row r="15449">
          <cell r="H15449" t="str">
            <v>TFL4</v>
          </cell>
          <cell r="K15449">
            <v>309.62963582295873</v>
          </cell>
        </row>
        <row r="15450">
          <cell r="H15450" t="str">
            <v>TGJ1</v>
          </cell>
          <cell r="K15450">
            <v>173.77379051250108</v>
          </cell>
        </row>
        <row r="15451">
          <cell r="H15451" t="str">
            <v>TGJ2</v>
          </cell>
          <cell r="K15451">
            <v>208.64053019851787</v>
          </cell>
        </row>
        <row r="15452">
          <cell r="H15452" t="str">
            <v>TPUY</v>
          </cell>
          <cell r="K15452">
            <v>22.594472267975441</v>
          </cell>
        </row>
        <row r="15453">
          <cell r="H15453" t="str">
            <v>TRM1</v>
          </cell>
          <cell r="K15453">
            <v>279.62676521491937</v>
          </cell>
        </row>
        <row r="15454">
          <cell r="H15454" t="str">
            <v>TRN1</v>
          </cell>
          <cell r="K15454">
            <v>316.32428395051403</v>
          </cell>
        </row>
        <row r="15455">
          <cell r="H15455" t="str">
            <v>TSJ1</v>
          </cell>
          <cell r="K15455">
            <v>66.464330604862198</v>
          </cell>
        </row>
        <row r="15456">
          <cell r="H15456" t="str">
            <v>TSJ2</v>
          </cell>
          <cell r="K15456">
            <v>61.169034221549623</v>
          </cell>
        </row>
        <row r="15457">
          <cell r="H15457" t="str">
            <v>TSR1</v>
          </cell>
          <cell r="K15457">
            <v>387.15751277141874</v>
          </cell>
        </row>
        <row r="15458">
          <cell r="H15458" t="str">
            <v>TUJ1</v>
          </cell>
          <cell r="K15458">
            <v>24.491584659247678</v>
          </cell>
        </row>
        <row r="15459">
          <cell r="H15459" t="str">
            <v>TVL1</v>
          </cell>
          <cell r="K15459">
            <v>444.30295784107977</v>
          </cell>
        </row>
        <row r="15460">
          <cell r="H15460" t="str">
            <v>TYP1</v>
          </cell>
          <cell r="K15460">
            <v>23.438653991399324</v>
          </cell>
        </row>
        <row r="15461">
          <cell r="H15461" t="str">
            <v>TYP2</v>
          </cell>
          <cell r="K15461">
            <v>23.438659565395518</v>
          </cell>
        </row>
        <row r="15462">
          <cell r="H15462" t="str">
            <v>TYP3</v>
          </cell>
          <cell r="K15462">
            <v>23.438656778397419</v>
          </cell>
        </row>
        <row r="15463">
          <cell r="H15463" t="str">
            <v>TYP4</v>
          </cell>
          <cell r="K15463">
            <v>23.438665139391713</v>
          </cell>
        </row>
        <row r="15464">
          <cell r="H15464" t="str">
            <v>TYP5</v>
          </cell>
          <cell r="K15464">
            <v>23.438662352393614</v>
          </cell>
        </row>
        <row r="15465">
          <cell r="H15465" t="str">
            <v>URA1</v>
          </cell>
          <cell r="K15465">
            <v>198.43426446939736</v>
          </cell>
        </row>
        <row r="15466">
          <cell r="H15466" t="str">
            <v>ZPA2</v>
          </cell>
          <cell r="K15466">
            <v>90.782561195510695</v>
          </cell>
        </row>
        <row r="15467">
          <cell r="H15467" t="str">
            <v>ZPA3</v>
          </cell>
          <cell r="K15467">
            <v>83.874429013764981</v>
          </cell>
        </row>
        <row r="15468">
          <cell r="H15468" t="str">
            <v>ZPA4</v>
          </cell>
          <cell r="K15468">
            <v>87.057459539755129</v>
          </cell>
        </row>
        <row r="15469">
          <cell r="H15469" t="str">
            <v>ZPA5</v>
          </cell>
          <cell r="K15469">
            <v>81.96728621634351</v>
          </cell>
        </row>
        <row r="15470">
          <cell r="H15470" t="str">
            <v>2QEK</v>
          </cell>
          <cell r="K15470">
            <v>25.321271205571765</v>
          </cell>
        </row>
        <row r="15471">
          <cell r="H15471" t="str">
            <v>3DDT</v>
          </cell>
          <cell r="K15471">
            <v>23.71345200371228</v>
          </cell>
        </row>
        <row r="15472">
          <cell r="H15472" t="str">
            <v>3ENA</v>
          </cell>
          <cell r="K15472">
            <v>323.35978194526894</v>
          </cell>
        </row>
        <row r="15473">
          <cell r="H15473" t="str">
            <v>3HF5</v>
          </cell>
          <cell r="K15473">
            <v>22.642129935425253</v>
          </cell>
        </row>
        <row r="15474">
          <cell r="H15474" t="str">
            <v>3INX</v>
          </cell>
          <cell r="K15474">
            <v>22.57468458149043</v>
          </cell>
        </row>
        <row r="15475">
          <cell r="H15475" t="str">
            <v>3IQA</v>
          </cell>
          <cell r="K15475">
            <v>21.277336967578851</v>
          </cell>
        </row>
        <row r="15476">
          <cell r="H15476" t="str">
            <v>3IRX</v>
          </cell>
          <cell r="K15476">
            <v>21.277058267769203</v>
          </cell>
        </row>
        <row r="15477">
          <cell r="H15477" t="str">
            <v>3IZ6</v>
          </cell>
          <cell r="K15477">
            <v>21.738587939544438</v>
          </cell>
        </row>
        <row r="15478">
          <cell r="H15478" t="str">
            <v>4YCF</v>
          </cell>
          <cell r="K15478">
            <v>22.289295976410848</v>
          </cell>
        </row>
        <row r="15479">
          <cell r="H15479" t="str">
            <v>4YCN</v>
          </cell>
          <cell r="K15479">
            <v>66.115955842802151</v>
          </cell>
        </row>
        <row r="15480">
          <cell r="H15480" t="str">
            <v>ALBG</v>
          </cell>
          <cell r="K15480">
            <v>335.83327062587614</v>
          </cell>
        </row>
        <row r="15481">
          <cell r="H15481" t="str">
            <v>CHBG</v>
          </cell>
          <cell r="K15481">
            <v>25.320713805952469</v>
          </cell>
        </row>
        <row r="15482">
          <cell r="H15482" t="str">
            <v>CHVR</v>
          </cell>
          <cell r="K15482">
            <v>42.083671256852533</v>
          </cell>
        </row>
        <row r="15483">
          <cell r="H15483" t="str">
            <v>CLL1</v>
          </cell>
          <cell r="K15483">
            <v>22.295987558840498</v>
          </cell>
        </row>
        <row r="15484">
          <cell r="H15484" t="str">
            <v>CLMG</v>
          </cell>
          <cell r="K15484">
            <v>335.27587100658008</v>
          </cell>
        </row>
        <row r="15485">
          <cell r="H15485" t="str">
            <v>CTG1</v>
          </cell>
          <cell r="K15485">
            <v>390.1415516333202</v>
          </cell>
        </row>
        <row r="15486">
          <cell r="H15486" t="str">
            <v>CTG2</v>
          </cell>
          <cell r="K15486">
            <v>389.67974604873342</v>
          </cell>
        </row>
        <row r="15487">
          <cell r="H15487" t="str">
            <v>CTG3</v>
          </cell>
          <cell r="K15487">
            <v>407.835923848064</v>
          </cell>
        </row>
        <row r="15488">
          <cell r="H15488" t="str">
            <v>CUC1</v>
          </cell>
          <cell r="K15488">
            <v>26.721180349433819</v>
          </cell>
        </row>
        <row r="15489">
          <cell r="H15489" t="str">
            <v>DVS1</v>
          </cell>
          <cell r="K15489">
            <v>25.320992505762117</v>
          </cell>
        </row>
        <row r="15490">
          <cell r="H15490" t="str">
            <v>EPFV</v>
          </cell>
          <cell r="K15490">
            <v>23.713454790710376</v>
          </cell>
        </row>
        <row r="15491">
          <cell r="H15491" t="str">
            <v>ESMR</v>
          </cell>
          <cell r="K15491">
            <v>25.273340412308499</v>
          </cell>
        </row>
        <row r="15492">
          <cell r="H15492" t="str">
            <v>GE32</v>
          </cell>
          <cell r="K15492">
            <v>72.276615135071864</v>
          </cell>
        </row>
        <row r="15493">
          <cell r="H15493" t="str">
            <v>GEC3</v>
          </cell>
          <cell r="K15493">
            <v>70.928544155804332</v>
          </cell>
        </row>
        <row r="15494">
          <cell r="H15494" t="str">
            <v>GTPE</v>
          </cell>
          <cell r="K15494">
            <v>197.59816504045327</v>
          </cell>
        </row>
        <row r="15495">
          <cell r="H15495" t="str">
            <v>GTRG</v>
          </cell>
          <cell r="K15495">
            <v>207.91005799743039</v>
          </cell>
        </row>
        <row r="15496">
          <cell r="H15496" t="str">
            <v>GVIO</v>
          </cell>
          <cell r="K15496">
            <v>25.320716592950564</v>
          </cell>
        </row>
        <row r="15497">
          <cell r="H15497" t="str">
            <v>GYP3</v>
          </cell>
          <cell r="K15497">
            <v>22.642132722423348</v>
          </cell>
        </row>
        <row r="15498">
          <cell r="H15498" t="str">
            <v>GYPO</v>
          </cell>
          <cell r="K15498">
            <v>22.642135509421443</v>
          </cell>
        </row>
        <row r="15499">
          <cell r="H15499" t="str">
            <v>HMIN</v>
          </cell>
          <cell r="K15499">
            <v>22.295984771842399</v>
          </cell>
        </row>
        <row r="15500">
          <cell r="H15500" t="str">
            <v>HMLG</v>
          </cell>
          <cell r="K15500">
            <v>300.99579441987242</v>
          </cell>
        </row>
        <row r="15501">
          <cell r="H15501" t="str">
            <v>JAGS</v>
          </cell>
          <cell r="K15501">
            <v>207.91005799743039</v>
          </cell>
        </row>
        <row r="15502">
          <cell r="H15502" t="str">
            <v>LTSJ</v>
          </cell>
          <cell r="K15502">
            <v>249.43632963498686</v>
          </cell>
        </row>
        <row r="15503">
          <cell r="H15503" t="str">
            <v>MATA</v>
          </cell>
          <cell r="K15503">
            <v>21.738585152546339</v>
          </cell>
        </row>
        <row r="15504">
          <cell r="H15504" t="str">
            <v>MOY1</v>
          </cell>
          <cell r="K15504">
            <v>24.968161333745808</v>
          </cell>
        </row>
        <row r="15505">
          <cell r="H15505" t="str">
            <v>MRL1</v>
          </cell>
          <cell r="K15505">
            <v>344.99134637091043</v>
          </cell>
        </row>
        <row r="15506">
          <cell r="H15506" t="str">
            <v>PES1</v>
          </cell>
          <cell r="K15506">
            <v>24.491581872249579</v>
          </cell>
        </row>
        <row r="15507">
          <cell r="H15507" t="str">
            <v>PGUG</v>
          </cell>
          <cell r="K15507">
            <v>181.15487627121951</v>
          </cell>
        </row>
        <row r="15508">
          <cell r="H15508" t="str">
            <v>PLYS</v>
          </cell>
          <cell r="K15508">
            <v>25.273337625310401</v>
          </cell>
        </row>
        <row r="15509">
          <cell r="H15509" t="str">
            <v>PORO</v>
          </cell>
          <cell r="K15509">
            <v>21.459885342898311</v>
          </cell>
        </row>
        <row r="15510">
          <cell r="H15510" t="str">
            <v>PPA1</v>
          </cell>
          <cell r="K15510">
            <v>79.841921467967637</v>
          </cell>
        </row>
        <row r="15511">
          <cell r="H15511" t="str">
            <v>PPA2</v>
          </cell>
          <cell r="K15511">
            <v>73.231719382735662</v>
          </cell>
        </row>
        <row r="15512">
          <cell r="H15512" t="str">
            <v>PPA3</v>
          </cell>
          <cell r="K15512">
            <v>76.331697365450694</v>
          </cell>
        </row>
        <row r="15513">
          <cell r="H15513" t="str">
            <v>PPA4</v>
          </cell>
          <cell r="K15513">
            <v>66.597827813683594</v>
          </cell>
        </row>
        <row r="15514">
          <cell r="H15514" t="str">
            <v>PRC2</v>
          </cell>
          <cell r="K15514">
            <v>209.16420714084651</v>
          </cell>
        </row>
        <row r="15515">
          <cell r="H15515" t="str">
            <v>PRC3</v>
          </cell>
          <cell r="K15515">
            <v>197.62603502141806</v>
          </cell>
        </row>
        <row r="15516">
          <cell r="H15516" t="str">
            <v>PRDO</v>
          </cell>
          <cell r="K15516">
            <v>306.569790612833</v>
          </cell>
        </row>
        <row r="15517">
          <cell r="H15517" t="str">
            <v>PRG1</v>
          </cell>
          <cell r="K15517">
            <v>251.26125598856214</v>
          </cell>
        </row>
        <row r="15518">
          <cell r="H15518" t="str">
            <v>PRG2</v>
          </cell>
          <cell r="K15518">
            <v>251.26125598856214</v>
          </cell>
        </row>
        <row r="15519">
          <cell r="H15519" t="str">
            <v>QUI1</v>
          </cell>
          <cell r="K15519">
            <v>178.36787817473919</v>
          </cell>
        </row>
        <row r="15520">
          <cell r="H15520" t="str">
            <v>SLVJ</v>
          </cell>
          <cell r="K15520">
            <v>335.55457081622814</v>
          </cell>
        </row>
        <row r="15521">
          <cell r="H15521" t="str">
            <v>SMI1</v>
          </cell>
          <cell r="K15521">
            <v>24.968158546747713</v>
          </cell>
        </row>
        <row r="15522">
          <cell r="H15522" t="str">
            <v>SNCR</v>
          </cell>
          <cell r="K15522">
            <v>207.77070809260636</v>
          </cell>
        </row>
        <row r="15523">
          <cell r="H15523" t="str">
            <v>SNFR</v>
          </cell>
          <cell r="K15523">
            <v>25.273334838312305</v>
          </cell>
        </row>
        <row r="15524">
          <cell r="H15524" t="str">
            <v>SOG1</v>
          </cell>
          <cell r="K15524">
            <v>197.7375149452773</v>
          </cell>
        </row>
        <row r="15525">
          <cell r="H15525" t="str">
            <v>TBQ3</v>
          </cell>
          <cell r="K15525">
            <v>305.81256323001929</v>
          </cell>
        </row>
        <row r="15526">
          <cell r="H15526" t="str">
            <v>TBQ4</v>
          </cell>
          <cell r="K15526">
            <v>292.11056578848354</v>
          </cell>
        </row>
        <row r="15527">
          <cell r="H15527" t="str">
            <v>TBST</v>
          </cell>
          <cell r="K15527">
            <v>209.04492362231716</v>
          </cell>
        </row>
        <row r="15528">
          <cell r="H15528" t="str">
            <v>TCBE</v>
          </cell>
          <cell r="K15528">
            <v>245.25583249026639</v>
          </cell>
        </row>
        <row r="15529">
          <cell r="H15529" t="str">
            <v>TCDT</v>
          </cell>
          <cell r="K15529">
            <v>183.3465715742916</v>
          </cell>
        </row>
        <row r="15530">
          <cell r="H15530" t="str">
            <v>TDR1</v>
          </cell>
          <cell r="K15530">
            <v>751.15451396146693</v>
          </cell>
        </row>
        <row r="15531">
          <cell r="H15531" t="str">
            <v>TEC1</v>
          </cell>
          <cell r="K15531">
            <v>427.43994715851608</v>
          </cell>
        </row>
        <row r="15532">
          <cell r="H15532" t="str">
            <v>TFL1</v>
          </cell>
          <cell r="K15532">
            <v>295.6946453405572</v>
          </cell>
        </row>
        <row r="15533">
          <cell r="H15533" t="str">
            <v>TFL4</v>
          </cell>
          <cell r="K15533">
            <v>309.62963582295873</v>
          </cell>
        </row>
        <row r="15534">
          <cell r="H15534" t="str">
            <v>TGJ1</v>
          </cell>
          <cell r="K15534">
            <v>173.77379051250108</v>
          </cell>
        </row>
        <row r="15535">
          <cell r="H15535" t="str">
            <v>TGJ2</v>
          </cell>
          <cell r="K15535">
            <v>208.64053019851787</v>
          </cell>
        </row>
        <row r="15536">
          <cell r="H15536" t="str">
            <v>TPUY</v>
          </cell>
          <cell r="K15536">
            <v>22.594472267975441</v>
          </cell>
        </row>
        <row r="15537">
          <cell r="H15537" t="str">
            <v>TRM1</v>
          </cell>
          <cell r="K15537">
            <v>279.62676521491937</v>
          </cell>
        </row>
        <row r="15538">
          <cell r="H15538" t="str">
            <v>TRN1</v>
          </cell>
          <cell r="K15538">
            <v>316.32428395051403</v>
          </cell>
        </row>
        <row r="15539">
          <cell r="H15539" t="str">
            <v>TSJ1</v>
          </cell>
          <cell r="K15539">
            <v>66.464330604862198</v>
          </cell>
        </row>
        <row r="15540">
          <cell r="H15540" t="str">
            <v>TSJ2</v>
          </cell>
          <cell r="K15540">
            <v>61.169034221549623</v>
          </cell>
        </row>
        <row r="15541">
          <cell r="H15541" t="str">
            <v>TSR1</v>
          </cell>
          <cell r="K15541">
            <v>387.15751277141874</v>
          </cell>
        </row>
        <row r="15542">
          <cell r="H15542" t="str">
            <v>TUJ1</v>
          </cell>
          <cell r="K15542">
            <v>24.491584659247678</v>
          </cell>
        </row>
        <row r="15543">
          <cell r="H15543" t="str">
            <v>TVL1</v>
          </cell>
          <cell r="K15543">
            <v>444.30295784107977</v>
          </cell>
        </row>
        <row r="15544">
          <cell r="H15544" t="str">
            <v>TYP1</v>
          </cell>
          <cell r="K15544">
            <v>23.438653991399324</v>
          </cell>
        </row>
        <row r="15545">
          <cell r="H15545" t="str">
            <v>TYP2</v>
          </cell>
          <cell r="K15545">
            <v>23.438659565395518</v>
          </cell>
        </row>
        <row r="15546">
          <cell r="H15546" t="str">
            <v>TYP3</v>
          </cell>
          <cell r="K15546">
            <v>23.438656778397419</v>
          </cell>
        </row>
        <row r="15547">
          <cell r="H15547" t="str">
            <v>TYP4</v>
          </cell>
          <cell r="K15547">
            <v>23.438665139391713</v>
          </cell>
        </row>
        <row r="15548">
          <cell r="H15548" t="str">
            <v>TYP5</v>
          </cell>
          <cell r="K15548">
            <v>23.438662352393614</v>
          </cell>
        </row>
        <row r="15549">
          <cell r="H15549" t="str">
            <v>URA1</v>
          </cell>
          <cell r="K15549">
            <v>198.43426446939736</v>
          </cell>
        </row>
        <row r="15550">
          <cell r="H15550" t="str">
            <v>ZPA2</v>
          </cell>
          <cell r="K15550">
            <v>90.782561195510695</v>
          </cell>
        </row>
        <row r="15551">
          <cell r="H15551" t="str">
            <v>ZPA3</v>
          </cell>
          <cell r="K15551">
            <v>83.874429013764981</v>
          </cell>
        </row>
        <row r="15552">
          <cell r="H15552" t="str">
            <v>ZPA4</v>
          </cell>
          <cell r="K15552">
            <v>87.057459539755129</v>
          </cell>
        </row>
        <row r="15553">
          <cell r="H15553" t="str">
            <v>ZPA5</v>
          </cell>
          <cell r="K15553">
            <v>81.96728621634351</v>
          </cell>
        </row>
        <row r="15554">
          <cell r="H15554" t="str">
            <v>2QEK</v>
          </cell>
          <cell r="K15554">
            <v>25.321271205571765</v>
          </cell>
        </row>
        <row r="15555">
          <cell r="H15555" t="str">
            <v>3DDT</v>
          </cell>
          <cell r="K15555">
            <v>23.71345200371228</v>
          </cell>
        </row>
        <row r="15556">
          <cell r="H15556" t="str">
            <v>3ENA</v>
          </cell>
          <cell r="K15556">
            <v>323.35978194526894</v>
          </cell>
        </row>
        <row r="15557">
          <cell r="H15557" t="str">
            <v>3HF5</v>
          </cell>
          <cell r="K15557">
            <v>22.642129935425253</v>
          </cell>
        </row>
        <row r="15558">
          <cell r="H15558" t="str">
            <v>3INX</v>
          </cell>
          <cell r="K15558">
            <v>22.57468458149043</v>
          </cell>
        </row>
        <row r="15559">
          <cell r="H15559" t="str">
            <v>3IQA</v>
          </cell>
          <cell r="K15559">
            <v>21.277336967578851</v>
          </cell>
        </row>
        <row r="15560">
          <cell r="H15560" t="str">
            <v>3IRX</v>
          </cell>
          <cell r="K15560">
            <v>21.277058267769203</v>
          </cell>
        </row>
        <row r="15561">
          <cell r="H15561" t="str">
            <v>3IZ6</v>
          </cell>
          <cell r="K15561">
            <v>21.738587939544438</v>
          </cell>
        </row>
        <row r="15562">
          <cell r="H15562" t="str">
            <v>4YCF</v>
          </cell>
          <cell r="K15562">
            <v>22.289295976410848</v>
          </cell>
        </row>
        <row r="15563">
          <cell r="H15563" t="str">
            <v>4YCN</v>
          </cell>
          <cell r="K15563">
            <v>66.115955842802151</v>
          </cell>
        </row>
        <row r="15564">
          <cell r="H15564" t="str">
            <v>ALBG</v>
          </cell>
          <cell r="K15564">
            <v>335.83327062587614</v>
          </cell>
        </row>
        <row r="15565">
          <cell r="H15565" t="str">
            <v>CHBG</v>
          </cell>
          <cell r="K15565">
            <v>25.320713805952469</v>
          </cell>
        </row>
        <row r="15566">
          <cell r="H15566" t="str">
            <v>CHVR</v>
          </cell>
          <cell r="K15566">
            <v>42.083671256852533</v>
          </cell>
        </row>
        <row r="15567">
          <cell r="H15567" t="str">
            <v>CLL1</v>
          </cell>
          <cell r="K15567">
            <v>22.295987558840498</v>
          </cell>
        </row>
        <row r="15568">
          <cell r="H15568" t="str">
            <v>CLMG</v>
          </cell>
          <cell r="K15568">
            <v>335.27587100658008</v>
          </cell>
        </row>
        <row r="15569">
          <cell r="H15569" t="str">
            <v>CTG1</v>
          </cell>
          <cell r="K15569">
            <v>390.1415516333202</v>
          </cell>
        </row>
        <row r="15570">
          <cell r="H15570" t="str">
            <v>CTG2</v>
          </cell>
          <cell r="K15570">
            <v>389.67974604873342</v>
          </cell>
        </row>
        <row r="15571">
          <cell r="H15571" t="str">
            <v>CTG3</v>
          </cell>
          <cell r="K15571">
            <v>407.835923848064</v>
          </cell>
        </row>
        <row r="15572">
          <cell r="H15572" t="str">
            <v>CUC1</v>
          </cell>
          <cell r="K15572">
            <v>26.721180349433819</v>
          </cell>
        </row>
        <row r="15573">
          <cell r="H15573" t="str">
            <v>DVS1</v>
          </cell>
          <cell r="K15573">
            <v>25.320992505762117</v>
          </cell>
        </row>
        <row r="15574">
          <cell r="H15574" t="str">
            <v>EPFV</v>
          </cell>
          <cell r="K15574">
            <v>23.713454790710376</v>
          </cell>
        </row>
        <row r="15575">
          <cell r="H15575" t="str">
            <v>ESMR</v>
          </cell>
          <cell r="K15575">
            <v>25.273340412308499</v>
          </cell>
        </row>
        <row r="15576">
          <cell r="H15576" t="str">
            <v>GE32</v>
          </cell>
          <cell r="K15576">
            <v>72.276615135071864</v>
          </cell>
        </row>
        <row r="15577">
          <cell r="H15577" t="str">
            <v>GEC3</v>
          </cell>
          <cell r="K15577">
            <v>70.928544155804332</v>
          </cell>
        </row>
        <row r="15578">
          <cell r="H15578" t="str">
            <v>GTPE</v>
          </cell>
          <cell r="K15578">
            <v>197.59816504045327</v>
          </cell>
        </row>
        <row r="15579">
          <cell r="H15579" t="str">
            <v>GTRG</v>
          </cell>
          <cell r="K15579">
            <v>207.91005799743039</v>
          </cell>
        </row>
        <row r="15580">
          <cell r="H15580" t="str">
            <v>GVIO</v>
          </cell>
          <cell r="K15580">
            <v>25.320716592950564</v>
          </cell>
        </row>
        <row r="15581">
          <cell r="H15581" t="str">
            <v>GYP3</v>
          </cell>
          <cell r="K15581">
            <v>22.642132722423348</v>
          </cell>
        </row>
        <row r="15582">
          <cell r="H15582" t="str">
            <v>GYPO</v>
          </cell>
          <cell r="K15582">
            <v>22.642135509421443</v>
          </cell>
        </row>
        <row r="15583">
          <cell r="H15583" t="str">
            <v>HMIN</v>
          </cell>
          <cell r="K15583">
            <v>22.295984771842399</v>
          </cell>
        </row>
        <row r="15584">
          <cell r="H15584" t="str">
            <v>HMLG</v>
          </cell>
          <cell r="K15584">
            <v>300.99579441987242</v>
          </cell>
        </row>
        <row r="15585">
          <cell r="H15585" t="str">
            <v>JAGS</v>
          </cell>
          <cell r="K15585">
            <v>207.91005799743039</v>
          </cell>
        </row>
        <row r="15586">
          <cell r="H15586" t="str">
            <v>LTSJ</v>
          </cell>
          <cell r="K15586">
            <v>249.43632963498686</v>
          </cell>
        </row>
        <row r="15587">
          <cell r="H15587" t="str">
            <v>MATA</v>
          </cell>
          <cell r="K15587">
            <v>21.738585152546339</v>
          </cell>
        </row>
        <row r="15588">
          <cell r="H15588" t="str">
            <v>MOY1</v>
          </cell>
          <cell r="K15588">
            <v>24.968161333745808</v>
          </cell>
        </row>
        <row r="15589">
          <cell r="H15589" t="str">
            <v>MRL1</v>
          </cell>
          <cell r="K15589">
            <v>344.99134637091043</v>
          </cell>
        </row>
        <row r="15590">
          <cell r="H15590" t="str">
            <v>PES1</v>
          </cell>
          <cell r="K15590">
            <v>24.491581872249579</v>
          </cell>
        </row>
        <row r="15591">
          <cell r="H15591" t="str">
            <v>PGUG</v>
          </cell>
          <cell r="K15591">
            <v>181.15487627121951</v>
          </cell>
        </row>
        <row r="15592">
          <cell r="H15592" t="str">
            <v>PLYS</v>
          </cell>
          <cell r="K15592">
            <v>25.273337625310401</v>
          </cell>
        </row>
        <row r="15593">
          <cell r="H15593" t="str">
            <v>PORO</v>
          </cell>
          <cell r="K15593">
            <v>21.459885342898311</v>
          </cell>
        </row>
        <row r="15594">
          <cell r="H15594" t="str">
            <v>PPA1</v>
          </cell>
          <cell r="K15594">
            <v>79.841921467967637</v>
          </cell>
        </row>
        <row r="15595">
          <cell r="H15595" t="str">
            <v>PPA2</v>
          </cell>
          <cell r="K15595">
            <v>73.231719382735662</v>
          </cell>
        </row>
        <row r="15596">
          <cell r="H15596" t="str">
            <v>PPA3</v>
          </cell>
          <cell r="K15596">
            <v>76.331697365450694</v>
          </cell>
        </row>
        <row r="15597">
          <cell r="H15597" t="str">
            <v>PPA4</v>
          </cell>
          <cell r="K15597">
            <v>66.597827813683594</v>
          </cell>
        </row>
        <row r="15598">
          <cell r="H15598" t="str">
            <v>PRC2</v>
          </cell>
          <cell r="K15598">
            <v>209.16420714084651</v>
          </cell>
        </row>
        <row r="15599">
          <cell r="H15599" t="str">
            <v>PRC3</v>
          </cell>
          <cell r="K15599">
            <v>197.62603502141806</v>
          </cell>
        </row>
        <row r="15600">
          <cell r="H15600" t="str">
            <v>PRDO</v>
          </cell>
          <cell r="K15600">
            <v>306.569790612833</v>
          </cell>
        </row>
        <row r="15601">
          <cell r="H15601" t="str">
            <v>PRG1</v>
          </cell>
          <cell r="K15601">
            <v>251.26125598856214</v>
          </cell>
        </row>
        <row r="15602">
          <cell r="H15602" t="str">
            <v>PRG2</v>
          </cell>
          <cell r="K15602">
            <v>251.26125598856214</v>
          </cell>
        </row>
        <row r="15603">
          <cell r="H15603" t="str">
            <v>QUI1</v>
          </cell>
          <cell r="K15603">
            <v>178.36787817473919</v>
          </cell>
        </row>
        <row r="15604">
          <cell r="H15604" t="str">
            <v>SLVJ</v>
          </cell>
          <cell r="K15604">
            <v>335.55457081622814</v>
          </cell>
        </row>
        <row r="15605">
          <cell r="H15605" t="str">
            <v>SMI1</v>
          </cell>
          <cell r="K15605">
            <v>24.968158546747713</v>
          </cell>
        </row>
        <row r="15606">
          <cell r="H15606" t="str">
            <v>SNCR</v>
          </cell>
          <cell r="K15606">
            <v>207.77070809260636</v>
          </cell>
        </row>
        <row r="15607">
          <cell r="H15607" t="str">
            <v>SNFR</v>
          </cell>
          <cell r="K15607">
            <v>25.273334838312305</v>
          </cell>
        </row>
        <row r="15608">
          <cell r="H15608" t="str">
            <v>SOG1</v>
          </cell>
          <cell r="K15608">
            <v>197.7375149452773</v>
          </cell>
        </row>
        <row r="15609">
          <cell r="H15609" t="str">
            <v>TBQ3</v>
          </cell>
          <cell r="K15609">
            <v>305.81256323001929</v>
          </cell>
        </row>
        <row r="15610">
          <cell r="H15610" t="str">
            <v>TBQ4</v>
          </cell>
          <cell r="K15610">
            <v>292.11056578848354</v>
          </cell>
        </row>
        <row r="15611">
          <cell r="H15611" t="str">
            <v>TBST</v>
          </cell>
          <cell r="K15611">
            <v>209.04492362231716</v>
          </cell>
        </row>
        <row r="15612">
          <cell r="H15612" t="str">
            <v>TCBE</v>
          </cell>
          <cell r="K15612">
            <v>245.25583249026639</v>
          </cell>
        </row>
        <row r="15613">
          <cell r="H15613" t="str">
            <v>TCDT</v>
          </cell>
          <cell r="K15613">
            <v>183.3465715742916</v>
          </cell>
        </row>
        <row r="15614">
          <cell r="H15614" t="str">
            <v>TDR1</v>
          </cell>
          <cell r="K15614">
            <v>751.15451396146693</v>
          </cell>
        </row>
        <row r="15615">
          <cell r="H15615" t="str">
            <v>TEC1</v>
          </cell>
          <cell r="K15615">
            <v>427.43994715851608</v>
          </cell>
        </row>
        <row r="15616">
          <cell r="H15616" t="str">
            <v>TFL1</v>
          </cell>
          <cell r="K15616">
            <v>295.6946453405572</v>
          </cell>
        </row>
        <row r="15617">
          <cell r="H15617" t="str">
            <v>TFL4</v>
          </cell>
          <cell r="K15617">
            <v>309.62963582295873</v>
          </cell>
        </row>
        <row r="15618">
          <cell r="H15618" t="str">
            <v>TGJ1</v>
          </cell>
          <cell r="K15618">
            <v>173.77379051250108</v>
          </cell>
        </row>
        <row r="15619">
          <cell r="H15619" t="str">
            <v>TGJ2</v>
          </cell>
          <cell r="K15619">
            <v>208.64053019851787</v>
          </cell>
        </row>
        <row r="15620">
          <cell r="H15620" t="str">
            <v>TPUY</v>
          </cell>
          <cell r="K15620">
            <v>22.594472267975441</v>
          </cell>
        </row>
        <row r="15621">
          <cell r="H15621" t="str">
            <v>TRM1</v>
          </cell>
          <cell r="K15621">
            <v>279.62676521491937</v>
          </cell>
        </row>
        <row r="15622">
          <cell r="H15622" t="str">
            <v>TRN1</v>
          </cell>
          <cell r="K15622">
            <v>316.32428395051403</v>
          </cell>
        </row>
        <row r="15623">
          <cell r="H15623" t="str">
            <v>TSJ1</v>
          </cell>
          <cell r="K15623">
            <v>66.464330604862198</v>
          </cell>
        </row>
        <row r="15624">
          <cell r="H15624" t="str">
            <v>TSJ2</v>
          </cell>
          <cell r="K15624">
            <v>61.169034221549623</v>
          </cell>
        </row>
        <row r="15625">
          <cell r="H15625" t="str">
            <v>TSR1</v>
          </cell>
          <cell r="K15625">
            <v>387.15751277141874</v>
          </cell>
        </row>
        <row r="15626">
          <cell r="H15626" t="str">
            <v>TUJ1</v>
          </cell>
          <cell r="K15626">
            <v>24.491584659247678</v>
          </cell>
        </row>
        <row r="15627">
          <cell r="H15627" t="str">
            <v>TVL1</v>
          </cell>
          <cell r="K15627">
            <v>444.30295784107977</v>
          </cell>
        </row>
        <row r="15628">
          <cell r="H15628" t="str">
            <v>TYP1</v>
          </cell>
          <cell r="K15628">
            <v>23.438653991399324</v>
          </cell>
        </row>
        <row r="15629">
          <cell r="H15629" t="str">
            <v>TYP2</v>
          </cell>
          <cell r="K15629">
            <v>23.438659565395518</v>
          </cell>
        </row>
        <row r="15630">
          <cell r="H15630" t="str">
            <v>TYP3</v>
          </cell>
          <cell r="K15630">
            <v>23.438656778397419</v>
          </cell>
        </row>
        <row r="15631">
          <cell r="H15631" t="str">
            <v>TYP4</v>
          </cell>
          <cell r="K15631">
            <v>23.438665139391713</v>
          </cell>
        </row>
        <row r="15632">
          <cell r="H15632" t="str">
            <v>TYP5</v>
          </cell>
          <cell r="K15632">
            <v>23.438662352393614</v>
          </cell>
        </row>
        <row r="15633">
          <cell r="H15633" t="str">
            <v>URA1</v>
          </cell>
          <cell r="K15633">
            <v>198.43426446939736</v>
          </cell>
        </row>
        <row r="15634">
          <cell r="H15634" t="str">
            <v>ZPA2</v>
          </cell>
          <cell r="K15634">
            <v>90.782561195510695</v>
          </cell>
        </row>
        <row r="15635">
          <cell r="H15635" t="str">
            <v>ZPA3</v>
          </cell>
          <cell r="K15635">
            <v>83.874429013764981</v>
          </cell>
        </row>
        <row r="15636">
          <cell r="H15636" t="str">
            <v>ZPA4</v>
          </cell>
          <cell r="K15636">
            <v>87.057459539755129</v>
          </cell>
        </row>
        <row r="15637">
          <cell r="H15637" t="str">
            <v>ZPA5</v>
          </cell>
          <cell r="K15637">
            <v>81.96728621634351</v>
          </cell>
        </row>
        <row r="15638">
          <cell r="H15638" t="str">
            <v>2QEK</v>
          </cell>
          <cell r="K15638">
            <v>25.321271205571765</v>
          </cell>
        </row>
        <row r="15639">
          <cell r="H15639" t="str">
            <v>3DDT</v>
          </cell>
          <cell r="K15639">
            <v>23.71345200371228</v>
          </cell>
        </row>
        <row r="15640">
          <cell r="H15640" t="str">
            <v>3ENA</v>
          </cell>
          <cell r="K15640">
            <v>323.35978194526894</v>
          </cell>
        </row>
        <row r="15641">
          <cell r="H15641" t="str">
            <v>3HF5</v>
          </cell>
          <cell r="K15641">
            <v>22.642129935425253</v>
          </cell>
        </row>
        <row r="15642">
          <cell r="H15642" t="str">
            <v>3INX</v>
          </cell>
          <cell r="K15642">
            <v>22.57468458149043</v>
          </cell>
        </row>
        <row r="15643">
          <cell r="H15643" t="str">
            <v>3IQA</v>
          </cell>
          <cell r="K15643">
            <v>21.277336967578851</v>
          </cell>
        </row>
        <row r="15644">
          <cell r="H15644" t="str">
            <v>3IRX</v>
          </cell>
          <cell r="K15644">
            <v>21.277058267769203</v>
          </cell>
        </row>
        <row r="15645">
          <cell r="H15645" t="str">
            <v>3IZ6</v>
          </cell>
          <cell r="K15645">
            <v>21.738587939544438</v>
          </cell>
        </row>
        <row r="15646">
          <cell r="H15646" t="str">
            <v>4YCF</v>
          </cell>
          <cell r="K15646">
            <v>22.289295976410848</v>
          </cell>
        </row>
        <row r="15647">
          <cell r="H15647" t="str">
            <v>4YCN</v>
          </cell>
          <cell r="K15647">
            <v>66.115955842802151</v>
          </cell>
        </row>
        <row r="15648">
          <cell r="H15648" t="str">
            <v>ALBG</v>
          </cell>
          <cell r="K15648">
            <v>335.83327062587614</v>
          </cell>
        </row>
        <row r="15649">
          <cell r="H15649" t="str">
            <v>CHBG</v>
          </cell>
          <cell r="K15649">
            <v>25.320713805952469</v>
          </cell>
        </row>
        <row r="15650">
          <cell r="H15650" t="str">
            <v>CHVR</v>
          </cell>
          <cell r="K15650">
            <v>42.083671256852533</v>
          </cell>
        </row>
        <row r="15651">
          <cell r="H15651" t="str">
            <v>CLL1</v>
          </cell>
          <cell r="K15651">
            <v>22.295987558840498</v>
          </cell>
        </row>
        <row r="15652">
          <cell r="H15652" t="str">
            <v>CLMG</v>
          </cell>
          <cell r="K15652">
            <v>335.27587100658008</v>
          </cell>
        </row>
        <row r="15653">
          <cell r="H15653" t="str">
            <v>CTG1</v>
          </cell>
          <cell r="K15653">
            <v>390.1415516333202</v>
          </cell>
        </row>
        <row r="15654">
          <cell r="H15654" t="str">
            <v>CTG2</v>
          </cell>
          <cell r="K15654">
            <v>389.67974604873342</v>
          </cell>
        </row>
        <row r="15655">
          <cell r="H15655" t="str">
            <v>CTG3</v>
          </cell>
          <cell r="K15655">
            <v>407.835923848064</v>
          </cell>
        </row>
        <row r="15656">
          <cell r="H15656" t="str">
            <v>CUC1</v>
          </cell>
          <cell r="K15656">
            <v>26.721180349433819</v>
          </cell>
        </row>
        <row r="15657">
          <cell r="H15657" t="str">
            <v>DVS1</v>
          </cell>
          <cell r="K15657">
            <v>25.320992505762117</v>
          </cell>
        </row>
        <row r="15658">
          <cell r="H15658" t="str">
            <v>EPFV</v>
          </cell>
          <cell r="K15658">
            <v>23.713454790710376</v>
          </cell>
        </row>
        <row r="15659">
          <cell r="H15659" t="str">
            <v>ESMR</v>
          </cell>
          <cell r="K15659">
            <v>25.273340412308499</v>
          </cell>
        </row>
        <row r="15660">
          <cell r="H15660" t="str">
            <v>GE32</v>
          </cell>
          <cell r="K15660">
            <v>72.276615135071864</v>
          </cell>
        </row>
        <row r="15661">
          <cell r="H15661" t="str">
            <v>GEC3</v>
          </cell>
          <cell r="K15661">
            <v>70.928544155804332</v>
          </cell>
        </row>
        <row r="15662">
          <cell r="H15662" t="str">
            <v>GTPE</v>
          </cell>
          <cell r="K15662">
            <v>197.59816504045327</v>
          </cell>
        </row>
        <row r="15663">
          <cell r="H15663" t="str">
            <v>GTRG</v>
          </cell>
          <cell r="K15663">
            <v>207.91005799743039</v>
          </cell>
        </row>
        <row r="15664">
          <cell r="H15664" t="str">
            <v>GVIO</v>
          </cell>
          <cell r="K15664">
            <v>25.320716592950564</v>
          </cell>
        </row>
        <row r="15665">
          <cell r="H15665" t="str">
            <v>GYP3</v>
          </cell>
          <cell r="K15665">
            <v>22.642132722423348</v>
          </cell>
        </row>
        <row r="15666">
          <cell r="H15666" t="str">
            <v>GYPO</v>
          </cell>
          <cell r="K15666">
            <v>22.642135509421443</v>
          </cell>
        </row>
        <row r="15667">
          <cell r="H15667" t="str">
            <v>HMIN</v>
          </cell>
          <cell r="K15667">
            <v>22.295984771842399</v>
          </cell>
        </row>
        <row r="15668">
          <cell r="H15668" t="str">
            <v>HMLG</v>
          </cell>
          <cell r="K15668">
            <v>300.99579441987242</v>
          </cell>
        </row>
        <row r="15669">
          <cell r="H15669" t="str">
            <v>JAGS</v>
          </cell>
          <cell r="K15669">
            <v>207.91005799743039</v>
          </cell>
        </row>
        <row r="15670">
          <cell r="H15670" t="str">
            <v>LTSJ</v>
          </cell>
          <cell r="K15670">
            <v>249.43632963498686</v>
          </cell>
        </row>
        <row r="15671">
          <cell r="H15671" t="str">
            <v>MATA</v>
          </cell>
          <cell r="K15671">
            <v>21.738585152546339</v>
          </cell>
        </row>
        <row r="15672">
          <cell r="H15672" t="str">
            <v>MOY1</v>
          </cell>
          <cell r="K15672">
            <v>24.968161333745808</v>
          </cell>
        </row>
        <row r="15673">
          <cell r="H15673" t="str">
            <v>MRL1</v>
          </cell>
          <cell r="K15673">
            <v>344.99134637091043</v>
          </cell>
        </row>
        <row r="15674">
          <cell r="H15674" t="str">
            <v>PES1</v>
          </cell>
          <cell r="K15674">
            <v>24.491581872249579</v>
          </cell>
        </row>
        <row r="15675">
          <cell r="H15675" t="str">
            <v>PGUG</v>
          </cell>
          <cell r="K15675">
            <v>181.15487627121951</v>
          </cell>
        </row>
        <row r="15676">
          <cell r="H15676" t="str">
            <v>PLYS</v>
          </cell>
          <cell r="K15676">
            <v>25.273337625310401</v>
          </cell>
        </row>
        <row r="15677">
          <cell r="H15677" t="str">
            <v>PORO</v>
          </cell>
          <cell r="K15677">
            <v>21.459885342898311</v>
          </cell>
        </row>
        <row r="15678">
          <cell r="H15678" t="str">
            <v>PPA1</v>
          </cell>
          <cell r="K15678">
            <v>79.841921467967637</v>
          </cell>
        </row>
        <row r="15679">
          <cell r="H15679" t="str">
            <v>PPA2</v>
          </cell>
          <cell r="K15679">
            <v>73.231719382735662</v>
          </cell>
        </row>
        <row r="15680">
          <cell r="H15680" t="str">
            <v>PPA3</v>
          </cell>
          <cell r="K15680">
            <v>76.331697365450694</v>
          </cell>
        </row>
        <row r="15681">
          <cell r="H15681" t="str">
            <v>PPA4</v>
          </cell>
          <cell r="K15681">
            <v>66.597827813683594</v>
          </cell>
        </row>
        <row r="15682">
          <cell r="H15682" t="str">
            <v>PRC2</v>
          </cell>
          <cell r="K15682">
            <v>209.16420714084651</v>
          </cell>
        </row>
        <row r="15683">
          <cell r="H15683" t="str">
            <v>PRC3</v>
          </cell>
          <cell r="K15683">
            <v>197.62603502141806</v>
          </cell>
        </row>
        <row r="15684">
          <cell r="H15684" t="str">
            <v>PRDO</v>
          </cell>
          <cell r="K15684">
            <v>306.569790612833</v>
          </cell>
        </row>
        <row r="15685">
          <cell r="H15685" t="str">
            <v>PRG1</v>
          </cell>
          <cell r="K15685">
            <v>251.26125598856214</v>
          </cell>
        </row>
        <row r="15686">
          <cell r="H15686" t="str">
            <v>PRG2</v>
          </cell>
          <cell r="K15686">
            <v>251.26125598856214</v>
          </cell>
        </row>
        <row r="15687">
          <cell r="H15687" t="str">
            <v>QUI1</v>
          </cell>
          <cell r="K15687">
            <v>178.36787817473919</v>
          </cell>
        </row>
        <row r="15688">
          <cell r="H15688" t="str">
            <v>SLVJ</v>
          </cell>
          <cell r="K15688">
            <v>335.55457081622814</v>
          </cell>
        </row>
        <row r="15689">
          <cell r="H15689" t="str">
            <v>SMI1</v>
          </cell>
          <cell r="K15689">
            <v>24.968158546747713</v>
          </cell>
        </row>
        <row r="15690">
          <cell r="H15690" t="str">
            <v>SNCR</v>
          </cell>
          <cell r="K15690">
            <v>207.77070809260636</v>
          </cell>
        </row>
        <row r="15691">
          <cell r="H15691" t="str">
            <v>SNFR</v>
          </cell>
          <cell r="K15691">
            <v>25.273334838312305</v>
          </cell>
        </row>
        <row r="15692">
          <cell r="H15692" t="str">
            <v>SOG1</v>
          </cell>
          <cell r="K15692">
            <v>197.7375149452773</v>
          </cell>
        </row>
        <row r="15693">
          <cell r="H15693" t="str">
            <v>TBQ3</v>
          </cell>
          <cell r="K15693">
            <v>305.81256323001929</v>
          </cell>
        </row>
        <row r="15694">
          <cell r="H15694" t="str">
            <v>TBQ4</v>
          </cell>
          <cell r="K15694">
            <v>292.11056578848354</v>
          </cell>
        </row>
        <row r="15695">
          <cell r="H15695" t="str">
            <v>TBST</v>
          </cell>
          <cell r="K15695">
            <v>209.04492362231716</v>
          </cell>
        </row>
        <row r="15696">
          <cell r="H15696" t="str">
            <v>TCBE</v>
          </cell>
          <cell r="K15696">
            <v>245.25583249026639</v>
          </cell>
        </row>
        <row r="15697">
          <cell r="H15697" t="str">
            <v>TCDT</v>
          </cell>
          <cell r="K15697">
            <v>183.3465715742916</v>
          </cell>
        </row>
        <row r="15698">
          <cell r="H15698" t="str">
            <v>TDR1</v>
          </cell>
          <cell r="K15698">
            <v>751.15451396146693</v>
          </cell>
        </row>
        <row r="15699">
          <cell r="H15699" t="str">
            <v>TEC1</v>
          </cell>
          <cell r="K15699">
            <v>427.43994715851608</v>
          </cell>
        </row>
        <row r="15700">
          <cell r="H15700" t="str">
            <v>TFL1</v>
          </cell>
          <cell r="K15700">
            <v>295.6946453405572</v>
          </cell>
        </row>
        <row r="15701">
          <cell r="H15701" t="str">
            <v>TFL4</v>
          </cell>
          <cell r="K15701">
            <v>309.62963582295873</v>
          </cell>
        </row>
        <row r="15702">
          <cell r="H15702" t="str">
            <v>TGJ1</v>
          </cell>
          <cell r="K15702">
            <v>173.77379051250108</v>
          </cell>
        </row>
        <row r="15703">
          <cell r="H15703" t="str">
            <v>TGJ2</v>
          </cell>
          <cell r="K15703">
            <v>208.64053019851787</v>
          </cell>
        </row>
        <row r="15704">
          <cell r="H15704" t="str">
            <v>TPUY</v>
          </cell>
          <cell r="K15704">
            <v>22.594472267975441</v>
          </cell>
        </row>
        <row r="15705">
          <cell r="H15705" t="str">
            <v>TRM1</v>
          </cell>
          <cell r="K15705">
            <v>279.62676521491937</v>
          </cell>
        </row>
        <row r="15706">
          <cell r="H15706" t="str">
            <v>TRN1</v>
          </cell>
          <cell r="K15706">
            <v>316.32428395051403</v>
          </cell>
        </row>
        <row r="15707">
          <cell r="H15707" t="str">
            <v>TSJ1</v>
          </cell>
          <cell r="K15707">
            <v>66.464330604862198</v>
          </cell>
        </row>
        <row r="15708">
          <cell r="H15708" t="str">
            <v>TSJ2</v>
          </cell>
          <cell r="K15708">
            <v>61.169034221549623</v>
          </cell>
        </row>
        <row r="15709">
          <cell r="H15709" t="str">
            <v>TSR1</v>
          </cell>
          <cell r="K15709">
            <v>387.15751277141874</v>
          </cell>
        </row>
        <row r="15710">
          <cell r="H15710" t="str">
            <v>TUJ1</v>
          </cell>
          <cell r="K15710">
            <v>24.491584659247678</v>
          </cell>
        </row>
        <row r="15711">
          <cell r="H15711" t="str">
            <v>TVL1</v>
          </cell>
          <cell r="K15711">
            <v>444.30295784107977</v>
          </cell>
        </row>
        <row r="15712">
          <cell r="H15712" t="str">
            <v>TYP1</v>
          </cell>
          <cell r="K15712">
            <v>23.438653991399324</v>
          </cell>
        </row>
        <row r="15713">
          <cell r="H15713" t="str">
            <v>TYP2</v>
          </cell>
          <cell r="K15713">
            <v>23.438659565395518</v>
          </cell>
        </row>
        <row r="15714">
          <cell r="H15714" t="str">
            <v>TYP3</v>
          </cell>
          <cell r="K15714">
            <v>23.438656778397419</v>
          </cell>
        </row>
        <row r="15715">
          <cell r="H15715" t="str">
            <v>TYP4</v>
          </cell>
          <cell r="K15715">
            <v>23.438665139391713</v>
          </cell>
        </row>
        <row r="15716">
          <cell r="H15716" t="str">
            <v>TYP5</v>
          </cell>
          <cell r="K15716">
            <v>23.438662352393614</v>
          </cell>
        </row>
        <row r="15717">
          <cell r="H15717" t="str">
            <v>URA1</v>
          </cell>
          <cell r="K15717">
            <v>198.43426446939736</v>
          </cell>
        </row>
        <row r="15718">
          <cell r="H15718" t="str">
            <v>ZPA2</v>
          </cell>
          <cell r="K15718">
            <v>90.782561195510695</v>
          </cell>
        </row>
        <row r="15719">
          <cell r="H15719" t="str">
            <v>ZPA3</v>
          </cell>
          <cell r="K15719">
            <v>83.874429013764981</v>
          </cell>
        </row>
        <row r="15720">
          <cell r="H15720" t="str">
            <v>ZPA4</v>
          </cell>
          <cell r="K15720">
            <v>87.057459539755129</v>
          </cell>
        </row>
        <row r="15721">
          <cell r="H15721" t="str">
            <v>ZPA5</v>
          </cell>
          <cell r="K15721">
            <v>81.96728621634351</v>
          </cell>
        </row>
        <row r="15722">
          <cell r="H15722" t="str">
            <v>2QEK</v>
          </cell>
          <cell r="K15722">
            <v>25.321271205571765</v>
          </cell>
        </row>
        <row r="15723">
          <cell r="H15723" t="str">
            <v>3DDT</v>
          </cell>
          <cell r="K15723">
            <v>23.71345200371228</v>
          </cell>
        </row>
        <row r="15724">
          <cell r="H15724" t="str">
            <v>3ENA</v>
          </cell>
          <cell r="K15724">
            <v>323.35978194526894</v>
          </cell>
        </row>
        <row r="15725">
          <cell r="H15725" t="str">
            <v>3HF5</v>
          </cell>
          <cell r="K15725">
            <v>22.642129935425253</v>
          </cell>
        </row>
        <row r="15726">
          <cell r="H15726" t="str">
            <v>3INX</v>
          </cell>
          <cell r="K15726">
            <v>22.57468458149043</v>
          </cell>
        </row>
        <row r="15727">
          <cell r="H15727" t="str">
            <v>3IQA</v>
          </cell>
          <cell r="K15727">
            <v>21.277336967578851</v>
          </cell>
        </row>
        <row r="15728">
          <cell r="H15728" t="str">
            <v>3IRX</v>
          </cell>
          <cell r="K15728">
            <v>21.277058267769203</v>
          </cell>
        </row>
        <row r="15729">
          <cell r="H15729" t="str">
            <v>3IZ6</v>
          </cell>
          <cell r="K15729">
            <v>21.738587939544438</v>
          </cell>
        </row>
        <row r="15730">
          <cell r="H15730" t="str">
            <v>4YCF</v>
          </cell>
          <cell r="K15730">
            <v>22.289295976410848</v>
          </cell>
        </row>
        <row r="15731">
          <cell r="H15731" t="str">
            <v>4YCN</v>
          </cell>
          <cell r="K15731">
            <v>66.115955842802151</v>
          </cell>
        </row>
        <row r="15732">
          <cell r="H15732" t="str">
            <v>ALBG</v>
          </cell>
          <cell r="K15732">
            <v>335.83327062587614</v>
          </cell>
        </row>
        <row r="15733">
          <cell r="H15733" t="str">
            <v>CHBG</v>
          </cell>
          <cell r="K15733">
            <v>25.320713805952469</v>
          </cell>
        </row>
        <row r="15734">
          <cell r="H15734" t="str">
            <v>CHVR</v>
          </cell>
          <cell r="K15734">
            <v>42.083671256852533</v>
          </cell>
        </row>
        <row r="15735">
          <cell r="H15735" t="str">
            <v>CLL1</v>
          </cell>
          <cell r="K15735">
            <v>22.295987558840498</v>
          </cell>
        </row>
        <row r="15736">
          <cell r="H15736" t="str">
            <v>CLMG</v>
          </cell>
          <cell r="K15736">
            <v>335.27587100658008</v>
          </cell>
        </row>
        <row r="15737">
          <cell r="H15737" t="str">
            <v>CTG1</v>
          </cell>
          <cell r="K15737">
            <v>390.1415516333202</v>
          </cell>
        </row>
        <row r="15738">
          <cell r="H15738" t="str">
            <v>CTG2</v>
          </cell>
          <cell r="K15738">
            <v>389.67974604873342</v>
          </cell>
        </row>
        <row r="15739">
          <cell r="H15739" t="str">
            <v>CTG3</v>
          </cell>
          <cell r="K15739">
            <v>407.835923848064</v>
          </cell>
        </row>
        <row r="15740">
          <cell r="H15740" t="str">
            <v>CUC1</v>
          </cell>
          <cell r="K15740">
            <v>26.721180349433819</v>
          </cell>
        </row>
        <row r="15741">
          <cell r="H15741" t="str">
            <v>DVS1</v>
          </cell>
          <cell r="K15741">
            <v>25.320992505762117</v>
          </cell>
        </row>
        <row r="15742">
          <cell r="H15742" t="str">
            <v>EPFV</v>
          </cell>
          <cell r="K15742">
            <v>23.713454790710376</v>
          </cell>
        </row>
        <row r="15743">
          <cell r="H15743" t="str">
            <v>ESMR</v>
          </cell>
          <cell r="K15743">
            <v>25.273340412308499</v>
          </cell>
        </row>
        <row r="15744">
          <cell r="H15744" t="str">
            <v>GE32</v>
          </cell>
          <cell r="K15744">
            <v>72.276615135071864</v>
          </cell>
        </row>
        <row r="15745">
          <cell r="H15745" t="str">
            <v>GEC3</v>
          </cell>
          <cell r="K15745">
            <v>70.928544155804332</v>
          </cell>
        </row>
        <row r="15746">
          <cell r="H15746" t="str">
            <v>GTPE</v>
          </cell>
          <cell r="K15746">
            <v>197.59816504045327</v>
          </cell>
        </row>
        <row r="15747">
          <cell r="H15747" t="str">
            <v>GTRG</v>
          </cell>
          <cell r="K15747">
            <v>207.91005799743039</v>
          </cell>
        </row>
        <row r="15748">
          <cell r="H15748" t="str">
            <v>GVIO</v>
          </cell>
          <cell r="K15748">
            <v>25.320716592950564</v>
          </cell>
        </row>
        <row r="15749">
          <cell r="H15749" t="str">
            <v>GYP3</v>
          </cell>
          <cell r="K15749">
            <v>22.642132722423348</v>
          </cell>
        </row>
        <row r="15750">
          <cell r="H15750" t="str">
            <v>GYPO</v>
          </cell>
          <cell r="K15750">
            <v>22.642135509421443</v>
          </cell>
        </row>
        <row r="15751">
          <cell r="H15751" t="str">
            <v>HMIN</v>
          </cell>
          <cell r="K15751">
            <v>22.295984771842399</v>
          </cell>
        </row>
        <row r="15752">
          <cell r="H15752" t="str">
            <v>HMLG</v>
          </cell>
          <cell r="K15752">
            <v>300.99579441987242</v>
          </cell>
        </row>
        <row r="15753">
          <cell r="H15753" t="str">
            <v>JAGS</v>
          </cell>
          <cell r="K15753">
            <v>207.91005799743039</v>
          </cell>
        </row>
        <row r="15754">
          <cell r="H15754" t="str">
            <v>LTSJ</v>
          </cell>
          <cell r="K15754">
            <v>249.43632963498686</v>
          </cell>
        </row>
        <row r="15755">
          <cell r="H15755" t="str">
            <v>MATA</v>
          </cell>
          <cell r="K15755">
            <v>21.738585152546339</v>
          </cell>
        </row>
        <row r="15756">
          <cell r="H15756" t="str">
            <v>MOY1</v>
          </cell>
          <cell r="K15756">
            <v>24.968161333745808</v>
          </cell>
        </row>
        <row r="15757">
          <cell r="H15757" t="str">
            <v>MRL1</v>
          </cell>
          <cell r="K15757">
            <v>344.99134637091043</v>
          </cell>
        </row>
        <row r="15758">
          <cell r="H15758" t="str">
            <v>PES1</v>
          </cell>
          <cell r="K15758">
            <v>24.491581872249579</v>
          </cell>
        </row>
        <row r="15759">
          <cell r="H15759" t="str">
            <v>PGUG</v>
          </cell>
          <cell r="K15759">
            <v>181.15487627121951</v>
          </cell>
        </row>
        <row r="15760">
          <cell r="H15760" t="str">
            <v>PLYS</v>
          </cell>
          <cell r="K15760">
            <v>25.273337625310401</v>
          </cell>
        </row>
        <row r="15761">
          <cell r="H15761" t="str">
            <v>PORO</v>
          </cell>
          <cell r="K15761">
            <v>21.459885342898311</v>
          </cell>
        </row>
        <row r="15762">
          <cell r="H15762" t="str">
            <v>PPA1</v>
          </cell>
          <cell r="K15762">
            <v>79.841921467967637</v>
          </cell>
        </row>
        <row r="15763">
          <cell r="H15763" t="str">
            <v>PPA2</v>
          </cell>
          <cell r="K15763">
            <v>73.231719382735662</v>
          </cell>
        </row>
        <row r="15764">
          <cell r="H15764" t="str">
            <v>PPA3</v>
          </cell>
          <cell r="K15764">
            <v>76.331697365450694</v>
          </cell>
        </row>
        <row r="15765">
          <cell r="H15765" t="str">
            <v>PPA4</v>
          </cell>
          <cell r="K15765">
            <v>66.597827813683594</v>
          </cell>
        </row>
        <row r="15766">
          <cell r="H15766" t="str">
            <v>PRC2</v>
          </cell>
          <cell r="K15766">
            <v>209.16420714084651</v>
          </cell>
        </row>
        <row r="15767">
          <cell r="H15767" t="str">
            <v>PRC3</v>
          </cell>
          <cell r="K15767">
            <v>197.62603502141806</v>
          </cell>
        </row>
        <row r="15768">
          <cell r="H15768" t="str">
            <v>PRDO</v>
          </cell>
          <cell r="K15768">
            <v>306.569790612833</v>
          </cell>
        </row>
        <row r="15769">
          <cell r="H15769" t="str">
            <v>PRG1</v>
          </cell>
          <cell r="K15769">
            <v>251.26125598856214</v>
          </cell>
        </row>
        <row r="15770">
          <cell r="H15770" t="str">
            <v>PRG2</v>
          </cell>
          <cell r="K15770">
            <v>251.26125598856214</v>
          </cell>
        </row>
        <row r="15771">
          <cell r="H15771" t="str">
            <v>QUI1</v>
          </cell>
          <cell r="K15771">
            <v>178.36787817473919</v>
          </cell>
        </row>
        <row r="15772">
          <cell r="H15772" t="str">
            <v>SLVJ</v>
          </cell>
          <cell r="K15772">
            <v>335.55457081622814</v>
          </cell>
        </row>
        <row r="15773">
          <cell r="H15773" t="str">
            <v>SMI1</v>
          </cell>
          <cell r="K15773">
            <v>24.968158546747713</v>
          </cell>
        </row>
        <row r="15774">
          <cell r="H15774" t="str">
            <v>SNCR</v>
          </cell>
          <cell r="K15774">
            <v>207.77070809260636</v>
          </cell>
        </row>
        <row r="15775">
          <cell r="H15775" t="str">
            <v>SNFR</v>
          </cell>
          <cell r="K15775">
            <v>25.273334838312305</v>
          </cell>
        </row>
        <row r="15776">
          <cell r="H15776" t="str">
            <v>SOG1</v>
          </cell>
          <cell r="K15776">
            <v>197.7375149452773</v>
          </cell>
        </row>
        <row r="15777">
          <cell r="H15777" t="str">
            <v>TBQ3</v>
          </cell>
          <cell r="K15777">
            <v>305.81256323001929</v>
          </cell>
        </row>
        <row r="15778">
          <cell r="H15778" t="str">
            <v>TBQ4</v>
          </cell>
          <cell r="K15778">
            <v>292.11056578848354</v>
          </cell>
        </row>
        <row r="15779">
          <cell r="H15779" t="str">
            <v>TBST</v>
          </cell>
          <cell r="K15779">
            <v>209.04492362231716</v>
          </cell>
        </row>
        <row r="15780">
          <cell r="H15780" t="str">
            <v>TCBE</v>
          </cell>
          <cell r="K15780">
            <v>245.25583249026639</v>
          </cell>
        </row>
        <row r="15781">
          <cell r="H15781" t="str">
            <v>TCDT</v>
          </cell>
          <cell r="K15781">
            <v>183.3465715742916</v>
          </cell>
        </row>
        <row r="15782">
          <cell r="H15782" t="str">
            <v>TDR1</v>
          </cell>
          <cell r="K15782">
            <v>751.15451396146693</v>
          </cell>
        </row>
        <row r="15783">
          <cell r="H15783" t="str">
            <v>TEC1</v>
          </cell>
          <cell r="K15783">
            <v>427.43994715851608</v>
          </cell>
        </row>
        <row r="15784">
          <cell r="H15784" t="str">
            <v>TFL1</v>
          </cell>
          <cell r="K15784">
            <v>295.6946453405572</v>
          </cell>
        </row>
        <row r="15785">
          <cell r="H15785" t="str">
            <v>TFL4</v>
          </cell>
          <cell r="K15785">
            <v>309.62963582295873</v>
          </cell>
        </row>
        <row r="15786">
          <cell r="H15786" t="str">
            <v>TGJ1</v>
          </cell>
          <cell r="K15786">
            <v>173.77379051250108</v>
          </cell>
        </row>
        <row r="15787">
          <cell r="H15787" t="str">
            <v>TGJ2</v>
          </cell>
          <cell r="K15787">
            <v>208.64053019851787</v>
          </cell>
        </row>
        <row r="15788">
          <cell r="H15788" t="str">
            <v>TPUY</v>
          </cell>
          <cell r="K15788">
            <v>22.594472267975441</v>
          </cell>
        </row>
        <row r="15789">
          <cell r="H15789" t="str">
            <v>TRM1</v>
          </cell>
          <cell r="K15789">
            <v>279.62676521491937</v>
          </cell>
        </row>
        <row r="15790">
          <cell r="H15790" t="str">
            <v>TRN1</v>
          </cell>
          <cell r="K15790">
            <v>316.32428395051403</v>
          </cell>
        </row>
        <row r="15791">
          <cell r="H15791" t="str">
            <v>TSJ1</v>
          </cell>
          <cell r="K15791">
            <v>66.464330604862198</v>
          </cell>
        </row>
        <row r="15792">
          <cell r="H15792" t="str">
            <v>TSJ2</v>
          </cell>
          <cell r="K15792">
            <v>61.169034221549623</v>
          </cell>
        </row>
        <row r="15793">
          <cell r="H15793" t="str">
            <v>TSR1</v>
          </cell>
          <cell r="K15793">
            <v>387.15751277141874</v>
          </cell>
        </row>
        <row r="15794">
          <cell r="H15794" t="str">
            <v>TUJ1</v>
          </cell>
          <cell r="K15794">
            <v>24.491584659247678</v>
          </cell>
        </row>
        <row r="15795">
          <cell r="H15795" t="str">
            <v>TVL1</v>
          </cell>
          <cell r="K15795">
            <v>444.30295784107977</v>
          </cell>
        </row>
        <row r="15796">
          <cell r="H15796" t="str">
            <v>TYP1</v>
          </cell>
          <cell r="K15796">
            <v>23.438653991399324</v>
          </cell>
        </row>
        <row r="15797">
          <cell r="H15797" t="str">
            <v>TYP2</v>
          </cell>
          <cell r="K15797">
            <v>23.438659565395518</v>
          </cell>
        </row>
        <row r="15798">
          <cell r="H15798" t="str">
            <v>TYP3</v>
          </cell>
          <cell r="K15798">
            <v>23.438656778397419</v>
          </cell>
        </row>
        <row r="15799">
          <cell r="H15799" t="str">
            <v>TYP4</v>
          </cell>
          <cell r="K15799">
            <v>23.438665139391713</v>
          </cell>
        </row>
        <row r="15800">
          <cell r="H15800" t="str">
            <v>TYP5</v>
          </cell>
          <cell r="K15800">
            <v>23.438662352393614</v>
          </cell>
        </row>
        <row r="15801">
          <cell r="H15801" t="str">
            <v>URA1</v>
          </cell>
          <cell r="K15801">
            <v>198.43426446939736</v>
          </cell>
        </row>
        <row r="15802">
          <cell r="H15802" t="str">
            <v>ZPA2</v>
          </cell>
          <cell r="K15802">
            <v>90.782561195510695</v>
          </cell>
        </row>
        <row r="15803">
          <cell r="H15803" t="str">
            <v>ZPA3</v>
          </cell>
          <cell r="K15803">
            <v>83.874429013764981</v>
          </cell>
        </row>
        <row r="15804">
          <cell r="H15804" t="str">
            <v>ZPA4</v>
          </cell>
          <cell r="K15804">
            <v>87.057459539755129</v>
          </cell>
        </row>
        <row r="15805">
          <cell r="H15805" t="str">
            <v>ZPA5</v>
          </cell>
          <cell r="K15805">
            <v>81.96728621634351</v>
          </cell>
        </row>
        <row r="15806">
          <cell r="H15806" t="str">
            <v>2QEK</v>
          </cell>
          <cell r="K15806">
            <v>25.321271205571765</v>
          </cell>
        </row>
        <row r="15807">
          <cell r="H15807" t="str">
            <v>3DDT</v>
          </cell>
          <cell r="K15807">
            <v>23.71345200371228</v>
          </cell>
        </row>
        <row r="15808">
          <cell r="H15808" t="str">
            <v>3ENA</v>
          </cell>
          <cell r="K15808">
            <v>323.35978194526894</v>
          </cell>
        </row>
        <row r="15809">
          <cell r="H15809" t="str">
            <v>3HF5</v>
          </cell>
          <cell r="K15809">
            <v>22.642129935425253</v>
          </cell>
        </row>
        <row r="15810">
          <cell r="H15810" t="str">
            <v>3INX</v>
          </cell>
          <cell r="K15810">
            <v>22.57468458149043</v>
          </cell>
        </row>
        <row r="15811">
          <cell r="H15811" t="str">
            <v>3IQA</v>
          </cell>
          <cell r="K15811">
            <v>21.277336967578851</v>
          </cell>
        </row>
        <row r="15812">
          <cell r="H15812" t="str">
            <v>3IRX</v>
          </cell>
          <cell r="K15812">
            <v>21.277058267769203</v>
          </cell>
        </row>
        <row r="15813">
          <cell r="H15813" t="str">
            <v>3IZ6</v>
          </cell>
          <cell r="K15813">
            <v>21.738587939544438</v>
          </cell>
        </row>
        <row r="15814">
          <cell r="H15814" t="str">
            <v>4YCF</v>
          </cell>
          <cell r="K15814">
            <v>22.289295976410848</v>
          </cell>
        </row>
        <row r="15815">
          <cell r="H15815" t="str">
            <v>4YCN</v>
          </cell>
          <cell r="K15815">
            <v>66.115955842802151</v>
          </cell>
        </row>
        <row r="15816">
          <cell r="H15816" t="str">
            <v>ALBG</v>
          </cell>
          <cell r="K15816">
            <v>335.83327062587614</v>
          </cell>
        </row>
        <row r="15817">
          <cell r="H15817" t="str">
            <v>CHBG</v>
          </cell>
          <cell r="K15817">
            <v>25.320713805952469</v>
          </cell>
        </row>
        <row r="15818">
          <cell r="H15818" t="str">
            <v>CHVR</v>
          </cell>
          <cell r="K15818">
            <v>42.083671256852533</v>
          </cell>
        </row>
        <row r="15819">
          <cell r="H15819" t="str">
            <v>CLL1</v>
          </cell>
          <cell r="K15819">
            <v>22.295987558840498</v>
          </cell>
        </row>
        <row r="15820">
          <cell r="H15820" t="str">
            <v>CLMG</v>
          </cell>
          <cell r="K15820">
            <v>335.27587100658008</v>
          </cell>
        </row>
        <row r="15821">
          <cell r="H15821" t="str">
            <v>CTG1</v>
          </cell>
          <cell r="K15821">
            <v>390.1415516333202</v>
          </cell>
        </row>
        <row r="15822">
          <cell r="H15822" t="str">
            <v>CTG2</v>
          </cell>
          <cell r="K15822">
            <v>389.67974604873342</v>
          </cell>
        </row>
        <row r="15823">
          <cell r="H15823" t="str">
            <v>CTG3</v>
          </cell>
          <cell r="K15823">
            <v>407.835923848064</v>
          </cell>
        </row>
        <row r="15824">
          <cell r="H15824" t="str">
            <v>CUC1</v>
          </cell>
          <cell r="K15824">
            <v>26.721180349433819</v>
          </cell>
        </row>
        <row r="15825">
          <cell r="H15825" t="str">
            <v>DVS1</v>
          </cell>
          <cell r="K15825">
            <v>25.320992505762117</v>
          </cell>
        </row>
        <row r="15826">
          <cell r="H15826" t="str">
            <v>EPFV</v>
          </cell>
          <cell r="K15826">
            <v>23.713454790710376</v>
          </cell>
        </row>
        <row r="15827">
          <cell r="H15827" t="str">
            <v>ESMR</v>
          </cell>
          <cell r="K15827">
            <v>25.273340412308499</v>
          </cell>
        </row>
        <row r="15828">
          <cell r="H15828" t="str">
            <v>GE32</v>
          </cell>
          <cell r="K15828">
            <v>72.276615135071864</v>
          </cell>
        </row>
        <row r="15829">
          <cell r="H15829" t="str">
            <v>GEC3</v>
          </cell>
          <cell r="K15829">
            <v>70.928544155804332</v>
          </cell>
        </row>
        <row r="15830">
          <cell r="H15830" t="str">
            <v>GTPE</v>
          </cell>
          <cell r="K15830">
            <v>197.59816504045327</v>
          </cell>
        </row>
        <row r="15831">
          <cell r="H15831" t="str">
            <v>GTRG</v>
          </cell>
          <cell r="K15831">
            <v>207.91005799743039</v>
          </cell>
        </row>
        <row r="15832">
          <cell r="H15832" t="str">
            <v>GVIO</v>
          </cell>
          <cell r="K15832">
            <v>25.320716592950564</v>
          </cell>
        </row>
        <row r="15833">
          <cell r="H15833" t="str">
            <v>GYP3</v>
          </cell>
          <cell r="K15833">
            <v>22.642132722423348</v>
          </cell>
        </row>
        <row r="15834">
          <cell r="H15834" t="str">
            <v>GYPO</v>
          </cell>
          <cell r="K15834">
            <v>22.642135509421443</v>
          </cell>
        </row>
        <row r="15835">
          <cell r="H15835" t="str">
            <v>HMIN</v>
          </cell>
          <cell r="K15835">
            <v>22.295984771842399</v>
          </cell>
        </row>
        <row r="15836">
          <cell r="H15836" t="str">
            <v>HMLG</v>
          </cell>
          <cell r="K15836">
            <v>300.99579441987242</v>
          </cell>
        </row>
        <row r="15837">
          <cell r="H15837" t="str">
            <v>JAGS</v>
          </cell>
          <cell r="K15837">
            <v>207.91005799743039</v>
          </cell>
        </row>
        <row r="15838">
          <cell r="H15838" t="str">
            <v>LTSJ</v>
          </cell>
          <cell r="K15838">
            <v>249.43632963498686</v>
          </cell>
        </row>
        <row r="15839">
          <cell r="H15839" t="str">
            <v>MATA</v>
          </cell>
          <cell r="K15839">
            <v>21.738585152546339</v>
          </cell>
        </row>
        <row r="15840">
          <cell r="H15840" t="str">
            <v>MOY1</v>
          </cell>
          <cell r="K15840">
            <v>24.968161333745808</v>
          </cell>
        </row>
        <row r="15841">
          <cell r="H15841" t="str">
            <v>MRL1</v>
          </cell>
          <cell r="K15841">
            <v>344.99134637091043</v>
          </cell>
        </row>
        <row r="15842">
          <cell r="H15842" t="str">
            <v>PES1</v>
          </cell>
          <cell r="K15842">
            <v>24.491581872249579</v>
          </cell>
        </row>
        <row r="15843">
          <cell r="H15843" t="str">
            <v>PGUG</v>
          </cell>
          <cell r="K15843">
            <v>181.15487627121951</v>
          </cell>
        </row>
        <row r="15844">
          <cell r="H15844" t="str">
            <v>PLYS</v>
          </cell>
          <cell r="K15844">
            <v>25.273337625310401</v>
          </cell>
        </row>
        <row r="15845">
          <cell r="H15845" t="str">
            <v>PORO</v>
          </cell>
          <cell r="K15845">
            <v>21.459885342898311</v>
          </cell>
        </row>
        <row r="15846">
          <cell r="H15846" t="str">
            <v>PPA1</v>
          </cell>
          <cell r="K15846">
            <v>79.841921467967637</v>
          </cell>
        </row>
        <row r="15847">
          <cell r="H15847" t="str">
            <v>PPA2</v>
          </cell>
          <cell r="K15847">
            <v>73.231719382735662</v>
          </cell>
        </row>
        <row r="15848">
          <cell r="H15848" t="str">
            <v>PPA3</v>
          </cell>
          <cell r="K15848">
            <v>76.331697365450694</v>
          </cell>
        </row>
        <row r="15849">
          <cell r="H15849" t="str">
            <v>PPA4</v>
          </cell>
          <cell r="K15849">
            <v>66.597827813683594</v>
          </cell>
        </row>
        <row r="15850">
          <cell r="H15850" t="str">
            <v>PRC2</v>
          </cell>
          <cell r="K15850">
            <v>209.16420714084651</v>
          </cell>
        </row>
        <row r="15851">
          <cell r="H15851" t="str">
            <v>PRC3</v>
          </cell>
          <cell r="K15851">
            <v>197.62603502141806</v>
          </cell>
        </row>
        <row r="15852">
          <cell r="H15852" t="str">
            <v>PRDO</v>
          </cell>
          <cell r="K15852">
            <v>306.569790612833</v>
          </cell>
        </row>
        <row r="15853">
          <cell r="H15853" t="str">
            <v>PRG1</v>
          </cell>
          <cell r="K15853">
            <v>251.26125598856214</v>
          </cell>
        </row>
        <row r="15854">
          <cell r="H15854" t="str">
            <v>PRG2</v>
          </cell>
          <cell r="K15854">
            <v>251.26125598856214</v>
          </cell>
        </row>
        <row r="15855">
          <cell r="H15855" t="str">
            <v>QUI1</v>
          </cell>
          <cell r="K15855">
            <v>178.36787817473919</v>
          </cell>
        </row>
        <row r="15856">
          <cell r="H15856" t="str">
            <v>SLVJ</v>
          </cell>
          <cell r="K15856">
            <v>335.55457081622814</v>
          </cell>
        </row>
        <row r="15857">
          <cell r="H15857" t="str">
            <v>SMI1</v>
          </cell>
          <cell r="K15857">
            <v>24.968158546747713</v>
          </cell>
        </row>
        <row r="15858">
          <cell r="H15858" t="str">
            <v>SNCR</v>
          </cell>
          <cell r="K15858">
            <v>207.77070809260636</v>
          </cell>
        </row>
        <row r="15859">
          <cell r="H15859" t="str">
            <v>SNFR</v>
          </cell>
          <cell r="K15859">
            <v>25.273334838312305</v>
          </cell>
        </row>
        <row r="15860">
          <cell r="H15860" t="str">
            <v>SOG1</v>
          </cell>
          <cell r="K15860">
            <v>197.7375149452773</v>
          </cell>
        </row>
        <row r="15861">
          <cell r="H15861" t="str">
            <v>TBQ3</v>
          </cell>
          <cell r="K15861">
            <v>305.81256323001929</v>
          </cell>
        </row>
        <row r="15862">
          <cell r="H15862" t="str">
            <v>TBQ4</v>
          </cell>
          <cell r="K15862">
            <v>292.11056578848354</v>
          </cell>
        </row>
        <row r="15863">
          <cell r="H15863" t="str">
            <v>TBST</v>
          </cell>
          <cell r="K15863">
            <v>209.04492362231716</v>
          </cell>
        </row>
        <row r="15864">
          <cell r="H15864" t="str">
            <v>TCBE</v>
          </cell>
          <cell r="K15864">
            <v>245.25583249026639</v>
          </cell>
        </row>
        <row r="15865">
          <cell r="H15865" t="str">
            <v>TCDT</v>
          </cell>
          <cell r="K15865">
            <v>183.3465715742916</v>
          </cell>
        </row>
        <row r="15866">
          <cell r="H15866" t="str">
            <v>TDR1</v>
          </cell>
          <cell r="K15866">
            <v>751.15451396146693</v>
          </cell>
        </row>
        <row r="15867">
          <cell r="H15867" t="str">
            <v>TEC1</v>
          </cell>
          <cell r="K15867">
            <v>427.43994715851608</v>
          </cell>
        </row>
        <row r="15868">
          <cell r="H15868" t="str">
            <v>TFL1</v>
          </cell>
          <cell r="K15868">
            <v>295.6946453405572</v>
          </cell>
        </row>
        <row r="15869">
          <cell r="H15869" t="str">
            <v>TFL4</v>
          </cell>
          <cell r="K15869">
            <v>309.62963582295873</v>
          </cell>
        </row>
        <row r="15870">
          <cell r="H15870" t="str">
            <v>TGJ1</v>
          </cell>
          <cell r="K15870">
            <v>173.77379051250108</v>
          </cell>
        </row>
        <row r="15871">
          <cell r="H15871" t="str">
            <v>TGJ2</v>
          </cell>
          <cell r="K15871">
            <v>208.64053019851787</v>
          </cell>
        </row>
        <row r="15872">
          <cell r="H15872" t="str">
            <v>TPUY</v>
          </cell>
          <cell r="K15872">
            <v>22.594472267975441</v>
          </cell>
        </row>
        <row r="15873">
          <cell r="H15873" t="str">
            <v>TRM1</v>
          </cell>
          <cell r="K15873">
            <v>279.62676521491937</v>
          </cell>
        </row>
        <row r="15874">
          <cell r="H15874" t="str">
            <v>TRN1</v>
          </cell>
          <cell r="K15874">
            <v>316.32428395051403</v>
          </cell>
        </row>
        <row r="15875">
          <cell r="H15875" t="str">
            <v>TSJ1</v>
          </cell>
          <cell r="K15875">
            <v>66.464330604862198</v>
          </cell>
        </row>
        <row r="15876">
          <cell r="H15876" t="str">
            <v>TSJ2</v>
          </cell>
          <cell r="K15876">
            <v>61.169034221549623</v>
          </cell>
        </row>
        <row r="15877">
          <cell r="H15877" t="str">
            <v>TSR1</v>
          </cell>
          <cell r="K15877">
            <v>387.15751277141874</v>
          </cell>
        </row>
        <row r="15878">
          <cell r="H15878" t="str">
            <v>TUJ1</v>
          </cell>
          <cell r="K15878">
            <v>24.491584659247678</v>
          </cell>
        </row>
        <row r="15879">
          <cell r="H15879" t="str">
            <v>TVL1</v>
          </cell>
          <cell r="K15879">
            <v>444.30295784107977</v>
          </cell>
        </row>
        <row r="15880">
          <cell r="H15880" t="str">
            <v>TYP1</v>
          </cell>
          <cell r="K15880">
            <v>23.438653991399324</v>
          </cell>
        </row>
        <row r="15881">
          <cell r="H15881" t="str">
            <v>TYP2</v>
          </cell>
          <cell r="K15881">
            <v>23.438659565395518</v>
          </cell>
        </row>
        <row r="15882">
          <cell r="H15882" t="str">
            <v>TYP3</v>
          </cell>
          <cell r="K15882">
            <v>23.438656778397419</v>
          </cell>
        </row>
        <row r="15883">
          <cell r="H15883" t="str">
            <v>TYP4</v>
          </cell>
          <cell r="K15883">
            <v>23.438665139391713</v>
          </cell>
        </row>
        <row r="15884">
          <cell r="H15884" t="str">
            <v>TYP5</v>
          </cell>
          <cell r="K15884">
            <v>23.438662352393614</v>
          </cell>
        </row>
        <row r="15885">
          <cell r="H15885" t="str">
            <v>URA1</v>
          </cell>
          <cell r="K15885">
            <v>198.43426446939736</v>
          </cell>
        </row>
        <row r="15886">
          <cell r="H15886" t="str">
            <v>ZPA2</v>
          </cell>
          <cell r="K15886">
            <v>90.782561195510695</v>
          </cell>
        </row>
        <row r="15887">
          <cell r="H15887" t="str">
            <v>ZPA3</v>
          </cell>
          <cell r="K15887">
            <v>83.874429013764981</v>
          </cell>
        </row>
        <row r="15888">
          <cell r="H15888" t="str">
            <v>ZPA4</v>
          </cell>
          <cell r="K15888">
            <v>87.057459539755129</v>
          </cell>
        </row>
        <row r="15889">
          <cell r="H15889" t="str">
            <v>ZPA5</v>
          </cell>
          <cell r="K15889">
            <v>81.96728621634351</v>
          </cell>
        </row>
        <row r="15890">
          <cell r="H15890" t="str">
            <v>2QEK</v>
          </cell>
          <cell r="K15890">
            <v>25.321271205571765</v>
          </cell>
        </row>
        <row r="15891">
          <cell r="H15891" t="str">
            <v>3DDT</v>
          </cell>
          <cell r="K15891">
            <v>23.71345200371228</v>
          </cell>
        </row>
        <row r="15892">
          <cell r="H15892" t="str">
            <v>3ENA</v>
          </cell>
          <cell r="K15892">
            <v>323.35978194526894</v>
          </cell>
        </row>
        <row r="15893">
          <cell r="H15893" t="str">
            <v>3HF5</v>
          </cell>
          <cell r="K15893">
            <v>22.642129935425253</v>
          </cell>
        </row>
        <row r="15894">
          <cell r="H15894" t="str">
            <v>3INX</v>
          </cell>
          <cell r="K15894">
            <v>22.57468458149043</v>
          </cell>
        </row>
        <row r="15895">
          <cell r="H15895" t="str">
            <v>3IQA</v>
          </cell>
          <cell r="K15895">
            <v>21.277336967578851</v>
          </cell>
        </row>
        <row r="15896">
          <cell r="H15896" t="str">
            <v>3IRX</v>
          </cell>
          <cell r="K15896">
            <v>21.277058267769203</v>
          </cell>
        </row>
        <row r="15897">
          <cell r="H15897" t="str">
            <v>3IZ6</v>
          </cell>
          <cell r="K15897">
            <v>21.738587939544438</v>
          </cell>
        </row>
        <row r="15898">
          <cell r="H15898" t="str">
            <v>4YCF</v>
          </cell>
          <cell r="K15898">
            <v>22.289295976410848</v>
          </cell>
        </row>
        <row r="15899">
          <cell r="H15899" t="str">
            <v>4YCN</v>
          </cell>
          <cell r="K15899">
            <v>66.115955842802151</v>
          </cell>
        </row>
        <row r="15900">
          <cell r="H15900" t="str">
            <v>ALBG</v>
          </cell>
          <cell r="K15900">
            <v>335.83327062587614</v>
          </cell>
        </row>
        <row r="15901">
          <cell r="H15901" t="str">
            <v>CHBG</v>
          </cell>
          <cell r="K15901">
            <v>25.320713805952469</v>
          </cell>
        </row>
        <row r="15902">
          <cell r="H15902" t="str">
            <v>CHVR</v>
          </cell>
          <cell r="K15902">
            <v>42.083671256852533</v>
          </cell>
        </row>
        <row r="15903">
          <cell r="H15903" t="str">
            <v>CLL1</v>
          </cell>
          <cell r="K15903">
            <v>22.295987558840498</v>
          </cell>
        </row>
        <row r="15904">
          <cell r="H15904" t="str">
            <v>CLMG</v>
          </cell>
          <cell r="K15904">
            <v>335.27587100658008</v>
          </cell>
        </row>
        <row r="15905">
          <cell r="H15905" t="str">
            <v>CTG1</v>
          </cell>
          <cell r="K15905">
            <v>390.1415516333202</v>
          </cell>
        </row>
        <row r="15906">
          <cell r="H15906" t="str">
            <v>CTG2</v>
          </cell>
          <cell r="K15906">
            <v>389.67974604873342</v>
          </cell>
        </row>
        <row r="15907">
          <cell r="H15907" t="str">
            <v>CTG3</v>
          </cell>
          <cell r="K15907">
            <v>407.835923848064</v>
          </cell>
        </row>
        <row r="15908">
          <cell r="H15908" t="str">
            <v>CUC1</v>
          </cell>
          <cell r="K15908">
            <v>26.721180349433819</v>
          </cell>
        </row>
        <row r="15909">
          <cell r="H15909" t="str">
            <v>DVS1</v>
          </cell>
          <cell r="K15909">
            <v>25.320992505762117</v>
          </cell>
        </row>
        <row r="15910">
          <cell r="H15910" t="str">
            <v>EPFV</v>
          </cell>
          <cell r="K15910">
            <v>23.713454790710376</v>
          </cell>
        </row>
        <row r="15911">
          <cell r="H15911" t="str">
            <v>ESMR</v>
          </cell>
          <cell r="K15911">
            <v>25.273340412308499</v>
          </cell>
        </row>
        <row r="15912">
          <cell r="H15912" t="str">
            <v>GE32</v>
          </cell>
          <cell r="K15912">
            <v>72.276615135071864</v>
          </cell>
        </row>
        <row r="15913">
          <cell r="H15913" t="str">
            <v>GEC3</v>
          </cell>
          <cell r="K15913">
            <v>70.928544155804332</v>
          </cell>
        </row>
        <row r="15914">
          <cell r="H15914" t="str">
            <v>GTPE</v>
          </cell>
          <cell r="K15914">
            <v>197.59816504045327</v>
          </cell>
        </row>
        <row r="15915">
          <cell r="H15915" t="str">
            <v>GTRG</v>
          </cell>
          <cell r="K15915">
            <v>207.91005799743039</v>
          </cell>
        </row>
        <row r="15916">
          <cell r="H15916" t="str">
            <v>GVIO</v>
          </cell>
          <cell r="K15916">
            <v>25.320716592950564</v>
          </cell>
        </row>
        <row r="15917">
          <cell r="H15917" t="str">
            <v>GYP3</v>
          </cell>
          <cell r="K15917">
            <v>22.642132722423348</v>
          </cell>
        </row>
        <row r="15918">
          <cell r="H15918" t="str">
            <v>GYPO</v>
          </cell>
          <cell r="K15918">
            <v>22.642135509421443</v>
          </cell>
        </row>
        <row r="15919">
          <cell r="H15919" t="str">
            <v>HMIN</v>
          </cell>
          <cell r="K15919">
            <v>22.295984771842399</v>
          </cell>
        </row>
        <row r="15920">
          <cell r="H15920" t="str">
            <v>HMLG</v>
          </cell>
          <cell r="K15920">
            <v>300.99579441987242</v>
          </cell>
        </row>
        <row r="15921">
          <cell r="H15921" t="str">
            <v>JAGS</v>
          </cell>
          <cell r="K15921">
            <v>207.91005799743039</v>
          </cell>
        </row>
        <row r="15922">
          <cell r="H15922" t="str">
            <v>LTSJ</v>
          </cell>
          <cell r="K15922">
            <v>249.43632963498686</v>
          </cell>
        </row>
        <row r="15923">
          <cell r="H15923" t="str">
            <v>MATA</v>
          </cell>
          <cell r="K15923">
            <v>21.738585152546339</v>
          </cell>
        </row>
        <row r="15924">
          <cell r="H15924" t="str">
            <v>MOY1</v>
          </cell>
          <cell r="K15924">
            <v>24.968161333745808</v>
          </cell>
        </row>
        <row r="15925">
          <cell r="H15925" t="str">
            <v>MRL1</v>
          </cell>
          <cell r="K15925">
            <v>344.99134637091043</v>
          </cell>
        </row>
        <row r="15926">
          <cell r="H15926" t="str">
            <v>PES1</v>
          </cell>
          <cell r="K15926">
            <v>24.491581872249579</v>
          </cell>
        </row>
        <row r="15927">
          <cell r="H15927" t="str">
            <v>PGUG</v>
          </cell>
          <cell r="K15927">
            <v>181.15487627121951</v>
          </cell>
        </row>
        <row r="15928">
          <cell r="H15928" t="str">
            <v>PLYS</v>
          </cell>
          <cell r="K15928">
            <v>25.273337625310401</v>
          </cell>
        </row>
        <row r="15929">
          <cell r="H15929" t="str">
            <v>PORO</v>
          </cell>
          <cell r="K15929">
            <v>21.459885342898311</v>
          </cell>
        </row>
        <row r="15930">
          <cell r="H15930" t="str">
            <v>PPA1</v>
          </cell>
          <cell r="K15930">
            <v>79.841921467967637</v>
          </cell>
        </row>
        <row r="15931">
          <cell r="H15931" t="str">
            <v>PPA2</v>
          </cell>
          <cell r="K15931">
            <v>73.231719382735662</v>
          </cell>
        </row>
        <row r="15932">
          <cell r="H15932" t="str">
            <v>PPA3</v>
          </cell>
          <cell r="K15932">
            <v>76.331697365450694</v>
          </cell>
        </row>
        <row r="15933">
          <cell r="H15933" t="str">
            <v>PPA4</v>
          </cell>
          <cell r="K15933">
            <v>66.597827813683594</v>
          </cell>
        </row>
        <row r="15934">
          <cell r="H15934" t="str">
            <v>PRC2</v>
          </cell>
          <cell r="K15934">
            <v>209.16420714084651</v>
          </cell>
        </row>
        <row r="15935">
          <cell r="H15935" t="str">
            <v>PRC3</v>
          </cell>
          <cell r="K15935">
            <v>197.62603502141806</v>
          </cell>
        </row>
        <row r="15936">
          <cell r="H15936" t="str">
            <v>PRDO</v>
          </cell>
          <cell r="K15936">
            <v>306.569790612833</v>
          </cell>
        </row>
        <row r="15937">
          <cell r="H15937" t="str">
            <v>PRG1</v>
          </cell>
          <cell r="K15937">
            <v>251.26125598856214</v>
          </cell>
        </row>
        <row r="15938">
          <cell r="H15938" t="str">
            <v>PRG2</v>
          </cell>
          <cell r="K15938">
            <v>251.26125598856214</v>
          </cell>
        </row>
        <row r="15939">
          <cell r="H15939" t="str">
            <v>QUI1</v>
          </cell>
          <cell r="K15939">
            <v>178.36787817473919</v>
          </cell>
        </row>
        <row r="15940">
          <cell r="H15940" t="str">
            <v>SLVJ</v>
          </cell>
          <cell r="K15940">
            <v>335.55457081622814</v>
          </cell>
        </row>
        <row r="15941">
          <cell r="H15941" t="str">
            <v>SMI1</v>
          </cell>
          <cell r="K15941">
            <v>24.968158546747713</v>
          </cell>
        </row>
        <row r="15942">
          <cell r="H15942" t="str">
            <v>SNCR</v>
          </cell>
          <cell r="K15942">
            <v>207.77070809260636</v>
          </cell>
        </row>
        <row r="15943">
          <cell r="H15943" t="str">
            <v>SNFR</v>
          </cell>
          <cell r="K15943">
            <v>25.273334838312305</v>
          </cell>
        </row>
        <row r="15944">
          <cell r="H15944" t="str">
            <v>SOG1</v>
          </cell>
          <cell r="K15944">
            <v>197.7375149452773</v>
          </cell>
        </row>
        <row r="15945">
          <cell r="H15945" t="str">
            <v>TBQ3</v>
          </cell>
          <cell r="K15945">
            <v>305.81256323001929</v>
          </cell>
        </row>
        <row r="15946">
          <cell r="H15946" t="str">
            <v>TBQ4</v>
          </cell>
          <cell r="K15946">
            <v>292.11056578848354</v>
          </cell>
        </row>
        <row r="15947">
          <cell r="H15947" t="str">
            <v>TBST</v>
          </cell>
          <cell r="K15947">
            <v>209.04492362231716</v>
          </cell>
        </row>
        <row r="15948">
          <cell r="H15948" t="str">
            <v>TCBE</v>
          </cell>
          <cell r="K15948">
            <v>245.25583249026639</v>
          </cell>
        </row>
        <row r="15949">
          <cell r="H15949" t="str">
            <v>TCDT</v>
          </cell>
          <cell r="K15949">
            <v>183.3465715742916</v>
          </cell>
        </row>
        <row r="15950">
          <cell r="H15950" t="str">
            <v>TDR1</v>
          </cell>
          <cell r="K15950">
            <v>751.15451396146693</v>
          </cell>
        </row>
        <row r="15951">
          <cell r="H15951" t="str">
            <v>TEC1</v>
          </cell>
          <cell r="K15951">
            <v>427.43994715851608</v>
          </cell>
        </row>
        <row r="15952">
          <cell r="H15952" t="str">
            <v>TFL1</v>
          </cell>
          <cell r="K15952">
            <v>295.6946453405572</v>
          </cell>
        </row>
        <row r="15953">
          <cell r="H15953" t="str">
            <v>TFL4</v>
          </cell>
          <cell r="K15953">
            <v>309.62963582295873</v>
          </cell>
        </row>
        <row r="15954">
          <cell r="H15954" t="str">
            <v>TGJ1</v>
          </cell>
          <cell r="K15954">
            <v>173.77379051250108</v>
          </cell>
        </row>
        <row r="15955">
          <cell r="H15955" t="str">
            <v>TGJ2</v>
          </cell>
          <cell r="K15955">
            <v>208.64053019851787</v>
          </cell>
        </row>
        <row r="15956">
          <cell r="H15956" t="str">
            <v>TPUY</v>
          </cell>
          <cell r="K15956">
            <v>22.594472267975441</v>
          </cell>
        </row>
        <row r="15957">
          <cell r="H15957" t="str">
            <v>TRM1</v>
          </cell>
          <cell r="K15957">
            <v>279.62676521491937</v>
          </cell>
        </row>
        <row r="15958">
          <cell r="H15958" t="str">
            <v>TRN1</v>
          </cell>
          <cell r="K15958">
            <v>316.32428395051403</v>
          </cell>
        </row>
        <row r="15959">
          <cell r="H15959" t="str">
            <v>TSJ1</v>
          </cell>
          <cell r="K15959">
            <v>66.464330604862198</v>
          </cell>
        </row>
        <row r="15960">
          <cell r="H15960" t="str">
            <v>TSJ2</v>
          </cell>
          <cell r="K15960">
            <v>61.169034221549623</v>
          </cell>
        </row>
        <row r="15961">
          <cell r="H15961" t="str">
            <v>TSR1</v>
          </cell>
          <cell r="K15961">
            <v>387.15751277141874</v>
          </cell>
        </row>
        <row r="15962">
          <cell r="H15962" t="str">
            <v>TUJ1</v>
          </cell>
          <cell r="K15962">
            <v>24.491584659247678</v>
          </cell>
        </row>
        <row r="15963">
          <cell r="H15963" t="str">
            <v>TVL1</v>
          </cell>
          <cell r="K15963">
            <v>444.30295784107977</v>
          </cell>
        </row>
        <row r="15964">
          <cell r="H15964" t="str">
            <v>TYP1</v>
          </cell>
          <cell r="K15964">
            <v>23.438653991399324</v>
          </cell>
        </row>
        <row r="15965">
          <cell r="H15965" t="str">
            <v>TYP2</v>
          </cell>
          <cell r="K15965">
            <v>23.438659565395518</v>
          </cell>
        </row>
        <row r="15966">
          <cell r="H15966" t="str">
            <v>TYP3</v>
          </cell>
          <cell r="K15966">
            <v>23.438656778397419</v>
          </cell>
        </row>
        <row r="15967">
          <cell r="H15967" t="str">
            <v>TYP4</v>
          </cell>
          <cell r="K15967">
            <v>23.438665139391713</v>
          </cell>
        </row>
        <row r="15968">
          <cell r="H15968" t="str">
            <v>TYP5</v>
          </cell>
          <cell r="K15968">
            <v>23.438662352393614</v>
          </cell>
        </row>
        <row r="15969">
          <cell r="H15969" t="str">
            <v>URA1</v>
          </cell>
          <cell r="K15969">
            <v>198.43426446939736</v>
          </cell>
        </row>
        <row r="15970">
          <cell r="H15970" t="str">
            <v>ZPA2</v>
          </cell>
          <cell r="K15970">
            <v>90.782561195510695</v>
          </cell>
        </row>
        <row r="15971">
          <cell r="H15971" t="str">
            <v>ZPA3</v>
          </cell>
          <cell r="K15971">
            <v>83.874429013764981</v>
          </cell>
        </row>
        <row r="15972">
          <cell r="H15972" t="str">
            <v>ZPA4</v>
          </cell>
          <cell r="K15972">
            <v>87.057459539755129</v>
          </cell>
        </row>
        <row r="15973">
          <cell r="H15973" t="str">
            <v>ZPA5</v>
          </cell>
          <cell r="K15973">
            <v>81.96728621634351</v>
          </cell>
        </row>
        <row r="15974">
          <cell r="H15974" t="str">
            <v>2QEK</v>
          </cell>
          <cell r="K15974">
            <v>25.321271205571765</v>
          </cell>
        </row>
        <row r="15975">
          <cell r="H15975" t="str">
            <v>3DDT</v>
          </cell>
          <cell r="K15975">
            <v>23.71345200371228</v>
          </cell>
        </row>
        <row r="15976">
          <cell r="H15976" t="str">
            <v>3ENA</v>
          </cell>
          <cell r="K15976">
            <v>323.35978194526894</v>
          </cell>
        </row>
        <row r="15977">
          <cell r="H15977" t="str">
            <v>3HF5</v>
          </cell>
          <cell r="K15977">
            <v>22.642129935425253</v>
          </cell>
        </row>
        <row r="15978">
          <cell r="H15978" t="str">
            <v>3INX</v>
          </cell>
          <cell r="K15978">
            <v>22.57468458149043</v>
          </cell>
        </row>
        <row r="15979">
          <cell r="H15979" t="str">
            <v>3IQA</v>
          </cell>
          <cell r="K15979">
            <v>21.277336967578851</v>
          </cell>
        </row>
        <row r="15980">
          <cell r="H15980" t="str">
            <v>3IRX</v>
          </cell>
          <cell r="K15980">
            <v>21.277058267769203</v>
          </cell>
        </row>
        <row r="15981">
          <cell r="H15981" t="str">
            <v>3IZ6</v>
          </cell>
          <cell r="K15981">
            <v>21.738587939544438</v>
          </cell>
        </row>
        <row r="15982">
          <cell r="H15982" t="str">
            <v>4YCF</v>
          </cell>
          <cell r="K15982">
            <v>22.289295976410848</v>
          </cell>
        </row>
        <row r="15983">
          <cell r="H15983" t="str">
            <v>4YCN</v>
          </cell>
          <cell r="K15983">
            <v>66.115955842802151</v>
          </cell>
        </row>
        <row r="15984">
          <cell r="H15984" t="str">
            <v>ALBG</v>
          </cell>
          <cell r="K15984">
            <v>335.83327062587614</v>
          </cell>
        </row>
        <row r="15985">
          <cell r="H15985" t="str">
            <v>CHBG</v>
          </cell>
          <cell r="K15985">
            <v>25.320713805952469</v>
          </cell>
        </row>
        <row r="15986">
          <cell r="H15986" t="str">
            <v>CHVR</v>
          </cell>
          <cell r="K15986">
            <v>42.083671256852533</v>
          </cell>
        </row>
        <row r="15987">
          <cell r="H15987" t="str">
            <v>CLL1</v>
          </cell>
          <cell r="K15987">
            <v>22.295987558840498</v>
          </cell>
        </row>
        <row r="15988">
          <cell r="H15988" t="str">
            <v>CLMG</v>
          </cell>
          <cell r="K15988">
            <v>335.27587100658008</v>
          </cell>
        </row>
        <row r="15989">
          <cell r="H15989" t="str">
            <v>CTG1</v>
          </cell>
          <cell r="K15989">
            <v>390.1415516333202</v>
          </cell>
        </row>
        <row r="15990">
          <cell r="H15990" t="str">
            <v>CTG2</v>
          </cell>
          <cell r="K15990">
            <v>389.67974604873342</v>
          </cell>
        </row>
        <row r="15991">
          <cell r="H15991" t="str">
            <v>CTG3</v>
          </cell>
          <cell r="K15991">
            <v>407.835923848064</v>
          </cell>
        </row>
        <row r="15992">
          <cell r="H15992" t="str">
            <v>CUC1</v>
          </cell>
          <cell r="K15992">
            <v>26.721180349433819</v>
          </cell>
        </row>
        <row r="15993">
          <cell r="H15993" t="str">
            <v>DVS1</v>
          </cell>
          <cell r="K15993">
            <v>25.320992505762117</v>
          </cell>
        </row>
        <row r="15994">
          <cell r="H15994" t="str">
            <v>EPFV</v>
          </cell>
          <cell r="K15994">
            <v>23.713454790710376</v>
          </cell>
        </row>
        <row r="15995">
          <cell r="H15995" t="str">
            <v>ESMR</v>
          </cell>
          <cell r="K15995">
            <v>25.273340412308499</v>
          </cell>
        </row>
        <row r="15996">
          <cell r="H15996" t="str">
            <v>GE32</v>
          </cell>
          <cell r="K15996">
            <v>72.276615135071864</v>
          </cell>
        </row>
        <row r="15997">
          <cell r="H15997" t="str">
            <v>GEC3</v>
          </cell>
          <cell r="K15997">
            <v>70.928544155804332</v>
          </cell>
        </row>
        <row r="15998">
          <cell r="H15998" t="str">
            <v>GTPE</v>
          </cell>
          <cell r="K15998">
            <v>197.59816504045327</v>
          </cell>
        </row>
        <row r="15999">
          <cell r="H15999" t="str">
            <v>GTRG</v>
          </cell>
          <cell r="K15999">
            <v>207.91005799743039</v>
          </cell>
        </row>
        <row r="16000">
          <cell r="H16000" t="str">
            <v>GVIO</v>
          </cell>
          <cell r="K16000">
            <v>25.320716592950564</v>
          </cell>
        </row>
        <row r="16001">
          <cell r="H16001" t="str">
            <v>GYP3</v>
          </cell>
          <cell r="K16001">
            <v>22.642132722423348</v>
          </cell>
        </row>
        <row r="16002">
          <cell r="H16002" t="str">
            <v>GYPO</v>
          </cell>
          <cell r="K16002">
            <v>22.642135509421443</v>
          </cell>
        </row>
        <row r="16003">
          <cell r="H16003" t="str">
            <v>HMIN</v>
          </cell>
          <cell r="K16003">
            <v>22.295984771842399</v>
          </cell>
        </row>
        <row r="16004">
          <cell r="H16004" t="str">
            <v>HMLG</v>
          </cell>
          <cell r="K16004">
            <v>300.99579441987242</v>
          </cell>
        </row>
        <row r="16005">
          <cell r="H16005" t="str">
            <v>JAGS</v>
          </cell>
          <cell r="K16005">
            <v>207.91005799743039</v>
          </cell>
        </row>
        <row r="16006">
          <cell r="H16006" t="str">
            <v>LTSJ</v>
          </cell>
          <cell r="K16006">
            <v>249.43632963498686</v>
          </cell>
        </row>
        <row r="16007">
          <cell r="H16007" t="str">
            <v>MATA</v>
          </cell>
          <cell r="K16007">
            <v>21.738585152546339</v>
          </cell>
        </row>
        <row r="16008">
          <cell r="H16008" t="str">
            <v>MOY1</v>
          </cell>
          <cell r="K16008">
            <v>24.968161333745808</v>
          </cell>
        </row>
        <row r="16009">
          <cell r="H16009" t="str">
            <v>MRL1</v>
          </cell>
          <cell r="K16009">
            <v>344.99134637091043</v>
          </cell>
        </row>
        <row r="16010">
          <cell r="H16010" t="str">
            <v>PES1</v>
          </cell>
          <cell r="K16010">
            <v>24.491581872249579</v>
          </cell>
        </row>
        <row r="16011">
          <cell r="H16011" t="str">
            <v>PGUG</v>
          </cell>
          <cell r="K16011">
            <v>181.15487627121951</v>
          </cell>
        </row>
        <row r="16012">
          <cell r="H16012" t="str">
            <v>PLYS</v>
          </cell>
          <cell r="K16012">
            <v>25.273337625310401</v>
          </cell>
        </row>
        <row r="16013">
          <cell r="H16013" t="str">
            <v>PORO</v>
          </cell>
          <cell r="K16013">
            <v>21.459885342898311</v>
          </cell>
        </row>
        <row r="16014">
          <cell r="H16014" t="str">
            <v>PPA1</v>
          </cell>
          <cell r="K16014">
            <v>79.841921467967637</v>
          </cell>
        </row>
        <row r="16015">
          <cell r="H16015" t="str">
            <v>PPA2</v>
          </cell>
          <cell r="K16015">
            <v>73.231719382735662</v>
          </cell>
        </row>
        <row r="16016">
          <cell r="H16016" t="str">
            <v>PPA3</v>
          </cell>
          <cell r="K16016">
            <v>76.331697365450694</v>
          </cell>
        </row>
        <row r="16017">
          <cell r="H16017" t="str">
            <v>PPA4</v>
          </cell>
          <cell r="K16017">
            <v>66.597827813683594</v>
          </cell>
        </row>
        <row r="16018">
          <cell r="H16018" t="str">
            <v>PRC2</v>
          </cell>
          <cell r="K16018">
            <v>209.16420714084651</v>
          </cell>
        </row>
        <row r="16019">
          <cell r="H16019" t="str">
            <v>PRC3</v>
          </cell>
          <cell r="K16019">
            <v>197.62603502141806</v>
          </cell>
        </row>
        <row r="16020">
          <cell r="H16020" t="str">
            <v>PRDO</v>
          </cell>
          <cell r="K16020">
            <v>306.569790612833</v>
          </cell>
        </row>
        <row r="16021">
          <cell r="H16021" t="str">
            <v>PRG1</v>
          </cell>
          <cell r="K16021">
            <v>251.26125598856214</v>
          </cell>
        </row>
        <row r="16022">
          <cell r="H16022" t="str">
            <v>PRG2</v>
          </cell>
          <cell r="K16022">
            <v>251.26125598856214</v>
          </cell>
        </row>
        <row r="16023">
          <cell r="H16023" t="str">
            <v>QUI1</v>
          </cell>
          <cell r="K16023">
            <v>178.36787817473919</v>
          </cell>
        </row>
        <row r="16024">
          <cell r="H16024" t="str">
            <v>SLVJ</v>
          </cell>
          <cell r="K16024">
            <v>335.55457081622814</v>
          </cell>
        </row>
        <row r="16025">
          <cell r="H16025" t="str">
            <v>SMI1</v>
          </cell>
          <cell r="K16025">
            <v>24.968158546747713</v>
          </cell>
        </row>
        <row r="16026">
          <cell r="H16026" t="str">
            <v>SNCR</v>
          </cell>
          <cell r="K16026">
            <v>207.77070809260636</v>
          </cell>
        </row>
        <row r="16027">
          <cell r="H16027" t="str">
            <v>SNFR</v>
          </cell>
          <cell r="K16027">
            <v>25.273334838312305</v>
          </cell>
        </row>
        <row r="16028">
          <cell r="H16028" t="str">
            <v>SOG1</v>
          </cell>
          <cell r="K16028">
            <v>197.7375149452773</v>
          </cell>
        </row>
        <row r="16029">
          <cell r="H16029" t="str">
            <v>TBQ3</v>
          </cell>
          <cell r="K16029">
            <v>305.81256323001929</v>
          </cell>
        </row>
        <row r="16030">
          <cell r="H16030" t="str">
            <v>TBQ4</v>
          </cell>
          <cell r="K16030">
            <v>292.11056578848354</v>
          </cell>
        </row>
        <row r="16031">
          <cell r="H16031" t="str">
            <v>TBST</v>
          </cell>
          <cell r="K16031">
            <v>209.04492362231716</v>
          </cell>
        </row>
        <row r="16032">
          <cell r="H16032" t="str">
            <v>TCBE</v>
          </cell>
          <cell r="K16032">
            <v>245.25583249026639</v>
          </cell>
        </row>
        <row r="16033">
          <cell r="H16033" t="str">
            <v>TCDT</v>
          </cell>
          <cell r="K16033">
            <v>183.3465715742916</v>
          </cell>
        </row>
        <row r="16034">
          <cell r="H16034" t="str">
            <v>TDR1</v>
          </cell>
          <cell r="K16034">
            <v>751.15451396146693</v>
          </cell>
        </row>
        <row r="16035">
          <cell r="H16035" t="str">
            <v>TEC1</v>
          </cell>
          <cell r="K16035">
            <v>427.43994715851608</v>
          </cell>
        </row>
        <row r="16036">
          <cell r="H16036" t="str">
            <v>TFL1</v>
          </cell>
          <cell r="K16036">
            <v>295.6946453405572</v>
          </cell>
        </row>
        <row r="16037">
          <cell r="H16037" t="str">
            <v>TFL4</v>
          </cell>
          <cell r="K16037">
            <v>309.62963582295873</v>
          </cell>
        </row>
        <row r="16038">
          <cell r="H16038" t="str">
            <v>TGJ1</v>
          </cell>
          <cell r="K16038">
            <v>173.77379051250108</v>
          </cell>
        </row>
        <row r="16039">
          <cell r="H16039" t="str">
            <v>TGJ2</v>
          </cell>
          <cell r="K16039">
            <v>208.64053019851787</v>
          </cell>
        </row>
        <row r="16040">
          <cell r="H16040" t="str">
            <v>TPUY</v>
          </cell>
          <cell r="K16040">
            <v>22.594472267975441</v>
          </cell>
        </row>
        <row r="16041">
          <cell r="H16041" t="str">
            <v>TRM1</v>
          </cell>
          <cell r="K16041">
            <v>279.62676521491937</v>
          </cell>
        </row>
        <row r="16042">
          <cell r="H16042" t="str">
            <v>TRN1</v>
          </cell>
          <cell r="K16042">
            <v>316.32428395051403</v>
          </cell>
        </row>
        <row r="16043">
          <cell r="H16043" t="str">
            <v>TSJ1</v>
          </cell>
          <cell r="K16043">
            <v>66.464330604862198</v>
          </cell>
        </row>
        <row r="16044">
          <cell r="H16044" t="str">
            <v>TSJ2</v>
          </cell>
          <cell r="K16044">
            <v>61.169034221549623</v>
          </cell>
        </row>
        <row r="16045">
          <cell r="H16045" t="str">
            <v>TSR1</v>
          </cell>
          <cell r="K16045">
            <v>387.15751277141874</v>
          </cell>
        </row>
        <row r="16046">
          <cell r="H16046" t="str">
            <v>TUJ1</v>
          </cell>
          <cell r="K16046">
            <v>24.491584659247678</v>
          </cell>
        </row>
        <row r="16047">
          <cell r="H16047" t="str">
            <v>TVL1</v>
          </cell>
          <cell r="K16047">
            <v>444.30295784107977</v>
          </cell>
        </row>
        <row r="16048">
          <cell r="H16048" t="str">
            <v>TYP1</v>
          </cell>
          <cell r="K16048">
            <v>23.438653991399324</v>
          </cell>
        </row>
        <row r="16049">
          <cell r="H16049" t="str">
            <v>TYP2</v>
          </cell>
          <cell r="K16049">
            <v>23.438659565395518</v>
          </cell>
        </row>
        <row r="16050">
          <cell r="H16050" t="str">
            <v>TYP3</v>
          </cell>
          <cell r="K16050">
            <v>23.438656778397419</v>
          </cell>
        </row>
        <row r="16051">
          <cell r="H16051" t="str">
            <v>TYP4</v>
          </cell>
          <cell r="K16051">
            <v>23.438665139391713</v>
          </cell>
        </row>
        <row r="16052">
          <cell r="H16052" t="str">
            <v>TYP5</v>
          </cell>
          <cell r="K16052">
            <v>23.438662352393614</v>
          </cell>
        </row>
        <row r="16053">
          <cell r="H16053" t="str">
            <v>URA1</v>
          </cell>
          <cell r="K16053">
            <v>198.43426446939736</v>
          </cell>
        </row>
        <row r="16054">
          <cell r="H16054" t="str">
            <v>ZPA2</v>
          </cell>
          <cell r="K16054">
            <v>90.782561195510695</v>
          </cell>
        </row>
        <row r="16055">
          <cell r="H16055" t="str">
            <v>ZPA3</v>
          </cell>
          <cell r="K16055">
            <v>83.874429013764981</v>
          </cell>
        </row>
        <row r="16056">
          <cell r="H16056" t="str">
            <v>ZPA4</v>
          </cell>
          <cell r="K16056">
            <v>87.057459539755129</v>
          </cell>
        </row>
        <row r="16057">
          <cell r="H16057" t="str">
            <v>ZPA5</v>
          </cell>
          <cell r="K16057">
            <v>81.96728621634351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Inventario_Columnas"/>
      <sheetName val="Generadores"/>
      <sheetName val="Térmica"/>
      <sheetName val="Hidraulica_01"/>
      <sheetName val="Hidraulica_02"/>
      <sheetName val="Hidraulica_03"/>
      <sheetName val="Hidraulica_04"/>
      <sheetName val="Renovables"/>
      <sheetName val="Demanda_Real"/>
      <sheetName val="Demanda_OR"/>
      <sheetName val="Demanda_OR_Repartida"/>
      <sheetName val="PrecioOferDesp"/>
      <sheetName val="Renovables_traz"/>
      <sheetName val="Detalle_Unidades"/>
      <sheetName val="CHidraulica"/>
      <sheetName val="Trazabilidad"/>
      <sheetName val="Sin_Subarea"/>
      <sheetName val="Cadenas_Hidraulicas"/>
      <sheetName val="Capacidad_Subareas_18"/>
      <sheetName val="Renovables_Subareas"/>
      <sheetName val="Costos_Ordenados"/>
      <sheetName val="Conciliacion_Capacidad"/>
      <sheetName val="Notas_Fase1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A2" t="str">
            <v>EPFV</v>
          </cell>
          <cell r="F2" t="str">
            <v>EL PASO</v>
          </cell>
        </row>
        <row r="3">
          <cell r="F3" t="str">
            <v>AUTOG CELSIA SOLAR ESPINAL</v>
          </cell>
        </row>
        <row r="4">
          <cell r="F4" t="str">
            <v>TRINA-VATIA BSLI</v>
          </cell>
        </row>
        <row r="5">
          <cell r="F5" t="str">
            <v>TRINA-VATIA BSLII</v>
          </cell>
        </row>
        <row r="6">
          <cell r="F6" t="str">
            <v>TRINA-VATIA BSLIII</v>
          </cell>
        </row>
        <row r="7">
          <cell r="F7" t="str">
            <v>PLANTA SOLAR BAYUNCA I</v>
          </cell>
        </row>
        <row r="8">
          <cell r="A8" t="str">
            <v>3DDT</v>
          </cell>
          <cell r="F8" t="str">
            <v>LATAM SOLAR LA LOMA</v>
          </cell>
        </row>
        <row r="9">
          <cell r="F9" t="str">
            <v>GRANJA SOLAR BELMONTE</v>
          </cell>
        </row>
        <row r="10">
          <cell r="F10" t="str">
            <v>LA SIERPE</v>
          </cell>
        </row>
        <row r="11">
          <cell r="F11" t="str">
            <v>CELSIA SOLAR LA PAILA</v>
          </cell>
        </row>
        <row r="12">
          <cell r="F12" t="str">
            <v>CELSIA SOLAR BOLIVAR</v>
          </cell>
        </row>
        <row r="13">
          <cell r="F13" t="str">
            <v>CELSIA SOLAR CARMELO</v>
          </cell>
        </row>
        <row r="14">
          <cell r="F14" t="str">
            <v>AUTOG CELSIA SOLAR YUMBO</v>
          </cell>
        </row>
        <row r="15">
          <cell r="F15" t="str">
            <v>GY SOLAR AURORA</v>
          </cell>
        </row>
        <row r="16">
          <cell r="F16" t="str">
            <v>HELIOS I</v>
          </cell>
        </row>
        <row r="17">
          <cell r="F17" t="str">
            <v>AUTOG PINTUCO</v>
          </cell>
        </row>
        <row r="18">
          <cell r="F18" t="str">
            <v>AUTOG CI JEANS</v>
          </cell>
        </row>
        <row r="19">
          <cell r="F19" t="str">
            <v>AUTOG CELSIA SOLAR LEVAPAN</v>
          </cell>
        </row>
        <row r="20">
          <cell r="F20" t="str">
            <v>GR PARQUE SOLAR TUCANES</v>
          </cell>
        </row>
        <row r="21">
          <cell r="F21" t="str">
            <v>BOSQUES SOLARES DE LOS LLANOS 4</v>
          </cell>
        </row>
        <row r="22">
          <cell r="F22" t="str">
            <v>BOSQUES SOLARES DE LOS LLANOS 5</v>
          </cell>
        </row>
        <row r="23">
          <cell r="F23" t="str">
            <v>SINCE</v>
          </cell>
        </row>
        <row r="24">
          <cell r="F24" t="str">
            <v>AUTOG CELSIA SOLAR HARINAS</v>
          </cell>
        </row>
        <row r="25">
          <cell r="F25" t="str">
            <v>LA MEDINA</v>
          </cell>
        </row>
        <row r="26">
          <cell r="F26" t="str">
            <v>LOS CABALLEROS</v>
          </cell>
        </row>
        <row r="27">
          <cell r="F27" t="str">
            <v>CERRITOS</v>
          </cell>
        </row>
        <row r="28">
          <cell r="F28" t="str">
            <v>LA TOLUA</v>
          </cell>
        </row>
        <row r="29">
          <cell r="F29" t="str">
            <v>TIERRA LINDA</v>
          </cell>
        </row>
        <row r="30">
          <cell r="A30" t="str">
            <v>GYPO</v>
          </cell>
          <cell r="F30" t="str">
            <v>GUAYEPO</v>
          </cell>
        </row>
        <row r="31">
          <cell r="F31" t="str">
            <v>TERMOTASAJERO DOS SOLAR</v>
          </cell>
        </row>
        <row r="32">
          <cell r="F32" t="str">
            <v>GRANJA SOLAR EL SALADO</v>
          </cell>
        </row>
        <row r="33">
          <cell r="F33" t="str">
            <v>GRANJA SOLAR SAN FELIPE</v>
          </cell>
        </row>
        <row r="34">
          <cell r="F34" t="str">
            <v>GRANJA SOLAR LANCEROS</v>
          </cell>
        </row>
        <row r="35">
          <cell r="F35" t="str">
            <v>AUTOG CELSIA SOLAR PALMIRA 3</v>
          </cell>
        </row>
        <row r="36">
          <cell r="F36" t="str">
            <v>MONTELIBANO</v>
          </cell>
        </row>
        <row r="37">
          <cell r="F37" t="str">
            <v>AUTOG BUGA I SOLLA</v>
          </cell>
        </row>
        <row r="38">
          <cell r="F38" t="str">
            <v>AUTOG BUGA I GRASAS</v>
          </cell>
        </row>
        <row r="39">
          <cell r="F39" t="str">
            <v>GRANJA SOLAR FLANDES</v>
          </cell>
        </row>
        <row r="40">
          <cell r="F40" t="str">
            <v>CELSIA SOLAR DULIMA</v>
          </cell>
        </row>
        <row r="41">
          <cell r="F41" t="str">
            <v>CELSIA SOLAR YUMA</v>
          </cell>
        </row>
        <row r="42">
          <cell r="A42" t="str">
            <v>3IQA</v>
          </cell>
          <cell r="F42" t="str">
            <v>SUNNORTE</v>
          </cell>
        </row>
        <row r="43">
          <cell r="F43" t="str">
            <v>SOLAR PLANETA RICA</v>
          </cell>
        </row>
        <row r="44">
          <cell r="A44" t="str">
            <v>3IZ6</v>
          </cell>
          <cell r="F44" t="str">
            <v>PARQUE SOLAR LA UNION</v>
          </cell>
        </row>
        <row r="45">
          <cell r="A45" t="str">
            <v>MATA</v>
          </cell>
          <cell r="F45" t="str">
            <v>LA MATA</v>
          </cell>
        </row>
        <row r="46">
          <cell r="F46" t="str">
            <v>AUTOG CELSIA SOLAR PALMIRA 3 ZONA FRANCA</v>
          </cell>
        </row>
        <row r="47">
          <cell r="F47" t="str">
            <v>PETALO DEL MAGDALENA</v>
          </cell>
        </row>
        <row r="48">
          <cell r="F48" t="str">
            <v>CELSIA SOLAR LA VICTORIA I</v>
          </cell>
        </row>
        <row r="49">
          <cell r="F49" t="str">
            <v>LOS GIRASOLES</v>
          </cell>
        </row>
        <row r="50">
          <cell r="F50" t="str">
            <v>CELSIA SOLAR LA VICTORIA II</v>
          </cell>
        </row>
        <row r="51">
          <cell r="F51" t="str">
            <v>URUACO</v>
          </cell>
        </row>
        <row r="52">
          <cell r="A52" t="str">
            <v>3HF5</v>
          </cell>
          <cell r="F52" t="str">
            <v>FUNDACION</v>
          </cell>
        </row>
        <row r="53">
          <cell r="F53" t="str">
            <v>COMUNIDAD EL SALVADOR I</v>
          </cell>
        </row>
        <row r="54">
          <cell r="F54" t="str">
            <v>COMUNIDAD EL SALVADOR II</v>
          </cell>
        </row>
        <row r="55">
          <cell r="A55" t="str">
            <v>3IRX</v>
          </cell>
          <cell r="F55" t="str">
            <v>PORTON DEL SOL</v>
          </cell>
        </row>
        <row r="56">
          <cell r="F56" t="str">
            <v>BSB 500</v>
          </cell>
        </row>
        <row r="57">
          <cell r="F57" t="str">
            <v>BSB 501</v>
          </cell>
        </row>
        <row r="58">
          <cell r="F58" t="str">
            <v>BSB 503</v>
          </cell>
        </row>
        <row r="59">
          <cell r="F59" t="str">
            <v>BSB 502</v>
          </cell>
        </row>
        <row r="60">
          <cell r="F60" t="str">
            <v>BSB 504</v>
          </cell>
        </row>
        <row r="61">
          <cell r="A61" t="str">
            <v>3INX</v>
          </cell>
          <cell r="F61" t="str">
            <v>CARACOLI I</v>
          </cell>
        </row>
        <row r="62">
          <cell r="F62" t="str">
            <v>PARQUE SOLAR ARENAL</v>
          </cell>
        </row>
        <row r="63">
          <cell r="F63" t="str">
            <v>PARQUE SOLAR DINAMARCA</v>
          </cell>
        </row>
        <row r="64">
          <cell r="F64" t="str">
            <v>PARQUE SOLAR VERSALLES</v>
          </cell>
        </row>
        <row r="65">
          <cell r="F65" t="str">
            <v>PARQUE SOLAR LA MENA</v>
          </cell>
        </row>
        <row r="66">
          <cell r="A66" t="str">
            <v>TPUY</v>
          </cell>
          <cell r="F66" t="str">
            <v>PARQUE SOLAR TEPUY</v>
          </cell>
        </row>
        <row r="67">
          <cell r="F67" t="str">
            <v>PETALO DE CORDOBA II</v>
          </cell>
        </row>
        <row r="68">
          <cell r="F68" t="str">
            <v>AUTOG SOLAR PALMIRA</v>
          </cell>
        </row>
        <row r="69">
          <cell r="F69" t="str">
            <v>CAIMAN CIENAGUERO</v>
          </cell>
        </row>
        <row r="70">
          <cell r="F70" t="str">
            <v>PARQUE SOLAR HONDA I</v>
          </cell>
        </row>
        <row r="71">
          <cell r="F71" t="str">
            <v>PARQUE SOLAR HONDA II</v>
          </cell>
        </row>
        <row r="72">
          <cell r="F72" t="str">
            <v>NUMBANA</v>
          </cell>
        </row>
        <row r="73">
          <cell r="F73" t="str">
            <v>GUAMO</v>
          </cell>
        </row>
        <row r="74">
          <cell r="F74" t="str">
            <v>AUTOG EL COPEY</v>
          </cell>
        </row>
        <row r="75">
          <cell r="F75" t="str">
            <v>LA NENERA</v>
          </cell>
        </row>
        <row r="76">
          <cell r="F76" t="str">
            <v>CELSIA SOLAR BUGALAGRANDE</v>
          </cell>
        </row>
        <row r="77">
          <cell r="F77" t="str">
            <v>AUTOG SOLAR AYACUCHO</v>
          </cell>
        </row>
        <row r="78">
          <cell r="F78" t="str">
            <v>AUTOG SOLAR VASCONIA</v>
          </cell>
        </row>
        <row r="79">
          <cell r="F79" t="str">
            <v>SOL Y CIELO I</v>
          </cell>
        </row>
        <row r="80">
          <cell r="F80" t="str">
            <v>JEQUES</v>
          </cell>
        </row>
        <row r="81">
          <cell r="F81" t="str">
            <v>MINIGRANJA SAN PEDRO</v>
          </cell>
        </row>
        <row r="82">
          <cell r="F82" t="str">
            <v>SOLAR ALEJANDRIA</v>
          </cell>
        </row>
        <row r="83">
          <cell r="F83" t="str">
            <v>BARAYA</v>
          </cell>
        </row>
        <row r="84">
          <cell r="F84" t="str">
            <v>CONDOR</v>
          </cell>
        </row>
        <row r="85">
          <cell r="F85" t="str">
            <v>CANAHUATE</v>
          </cell>
        </row>
        <row r="86">
          <cell r="F86" t="str">
            <v>GANDALF</v>
          </cell>
        </row>
        <row r="87">
          <cell r="F87" t="str">
            <v>GD BASILICA</v>
          </cell>
        </row>
        <row r="88">
          <cell r="F88" t="str">
            <v>GD ALFEREZ</v>
          </cell>
        </row>
        <row r="89">
          <cell r="F89" t="str">
            <v>GD LA HONDA</v>
          </cell>
        </row>
        <row r="90">
          <cell r="F90" t="str">
            <v>GD LA URIBE</v>
          </cell>
        </row>
        <row r="91">
          <cell r="F91" t="str">
            <v>GD CHIMBI</v>
          </cell>
        </row>
        <row r="92">
          <cell r="F92" t="str">
            <v>GD EL BANCO</v>
          </cell>
        </row>
        <row r="93">
          <cell r="F93" t="str">
            <v>GD LOS CHORROS</v>
          </cell>
        </row>
        <row r="94">
          <cell r="F94" t="str">
            <v>GD CHICORAL</v>
          </cell>
        </row>
        <row r="95">
          <cell r="F95" t="str">
            <v>GD PALERMO</v>
          </cell>
        </row>
        <row r="96">
          <cell r="F96" t="str">
            <v>LA INGLESA</v>
          </cell>
        </row>
        <row r="97">
          <cell r="F97" t="str">
            <v>BUENAVISTA</v>
          </cell>
        </row>
        <row r="98">
          <cell r="F98" t="str">
            <v>CELSIA SOLAR ALUMINA</v>
          </cell>
        </row>
        <row r="99">
          <cell r="F99" t="str">
            <v>SOLAR OLD T</v>
          </cell>
        </row>
        <row r="100">
          <cell r="F100" t="str">
            <v>ROVIRA</v>
          </cell>
        </row>
        <row r="101">
          <cell r="F101" t="str">
            <v>AUTOG BIOS CONTEGRAL NEIVA</v>
          </cell>
        </row>
        <row r="102">
          <cell r="F102" t="str">
            <v>AUTOG BIOS CONTEGRAL CARTAGO</v>
          </cell>
        </row>
        <row r="103">
          <cell r="F103" t="str">
            <v>AUTOG BIOS CIENAGA ORO</v>
          </cell>
        </row>
        <row r="104">
          <cell r="F104" t="str">
            <v>MINIGRANJA EL MOLINO</v>
          </cell>
        </row>
        <row r="105">
          <cell r="F105" t="str">
            <v>MINIGRANJA LA PAZ VALLENATA</v>
          </cell>
        </row>
        <row r="106">
          <cell r="F106" t="str">
            <v>CELSIA SOLAR PUERTO TEJADA</v>
          </cell>
        </row>
        <row r="107">
          <cell r="F107" t="str">
            <v>JUMI</v>
          </cell>
        </row>
        <row r="108">
          <cell r="F108" t="str">
            <v>AUTOG UNIMINAS</v>
          </cell>
        </row>
        <row r="109">
          <cell r="F109" t="str">
            <v>AUTOG MILPA SAN CARLOS</v>
          </cell>
        </row>
        <row r="110">
          <cell r="F110" t="str">
            <v>GD NAOS I</v>
          </cell>
        </row>
        <row r="111">
          <cell r="F111" t="str">
            <v>GD ERCO TOLDADO</v>
          </cell>
        </row>
        <row r="112">
          <cell r="F112" t="str">
            <v>AUTOG BIOS FINCA BUGA</v>
          </cell>
        </row>
        <row r="113">
          <cell r="F113" t="str">
            <v>GD ERCO SALDANA I</v>
          </cell>
        </row>
        <row r="114">
          <cell r="F114" t="str">
            <v>GD ERCO SALDANA II</v>
          </cell>
        </row>
        <row r="115">
          <cell r="F115" t="str">
            <v>ZAMBRANO II</v>
          </cell>
        </row>
        <row r="116">
          <cell r="F116" t="str">
            <v>GD FINCA JM</v>
          </cell>
        </row>
        <row r="117">
          <cell r="F117" t="str">
            <v>GD FINCA ISABEL LOPEZ</v>
          </cell>
        </row>
        <row r="118">
          <cell r="F118" t="str">
            <v>ROKRA</v>
          </cell>
        </row>
        <row r="119">
          <cell r="F119" t="str">
            <v>CENTRO SOLAR</v>
          </cell>
        </row>
        <row r="120">
          <cell r="F120" t="str">
            <v>SOL DEL MAR II</v>
          </cell>
        </row>
        <row r="121">
          <cell r="F121" t="str">
            <v>ECOPARQUE SOLAR LA CIRA</v>
          </cell>
        </row>
        <row r="122">
          <cell r="F122" t="str">
            <v>MINIGRANJA LA PAZ ESMERALDA</v>
          </cell>
        </row>
        <row r="123">
          <cell r="F123" t="str">
            <v>MINIGRANJA LA PAZ VERSO</v>
          </cell>
        </row>
        <row r="124">
          <cell r="F124" t="str">
            <v>AUTOG SOLAR PALMIRA II BERRY</v>
          </cell>
        </row>
        <row r="125">
          <cell r="F125" t="str">
            <v>MINIGRANJA LA PAZ LEYENDA</v>
          </cell>
        </row>
        <row r="126">
          <cell r="F126" t="str">
            <v>GD EL ROBLE</v>
          </cell>
        </row>
        <row r="127">
          <cell r="F127" t="str">
            <v>AUTOG CELSIA SOLAR TQ JAMUNDI</v>
          </cell>
        </row>
        <row r="128">
          <cell r="F128" t="str">
            <v>GD BOCAS DEL PALO</v>
          </cell>
        </row>
        <row r="129">
          <cell r="F129" t="str">
            <v>LA PAZ</v>
          </cell>
        </row>
        <row r="130">
          <cell r="F130" t="str">
            <v>GRANJA SOLAR ASTURIAS</v>
          </cell>
        </row>
        <row r="131">
          <cell r="F131" t="str">
            <v>SOL DE ZAWADY</v>
          </cell>
        </row>
        <row r="132">
          <cell r="F132" t="str">
            <v>GD ERCO GUAMO I</v>
          </cell>
        </row>
        <row r="133">
          <cell r="F133" t="str">
            <v>GD ERCO GUAMO II</v>
          </cell>
        </row>
        <row r="134">
          <cell r="F134" t="str">
            <v>GD ERCO GUAMO III</v>
          </cell>
        </row>
        <row r="135">
          <cell r="F135" t="str">
            <v>GD ERCO GUAMO IV</v>
          </cell>
        </row>
        <row r="136">
          <cell r="F136" t="str">
            <v>AUTOG HIDROSOLAR I</v>
          </cell>
        </row>
        <row r="137">
          <cell r="F137" t="str">
            <v>PARQUE SOLAR BARANOA</v>
          </cell>
        </row>
        <row r="138">
          <cell r="F138" t="str">
            <v>SOLAR PN I</v>
          </cell>
        </row>
        <row r="139">
          <cell r="F139" t="str">
            <v>MINIGRANJA VILLANUEVA</v>
          </cell>
        </row>
        <row r="140">
          <cell r="F140" t="str">
            <v>GD ERCO MARIANGOLA</v>
          </cell>
        </row>
        <row r="141">
          <cell r="F141" t="str">
            <v>MINIGRANJA EL MERENGUE</v>
          </cell>
        </row>
        <row r="142">
          <cell r="F142" t="str">
            <v>GD DIOCESIS DE RIOHACHA</v>
          </cell>
        </row>
        <row r="143">
          <cell r="F143" t="str">
            <v>SOL Y CIELO III</v>
          </cell>
        </row>
        <row r="144">
          <cell r="F144" t="str">
            <v>SOL Y CIELO IV</v>
          </cell>
        </row>
        <row r="145">
          <cell r="F145" t="str">
            <v>SOL Y CIELO II</v>
          </cell>
        </row>
        <row r="146">
          <cell r="F146" t="str">
            <v>MINIGRANJA EL SON</v>
          </cell>
        </row>
        <row r="147">
          <cell r="F147" t="str">
            <v>MINIGRANJA LA PUYA</v>
          </cell>
        </row>
        <row r="148">
          <cell r="F148" t="str">
            <v>PARQUE SOLAR URRA</v>
          </cell>
        </row>
        <row r="149">
          <cell r="F149" t="str">
            <v>LA MARTINA</v>
          </cell>
        </row>
        <row r="150">
          <cell r="F150" t="str">
            <v>SOL Y CIELO V</v>
          </cell>
        </row>
        <row r="151">
          <cell r="F151" t="str">
            <v>GD NAOS II</v>
          </cell>
        </row>
        <row r="152">
          <cell r="F152" t="str">
            <v>AUTOG PALMERAS DE LA COSTA</v>
          </cell>
        </row>
        <row r="153">
          <cell r="A153" t="str">
            <v>4YCF</v>
          </cell>
          <cell r="F153" t="str">
            <v>SHANGRI LA</v>
          </cell>
        </row>
        <row r="154">
          <cell r="F154" t="str">
            <v>MINIGRANJA SAN DIEGO SUR</v>
          </cell>
        </row>
        <row r="155">
          <cell r="F155" t="str">
            <v>MINIGRANJA EL COPEY OCCIDENTE</v>
          </cell>
        </row>
        <row r="156">
          <cell r="F156" t="str">
            <v>MINIGRANJA LA RESERVA</v>
          </cell>
        </row>
        <row r="157">
          <cell r="F157" t="str">
            <v>MINIGRANJA EL OLIMPO</v>
          </cell>
        </row>
        <row r="158">
          <cell r="F158" t="str">
            <v>MINIGRANJA EL JOROPO</v>
          </cell>
        </row>
        <row r="159">
          <cell r="F159" t="str">
            <v>SOLAR PALMASECA I</v>
          </cell>
        </row>
        <row r="160">
          <cell r="F160" t="str">
            <v>SOLAR PALMASECA II</v>
          </cell>
        </row>
        <row r="161">
          <cell r="F161" t="str">
            <v>PARQUE SOLAR SABANA</v>
          </cell>
        </row>
        <row r="162">
          <cell r="F162" t="str">
            <v>PETALO DEL NORTE DE SANTANDER I</v>
          </cell>
        </row>
        <row r="163">
          <cell r="F163" t="str">
            <v>MINIGRANJA IBIRICO</v>
          </cell>
        </row>
        <row r="164">
          <cell r="F164" t="str">
            <v>PARQUE SOLAR INTI I</v>
          </cell>
        </row>
        <row r="165">
          <cell r="F165" t="str">
            <v>SOLAR ARDOBELA I</v>
          </cell>
        </row>
        <row r="166">
          <cell r="F166" t="str">
            <v>SOLAR ARDOBELA II</v>
          </cell>
        </row>
        <row r="167">
          <cell r="F167" t="str">
            <v>CELSIA SOLAR ESCOBAL I</v>
          </cell>
        </row>
        <row r="168">
          <cell r="F168" t="str">
            <v>CELSIA SOLAR ESCOBAL II</v>
          </cell>
        </row>
        <row r="169">
          <cell r="F169" t="str">
            <v>CELSIA SOLAR ESCOBAL III</v>
          </cell>
        </row>
        <row r="170">
          <cell r="F170" t="str">
            <v>CELSIA SOLAR ESCOBAL IV</v>
          </cell>
        </row>
        <row r="171">
          <cell r="F171" t="str">
            <v>CELSIA SOLAR ESCOBAL V</v>
          </cell>
        </row>
        <row r="172">
          <cell r="F172" t="str">
            <v>MINIGRANJA VALENCIA ORIENTE I</v>
          </cell>
        </row>
        <row r="173">
          <cell r="F173" t="str">
            <v>MINIGRANJA VALENCIA ORIENTE II</v>
          </cell>
        </row>
        <row r="174">
          <cell r="F174" t="str">
            <v>SOL Y CIELO VI</v>
          </cell>
        </row>
        <row r="175">
          <cell r="F175" t="str">
            <v>GD NAOS III</v>
          </cell>
        </row>
        <row r="176">
          <cell r="F176" t="str">
            <v>AUTOG QBCO</v>
          </cell>
        </row>
        <row r="177">
          <cell r="F177" t="str">
            <v>AUTOG COMOLSA</v>
          </cell>
        </row>
        <row r="178">
          <cell r="F178" t="str">
            <v>AUTOG MOLINOS SANTA MARTA</v>
          </cell>
        </row>
        <row r="179">
          <cell r="A179" t="str">
            <v>GYP3</v>
          </cell>
          <cell r="F179" t="str">
            <v>GUAYEPO III</v>
          </cell>
        </row>
        <row r="180">
          <cell r="F180" t="str">
            <v>AUTOG CELSIA SOLAR ESCOBAL CEMEX</v>
          </cell>
        </row>
        <row r="181">
          <cell r="F181" t="str">
            <v>GD SAN MARTIN</v>
          </cell>
        </row>
        <row r="182">
          <cell r="F182" t="str">
            <v>GD ERCO PALMAS</v>
          </cell>
        </row>
        <row r="183">
          <cell r="F183" t="str">
            <v>MINIGRANJA LA CUMBIA</v>
          </cell>
        </row>
        <row r="184">
          <cell r="F184" t="str">
            <v>GD SAN MARTIN II</v>
          </cell>
        </row>
        <row r="185">
          <cell r="F185" t="str">
            <v>GD PULOY</v>
          </cell>
        </row>
        <row r="186">
          <cell r="F186" t="str">
            <v>GD SAN MARTIN III</v>
          </cell>
        </row>
        <row r="187">
          <cell r="A187" t="str">
            <v>PORO</v>
          </cell>
          <cell r="F187" t="str">
            <v>PARQUE SOLAR PUERTA DE ORO</v>
          </cell>
        </row>
        <row r="188">
          <cell r="F188" t="str">
            <v>CHENCHE PURIFICACION</v>
          </cell>
        </row>
        <row r="189">
          <cell r="F189" t="str">
            <v>MINIGRANJA EL MAPALE</v>
          </cell>
        </row>
        <row r="190">
          <cell r="F190" t="str">
            <v>GD GRANJA LA RUBIELA</v>
          </cell>
        </row>
        <row r="191">
          <cell r="F191" t="str">
            <v>PARQUE SOLAR CRLI</v>
          </cell>
        </row>
        <row r="192">
          <cell r="F192" t="str">
            <v>GD ALEJANDRIA I</v>
          </cell>
        </row>
        <row r="193">
          <cell r="F193" t="str">
            <v>GD ALEJANDRIA II</v>
          </cell>
        </row>
        <row r="194">
          <cell r="F194" t="str">
            <v>GD ALEJANDRIA III</v>
          </cell>
        </row>
        <row r="195">
          <cell r="F195" t="str">
            <v>SAN ONOFRE</v>
          </cell>
        </row>
        <row r="196">
          <cell r="F196" t="str">
            <v>POLARIS I</v>
          </cell>
        </row>
        <row r="197">
          <cell r="F197" t="str">
            <v>DELTA I</v>
          </cell>
        </row>
        <row r="198">
          <cell r="F198" t="str">
            <v>AUTOG CORONA SOPO</v>
          </cell>
        </row>
        <row r="199">
          <cell r="F199" t="str">
            <v>GD ENCANTO</v>
          </cell>
        </row>
        <row r="200">
          <cell r="F200" t="str">
            <v>ALMA II</v>
          </cell>
        </row>
        <row r="201">
          <cell r="F201" t="str">
            <v>GD ERCO ISIDORI</v>
          </cell>
        </row>
        <row r="202">
          <cell r="F202" t="str">
            <v>GD POLARIS II</v>
          </cell>
        </row>
        <row r="203">
          <cell r="F203" t="str">
            <v>GD GRANJA SAN PELAYO</v>
          </cell>
        </row>
        <row r="204">
          <cell r="F204" t="str">
            <v>GD BLANCA ENERGY I</v>
          </cell>
        </row>
        <row r="205">
          <cell r="F205" t="str">
            <v>GD BLANCA ENERGY II</v>
          </cell>
        </row>
        <row r="206">
          <cell r="F206" t="str">
            <v>PARQUE SOLAR NISPEROS</v>
          </cell>
        </row>
        <row r="207">
          <cell r="F207" t="str">
            <v>GD SEMILLA DE GUACAMAYAL II</v>
          </cell>
        </row>
        <row r="208">
          <cell r="F208" t="str">
            <v>VALLEDUPAR I</v>
          </cell>
        </row>
        <row r="209">
          <cell r="F209" t="str">
            <v>VALLEDUPAR II</v>
          </cell>
        </row>
        <row r="210">
          <cell r="F210" t="str">
            <v>VALLEDUPAR III</v>
          </cell>
        </row>
        <row r="211">
          <cell r="F211" t="str">
            <v>PARQUE SOLAR HATO GRANDE</v>
          </cell>
        </row>
        <row r="212">
          <cell r="F212" t="str">
            <v>PARQUE SOLAR BUGAMBILES</v>
          </cell>
        </row>
        <row r="213">
          <cell r="F213" t="str">
            <v>GD BLANCA ENERGY III</v>
          </cell>
        </row>
        <row r="214">
          <cell r="F214" t="str">
            <v>GD PARQUE SOLAR GRANADA I</v>
          </cell>
        </row>
        <row r="215">
          <cell r="F215" t="str">
            <v>GD PXV IV</v>
          </cell>
        </row>
        <row r="216">
          <cell r="F216" t="str">
            <v>GD PXV I</v>
          </cell>
        </row>
        <row r="217">
          <cell r="F217" t="str">
            <v>GD DELTA II</v>
          </cell>
        </row>
        <row r="218">
          <cell r="F218" t="str">
            <v>GD AGUSTIN I</v>
          </cell>
        </row>
        <row r="219">
          <cell r="F219" t="str">
            <v>GD MGS 0013 LA MESA</v>
          </cell>
        </row>
        <row r="220">
          <cell r="F220" t="str">
            <v>GD POLARIS III</v>
          </cell>
        </row>
        <row r="221">
          <cell r="F221" t="str">
            <v>GD LAS MERCEDES I</v>
          </cell>
        </row>
        <row r="222">
          <cell r="F222" t="str">
            <v>GD LAS MERCEDES II</v>
          </cell>
        </row>
        <row r="223">
          <cell r="F223" t="str">
            <v>ATLANTICO</v>
          </cell>
        </row>
        <row r="224">
          <cell r="F224" t="str">
            <v>SUAREZ</v>
          </cell>
        </row>
        <row r="225">
          <cell r="F225" t="str">
            <v>GD YURBAQUA</v>
          </cell>
        </row>
        <row r="226">
          <cell r="F226" t="str">
            <v>AUTOG CELSIA SOLAR TQ TECNOSUR</v>
          </cell>
        </row>
        <row r="227">
          <cell r="F227" t="str">
            <v>GD SAN PELAYO</v>
          </cell>
        </row>
        <row r="228">
          <cell r="F228" t="str">
            <v>PARQUE SOLAR EL JARDIN</v>
          </cell>
        </row>
        <row r="229">
          <cell r="F229" t="str">
            <v>GD WE202</v>
          </cell>
        </row>
        <row r="230">
          <cell r="F230" t="str">
            <v>GD WE2021</v>
          </cell>
        </row>
        <row r="231">
          <cell r="F231" t="str">
            <v>AUTOG CARVAJAL GINEBRA</v>
          </cell>
        </row>
        <row r="232">
          <cell r="F232" t="str">
            <v>GD BIOSOLAR</v>
          </cell>
        </row>
        <row r="233">
          <cell r="F233" t="str">
            <v>GD ASTROLUMEN LA GARITA</v>
          </cell>
        </row>
        <row r="234">
          <cell r="F234" t="str">
            <v>SOL Y CIELO VII</v>
          </cell>
        </row>
        <row r="235">
          <cell r="F235" t="str">
            <v>EL TAMARINDO I</v>
          </cell>
        </row>
        <row r="236">
          <cell r="F236" t="str">
            <v>EL TAMARINDO II</v>
          </cell>
        </row>
        <row r="237">
          <cell r="F237" t="str">
            <v>GRANJA SOLAR LA GARITA</v>
          </cell>
        </row>
        <row r="238">
          <cell r="F238" t="str">
            <v>GD LA CATEDRAL</v>
          </cell>
        </row>
        <row r="239">
          <cell r="F239" t="str">
            <v>GD CSF ARENALES I</v>
          </cell>
        </row>
        <row r="240">
          <cell r="F240" t="str">
            <v>GD BLANCA ENERGY SOLAR 23</v>
          </cell>
        </row>
        <row r="241">
          <cell r="F241" t="str">
            <v>GD BLANCA ENERGY SOLAR 24</v>
          </cell>
        </row>
        <row r="242">
          <cell r="F242" t="str">
            <v>GD CADILLO II</v>
          </cell>
        </row>
        <row r="243">
          <cell r="F243" t="str">
            <v>GD JARDINCITO</v>
          </cell>
        </row>
        <row r="244">
          <cell r="F244" t="str">
            <v>GD CARACOL I</v>
          </cell>
        </row>
        <row r="245">
          <cell r="F245" t="str">
            <v>GD CARACOL II</v>
          </cell>
        </row>
        <row r="246">
          <cell r="F246" t="str">
            <v>GD CARACOL III</v>
          </cell>
        </row>
        <row r="247">
          <cell r="F247" t="str">
            <v>GD ESPERANZA II</v>
          </cell>
        </row>
        <row r="248">
          <cell r="F248" t="str">
            <v>GD LAS PILONERAS</v>
          </cell>
        </row>
        <row r="249">
          <cell r="F249" t="str">
            <v>GD PALMERAS I</v>
          </cell>
        </row>
        <row r="250">
          <cell r="F250" t="str">
            <v>GD PALMERAS II</v>
          </cell>
        </row>
        <row r="251">
          <cell r="F251" t="str">
            <v>GD PALMERAS III</v>
          </cell>
        </row>
        <row r="252">
          <cell r="F252" t="str">
            <v>GD PALMERAS IV</v>
          </cell>
        </row>
        <row r="253">
          <cell r="F253" t="str">
            <v>GD ESPERANZA I</v>
          </cell>
        </row>
        <row r="254">
          <cell r="F254" t="str">
            <v>GD YUAN SOLAR</v>
          </cell>
        </row>
        <row r="255">
          <cell r="F255" t="str">
            <v>GD LA CACICA</v>
          </cell>
        </row>
        <row r="256">
          <cell r="F256" t="str">
            <v>GD SINAI</v>
          </cell>
        </row>
        <row r="257">
          <cell r="F257" t="str">
            <v>GD EL CASTILLO II</v>
          </cell>
        </row>
        <row r="258">
          <cell r="F258" t="str">
            <v>GD LYRA</v>
          </cell>
        </row>
        <row r="259">
          <cell r="F259" t="str">
            <v>GD EDEQ SOLAR LA TEBAIDA</v>
          </cell>
        </row>
        <row r="260">
          <cell r="F260" t="str">
            <v>GD EDEQ SOLAR MONTENEGRO</v>
          </cell>
        </row>
        <row r="261">
          <cell r="F261" t="str">
            <v>GD BONILLA A I</v>
          </cell>
        </row>
        <row r="262">
          <cell r="F262" t="str">
            <v>GD BONILLA A II</v>
          </cell>
        </row>
        <row r="263">
          <cell r="F263" t="str">
            <v>GD BONILLA A III</v>
          </cell>
        </row>
        <row r="264">
          <cell r="F264" t="str">
            <v>GD BONILLA A V</v>
          </cell>
        </row>
        <row r="265">
          <cell r="F265" t="str">
            <v>GD CANARIOS I</v>
          </cell>
        </row>
        <row r="266">
          <cell r="F266" t="str">
            <v>GD ERCO GOLONDRINA I</v>
          </cell>
        </row>
        <row r="267">
          <cell r="F267" t="str">
            <v>GD PEGASUS SOLAR</v>
          </cell>
        </row>
        <row r="268">
          <cell r="F268" t="str">
            <v>GD GALILEO SOLAR</v>
          </cell>
        </row>
        <row r="269">
          <cell r="F269" t="str">
            <v>GD SEMILLAS MONTERIA I</v>
          </cell>
        </row>
        <row r="270">
          <cell r="F270" t="str">
            <v>GD SEMILLAS MONTERIA II</v>
          </cell>
        </row>
        <row r="271">
          <cell r="F271" t="str">
            <v>GD ORBIS</v>
          </cell>
        </row>
        <row r="272">
          <cell r="F272" t="str">
            <v>GD SOLYCIELO 9</v>
          </cell>
        </row>
        <row r="273">
          <cell r="F273" t="str">
            <v>GD LA MACANA</v>
          </cell>
        </row>
        <row r="274">
          <cell r="F274" t="str">
            <v>GD PARQUE SOLAR GRANADA II</v>
          </cell>
        </row>
        <row r="275">
          <cell r="F275" t="str">
            <v>GD EMPERATRIZ I</v>
          </cell>
        </row>
        <row r="276">
          <cell r="F276" t="str">
            <v>GD EMPERATRIZ II</v>
          </cell>
        </row>
        <row r="277">
          <cell r="F277" t="str">
            <v>GD CORALITO</v>
          </cell>
        </row>
        <row r="278">
          <cell r="F278" t="str">
            <v>GD GOLONDRINA</v>
          </cell>
        </row>
        <row r="279">
          <cell r="F279" t="str">
            <v>GD SEMILLA DEL PASO IA</v>
          </cell>
        </row>
        <row r="280">
          <cell r="F280" t="str">
            <v>GD SEMILLA DEL PASO III</v>
          </cell>
        </row>
        <row r="281">
          <cell r="F281" t="str">
            <v>GD LOS MANGOS I</v>
          </cell>
        </row>
        <row r="282">
          <cell r="F282" t="str">
            <v>GD LOS MANGOS II</v>
          </cell>
        </row>
        <row r="283">
          <cell r="F283" t="str">
            <v>GD ALAMO SOLAR</v>
          </cell>
        </row>
        <row r="284">
          <cell r="F284" t="str">
            <v>GD EL PASO NORTE</v>
          </cell>
        </row>
        <row r="285">
          <cell r="F285" t="str">
            <v>GD CHIRIGUANA NORTE I</v>
          </cell>
        </row>
        <row r="286">
          <cell r="F286" t="str">
            <v>GD SOL Y CIELO X</v>
          </cell>
        </row>
        <row r="287">
          <cell r="F287" t="str">
            <v>PLANTA SOLAR SAN FRANCISCO</v>
          </cell>
        </row>
        <row r="288">
          <cell r="F288" t="str">
            <v>GD BONILLA A IV</v>
          </cell>
        </row>
        <row r="289">
          <cell r="F289" t="str">
            <v>GD LA HORMIGUITA</v>
          </cell>
        </row>
        <row r="290">
          <cell r="F290" t="str">
            <v>GD ERCO LAS PIEDRAS I</v>
          </cell>
        </row>
        <row r="291">
          <cell r="F291" t="str">
            <v>GD ERCO LAS PIEDRAS II</v>
          </cell>
        </row>
        <row r="292">
          <cell r="F292" t="str">
            <v>GD SEVILLANO RURAL I</v>
          </cell>
        </row>
        <row r="293">
          <cell r="F293" t="str">
            <v>GD SEVILLANO RURAL II</v>
          </cell>
        </row>
        <row r="294">
          <cell r="F294" t="str">
            <v>GD CANARIOS II</v>
          </cell>
        </row>
        <row r="295">
          <cell r="F295" t="str">
            <v>GD CANARIOS III</v>
          </cell>
        </row>
        <row r="296">
          <cell r="F296" t="str">
            <v>GD NAOS IV</v>
          </cell>
        </row>
        <row r="297">
          <cell r="F297" t="str">
            <v>GD VEGA I</v>
          </cell>
        </row>
        <row r="298">
          <cell r="F298" t="str">
            <v>GD VEGA II</v>
          </cell>
        </row>
        <row r="299">
          <cell r="F299" t="str">
            <v>GD PARQUE SOLAR LA ESPERANZA</v>
          </cell>
        </row>
        <row r="300">
          <cell r="F300" t="str">
            <v>GD PARQUE SOLAR TRONCAL</v>
          </cell>
        </row>
        <row r="301">
          <cell r="F301" t="str">
            <v>GD CHIRIGUANA NORTE II</v>
          </cell>
        </row>
        <row r="302">
          <cell r="F302" t="str">
            <v>GD CHIRIGUANA NORTE IV</v>
          </cell>
        </row>
        <row r="303">
          <cell r="F303" t="str">
            <v>GD TAURUS VIII</v>
          </cell>
        </row>
        <row r="304">
          <cell r="F304" t="str">
            <v>GD TAURUS IX</v>
          </cell>
        </row>
        <row r="305">
          <cell r="F305" t="str">
            <v>GD TAURUS X</v>
          </cell>
        </row>
        <row r="306">
          <cell r="F306" t="str">
            <v>GD SEMILLA DE EL PASO IIIA</v>
          </cell>
        </row>
        <row r="307">
          <cell r="F307" t="str">
            <v>GD SEMILLA DE EL PASO IVA</v>
          </cell>
        </row>
        <row r="308">
          <cell r="F308" t="str">
            <v>GD MEISSA II</v>
          </cell>
        </row>
        <row r="309">
          <cell r="F309" t="str">
            <v>PLANTA FV DONA JUANA</v>
          </cell>
        </row>
        <row r="310">
          <cell r="F310" t="str">
            <v>GD EL CASTILLO I</v>
          </cell>
        </row>
        <row r="311">
          <cell r="F311" t="str">
            <v>GD EL CASTILLO III</v>
          </cell>
        </row>
        <row r="312">
          <cell r="F312" t="str">
            <v>GD EL CASTILLO IV</v>
          </cell>
        </row>
        <row r="313">
          <cell r="F313" t="str">
            <v>GD EL CASTILLO V</v>
          </cell>
        </row>
        <row r="314">
          <cell r="F314" t="str">
            <v>GD LOS MANGOS III</v>
          </cell>
        </row>
        <row r="315">
          <cell r="F315" t="str">
            <v>GD SUAMOX</v>
          </cell>
        </row>
        <row r="316">
          <cell r="F316" t="str">
            <v>GD SOL Y CIELO XII</v>
          </cell>
        </row>
        <row r="317">
          <cell r="F317" t="str">
            <v>GD VITERBO I</v>
          </cell>
        </row>
        <row r="318">
          <cell r="F318" t="str">
            <v>GD VITERBO II</v>
          </cell>
        </row>
        <row r="319">
          <cell r="F319" t="str">
            <v>GD SOL Y CIELO XI</v>
          </cell>
        </row>
        <row r="320">
          <cell r="F320" t="str">
            <v>GD SOL Y CIELO XIII</v>
          </cell>
        </row>
        <row r="321">
          <cell r="F321" t="str">
            <v>GD SOL Y CIELO XIV</v>
          </cell>
        </row>
        <row r="322">
          <cell r="F322" t="str">
            <v>GD NOVA I</v>
          </cell>
        </row>
        <row r="323">
          <cell r="F323" t="str">
            <v>GD EL MANDARINO</v>
          </cell>
        </row>
        <row r="324">
          <cell r="F324" t="str">
            <v>GD SEMILLAS DE CERETE II</v>
          </cell>
        </row>
        <row r="325">
          <cell r="F325" t="str">
            <v>GD PXV II</v>
          </cell>
        </row>
        <row r="326">
          <cell r="F326" t="str">
            <v>GD ERCO GOLONDRINA II</v>
          </cell>
        </row>
        <row r="327">
          <cell r="F327" t="str">
            <v>GD ESPERANZA I ETAPA II</v>
          </cell>
        </row>
        <row r="328">
          <cell r="F328" t="str">
            <v>GD AGUSTIN II</v>
          </cell>
        </row>
        <row r="329">
          <cell r="F329" t="str">
            <v>GD AGUSTIN III</v>
          </cell>
        </row>
        <row r="330">
          <cell r="F330" t="str">
            <v>GD SAN ONOFRE I</v>
          </cell>
        </row>
        <row r="331">
          <cell r="F331" t="str">
            <v>GD SAN ONOFRE II</v>
          </cell>
        </row>
        <row r="332">
          <cell r="F332" t="str">
            <v>GD SAN ONOFRE III</v>
          </cell>
        </row>
        <row r="333">
          <cell r="F333" t="str">
            <v>GD GRANJA SOLAR SAN AGUSTIN</v>
          </cell>
        </row>
        <row r="334">
          <cell r="F334" t="str">
            <v>GD SABANA DE TORRES</v>
          </cell>
        </row>
        <row r="335">
          <cell r="F335" t="str">
            <v>GD PIEDECUESTA I</v>
          </cell>
        </row>
        <row r="336">
          <cell r="F336" t="str">
            <v>GD PIEDECUESTA II</v>
          </cell>
        </row>
        <row r="337">
          <cell r="F337" t="str">
            <v>GD PIEDECUESTA III</v>
          </cell>
        </row>
        <row r="338">
          <cell r="F338" t="str">
            <v>GD ERCO PALMAS II</v>
          </cell>
        </row>
        <row r="339">
          <cell r="F339" t="str">
            <v>GD PISINGO I</v>
          </cell>
        </row>
        <row r="340">
          <cell r="F340" t="str">
            <v>GD PISINGO II</v>
          </cell>
        </row>
        <row r="341">
          <cell r="F341" t="str">
            <v>GD NAOS V</v>
          </cell>
        </row>
        <row r="342">
          <cell r="F342" t="str">
            <v>GD GALERAS OCCIDENTE</v>
          </cell>
        </row>
        <row r="343">
          <cell r="F343" t="str">
            <v>GD LYRA II</v>
          </cell>
        </row>
        <row r="344">
          <cell r="F344" t="str">
            <v>GD SAN MARTIN I</v>
          </cell>
        </row>
        <row r="345">
          <cell r="F345" t="str">
            <v>GD PARQUE SOLAR TRONCAL II</v>
          </cell>
        </row>
        <row r="346">
          <cell r="F346" t="str">
            <v>GD CALIPSO SOLAR</v>
          </cell>
        </row>
        <row r="347">
          <cell r="F347" t="str">
            <v>GD RIGEL SOLAR</v>
          </cell>
        </row>
        <row r="348">
          <cell r="F348" t="str">
            <v>GD TITAN SOLAR</v>
          </cell>
        </row>
        <row r="349">
          <cell r="F349" t="str">
            <v>TOLU SOLAR</v>
          </cell>
        </row>
        <row r="350">
          <cell r="F350" t="str">
            <v>GD LEGACY</v>
          </cell>
        </row>
        <row r="351">
          <cell r="F351" t="str">
            <v>-</v>
          </cell>
        </row>
        <row r="352">
          <cell r="F352" t="str">
            <v>-</v>
          </cell>
        </row>
        <row r="353">
          <cell r="F353" t="str">
            <v>PARQUE EOLICO WESP01</v>
          </cell>
        </row>
        <row r="354">
          <cell r="A354" t="str">
            <v>TBQ3</v>
          </cell>
          <cell r="F354" t="str">
            <v>BARRANQUILLA 3</v>
          </cell>
        </row>
        <row r="355">
          <cell r="A355" t="str">
            <v>TBQ4</v>
          </cell>
          <cell r="F355" t="str">
            <v>BARRANQUILLA 4</v>
          </cell>
        </row>
        <row r="356">
          <cell r="A356" t="str">
            <v>CTG1</v>
          </cell>
          <cell r="F356" t="str">
            <v>CARTAGENA 1</v>
          </cell>
        </row>
        <row r="357">
          <cell r="A357" t="str">
            <v>CTG2</v>
          </cell>
          <cell r="F357" t="str">
            <v>CARTAGENA 2</v>
          </cell>
        </row>
        <row r="358">
          <cell r="A358" t="str">
            <v>CTG3</v>
          </cell>
          <cell r="F358" t="str">
            <v>CARTAGENA 3</v>
          </cell>
        </row>
        <row r="359">
          <cell r="A359" t="str">
            <v>TFL1</v>
          </cell>
          <cell r="F359" t="str">
            <v>FLORES I CC</v>
          </cell>
        </row>
        <row r="360">
          <cell r="A360" t="str">
            <v>TFL1</v>
          </cell>
          <cell r="F360" t="str">
            <v>FLORES I CC</v>
          </cell>
        </row>
        <row r="361">
          <cell r="A361" t="str">
            <v>TFL4</v>
          </cell>
          <cell r="F361" t="str">
            <v>FLORES 4 CC</v>
          </cell>
        </row>
        <row r="362">
          <cell r="A362" t="str">
            <v>TFL4</v>
          </cell>
          <cell r="F362" t="str">
            <v>FLORES 4 CC</v>
          </cell>
        </row>
        <row r="363">
          <cell r="A363" t="str">
            <v>TFL4</v>
          </cell>
          <cell r="F363" t="str">
            <v>FLORES 4 CC</v>
          </cell>
        </row>
        <row r="364">
          <cell r="A364" t="str">
            <v>GEC3</v>
          </cell>
          <cell r="F364" t="str">
            <v>GECELCA 3</v>
          </cell>
        </row>
        <row r="365">
          <cell r="A365" t="str">
            <v>GE32</v>
          </cell>
          <cell r="F365" t="str">
            <v>GECELCA 32</v>
          </cell>
        </row>
        <row r="366">
          <cell r="A366" t="str">
            <v>TGJ1</v>
          </cell>
          <cell r="F366" t="str">
            <v>GUAJIRA 1</v>
          </cell>
        </row>
        <row r="367">
          <cell r="A367" t="str">
            <v>TGJ2</v>
          </cell>
          <cell r="F367" t="str">
            <v>GUAJIRA 2</v>
          </cell>
        </row>
        <row r="368">
          <cell r="A368" t="str">
            <v>MRL1</v>
          </cell>
          <cell r="F368" t="str">
            <v>MERILECTRICA 1</v>
          </cell>
        </row>
        <row r="369">
          <cell r="A369" t="str">
            <v>PPA1</v>
          </cell>
          <cell r="F369" t="str">
            <v>PAIPA 1</v>
          </cell>
        </row>
        <row r="370">
          <cell r="A370" t="str">
            <v>PPA2</v>
          </cell>
          <cell r="F370" t="str">
            <v>PAIPA 2</v>
          </cell>
        </row>
        <row r="371">
          <cell r="A371" t="str">
            <v>PPA3</v>
          </cell>
          <cell r="F371" t="str">
            <v>PAIPA 3</v>
          </cell>
        </row>
        <row r="372">
          <cell r="A372" t="str">
            <v>PPA4</v>
          </cell>
          <cell r="F372" t="str">
            <v>PAIPA 4</v>
          </cell>
        </row>
        <row r="373">
          <cell r="A373" t="str">
            <v>PRG1</v>
          </cell>
          <cell r="F373" t="str">
            <v>PROELECTRICA 1</v>
          </cell>
        </row>
        <row r="374">
          <cell r="A374" t="str">
            <v>PRG2</v>
          </cell>
          <cell r="F374" t="str">
            <v>PROELECTRICA 2</v>
          </cell>
        </row>
        <row r="375">
          <cell r="A375" t="str">
            <v>TSJ1</v>
          </cell>
          <cell r="F375" t="str">
            <v>TASAJERO 1</v>
          </cell>
        </row>
        <row r="376">
          <cell r="A376" t="str">
            <v>TSJ2</v>
          </cell>
          <cell r="F376" t="str">
            <v>TASAJERO 2</v>
          </cell>
        </row>
        <row r="377">
          <cell r="A377" t="str">
            <v>TBST</v>
          </cell>
          <cell r="F377" t="str">
            <v>TEBSAB CC</v>
          </cell>
        </row>
        <row r="378">
          <cell r="A378" t="str">
            <v>TBST</v>
          </cell>
          <cell r="F378" t="str">
            <v>TEBSAB CC</v>
          </cell>
        </row>
        <row r="379">
          <cell r="A379" t="str">
            <v>TBST</v>
          </cell>
          <cell r="F379" t="str">
            <v>TEBSAB CC</v>
          </cell>
        </row>
        <row r="380">
          <cell r="A380" t="str">
            <v>TBST</v>
          </cell>
          <cell r="F380" t="str">
            <v>TEBSAB CC</v>
          </cell>
        </row>
        <row r="381">
          <cell r="A381" t="str">
            <v>TBST</v>
          </cell>
          <cell r="F381" t="str">
            <v>TEBSAB CC</v>
          </cell>
        </row>
        <row r="382">
          <cell r="A382" t="str">
            <v>TBST</v>
          </cell>
          <cell r="F382" t="str">
            <v>TEBSAB CC</v>
          </cell>
        </row>
        <row r="383">
          <cell r="A383" t="str">
            <v>TBST</v>
          </cell>
          <cell r="F383" t="str">
            <v>TEBSAB CC</v>
          </cell>
        </row>
        <row r="384">
          <cell r="A384" t="str">
            <v>TCDT</v>
          </cell>
          <cell r="F384" t="str">
            <v>TERMOCANDELARIA CC</v>
          </cell>
        </row>
        <row r="385">
          <cell r="A385" t="str">
            <v>TCDT</v>
          </cell>
          <cell r="F385" t="str">
            <v>TERMOCANDELARIA CC</v>
          </cell>
        </row>
        <row r="386">
          <cell r="A386" t="str">
            <v>TCDT</v>
          </cell>
          <cell r="F386" t="str">
            <v>TERMOCANDELARIA CC</v>
          </cell>
        </row>
        <row r="387">
          <cell r="A387" t="str">
            <v>TCBE</v>
          </cell>
          <cell r="F387" t="str">
            <v>TERMOCARIBE III</v>
          </cell>
        </row>
        <row r="388">
          <cell r="A388" t="str">
            <v>TRM1</v>
          </cell>
          <cell r="F388" t="str">
            <v>TERMOCENTRO CC</v>
          </cell>
        </row>
        <row r="389">
          <cell r="A389" t="str">
            <v>TRM1</v>
          </cell>
          <cell r="F389" t="str">
            <v>TERMOCENTRO CC</v>
          </cell>
        </row>
        <row r="390">
          <cell r="A390" t="str">
            <v>TRM1</v>
          </cell>
          <cell r="F390" t="str">
            <v>TERMOCENTRO CC</v>
          </cell>
        </row>
        <row r="391">
          <cell r="A391" t="str">
            <v>TDR1</v>
          </cell>
          <cell r="F391" t="str">
            <v>TERMODORADA 1</v>
          </cell>
        </row>
        <row r="392">
          <cell r="A392" t="str">
            <v>TEC1</v>
          </cell>
          <cell r="F392" t="str">
            <v>TERMOEMCALI CC</v>
          </cell>
        </row>
        <row r="393">
          <cell r="A393" t="str">
            <v>TEC1</v>
          </cell>
          <cell r="F393" t="str">
            <v>TERMOEMCALI CC</v>
          </cell>
        </row>
        <row r="394">
          <cell r="A394" t="str">
            <v>TRN1</v>
          </cell>
          <cell r="F394" t="str">
            <v>TERMONORTE</v>
          </cell>
        </row>
        <row r="395">
          <cell r="A395" t="str">
            <v>TRN1</v>
          </cell>
          <cell r="F395" t="str">
            <v>TERMONORTE</v>
          </cell>
        </row>
        <row r="396">
          <cell r="A396" t="str">
            <v>TRN1</v>
          </cell>
          <cell r="F396" t="str">
            <v>TERMONORTE</v>
          </cell>
        </row>
        <row r="397">
          <cell r="A397" t="str">
            <v>TRN1</v>
          </cell>
          <cell r="F397" t="str">
            <v>TERMONORTE</v>
          </cell>
        </row>
        <row r="398">
          <cell r="A398" t="str">
            <v>TRN1</v>
          </cell>
          <cell r="F398" t="str">
            <v>TERMONORTE</v>
          </cell>
        </row>
        <row r="399">
          <cell r="A399" t="str">
            <v>TRN1</v>
          </cell>
          <cell r="F399" t="str">
            <v>TERMONORTE</v>
          </cell>
        </row>
        <row r="400">
          <cell r="A400" t="str">
            <v>TRN1</v>
          </cell>
          <cell r="F400" t="str">
            <v>TERMONORTE</v>
          </cell>
        </row>
        <row r="401">
          <cell r="A401" t="str">
            <v>TRN1</v>
          </cell>
          <cell r="F401" t="str">
            <v>TERMONORTE</v>
          </cell>
        </row>
        <row r="402">
          <cell r="A402" t="str">
            <v>TRN1</v>
          </cell>
          <cell r="F402" t="str">
            <v>TERMONORTE</v>
          </cell>
        </row>
        <row r="403">
          <cell r="A403" t="str">
            <v>TRN1</v>
          </cell>
          <cell r="F403" t="str">
            <v>TERMONORTE</v>
          </cell>
        </row>
        <row r="404">
          <cell r="A404" t="str">
            <v>TSR1</v>
          </cell>
          <cell r="F404" t="str">
            <v>TERMOSIERRA CC</v>
          </cell>
        </row>
        <row r="405">
          <cell r="A405" t="str">
            <v>TSR1</v>
          </cell>
          <cell r="F405" t="str">
            <v>TERMOSIERRA CC</v>
          </cell>
        </row>
        <row r="406">
          <cell r="A406" t="str">
            <v>TSR1</v>
          </cell>
          <cell r="F406" t="str">
            <v>TERMOSIERRA CC</v>
          </cell>
        </row>
        <row r="407">
          <cell r="A407" t="str">
            <v>TVL1</v>
          </cell>
          <cell r="F407" t="str">
            <v>TERMOVALLE CC</v>
          </cell>
        </row>
        <row r="408">
          <cell r="A408" t="str">
            <v>TVL1</v>
          </cell>
          <cell r="F408" t="str">
            <v>TERMOVALLE CC</v>
          </cell>
        </row>
        <row r="409">
          <cell r="A409" t="str">
            <v>TYP1</v>
          </cell>
          <cell r="F409" t="str">
            <v>TERMOYOPAL 1</v>
          </cell>
        </row>
        <row r="410">
          <cell r="A410" t="str">
            <v>TYP2</v>
          </cell>
          <cell r="F410" t="str">
            <v>TERMOYOPAL 2</v>
          </cell>
        </row>
        <row r="411">
          <cell r="A411" t="str">
            <v>TYP3</v>
          </cell>
          <cell r="F411" t="str">
            <v>TERMOYOPAL G3</v>
          </cell>
        </row>
        <row r="412">
          <cell r="A412" t="str">
            <v>TYP4</v>
          </cell>
          <cell r="F412" t="str">
            <v>TERMOYOPAL G4</v>
          </cell>
        </row>
        <row r="413">
          <cell r="A413" t="str">
            <v>TYP5</v>
          </cell>
          <cell r="F413" t="str">
            <v>TERMOYOPAL G5</v>
          </cell>
        </row>
        <row r="414">
          <cell r="A414" t="str">
            <v>3ENA</v>
          </cell>
          <cell r="F414" t="str">
            <v>TESORITO</v>
          </cell>
        </row>
        <row r="415">
          <cell r="A415" t="str">
            <v>3ENA</v>
          </cell>
          <cell r="F415" t="str">
            <v>TESORITO</v>
          </cell>
        </row>
        <row r="416">
          <cell r="A416" t="str">
            <v>3ENA</v>
          </cell>
          <cell r="F416" t="str">
            <v>TESORITO</v>
          </cell>
        </row>
        <row r="417">
          <cell r="A417" t="str">
            <v>3ENA</v>
          </cell>
          <cell r="F417" t="str">
            <v>TESORITO</v>
          </cell>
        </row>
        <row r="418">
          <cell r="A418" t="str">
            <v>3ENA</v>
          </cell>
          <cell r="F418" t="str">
            <v>TESORITO</v>
          </cell>
        </row>
        <row r="419">
          <cell r="A419" t="str">
            <v>3ENA</v>
          </cell>
          <cell r="F419" t="str">
            <v>TESORITO</v>
          </cell>
        </row>
        <row r="420">
          <cell r="A420" t="str">
            <v>3ENA</v>
          </cell>
          <cell r="F420" t="str">
            <v>TESORITO</v>
          </cell>
        </row>
        <row r="421">
          <cell r="A421" t="str">
            <v>3ENA</v>
          </cell>
          <cell r="F421" t="str">
            <v>TESORITO</v>
          </cell>
        </row>
        <row r="422">
          <cell r="A422" t="str">
            <v>3ENA</v>
          </cell>
          <cell r="F422" t="str">
            <v>TESORITO</v>
          </cell>
        </row>
        <row r="423">
          <cell r="A423" t="str">
            <v>3ENA</v>
          </cell>
          <cell r="F423" t="str">
            <v>TESORITO</v>
          </cell>
        </row>
        <row r="424">
          <cell r="A424" t="str">
            <v>3ENA</v>
          </cell>
          <cell r="F424" t="str">
            <v>TESORITO</v>
          </cell>
        </row>
        <row r="425">
          <cell r="A425" t="str">
            <v>4YCN</v>
          </cell>
          <cell r="F425" t="str">
            <v>VILLANUEVA</v>
          </cell>
        </row>
        <row r="426">
          <cell r="A426" t="str">
            <v>ZPA2</v>
          </cell>
          <cell r="F426" t="str">
            <v>ZIPAEMG 2</v>
          </cell>
        </row>
        <row r="427">
          <cell r="A427" t="str">
            <v>ZPA3</v>
          </cell>
          <cell r="F427" t="str">
            <v>ZIPAEMG 3</v>
          </cell>
        </row>
        <row r="428">
          <cell r="A428" t="str">
            <v>ZPA4</v>
          </cell>
          <cell r="F428" t="str">
            <v>ZIPAEMG 4</v>
          </cell>
        </row>
        <row r="429">
          <cell r="A429" t="str">
            <v>ZPA5</v>
          </cell>
          <cell r="F429" t="str">
            <v>ZIPAEMG 5</v>
          </cell>
        </row>
        <row r="430">
          <cell r="F430" t="str">
            <v>ALTO ANCHICAYA</v>
          </cell>
        </row>
        <row r="431">
          <cell r="F431" t="str">
            <v>ALTO ANCHICAYA</v>
          </cell>
        </row>
        <row r="432">
          <cell r="F432" t="str">
            <v>ALTO ANCHICAYA</v>
          </cell>
        </row>
        <row r="433">
          <cell r="A433" t="str">
            <v>MOY1</v>
          </cell>
          <cell r="F433" t="str">
            <v>AMOYA LA ESPERANZA</v>
          </cell>
        </row>
        <row r="434">
          <cell r="A434" t="str">
            <v>MOY1</v>
          </cell>
          <cell r="F434" t="str">
            <v>AMOYA LA ESPERANZA</v>
          </cell>
        </row>
        <row r="435">
          <cell r="F435" t="str">
            <v>BAJO ANCHICAYA</v>
          </cell>
        </row>
        <row r="436">
          <cell r="F436" t="str">
            <v>BAJO ANCHICAYA</v>
          </cell>
        </row>
        <row r="437">
          <cell r="F437" t="str">
            <v>BAJO ANCHICAYA</v>
          </cell>
        </row>
        <row r="438">
          <cell r="F438" t="str">
            <v>BAJO ANCHICAYA</v>
          </cell>
        </row>
        <row r="439">
          <cell r="A439" t="str">
            <v>CHBG</v>
          </cell>
          <cell r="F439" t="str">
            <v>BETANIA</v>
          </cell>
        </row>
        <row r="440">
          <cell r="A440" t="str">
            <v>CHBG</v>
          </cell>
          <cell r="F440" t="str">
            <v>BETANIA</v>
          </cell>
        </row>
        <row r="441">
          <cell r="A441" t="str">
            <v>CHBG</v>
          </cell>
          <cell r="F441" t="str">
            <v>BETANIA</v>
          </cell>
        </row>
        <row r="442">
          <cell r="A442" t="str">
            <v>CLMG</v>
          </cell>
          <cell r="F442" t="str">
            <v>CALIMA</v>
          </cell>
        </row>
        <row r="443">
          <cell r="A443" t="str">
            <v>CLMG</v>
          </cell>
          <cell r="F443" t="str">
            <v>CALIMA</v>
          </cell>
        </row>
        <row r="444">
          <cell r="A444" t="str">
            <v>CLMG</v>
          </cell>
          <cell r="F444" t="str">
            <v>CALIMA</v>
          </cell>
        </row>
        <row r="445">
          <cell r="A445" t="str">
            <v>CLMG</v>
          </cell>
          <cell r="F445" t="str">
            <v>CALIMA</v>
          </cell>
        </row>
        <row r="446">
          <cell r="A446" t="str">
            <v>CLL1</v>
          </cell>
          <cell r="F446" t="str">
            <v>CARLOS LLERAS</v>
          </cell>
        </row>
        <row r="447">
          <cell r="A447" t="str">
            <v>CLL1</v>
          </cell>
          <cell r="F447" t="str">
            <v>CARLOS LLERAS</v>
          </cell>
        </row>
        <row r="448">
          <cell r="A448" t="str">
            <v>CHVR</v>
          </cell>
          <cell r="F448" t="str">
            <v>CHIVOR</v>
          </cell>
        </row>
        <row r="449">
          <cell r="A449" t="str">
            <v>CHVR</v>
          </cell>
          <cell r="F449" t="str">
            <v>CHIVOR</v>
          </cell>
        </row>
        <row r="450">
          <cell r="A450" t="str">
            <v>CHVR</v>
          </cell>
          <cell r="F450" t="str">
            <v>CHIVOR</v>
          </cell>
        </row>
        <row r="451">
          <cell r="A451" t="str">
            <v>CHVR</v>
          </cell>
          <cell r="F451" t="str">
            <v>CHIVOR</v>
          </cell>
        </row>
        <row r="452">
          <cell r="A452" t="str">
            <v>CHVR</v>
          </cell>
          <cell r="F452" t="str">
            <v>CHIVOR</v>
          </cell>
        </row>
        <row r="453">
          <cell r="A453" t="str">
            <v>CHVR</v>
          </cell>
          <cell r="F453" t="str">
            <v>CHIVOR</v>
          </cell>
        </row>
        <row r="454">
          <cell r="A454" t="str">
            <v>CHVR</v>
          </cell>
          <cell r="F454" t="str">
            <v>CHIVOR</v>
          </cell>
        </row>
        <row r="455">
          <cell r="A455" t="str">
            <v>CHVR</v>
          </cell>
          <cell r="F455" t="str">
            <v>CHIVOR</v>
          </cell>
        </row>
        <row r="456">
          <cell r="A456" t="str">
            <v>CUC1</v>
          </cell>
          <cell r="F456" t="str">
            <v>CUCUANA</v>
          </cell>
        </row>
        <row r="457">
          <cell r="A457" t="str">
            <v>CUC1</v>
          </cell>
          <cell r="F457" t="str">
            <v>CUCUANA</v>
          </cell>
        </row>
        <row r="458">
          <cell r="A458" t="str">
            <v>DVS1</v>
          </cell>
          <cell r="F458" t="str">
            <v>DARIO VALENCIA SAMPER</v>
          </cell>
        </row>
        <row r="459">
          <cell r="A459" t="str">
            <v>DVS1</v>
          </cell>
          <cell r="F459" t="str">
            <v>DARIO VALENCIA SAMPER</v>
          </cell>
        </row>
        <row r="460">
          <cell r="A460" t="str">
            <v>DVS1</v>
          </cell>
          <cell r="F460" t="str">
            <v>DARIO VALENCIA SAMPER</v>
          </cell>
        </row>
        <row r="461">
          <cell r="A461" t="str">
            <v>QUI1</v>
          </cell>
          <cell r="F461" t="str">
            <v>EL QUIMBO</v>
          </cell>
        </row>
        <row r="462">
          <cell r="A462" t="str">
            <v>QUI1</v>
          </cell>
          <cell r="F462" t="str">
            <v>EL QUIMBO</v>
          </cell>
        </row>
        <row r="463">
          <cell r="A463" t="str">
            <v>HMIN</v>
          </cell>
          <cell r="F463" t="str">
            <v>ESCUELA DE MINAS</v>
          </cell>
        </row>
        <row r="464">
          <cell r="A464" t="str">
            <v>HMIN</v>
          </cell>
          <cell r="F464" t="str">
            <v>ESCUELA DE MINAS</v>
          </cell>
        </row>
        <row r="465">
          <cell r="A465" t="str">
            <v>HMIN</v>
          </cell>
          <cell r="F465" t="str">
            <v>ESCUELA DE MINAS</v>
          </cell>
        </row>
        <row r="466">
          <cell r="A466" t="str">
            <v>ESMR</v>
          </cell>
          <cell r="F466" t="str">
            <v>ESMERALDA</v>
          </cell>
        </row>
        <row r="467">
          <cell r="A467" t="str">
            <v>ESMR</v>
          </cell>
          <cell r="F467" t="str">
            <v>ESMERALDA</v>
          </cell>
        </row>
        <row r="468">
          <cell r="F468" t="str">
            <v>GUADALUPE III</v>
          </cell>
        </row>
        <row r="469">
          <cell r="F469" t="str">
            <v>GUADALUPE III</v>
          </cell>
        </row>
        <row r="470">
          <cell r="F470" t="str">
            <v>GUADALUPE III</v>
          </cell>
        </row>
        <row r="471">
          <cell r="F471" t="str">
            <v>GUADALUPE III</v>
          </cell>
        </row>
        <row r="472">
          <cell r="F472" t="str">
            <v>GUADALUPE III</v>
          </cell>
        </row>
        <row r="473">
          <cell r="F473" t="str">
            <v>GUADALUPE III</v>
          </cell>
        </row>
        <row r="474">
          <cell r="F474" t="str">
            <v>GUADALUPE IV</v>
          </cell>
        </row>
        <row r="475">
          <cell r="F475" t="str">
            <v>GUADALUPE IV</v>
          </cell>
        </row>
        <row r="476">
          <cell r="F476" t="str">
            <v>GUADALUPE IV</v>
          </cell>
        </row>
        <row r="477">
          <cell r="A477" t="str">
            <v>GTPE</v>
          </cell>
          <cell r="F477" t="str">
            <v>GUATAPE</v>
          </cell>
        </row>
        <row r="478">
          <cell r="A478" t="str">
            <v>GTPE</v>
          </cell>
          <cell r="F478" t="str">
            <v>GUATAPE</v>
          </cell>
        </row>
        <row r="479">
          <cell r="A479" t="str">
            <v>GTPE</v>
          </cell>
          <cell r="F479" t="str">
            <v>GUATAPE</v>
          </cell>
        </row>
        <row r="480">
          <cell r="A480" t="str">
            <v>GTPE</v>
          </cell>
          <cell r="F480" t="str">
            <v>GUATAPE</v>
          </cell>
        </row>
        <row r="481">
          <cell r="A481" t="str">
            <v>GTPE</v>
          </cell>
          <cell r="F481" t="str">
            <v>GUATAPE</v>
          </cell>
        </row>
        <row r="482">
          <cell r="A482" t="str">
            <v>GTPE</v>
          </cell>
          <cell r="F482" t="str">
            <v>GUATAPE</v>
          </cell>
        </row>
        <row r="483">
          <cell r="A483" t="str">
            <v>GTPE</v>
          </cell>
          <cell r="F483" t="str">
            <v>GUATAPE</v>
          </cell>
        </row>
        <row r="484">
          <cell r="A484" t="str">
            <v>GTPE</v>
          </cell>
          <cell r="F484" t="str">
            <v>GUATAPE</v>
          </cell>
        </row>
        <row r="485">
          <cell r="A485" t="str">
            <v>GVIO</v>
          </cell>
          <cell r="F485" t="str">
            <v>GUAVIO</v>
          </cell>
        </row>
        <row r="486">
          <cell r="A486" t="str">
            <v>GVIO</v>
          </cell>
          <cell r="F486" t="str">
            <v>GUAVIO</v>
          </cell>
        </row>
        <row r="487">
          <cell r="A487" t="str">
            <v>GVIO</v>
          </cell>
          <cell r="F487" t="str">
            <v>GUAVIO</v>
          </cell>
        </row>
        <row r="488">
          <cell r="A488" t="str">
            <v>GVIO</v>
          </cell>
          <cell r="F488" t="str">
            <v>GUAVIO</v>
          </cell>
        </row>
        <row r="489">
          <cell r="A489" t="str">
            <v>GVIO</v>
          </cell>
          <cell r="F489" t="str">
            <v>GUAVIO</v>
          </cell>
        </row>
        <row r="490">
          <cell r="A490" t="str">
            <v>PES1</v>
          </cell>
          <cell r="F490" t="str">
            <v>ITUANGO</v>
          </cell>
        </row>
        <row r="491">
          <cell r="A491" t="str">
            <v>PES1</v>
          </cell>
          <cell r="F491" t="str">
            <v>ITUANGO</v>
          </cell>
        </row>
        <row r="492">
          <cell r="A492" t="str">
            <v>PES1</v>
          </cell>
          <cell r="F492" t="str">
            <v>ITUANGO</v>
          </cell>
        </row>
        <row r="493">
          <cell r="A493" t="str">
            <v>PES1</v>
          </cell>
          <cell r="F493" t="str">
            <v>ITUANGO</v>
          </cell>
        </row>
        <row r="494">
          <cell r="A494" t="str">
            <v>JAGS</v>
          </cell>
          <cell r="F494" t="str">
            <v>JAGUAS</v>
          </cell>
        </row>
        <row r="495">
          <cell r="A495" t="str">
            <v>JAGS</v>
          </cell>
          <cell r="F495" t="str">
            <v>JAGUAS</v>
          </cell>
        </row>
        <row r="496">
          <cell r="F496" t="str">
            <v>LA GUACA</v>
          </cell>
        </row>
        <row r="497">
          <cell r="F497" t="str">
            <v>LA GUACA</v>
          </cell>
        </row>
        <row r="498">
          <cell r="F498" t="str">
            <v>LA GUACA</v>
          </cell>
        </row>
        <row r="499">
          <cell r="A499" t="str">
            <v>LTSJ</v>
          </cell>
          <cell r="F499" t="str">
            <v>LA TASAJERA</v>
          </cell>
        </row>
        <row r="500">
          <cell r="A500" t="str">
            <v>LTSJ</v>
          </cell>
          <cell r="F500" t="str">
            <v>LA TASAJERA</v>
          </cell>
        </row>
        <row r="501">
          <cell r="A501" t="str">
            <v>LTSJ</v>
          </cell>
          <cell r="F501" t="str">
            <v>LA TASAJERA</v>
          </cell>
        </row>
        <row r="502">
          <cell r="A502" t="str">
            <v>HMLG</v>
          </cell>
          <cell r="F502" t="str">
            <v>MIEL I</v>
          </cell>
        </row>
        <row r="503">
          <cell r="A503" t="str">
            <v>HMLG</v>
          </cell>
          <cell r="F503" t="str">
            <v>MIEL I</v>
          </cell>
        </row>
        <row r="504">
          <cell r="A504" t="str">
            <v>HMLG</v>
          </cell>
          <cell r="F504" t="str">
            <v>MIEL I</v>
          </cell>
        </row>
        <row r="505">
          <cell r="F505" t="str">
            <v>PARAISO</v>
          </cell>
        </row>
        <row r="506">
          <cell r="F506" t="str">
            <v>PARAISO</v>
          </cell>
        </row>
        <row r="507">
          <cell r="F507" t="str">
            <v>PARAISO</v>
          </cell>
        </row>
        <row r="508">
          <cell r="A508" t="str">
            <v>PLYS</v>
          </cell>
          <cell r="F508" t="str">
            <v>PLAYAS</v>
          </cell>
        </row>
        <row r="509">
          <cell r="A509" t="str">
            <v>PLYS</v>
          </cell>
          <cell r="F509" t="str">
            <v>PLAYAS</v>
          </cell>
        </row>
        <row r="510">
          <cell r="A510" t="str">
            <v>PLYS</v>
          </cell>
          <cell r="F510" t="str">
            <v>PLAYAS</v>
          </cell>
        </row>
        <row r="511">
          <cell r="A511" t="str">
            <v>PRC2</v>
          </cell>
          <cell r="F511" t="str">
            <v>PORCE II</v>
          </cell>
        </row>
        <row r="512">
          <cell r="A512" t="str">
            <v>PRC2</v>
          </cell>
          <cell r="F512" t="str">
            <v>PORCE II</v>
          </cell>
        </row>
        <row r="513">
          <cell r="A513" t="str">
            <v>PRC2</v>
          </cell>
          <cell r="F513" t="str">
            <v>PORCE II</v>
          </cell>
        </row>
        <row r="514">
          <cell r="A514" t="str">
            <v>PRC3</v>
          </cell>
          <cell r="F514" t="str">
            <v>PORCE III</v>
          </cell>
        </row>
        <row r="515">
          <cell r="A515" t="str">
            <v>PRC3</v>
          </cell>
          <cell r="F515" t="str">
            <v>PORCE III</v>
          </cell>
        </row>
        <row r="516">
          <cell r="A516" t="str">
            <v>PRC3</v>
          </cell>
          <cell r="F516" t="str">
            <v>PORCE III</v>
          </cell>
        </row>
        <row r="517">
          <cell r="A517" t="str">
            <v>PRC3</v>
          </cell>
          <cell r="F517" t="str">
            <v>PORCE III</v>
          </cell>
        </row>
        <row r="518">
          <cell r="A518" t="str">
            <v>PRDO</v>
          </cell>
          <cell r="F518" t="str">
            <v>PRADO</v>
          </cell>
        </row>
        <row r="519">
          <cell r="A519" t="str">
            <v>PRDO</v>
          </cell>
          <cell r="F519" t="str">
            <v>PRADO</v>
          </cell>
        </row>
        <row r="520">
          <cell r="A520" t="str">
            <v>PRDO</v>
          </cell>
          <cell r="F520" t="str">
            <v>PRADO</v>
          </cell>
        </row>
        <row r="521">
          <cell r="A521" t="str">
            <v>2QEK</v>
          </cell>
          <cell r="F521" t="str">
            <v>SALTO II</v>
          </cell>
        </row>
        <row r="522">
          <cell r="A522" t="str">
            <v>SLVJ</v>
          </cell>
          <cell r="F522" t="str">
            <v>SALVAJINA</v>
          </cell>
        </row>
        <row r="523">
          <cell r="A523" t="str">
            <v>SLVJ</v>
          </cell>
          <cell r="F523" t="str">
            <v>SALVAJINA</v>
          </cell>
        </row>
        <row r="524">
          <cell r="A524" t="str">
            <v>SLVJ</v>
          </cell>
          <cell r="F524" t="str">
            <v>SALVAJINA</v>
          </cell>
        </row>
        <row r="525">
          <cell r="A525" t="str">
            <v>SNCR</v>
          </cell>
          <cell r="F525" t="str">
            <v>SAN CARLOS</v>
          </cell>
        </row>
        <row r="526">
          <cell r="A526" t="str">
            <v>SNCR</v>
          </cell>
          <cell r="F526" t="str">
            <v>SAN CARLOS</v>
          </cell>
        </row>
        <row r="527">
          <cell r="A527" t="str">
            <v>SNCR</v>
          </cell>
          <cell r="F527" t="str">
            <v>SAN CARLOS</v>
          </cell>
        </row>
        <row r="528">
          <cell r="A528" t="str">
            <v>SNCR</v>
          </cell>
          <cell r="F528" t="str">
            <v>SAN CARLOS</v>
          </cell>
        </row>
        <row r="529">
          <cell r="A529" t="str">
            <v>SNCR</v>
          </cell>
          <cell r="F529" t="str">
            <v>SAN CARLOS</v>
          </cell>
        </row>
        <row r="530">
          <cell r="A530" t="str">
            <v>SNCR</v>
          </cell>
          <cell r="F530" t="str">
            <v>SAN CARLOS</v>
          </cell>
        </row>
        <row r="531">
          <cell r="A531" t="str">
            <v>SNCR</v>
          </cell>
          <cell r="F531" t="str">
            <v>SAN CARLOS</v>
          </cell>
        </row>
        <row r="532">
          <cell r="A532" t="str">
            <v>SNCR</v>
          </cell>
          <cell r="F532" t="str">
            <v>SAN CARLOS</v>
          </cell>
        </row>
        <row r="533">
          <cell r="A533" t="str">
            <v>SNFR</v>
          </cell>
          <cell r="F533" t="str">
            <v>SAN FRANCISCO</v>
          </cell>
        </row>
        <row r="534">
          <cell r="A534" t="str">
            <v>SNFR</v>
          </cell>
          <cell r="F534" t="str">
            <v>SAN FRANCISCO</v>
          </cell>
        </row>
        <row r="535">
          <cell r="A535" t="str">
            <v>SNFR</v>
          </cell>
          <cell r="F535" t="str">
            <v>SAN FRANCISCO</v>
          </cell>
        </row>
        <row r="536">
          <cell r="A536" t="str">
            <v>SMI1</v>
          </cell>
          <cell r="F536" t="str">
            <v>SAN MIGUEL</v>
          </cell>
        </row>
        <row r="537">
          <cell r="A537" t="str">
            <v>SMI1</v>
          </cell>
          <cell r="F537" t="str">
            <v>SAN MIGUEL</v>
          </cell>
        </row>
        <row r="538">
          <cell r="A538" t="str">
            <v>SOG1</v>
          </cell>
          <cell r="F538" t="str">
            <v>SOGAMOSO</v>
          </cell>
        </row>
        <row r="539">
          <cell r="A539" t="str">
            <v>SOG1</v>
          </cell>
          <cell r="F539" t="str">
            <v>SOGAMOSO</v>
          </cell>
        </row>
        <row r="540">
          <cell r="A540" t="str">
            <v>SOG1</v>
          </cell>
          <cell r="F540" t="str">
            <v>SOGAMOSO</v>
          </cell>
        </row>
        <row r="541">
          <cell r="F541" t="str">
            <v>TRONERAS</v>
          </cell>
        </row>
        <row r="542">
          <cell r="F542" t="str">
            <v>TRONERAS</v>
          </cell>
        </row>
        <row r="543">
          <cell r="A543" t="str">
            <v>TUJ1</v>
          </cell>
          <cell r="F543" t="str">
            <v>TUNJITA</v>
          </cell>
        </row>
        <row r="544">
          <cell r="A544" t="str">
            <v>TUJ1</v>
          </cell>
          <cell r="F544" t="str">
            <v>TUNJITA</v>
          </cell>
        </row>
        <row r="545">
          <cell r="A545" t="str">
            <v>URA1</v>
          </cell>
          <cell r="F545" t="str">
            <v>URRA</v>
          </cell>
        </row>
        <row r="546">
          <cell r="A546" t="str">
            <v>URA1</v>
          </cell>
          <cell r="F546" t="str">
            <v>URRA</v>
          </cell>
        </row>
        <row r="547">
          <cell r="A547" t="str">
            <v>URA1</v>
          </cell>
          <cell r="F547" t="str">
            <v>URRA</v>
          </cell>
        </row>
        <row r="548">
          <cell r="A548" t="str">
            <v>URA1</v>
          </cell>
          <cell r="F548" t="str">
            <v>URRA</v>
          </cell>
        </row>
        <row r="593">
          <cell r="A593" t="str">
            <v>3INX</v>
          </cell>
        </row>
        <row r="617">
          <cell r="A617" t="str">
            <v>EPFV</v>
          </cell>
        </row>
        <row r="620">
          <cell r="A620" t="str">
            <v>3HF5</v>
          </cell>
        </row>
        <row r="798">
          <cell r="A798" t="str">
            <v>GYPO</v>
          </cell>
        </row>
        <row r="799">
          <cell r="A799" t="str">
            <v>GYP3</v>
          </cell>
        </row>
        <row r="806">
          <cell r="A806" t="str">
            <v>MATA</v>
          </cell>
        </row>
        <row r="812">
          <cell r="A812" t="str">
            <v>3DDT</v>
          </cell>
        </row>
        <row r="848">
          <cell r="A848" t="str">
            <v>3IZ6</v>
          </cell>
        </row>
        <row r="850">
          <cell r="A850" t="str">
            <v>PORO</v>
          </cell>
        </row>
        <row r="852">
          <cell r="A852" t="str">
            <v>TPUY</v>
          </cell>
        </row>
        <row r="862">
          <cell r="A862" t="str">
            <v>3IRX</v>
          </cell>
        </row>
        <row r="866">
          <cell r="A866" t="str">
            <v>4YCF</v>
          </cell>
        </row>
        <row r="886">
          <cell r="A886" t="str">
            <v>3IQA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niel Lindo" id="{18CA4A9A-668D-4DAC-B2F8-E20634DBE893}" userId="S::dalindop@unal.edu.co::bac517a2-50e1-4afb-8365-3aec15672b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6-08-10T19:38:57.45" personId="{18CA4A9A-668D-4DAC-B2F8-E20634DBE893}" id="{B724A91F-041A-4828-AFE4-51B44276F97E}">
    <text xml:space="preserve">acepta una solución dentro del 1% del óptimo </text>
  </threadedComment>
  <threadedComment ref="C21" dT="2026-08-23T03:36:26.62" personId="{18CA4A9A-668D-4DAC-B2F8-E20634DBE893}" id="{940E9659-6000-4535-B2D1-AD3723E1C1E1}">
    <text xml:space="preserve">Cuánto puede alejarse el volumen final del inicial </text>
  </threadedComment>
  <threadedComment ref="C22" dT="2026-08-23T03:36:31.17" personId="{18CA4A9A-668D-4DAC-B2F8-E20634DBE893}" id="{448B7550-06BB-4644-A63F-7BA2F7A96041}">
    <text xml:space="preserve">Cuánto puede alejarse el volumen final del inicial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4" dT="2026-08-22T18:11:27.30" personId="{18CA4A9A-668D-4DAC-B2F8-E20634DBE893}" id="{A0E88886-9E41-4316-B74C-BA376C08C276}">
    <text xml:space="preserve">XM publica un solo número por planta y por día: el precio de oferta de despacho, en COP/MWh. No publica una curva de costos.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4" dT="2026-08-22T21:39:26.89" personId="{18CA4A9A-668D-4DAC-B2F8-E20634DBE893}" id="{97080486-7562-40E9-8B5C-379F902441EE}">
    <text xml:space="preserve"> q = Pmin / eta</text>
  </threadedComment>
  <threadedComment ref="F4" dT="2026-08-22T21:39:57.65" personId="{18CA4A9A-668D-4DAC-B2F8-E20634DBE893}" id="{65603F83-A2D9-4E61-9ECC-A35591B4ABCA}">
    <text xml:space="preserve"> q = Pmax / eta</text>
  </threadedComment>
  <threadedComment ref="G4" dT="2026-08-22T21:30:59.68" personId="{18CA4A9A-668D-4DAC-B2F8-E20634DBE893}" id="{BC931BA1-DD91-469B-A3B7-35691DA123E8}">
    <text>η  = eficiencia</text>
  </threadedComment>
  <threadedComment ref="I4" dT="2026-08-22T22:29:47.74" personId="{18CA4A9A-668D-4DAC-B2F8-E20634DBE893}" id="{06D1E06B-5894-4400-AEA8-A06582B71F15}">
    <text xml:space="preserve">0 = filo de agua
Unidades en PARATEC en Mm3 =hm3
1 hm3=(100 m)3=100×100×100=1000000 m3=1 Mm3 </text>
  </threadedComment>
  <threadedComment ref="K4" dT="2026-08-22T23:25:33.97" personId="{18CA4A9A-668D-4DAC-B2F8-E20634DBE893}" id="{9D36181D-0E37-445B-8F7A-E3515AEB981B}">
    <text xml:space="preserve">Vinit=Vmin+%llenado​×(Vmax−Vmin) 
%llenado​=CapaUtilDiarMasaVoluUtilDiarMasa​ </text>
  </threadedComment>
  <threadedComment ref="A17" dT="2026-08-23T17:06:59.28" personId="{18CA4A9A-668D-4DAC-B2F8-E20634DBE893}" id="{B7226439-3987-4DA1-8CA1-523FC3C4D6EA}">
    <text>Cadena Hidráulica</text>
  </threadedComment>
  <threadedComment ref="A25" dT="2026-08-23T17:06:59.28" personId="{18CA4A9A-668D-4DAC-B2F8-E20634DBE893}" id="{5918EC13-30DC-4648-A61D-3FDDACBC8CCD}">
    <text>Cadena Hidráulica</text>
  </threadedComment>
  <threadedComment ref="A26" dT="2026-08-23T17:06:59.28" personId="{18CA4A9A-668D-4DAC-B2F8-E20634DBE893}" id="{32EF6FDB-F757-4F45-A424-87EB86B93DB2}">
    <text>Cadena Hidráulica</text>
  </threadedComment>
  <threadedComment ref="H26" dT="2026-08-23T20:38:37.73" personId="{18CA4A9A-668D-4DAC-B2F8-E20634DBE893}" id="{13BCC88B-97D8-4408-BF11-76FB87BE8AA7}">
    <text>Se selecciona el de CHUZA</text>
  </threadedComment>
  <threadedComment ref="I26" dT="2026-08-23T20:38:37.73" personId="{18CA4A9A-668D-4DAC-B2F8-E20634DBE893}" id="{B285BB29-7F1A-431B-B055-93EED1FAB953}">
    <text>Se selecciona el de CHUZA</text>
  </threadedComment>
  <threadedComment ref="J26" dT="2026-08-23T20:38:37.73" personId="{18CA4A9A-668D-4DAC-B2F8-E20634DBE893}" id="{BC0DAE74-8FE1-4F3D-B2F5-249156526AE1}">
    <text>Se selecciona el de CHUZA</text>
  </threadedComment>
  <threadedComment ref="A27" dT="2026-08-23T17:06:59.28" personId="{18CA4A9A-668D-4DAC-B2F8-E20634DBE893}" id="{294A3393-71E2-4A21-B819-782597073605}">
    <text>Cadena Hidráulica</text>
  </threadedComment>
  <threadedComment ref="A28" dT="2026-08-23T17:06:59.28" personId="{18CA4A9A-668D-4DAC-B2F8-E20634DBE893}" id="{6AC4425C-C66F-4A3A-862D-220B5A96BF6E}">
    <text>Cadena Hidráulica</text>
  </threadedComment>
  <threadedComment ref="A29" dT="2026-08-23T17:06:59.28" personId="{18CA4A9A-668D-4DAC-B2F8-E20634DBE893}" id="{42EF115A-D163-422B-94B3-E84AECD3B2BF}">
    <text>Cadena Hidráulica</text>
  </threadedComment>
  <threadedComment ref="A34" dT="2026-08-23T17:06:59.28" personId="{18CA4A9A-668D-4DAC-B2F8-E20634DBE893}" id="{EF8F560E-985F-4350-998B-F5CA5CFDA066}">
    <text>Cadena Hidráulica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opLeftCell="C1" workbookViewId="0">
      <selection activeCell="E13" sqref="E13"/>
    </sheetView>
  </sheetViews>
  <sheetFormatPr defaultRowHeight="15" x14ac:dyDescent="0.25"/>
  <cols>
    <col min="1" max="1" width="70" customWidth="1"/>
    <col min="2" max="2" width="4.28515625" customWidth="1"/>
    <col min="3" max="3" width="26.85546875" bestFit="1" customWidth="1"/>
    <col min="4" max="4" width="72.140625" customWidth="1"/>
    <col min="5" max="5" width="101" bestFit="1" customWidth="1"/>
  </cols>
  <sheetData>
    <row r="1" spans="1:5" ht="18.75" x14ac:dyDescent="0.3">
      <c r="A1" s="1" t="s">
        <v>0</v>
      </c>
      <c r="C1" s="1" t="s">
        <v>186</v>
      </c>
    </row>
    <row r="2" spans="1:5" x14ac:dyDescent="0.25">
      <c r="A2" s="2" t="s">
        <v>157</v>
      </c>
      <c r="C2" s="2" t="s">
        <v>157</v>
      </c>
    </row>
    <row r="3" spans="1:5" x14ac:dyDescent="0.25">
      <c r="A3" s="2"/>
      <c r="C3" s="12" t="s">
        <v>158</v>
      </c>
      <c r="D3" s="12" t="s">
        <v>159</v>
      </c>
      <c r="E3" s="12" t="s">
        <v>421</v>
      </c>
    </row>
    <row r="4" spans="1:5" x14ac:dyDescent="0.25">
      <c r="A4" s="2" t="s">
        <v>1</v>
      </c>
      <c r="C4" s="11" t="s">
        <v>408</v>
      </c>
      <c r="D4" s="11" t="s">
        <v>204</v>
      </c>
      <c r="E4" s="11" t="s">
        <v>428</v>
      </c>
    </row>
    <row r="5" spans="1:5" x14ac:dyDescent="0.25">
      <c r="A5" s="2" t="s">
        <v>2</v>
      </c>
      <c r="C5" s="13" t="s">
        <v>226</v>
      </c>
      <c r="D5" s="11" t="s">
        <v>422</v>
      </c>
    </row>
    <row r="6" spans="1:5" x14ac:dyDescent="0.25">
      <c r="A6" s="2" t="s">
        <v>3</v>
      </c>
      <c r="C6" s="11" t="s">
        <v>409</v>
      </c>
      <c r="D6" s="11" t="s">
        <v>204</v>
      </c>
    </row>
    <row r="7" spans="1:5" x14ac:dyDescent="0.25">
      <c r="A7" s="2"/>
      <c r="C7" s="13" t="s">
        <v>410</v>
      </c>
      <c r="D7" s="22" t="s">
        <v>423</v>
      </c>
    </row>
    <row r="8" spans="1:5" x14ac:dyDescent="0.25">
      <c r="A8" s="2" t="s">
        <v>4</v>
      </c>
      <c r="C8" s="13" t="s">
        <v>411</v>
      </c>
      <c r="D8" s="22" t="s">
        <v>423</v>
      </c>
    </row>
    <row r="9" spans="1:5" x14ac:dyDescent="0.25">
      <c r="A9" s="2" t="s">
        <v>5</v>
      </c>
      <c r="C9" s="13" t="s">
        <v>412</v>
      </c>
      <c r="D9" s="22" t="s">
        <v>423</v>
      </c>
      <c r="E9" s="11" t="s">
        <v>424</v>
      </c>
    </row>
    <row r="10" spans="1:5" x14ac:dyDescent="0.25">
      <c r="A10" s="2" t="s">
        <v>6</v>
      </c>
      <c r="C10" s="11" t="s">
        <v>160</v>
      </c>
      <c r="D10" s="11" t="s">
        <v>221</v>
      </c>
      <c r="E10" s="11"/>
    </row>
    <row r="11" spans="1:5" x14ac:dyDescent="0.25">
      <c r="A11" s="2" t="s">
        <v>7</v>
      </c>
      <c r="C11" s="13" t="s">
        <v>35</v>
      </c>
      <c r="D11" s="11" t="s">
        <v>225</v>
      </c>
      <c r="E11" s="11" t="s">
        <v>444</v>
      </c>
    </row>
    <row r="12" spans="1:5" x14ac:dyDescent="0.25">
      <c r="A12" s="2" t="s">
        <v>8</v>
      </c>
      <c r="C12" s="13" t="s">
        <v>223</v>
      </c>
      <c r="D12" s="11" t="s">
        <v>225</v>
      </c>
      <c r="E12" s="11"/>
    </row>
    <row r="13" spans="1:5" x14ac:dyDescent="0.25">
      <c r="A13" s="2" t="s">
        <v>9</v>
      </c>
      <c r="C13" s="13" t="s">
        <v>228</v>
      </c>
      <c r="D13" s="11" t="s">
        <v>227</v>
      </c>
      <c r="E13" s="11"/>
    </row>
    <row r="14" spans="1:5" x14ac:dyDescent="0.25">
      <c r="A14" s="2" t="s">
        <v>199</v>
      </c>
      <c r="C14" s="13" t="s">
        <v>229</v>
      </c>
      <c r="D14" s="11" t="s">
        <v>227</v>
      </c>
      <c r="E14" s="11"/>
    </row>
    <row r="15" spans="1:5" x14ac:dyDescent="0.25">
      <c r="A15" s="2" t="s">
        <v>10</v>
      </c>
      <c r="C15" s="13" t="s">
        <v>222</v>
      </c>
      <c r="D15" s="11" t="s">
        <v>230</v>
      </c>
      <c r="E15" s="11"/>
    </row>
    <row r="16" spans="1:5" x14ac:dyDescent="0.25">
      <c r="A16" s="2" t="s">
        <v>200</v>
      </c>
      <c r="C16" s="13" t="s">
        <v>120</v>
      </c>
      <c r="D16" s="11" t="s">
        <v>426</v>
      </c>
      <c r="E16" s="11"/>
    </row>
    <row r="17" spans="1:5" x14ac:dyDescent="0.25">
      <c r="A17" s="2" t="s">
        <v>11</v>
      </c>
      <c r="C17" s="13" t="s">
        <v>59</v>
      </c>
      <c r="D17" s="11" t="s">
        <v>225</v>
      </c>
      <c r="E17" s="11"/>
    </row>
    <row r="18" spans="1:5" x14ac:dyDescent="0.25">
      <c r="A18" s="2" t="s">
        <v>12</v>
      </c>
      <c r="C18" s="13" t="s">
        <v>60</v>
      </c>
      <c r="D18" s="11" t="s">
        <v>225</v>
      </c>
      <c r="E18" s="11"/>
    </row>
    <row r="19" spans="1:5" x14ac:dyDescent="0.25">
      <c r="A19" s="2" t="s">
        <v>13</v>
      </c>
      <c r="C19" s="14" t="s">
        <v>61</v>
      </c>
      <c r="D19" s="11" t="s">
        <v>225</v>
      </c>
      <c r="E19" s="11"/>
    </row>
    <row r="20" spans="1:5" x14ac:dyDescent="0.25">
      <c r="A20" s="2"/>
      <c r="C20" s="14" t="s">
        <v>62</v>
      </c>
      <c r="D20" s="11" t="s">
        <v>161</v>
      </c>
      <c r="E20" s="11" t="s">
        <v>427</v>
      </c>
    </row>
    <row r="21" spans="1:5" x14ac:dyDescent="0.25">
      <c r="A21" s="2" t="s">
        <v>14</v>
      </c>
      <c r="C21" s="14" t="s">
        <v>224</v>
      </c>
      <c r="D21" s="11" t="s">
        <v>225</v>
      </c>
      <c r="E21" s="11"/>
    </row>
    <row r="22" spans="1:5" x14ac:dyDescent="0.25">
      <c r="A22" s="2" t="s">
        <v>203</v>
      </c>
      <c r="C22" s="14" t="s">
        <v>413</v>
      </c>
      <c r="D22" s="15" t="s">
        <v>425</v>
      </c>
      <c r="E22" s="11"/>
    </row>
    <row r="23" spans="1:5" x14ac:dyDescent="0.25">
      <c r="A23" s="2" t="s">
        <v>202</v>
      </c>
      <c r="C23" s="11" t="s">
        <v>162</v>
      </c>
      <c r="D23" s="11" t="s">
        <v>232</v>
      </c>
      <c r="E23" s="11" t="s">
        <v>444</v>
      </c>
    </row>
    <row r="24" spans="1:5" x14ac:dyDescent="0.25">
      <c r="A24" s="2" t="s">
        <v>201</v>
      </c>
      <c r="C24" s="13" t="s">
        <v>35</v>
      </c>
      <c r="D24" s="11" t="s">
        <v>431</v>
      </c>
      <c r="E24" s="11" t="s">
        <v>414</v>
      </c>
    </row>
    <row r="25" spans="1:5" x14ac:dyDescent="0.25">
      <c r="C25" s="13" t="s">
        <v>54</v>
      </c>
      <c r="D25" s="11" t="s">
        <v>161</v>
      </c>
      <c r="E25" s="11" t="s">
        <v>427</v>
      </c>
    </row>
    <row r="26" spans="1:5" x14ac:dyDescent="0.25">
      <c r="A26" s="2" t="s">
        <v>15</v>
      </c>
      <c r="C26" s="13" t="s">
        <v>55</v>
      </c>
      <c r="D26" s="11" t="s">
        <v>433</v>
      </c>
      <c r="E26" s="11"/>
    </row>
    <row r="27" spans="1:5" x14ac:dyDescent="0.25">
      <c r="A27" s="2" t="s">
        <v>92</v>
      </c>
      <c r="C27" s="13" t="s">
        <v>170</v>
      </c>
      <c r="D27" s="15" t="s">
        <v>434</v>
      </c>
      <c r="E27" s="11"/>
    </row>
    <row r="28" spans="1:5" x14ac:dyDescent="0.25">
      <c r="C28" s="13" t="s">
        <v>171</v>
      </c>
      <c r="D28" s="15" t="s">
        <v>233</v>
      </c>
      <c r="E28" s="11"/>
    </row>
    <row r="29" spans="1:5" x14ac:dyDescent="0.25">
      <c r="C29" s="13" t="s">
        <v>172</v>
      </c>
      <c r="D29" s="11" t="s">
        <v>430</v>
      </c>
      <c r="E29" s="11"/>
    </row>
    <row r="30" spans="1:5" x14ac:dyDescent="0.25">
      <c r="C30" s="13" t="s">
        <v>182</v>
      </c>
      <c r="D30" s="11" t="s">
        <v>429</v>
      </c>
      <c r="E30" s="11" t="s">
        <v>435</v>
      </c>
    </row>
    <row r="31" spans="1:5" x14ac:dyDescent="0.25">
      <c r="C31" s="13" t="s">
        <v>183</v>
      </c>
      <c r="D31" s="11" t="s">
        <v>429</v>
      </c>
      <c r="E31" s="11" t="s">
        <v>435</v>
      </c>
    </row>
    <row r="32" spans="1:5" x14ac:dyDescent="0.25">
      <c r="C32" s="13" t="s">
        <v>184</v>
      </c>
      <c r="D32" s="15" t="s">
        <v>244</v>
      </c>
      <c r="E32" s="11"/>
    </row>
    <row r="33" spans="3:5" x14ac:dyDescent="0.25">
      <c r="C33" s="13" t="s">
        <v>173</v>
      </c>
      <c r="D33" s="11" t="s">
        <v>161</v>
      </c>
      <c r="E33" s="11"/>
    </row>
    <row r="34" spans="3:5" x14ac:dyDescent="0.25">
      <c r="C34" s="13" t="s">
        <v>50</v>
      </c>
      <c r="D34" s="11" t="s">
        <v>230</v>
      </c>
      <c r="E34" s="11"/>
    </row>
    <row r="35" spans="3:5" x14ac:dyDescent="0.25">
      <c r="C35" s="13" t="s">
        <v>185</v>
      </c>
      <c r="D35" s="15" t="s">
        <v>432</v>
      </c>
      <c r="E35" s="11"/>
    </row>
    <row r="36" spans="3:5" x14ac:dyDescent="0.25">
      <c r="C36" s="13" t="s">
        <v>415</v>
      </c>
      <c r="D36" s="11" t="s">
        <v>430</v>
      </c>
      <c r="E36" s="11"/>
    </row>
    <row r="37" spans="3:5" x14ac:dyDescent="0.25">
      <c r="C37" s="11" t="s">
        <v>231</v>
      </c>
      <c r="D37" s="11" t="s">
        <v>436</v>
      </c>
      <c r="E37" s="11" t="s">
        <v>416</v>
      </c>
    </row>
    <row r="38" spans="3:5" x14ac:dyDescent="0.25">
      <c r="C38" s="11" t="s">
        <v>164</v>
      </c>
      <c r="D38" s="11" t="s">
        <v>437</v>
      </c>
      <c r="E38" s="11"/>
    </row>
    <row r="39" spans="3:5" x14ac:dyDescent="0.25">
      <c r="C39" s="13" t="s">
        <v>35</v>
      </c>
      <c r="D39" s="11" t="s">
        <v>433</v>
      </c>
      <c r="E39" s="11"/>
    </row>
    <row r="40" spans="3:5" x14ac:dyDescent="0.25">
      <c r="C40" s="13" t="s">
        <v>36</v>
      </c>
      <c r="D40" s="11" t="s">
        <v>433</v>
      </c>
      <c r="E40" s="11"/>
    </row>
    <row r="41" spans="3:5" x14ac:dyDescent="0.25">
      <c r="C41" s="13" t="s">
        <v>45</v>
      </c>
      <c r="D41" s="11" t="s">
        <v>433</v>
      </c>
      <c r="E41" s="11"/>
    </row>
    <row r="42" spans="3:5" x14ac:dyDescent="0.25">
      <c r="C42" s="11" t="s">
        <v>417</v>
      </c>
      <c r="D42" s="11" t="s">
        <v>438</v>
      </c>
      <c r="E42" s="11"/>
    </row>
    <row r="43" spans="3:5" x14ac:dyDescent="0.25">
      <c r="C43" s="11" t="s">
        <v>165</v>
      </c>
      <c r="D43" s="11"/>
      <c r="E43" s="11"/>
    </row>
    <row r="44" spans="3:5" x14ac:dyDescent="0.25">
      <c r="C44" s="11" t="s">
        <v>418</v>
      </c>
      <c r="D44" s="11" t="s">
        <v>419</v>
      </c>
      <c r="E44" s="11" t="s">
        <v>419</v>
      </c>
    </row>
    <row r="45" spans="3:5" x14ac:dyDescent="0.25">
      <c r="C45" s="11" t="s">
        <v>420</v>
      </c>
      <c r="D45" s="11" t="s">
        <v>419</v>
      </c>
      <c r="E45" s="11" t="s">
        <v>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B32" sqref="B32"/>
    </sheetView>
  </sheetViews>
  <sheetFormatPr defaultRowHeight="15" x14ac:dyDescent="0.25"/>
  <cols>
    <col min="1" max="1" width="44.42578125" bestFit="1" customWidth="1"/>
    <col min="2" max="2" width="21.85546875" customWidth="1"/>
    <col min="3" max="3" width="68.5703125" customWidth="1"/>
  </cols>
  <sheetData>
    <row r="1" spans="1:3" ht="18.75" x14ac:dyDescent="0.3">
      <c r="A1" s="1" t="s">
        <v>16</v>
      </c>
    </row>
    <row r="2" spans="1:3" x14ac:dyDescent="0.25">
      <c r="A2" s="2" t="s">
        <v>17</v>
      </c>
    </row>
    <row r="4" spans="1:3" x14ac:dyDescent="0.25">
      <c r="A4" s="3" t="s">
        <v>18</v>
      </c>
      <c r="B4" s="3" t="s">
        <v>19</v>
      </c>
      <c r="C4" s="3" t="s">
        <v>20</v>
      </c>
    </row>
    <row r="5" spans="1:3" x14ac:dyDescent="0.25">
      <c r="A5" s="4"/>
      <c r="B5" s="4"/>
      <c r="C5" s="4"/>
    </row>
    <row r="6" spans="1:3" x14ac:dyDescent="0.25">
      <c r="A6" s="6" t="s">
        <v>21</v>
      </c>
      <c r="B6" s="6">
        <v>100</v>
      </c>
      <c r="C6" s="6" t="s">
        <v>22</v>
      </c>
    </row>
    <row r="7" spans="1:3" x14ac:dyDescent="0.25">
      <c r="A7" s="6" t="s">
        <v>23</v>
      </c>
      <c r="B7" s="6">
        <v>24</v>
      </c>
      <c r="C7" s="6" t="s">
        <v>24</v>
      </c>
    </row>
    <row r="8" spans="1:3" x14ac:dyDescent="0.25">
      <c r="A8" s="6" t="s">
        <v>25</v>
      </c>
      <c r="B8" s="6">
        <v>3</v>
      </c>
      <c r="C8" s="6" t="s">
        <v>26</v>
      </c>
    </row>
    <row r="9" spans="1:3" x14ac:dyDescent="0.25">
      <c r="A9" s="6" t="s">
        <v>27</v>
      </c>
      <c r="B9" s="6">
        <v>4</v>
      </c>
      <c r="C9" s="6" t="s">
        <v>28</v>
      </c>
    </row>
    <row r="10" spans="1:3" x14ac:dyDescent="0.25">
      <c r="A10" s="6" t="s">
        <v>29</v>
      </c>
      <c r="B10" s="6">
        <v>5.0000000000000001E-3</v>
      </c>
      <c r="C10" s="6" t="s">
        <v>30</v>
      </c>
    </row>
    <row r="11" spans="1:3" x14ac:dyDescent="0.25">
      <c r="A11" s="6" t="s">
        <v>31</v>
      </c>
      <c r="B11" s="6">
        <v>0</v>
      </c>
      <c r="C11" s="6" t="s">
        <v>32</v>
      </c>
    </row>
    <row r="12" spans="1:3" x14ac:dyDescent="0.25">
      <c r="A12" s="7" t="s">
        <v>93</v>
      </c>
      <c r="B12" s="7">
        <v>15</v>
      </c>
      <c r="C12" s="7" t="s">
        <v>96</v>
      </c>
    </row>
    <row r="13" spans="1:3" x14ac:dyDescent="0.25">
      <c r="A13" s="7" t="s">
        <v>94</v>
      </c>
      <c r="B13" s="7">
        <v>20</v>
      </c>
      <c r="C13" s="7" t="s">
        <v>95</v>
      </c>
    </row>
    <row r="14" spans="1:3" x14ac:dyDescent="0.25">
      <c r="A14" s="8" t="s">
        <v>108</v>
      </c>
      <c r="B14" s="8">
        <v>1</v>
      </c>
      <c r="C14" s="8" t="s">
        <v>109</v>
      </c>
    </row>
    <row r="15" spans="1:3" x14ac:dyDescent="0.25">
      <c r="A15" s="8" t="s">
        <v>121</v>
      </c>
      <c r="B15" s="8">
        <v>0.115</v>
      </c>
      <c r="C15" s="8" t="s">
        <v>122</v>
      </c>
    </row>
    <row r="16" spans="1:3" x14ac:dyDescent="0.25">
      <c r="A16" s="8" t="s">
        <v>126</v>
      </c>
      <c r="B16" s="8">
        <v>135000</v>
      </c>
      <c r="C16" s="8" t="s">
        <v>125</v>
      </c>
    </row>
    <row r="17" spans="1:3" x14ac:dyDescent="0.25">
      <c r="A17" s="8" t="s">
        <v>124</v>
      </c>
      <c r="B17" s="8" t="s">
        <v>391</v>
      </c>
      <c r="C17" s="8" t="s">
        <v>136</v>
      </c>
    </row>
    <row r="18" spans="1:3" x14ac:dyDescent="0.25">
      <c r="A18" s="8" t="s">
        <v>127</v>
      </c>
      <c r="B18" s="8">
        <v>20</v>
      </c>
      <c r="C18" s="8"/>
    </row>
    <row r="19" spans="1:3" x14ac:dyDescent="0.25">
      <c r="A19" s="8" t="s">
        <v>128</v>
      </c>
      <c r="B19" s="8" t="s">
        <v>129</v>
      </c>
      <c r="C19" s="8"/>
    </row>
    <row r="20" spans="1:3" x14ac:dyDescent="0.25">
      <c r="A20" s="25" t="s">
        <v>176</v>
      </c>
      <c r="B20" s="25">
        <v>0.01</v>
      </c>
      <c r="C20" s="25" t="s">
        <v>177</v>
      </c>
    </row>
    <row r="21" spans="1:3" x14ac:dyDescent="0.25">
      <c r="A21" s="25" t="s">
        <v>178</v>
      </c>
      <c r="B21" s="25">
        <v>0.3</v>
      </c>
      <c r="C21" s="25" t="s">
        <v>179</v>
      </c>
    </row>
    <row r="22" spans="1:3" x14ac:dyDescent="0.25">
      <c r="A22" s="25" t="s">
        <v>180</v>
      </c>
      <c r="B22" s="25">
        <v>0.05</v>
      </c>
      <c r="C22" s="25" t="s">
        <v>181</v>
      </c>
    </row>
    <row r="23" spans="1:3" x14ac:dyDescent="0.25">
      <c r="A23" s="8" t="s">
        <v>397</v>
      </c>
      <c r="B23" s="21">
        <v>46211</v>
      </c>
    </row>
    <row r="24" spans="1:3" x14ac:dyDescent="0.25">
      <c r="A24" s="8" t="s">
        <v>398</v>
      </c>
      <c r="B24" s="21">
        <v>46211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activeCell="H11" sqref="H11"/>
    </sheetView>
  </sheetViews>
  <sheetFormatPr defaultRowHeight="15" x14ac:dyDescent="0.25"/>
  <cols>
    <col min="1" max="2" width="16" customWidth="1"/>
    <col min="3" max="3" width="6.85546875" bestFit="1" customWidth="1"/>
    <col min="4" max="4" width="8.42578125" bestFit="1" customWidth="1"/>
    <col min="5" max="5" width="18.5703125" bestFit="1" customWidth="1"/>
  </cols>
  <sheetData>
    <row r="1" spans="1:5" ht="18.75" x14ac:dyDescent="0.3">
      <c r="A1" s="1" t="s">
        <v>33</v>
      </c>
    </row>
    <row r="2" spans="1:5" x14ac:dyDescent="0.25">
      <c r="A2" s="2" t="s">
        <v>34</v>
      </c>
    </row>
    <row r="4" spans="1:5" x14ac:dyDescent="0.25">
      <c r="A4" s="3" t="s">
        <v>35</v>
      </c>
      <c r="B4" s="3" t="s">
        <v>36</v>
      </c>
      <c r="C4" s="12" t="s">
        <v>197</v>
      </c>
      <c r="D4" s="12" t="s">
        <v>198</v>
      </c>
      <c r="E4" s="12" t="s">
        <v>399</v>
      </c>
    </row>
    <row r="5" spans="1:5" x14ac:dyDescent="0.25">
      <c r="A5" s="4"/>
      <c r="B5" s="4" t="s">
        <v>37</v>
      </c>
      <c r="C5" s="4"/>
      <c r="D5" s="4"/>
      <c r="E5" s="4"/>
    </row>
    <row r="6" spans="1:5" x14ac:dyDescent="0.25">
      <c r="A6" s="5" t="s">
        <v>138</v>
      </c>
      <c r="B6" s="5" t="s">
        <v>137</v>
      </c>
      <c r="C6" s="5"/>
      <c r="D6" s="5"/>
      <c r="E6" s="6" t="s">
        <v>205</v>
      </c>
    </row>
    <row r="7" spans="1:5" x14ac:dyDescent="0.25">
      <c r="A7" s="5" t="s">
        <v>152</v>
      </c>
      <c r="B7" s="5">
        <v>0</v>
      </c>
      <c r="C7" s="5"/>
      <c r="D7" s="5"/>
      <c r="E7" s="6" t="s">
        <v>206</v>
      </c>
    </row>
    <row r="8" spans="1:5" x14ac:dyDescent="0.25">
      <c r="A8" s="5" t="s">
        <v>139</v>
      </c>
      <c r="B8" s="5">
        <v>0</v>
      </c>
      <c r="C8" s="5"/>
      <c r="D8" s="5"/>
      <c r="E8" s="6" t="s">
        <v>216</v>
      </c>
    </row>
    <row r="9" spans="1:5" x14ac:dyDescent="0.25">
      <c r="A9" s="5" t="s">
        <v>140</v>
      </c>
      <c r="B9" s="5">
        <v>0</v>
      </c>
      <c r="C9" s="5"/>
      <c r="D9" s="5"/>
      <c r="E9" s="6" t="s">
        <v>215</v>
      </c>
    </row>
    <row r="10" spans="1:5" x14ac:dyDescent="0.25">
      <c r="A10" s="5" t="s">
        <v>141</v>
      </c>
      <c r="B10" s="5">
        <v>0</v>
      </c>
      <c r="C10" s="5"/>
      <c r="D10" s="5"/>
      <c r="E10" s="6" t="s">
        <v>207</v>
      </c>
    </row>
    <row r="11" spans="1:5" x14ac:dyDescent="0.25">
      <c r="A11" s="5" t="s">
        <v>142</v>
      </c>
      <c r="B11" s="5">
        <v>0</v>
      </c>
      <c r="C11" s="5"/>
      <c r="D11" s="5"/>
      <c r="E11" s="6" t="s">
        <v>213</v>
      </c>
    </row>
    <row r="12" spans="1:5" x14ac:dyDescent="0.25">
      <c r="A12" s="5" t="s">
        <v>143</v>
      </c>
      <c r="B12" s="5">
        <v>0</v>
      </c>
      <c r="C12" s="5"/>
      <c r="D12" s="5"/>
      <c r="E12" s="6" t="s">
        <v>143</v>
      </c>
    </row>
    <row r="13" spans="1:5" x14ac:dyDescent="0.25">
      <c r="A13" s="5" t="s">
        <v>154</v>
      </c>
      <c r="B13" s="5">
        <v>0</v>
      </c>
      <c r="C13" s="5"/>
      <c r="D13" s="5"/>
      <c r="E13" s="6" t="s">
        <v>217</v>
      </c>
    </row>
    <row r="14" spans="1:5" x14ac:dyDescent="0.25">
      <c r="A14" s="5" t="s">
        <v>144</v>
      </c>
      <c r="B14" s="5">
        <v>0</v>
      </c>
      <c r="C14" s="5"/>
      <c r="D14" s="5"/>
      <c r="E14" s="6" t="s">
        <v>214</v>
      </c>
    </row>
    <row r="15" spans="1:5" x14ac:dyDescent="0.25">
      <c r="A15" s="5" t="s">
        <v>145</v>
      </c>
      <c r="B15" s="5">
        <v>0</v>
      </c>
      <c r="C15" s="5"/>
      <c r="D15" s="5"/>
      <c r="E15" s="6" t="s">
        <v>218</v>
      </c>
    </row>
    <row r="16" spans="1:5" x14ac:dyDescent="0.25">
      <c r="A16" s="5" t="s">
        <v>146</v>
      </c>
      <c r="B16" s="5">
        <v>0</v>
      </c>
      <c r="C16" s="5"/>
      <c r="D16" s="5"/>
      <c r="E16" s="6" t="s">
        <v>208</v>
      </c>
    </row>
    <row r="17" spans="1:5" x14ac:dyDescent="0.25">
      <c r="A17" s="5" t="s">
        <v>147</v>
      </c>
      <c r="B17" s="5">
        <v>0</v>
      </c>
      <c r="C17" s="5"/>
      <c r="D17" s="5"/>
      <c r="E17" s="6" t="s">
        <v>147</v>
      </c>
    </row>
    <row r="18" spans="1:5" x14ac:dyDescent="0.25">
      <c r="A18" s="5" t="s">
        <v>148</v>
      </c>
      <c r="B18" s="5">
        <v>0</v>
      </c>
      <c r="C18" s="5"/>
      <c r="D18" s="5"/>
      <c r="E18" s="6" t="s">
        <v>209</v>
      </c>
    </row>
    <row r="19" spans="1:5" x14ac:dyDescent="0.25">
      <c r="A19" s="5" t="s">
        <v>153</v>
      </c>
      <c r="B19" s="5">
        <v>0</v>
      </c>
      <c r="C19" s="5"/>
      <c r="D19" s="5"/>
      <c r="E19" s="6" t="s">
        <v>210</v>
      </c>
    </row>
    <row r="20" spans="1:5" x14ac:dyDescent="0.25">
      <c r="A20" s="5" t="s">
        <v>149</v>
      </c>
      <c r="B20" s="5">
        <v>0</v>
      </c>
      <c r="C20" s="5"/>
      <c r="D20" s="5"/>
      <c r="E20" s="6" t="s">
        <v>219</v>
      </c>
    </row>
    <row r="21" spans="1:5" x14ac:dyDescent="0.25">
      <c r="A21" s="5" t="s">
        <v>155</v>
      </c>
      <c r="B21" s="5">
        <v>0</v>
      </c>
      <c r="C21" s="5"/>
      <c r="D21" s="5"/>
      <c r="E21" s="6" t="s">
        <v>211</v>
      </c>
    </row>
    <row r="22" spans="1:5" x14ac:dyDescent="0.25">
      <c r="A22" s="5" t="s">
        <v>150</v>
      </c>
      <c r="B22" s="5">
        <v>0</v>
      </c>
      <c r="C22" s="5"/>
      <c r="D22" s="5"/>
      <c r="E22" s="6" t="s">
        <v>212</v>
      </c>
    </row>
    <row r="23" spans="1:5" x14ac:dyDescent="0.25">
      <c r="A23" s="5" t="s">
        <v>151</v>
      </c>
      <c r="B23" s="5">
        <v>0</v>
      </c>
      <c r="C23" s="5"/>
      <c r="D23" s="5"/>
      <c r="E23" s="6" t="s">
        <v>220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>
      <selection activeCell="B21" sqref="B21"/>
    </sheetView>
  </sheetViews>
  <sheetFormatPr defaultRowHeight="15" x14ac:dyDescent="0.25"/>
  <cols>
    <col min="1" max="6" width="16" customWidth="1"/>
  </cols>
  <sheetData>
    <row r="1" spans="1:6" ht="18.75" x14ac:dyDescent="0.3">
      <c r="A1" s="1" t="s">
        <v>39</v>
      </c>
    </row>
    <row r="2" spans="1:6" x14ac:dyDescent="0.25">
      <c r="A2" s="2" t="s">
        <v>40</v>
      </c>
    </row>
    <row r="4" spans="1:6" x14ac:dyDescent="0.25">
      <c r="A4" s="3" t="s">
        <v>35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</row>
    <row r="5" spans="1:6" x14ac:dyDescent="0.25">
      <c r="A5" s="4"/>
      <c r="B5" s="4" t="s">
        <v>46</v>
      </c>
      <c r="C5" s="4" t="s">
        <v>46</v>
      </c>
      <c r="D5" s="4" t="s">
        <v>47</v>
      </c>
      <c r="E5" s="4" t="s">
        <v>47</v>
      </c>
      <c r="F5" s="4" t="s">
        <v>38</v>
      </c>
    </row>
    <row r="6" spans="1:6" x14ac:dyDescent="0.25">
      <c r="A6" s="5" t="s">
        <v>97</v>
      </c>
      <c r="B6" s="5" t="s">
        <v>138</v>
      </c>
      <c r="C6" s="5" t="s">
        <v>140</v>
      </c>
      <c r="D6" s="5">
        <v>1.8431712000000001E-3</v>
      </c>
      <c r="E6" s="5">
        <v>2.6072207999999999E-2</v>
      </c>
      <c r="F6" s="5">
        <v>1649.7783942093561</v>
      </c>
    </row>
    <row r="7" spans="1:6" x14ac:dyDescent="0.25">
      <c r="A7" s="5" t="s">
        <v>98</v>
      </c>
      <c r="B7" s="5" t="s">
        <v>138</v>
      </c>
      <c r="C7" s="5" t="s">
        <v>143</v>
      </c>
      <c r="D7" s="5">
        <v>5.6770177839512981E-4</v>
      </c>
      <c r="E7" s="5">
        <v>6.4577106635870371E-3</v>
      </c>
      <c r="F7" s="5">
        <v>6935.3392796026928</v>
      </c>
    </row>
    <row r="8" spans="1:6" x14ac:dyDescent="0.25">
      <c r="A8" s="5" t="s">
        <v>99</v>
      </c>
      <c r="B8" s="5" t="s">
        <v>138</v>
      </c>
      <c r="C8" s="5" t="s">
        <v>145</v>
      </c>
      <c r="D8" s="5">
        <v>3.4403533630858409E-4</v>
      </c>
      <c r="E8" s="5">
        <v>4.4559950382538401E-3</v>
      </c>
      <c r="F8" s="5">
        <v>7971.7638418357583</v>
      </c>
    </row>
    <row r="9" spans="1:6" x14ac:dyDescent="0.25">
      <c r="A9" s="5" t="s">
        <v>100</v>
      </c>
      <c r="B9" s="5" t="s">
        <v>138</v>
      </c>
      <c r="C9" s="5" t="s">
        <v>150</v>
      </c>
      <c r="D9" s="5">
        <v>7.6857032451366279E-4</v>
      </c>
      <c r="E9" s="5">
        <v>8.7522695591496103E-3</v>
      </c>
      <c r="F9" s="5">
        <v>4763.2090028467164</v>
      </c>
    </row>
    <row r="10" spans="1:6" x14ac:dyDescent="0.25">
      <c r="A10" s="5" t="s">
        <v>101</v>
      </c>
      <c r="B10" s="5" t="s">
        <v>152</v>
      </c>
      <c r="C10" s="5" t="s">
        <v>150</v>
      </c>
      <c r="D10" s="5">
        <v>8.0801701323251433E-3</v>
      </c>
      <c r="E10" s="5">
        <v>7.7527580340264649E-2</v>
      </c>
      <c r="F10" s="5">
        <v>318.69734859267339</v>
      </c>
    </row>
    <row r="11" spans="1:6" x14ac:dyDescent="0.25">
      <c r="A11" s="5" t="s">
        <v>102</v>
      </c>
      <c r="B11" s="5" t="s">
        <v>139</v>
      </c>
      <c r="C11" s="5" t="s">
        <v>141</v>
      </c>
      <c r="D11" s="5">
        <v>5.4105170230786699E-4</v>
      </c>
      <c r="E11" s="5">
        <v>6.1995170605567348E-3</v>
      </c>
      <c r="F11" s="5">
        <v>2912.5819969916729</v>
      </c>
    </row>
    <row r="12" spans="1:6" x14ac:dyDescent="0.25">
      <c r="A12" s="5" t="s">
        <v>103</v>
      </c>
      <c r="B12" s="5" t="s">
        <v>139</v>
      </c>
      <c r="C12" s="5" t="s">
        <v>146</v>
      </c>
      <c r="D12" s="5">
        <v>9.7970417188117907E-4</v>
      </c>
      <c r="E12" s="5">
        <v>1.214247572075158E-2</v>
      </c>
      <c r="F12" s="5">
        <v>4221.8738434491388</v>
      </c>
    </row>
    <row r="13" spans="1:6" x14ac:dyDescent="0.25">
      <c r="A13" s="5" t="s">
        <v>104</v>
      </c>
      <c r="B13" s="5" t="s">
        <v>139</v>
      </c>
      <c r="C13" s="5" t="s">
        <v>147</v>
      </c>
      <c r="D13" s="5">
        <v>5.6753236219606509E-3</v>
      </c>
      <c r="E13" s="5">
        <v>3.1803693171420087E-2</v>
      </c>
      <c r="F13" s="5">
        <v>943.10166472125366</v>
      </c>
    </row>
    <row r="14" spans="1:6" x14ac:dyDescent="0.25">
      <c r="A14" s="5" t="s">
        <v>105</v>
      </c>
      <c r="B14" s="5" t="s">
        <v>140</v>
      </c>
      <c r="C14" s="5" t="s">
        <v>142</v>
      </c>
      <c r="D14" s="5">
        <v>5.4395916824196604E-3</v>
      </c>
      <c r="E14" s="5">
        <v>5.3167621928166361E-2</v>
      </c>
      <c r="F14" s="5">
        <v>764.87363662241626</v>
      </c>
    </row>
    <row r="15" spans="1:6" x14ac:dyDescent="0.25">
      <c r="A15" s="5" t="s">
        <v>106</v>
      </c>
      <c r="B15" s="5" t="s">
        <v>140</v>
      </c>
      <c r="C15" s="5" t="s">
        <v>143</v>
      </c>
      <c r="D15" s="5">
        <v>1.077894408851415E-3</v>
      </c>
      <c r="E15" s="5">
        <v>1.204469736581769E-2</v>
      </c>
      <c r="F15" s="5">
        <v>3609.8017290704479</v>
      </c>
    </row>
    <row r="16" spans="1:6" x14ac:dyDescent="0.25">
      <c r="A16" s="5" t="s">
        <v>107</v>
      </c>
      <c r="B16" s="5" t="s">
        <v>140</v>
      </c>
      <c r="C16" s="5" t="s">
        <v>148</v>
      </c>
      <c r="D16" s="5">
        <v>4.3854299561713501E-3</v>
      </c>
      <c r="E16" s="5">
        <v>3.9567234389605813E-2</v>
      </c>
      <c r="F16" s="5">
        <v>769.65409685130624</v>
      </c>
    </row>
    <row r="17" spans="1:6" x14ac:dyDescent="0.25">
      <c r="A17" s="5" t="s">
        <v>110</v>
      </c>
      <c r="B17" s="5" t="s">
        <v>140</v>
      </c>
      <c r="C17" s="5" t="s">
        <v>153</v>
      </c>
      <c r="D17" s="5">
        <v>1.296732471385508E-3</v>
      </c>
      <c r="E17" s="5">
        <v>1.5094391110111819E-2</v>
      </c>
      <c r="F17" s="5">
        <v>1912.184091556041</v>
      </c>
    </row>
    <row r="18" spans="1:6" x14ac:dyDescent="0.25">
      <c r="A18" s="5" t="s">
        <v>111</v>
      </c>
      <c r="B18" s="5" t="s">
        <v>141</v>
      </c>
      <c r="C18" s="5" t="s">
        <v>146</v>
      </c>
      <c r="D18" s="5">
        <v>1.441566115702479E-2</v>
      </c>
      <c r="E18" s="5">
        <v>8.854997107438016E-2</v>
      </c>
      <c r="F18" s="5">
        <v>381.05117766515298</v>
      </c>
    </row>
    <row r="19" spans="1:6" x14ac:dyDescent="0.25">
      <c r="A19" s="5" t="s">
        <v>112</v>
      </c>
      <c r="B19" s="5" t="s">
        <v>141</v>
      </c>
      <c r="C19" s="5" t="s">
        <v>147</v>
      </c>
      <c r="D19" s="5">
        <v>1.5801264E-3</v>
      </c>
      <c r="E19" s="5">
        <v>2.2281782399999998E-2</v>
      </c>
      <c r="F19" s="5">
        <v>1649.7783942093561</v>
      </c>
    </row>
    <row r="20" spans="1:6" x14ac:dyDescent="0.25">
      <c r="A20" s="5" t="s">
        <v>113</v>
      </c>
      <c r="B20" s="5" t="s">
        <v>142</v>
      </c>
      <c r="C20" s="5" t="s">
        <v>150</v>
      </c>
      <c r="D20" s="5">
        <v>8.1702448110826525E-3</v>
      </c>
      <c r="E20" s="5">
        <v>6.9265891999701124E-2</v>
      </c>
      <c r="F20" s="5">
        <v>729.41855659148132</v>
      </c>
    </row>
    <row r="21" spans="1:6" x14ac:dyDescent="0.25">
      <c r="A21" s="5" t="s">
        <v>114</v>
      </c>
      <c r="B21" s="5" t="s">
        <v>143</v>
      </c>
      <c r="C21" s="5" t="s">
        <v>151</v>
      </c>
      <c r="D21" s="5">
        <v>5.3067510757593035E-4</v>
      </c>
      <c r="E21" s="5">
        <v>5.4948282735785376E-3</v>
      </c>
      <c r="F21" s="5">
        <v>3312.789656588538</v>
      </c>
    </row>
    <row r="22" spans="1:6" x14ac:dyDescent="0.25">
      <c r="A22" s="5" t="s">
        <v>115</v>
      </c>
      <c r="B22" s="5" t="s">
        <v>154</v>
      </c>
      <c r="C22" s="5" t="s">
        <v>144</v>
      </c>
      <c r="D22" s="5">
        <v>4.7257277882797729E-3</v>
      </c>
      <c r="E22" s="5">
        <v>3.5109432892249527E-2</v>
      </c>
      <c r="F22" s="5">
        <v>414.30655317047552</v>
      </c>
    </row>
    <row r="23" spans="1:6" x14ac:dyDescent="0.25">
      <c r="A23" s="5" t="s">
        <v>116</v>
      </c>
      <c r="B23" s="5" t="s">
        <v>154</v>
      </c>
      <c r="C23" s="5" t="s">
        <v>148</v>
      </c>
      <c r="D23" s="5">
        <v>7.4627637051039699E-3</v>
      </c>
      <c r="E23" s="5">
        <v>5.5986340264650283E-2</v>
      </c>
      <c r="F23" s="5">
        <v>414.30655317047552</v>
      </c>
    </row>
    <row r="24" spans="1:6" x14ac:dyDescent="0.25">
      <c r="A24" s="5" t="s">
        <v>117</v>
      </c>
      <c r="B24" s="5" t="s">
        <v>154</v>
      </c>
      <c r="C24" s="5" t="s">
        <v>155</v>
      </c>
      <c r="D24" s="5">
        <v>1.2867470699432891E-2</v>
      </c>
      <c r="E24" s="5">
        <v>9.8186177693761825E-2</v>
      </c>
      <c r="F24" s="5">
        <v>414.30655317047552</v>
      </c>
    </row>
    <row r="25" spans="1:6" x14ac:dyDescent="0.25">
      <c r="A25" s="5" t="s">
        <v>118</v>
      </c>
      <c r="B25" s="5" t="s">
        <v>144</v>
      </c>
      <c r="C25" s="5" t="s">
        <v>148</v>
      </c>
      <c r="D25" s="5">
        <v>2.2691567591254119E-3</v>
      </c>
      <c r="E25" s="5">
        <v>1.7550937022548532E-2</v>
      </c>
      <c r="F25" s="5">
        <v>1051.7012503558219</v>
      </c>
    </row>
    <row r="26" spans="1:6" x14ac:dyDescent="0.25">
      <c r="A26" s="5" t="s">
        <v>130</v>
      </c>
      <c r="B26" s="5" t="s">
        <v>144</v>
      </c>
      <c r="C26" s="5" t="s">
        <v>155</v>
      </c>
      <c r="D26" s="5">
        <v>1.244615500945179E-2</v>
      </c>
      <c r="E26" s="5">
        <v>7.3440839319470694E-2</v>
      </c>
      <c r="F26" s="5">
        <v>274.87646316118082</v>
      </c>
    </row>
    <row r="27" spans="1:6" x14ac:dyDescent="0.25">
      <c r="A27" s="5" t="s">
        <v>131</v>
      </c>
      <c r="B27" s="5" t="s">
        <v>144</v>
      </c>
      <c r="C27" s="5" t="s">
        <v>151</v>
      </c>
      <c r="D27" s="5">
        <v>2.0422864359928052E-3</v>
      </c>
      <c r="E27" s="5">
        <v>1.8773821542214301E-2</v>
      </c>
      <c r="F27" s="5">
        <v>1627.746707937079</v>
      </c>
    </row>
    <row r="28" spans="1:6" x14ac:dyDescent="0.25">
      <c r="A28" s="5" t="s">
        <v>132</v>
      </c>
      <c r="B28" s="5" t="s">
        <v>145</v>
      </c>
      <c r="C28" s="5" t="s">
        <v>146</v>
      </c>
      <c r="D28" s="5">
        <v>3.446098485410753E-4</v>
      </c>
      <c r="E28" s="5">
        <v>4.7985993730319931E-3</v>
      </c>
      <c r="F28" s="5">
        <v>6321.9854476264027</v>
      </c>
    </row>
    <row r="29" spans="1:6" x14ac:dyDescent="0.25">
      <c r="A29" s="5" t="s">
        <v>133</v>
      </c>
      <c r="B29" s="5" t="s">
        <v>146</v>
      </c>
      <c r="C29" s="5" t="s">
        <v>147</v>
      </c>
      <c r="D29" s="5">
        <v>2.6140868000000001E-3</v>
      </c>
      <c r="E29" s="5">
        <v>2.8987524800000001E-2</v>
      </c>
      <c r="F29" s="5">
        <v>2078.4609690826528</v>
      </c>
    </row>
    <row r="30" spans="1:6" x14ac:dyDescent="0.25">
      <c r="A30" s="5" t="s">
        <v>134</v>
      </c>
      <c r="B30" s="5" t="s">
        <v>147</v>
      </c>
      <c r="C30" s="5" t="s">
        <v>149</v>
      </c>
      <c r="D30" s="5">
        <v>1.0751999999999999E-3</v>
      </c>
      <c r="E30" s="5">
        <v>2.3923199999999999E-2</v>
      </c>
      <c r="F30" s="5">
        <v>1649.7783942093561</v>
      </c>
    </row>
    <row r="31" spans="1:6" x14ac:dyDescent="0.25">
      <c r="A31" s="5" t="s">
        <v>135</v>
      </c>
      <c r="B31" s="5" t="s">
        <v>149</v>
      </c>
      <c r="C31" s="5" t="s">
        <v>150</v>
      </c>
      <c r="D31" s="5">
        <v>1.305884247969807E-3</v>
      </c>
      <c r="E31" s="5">
        <v>1.407934656508677E-2</v>
      </c>
      <c r="F31" s="5">
        <v>2722.991715595183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B9" sqref="B9"/>
    </sheetView>
  </sheetViews>
  <sheetFormatPr defaultRowHeight="15" x14ac:dyDescent="0.25"/>
  <cols>
    <col min="1" max="7" width="16" customWidth="1"/>
  </cols>
  <sheetData>
    <row r="1" spans="1:7" ht="18.75" x14ac:dyDescent="0.3">
      <c r="A1" s="1" t="s">
        <v>48</v>
      </c>
    </row>
    <row r="2" spans="1:7" x14ac:dyDescent="0.25">
      <c r="A2" s="2" t="s">
        <v>49</v>
      </c>
    </row>
    <row r="4" spans="1:7" x14ac:dyDescent="0.25">
      <c r="A4" s="3" t="s">
        <v>35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50</v>
      </c>
    </row>
    <row r="5" spans="1:7" x14ac:dyDescent="0.25">
      <c r="A5" s="4"/>
      <c r="B5" s="4" t="s">
        <v>46</v>
      </c>
      <c r="C5" s="4" t="s">
        <v>46</v>
      </c>
      <c r="D5" s="4" t="s">
        <v>47</v>
      </c>
      <c r="E5" s="4" t="s">
        <v>47</v>
      </c>
      <c r="F5" s="4" t="s">
        <v>38</v>
      </c>
      <c r="G5" s="4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W81"/>
  <sheetViews>
    <sheetView zoomScaleNormal="100" workbookViewId="0">
      <selection activeCell="P9" sqref="P9"/>
    </sheetView>
  </sheetViews>
  <sheetFormatPr defaultRowHeight="15" x14ac:dyDescent="0.25"/>
  <cols>
    <col min="1" max="1" width="18.7109375" customWidth="1"/>
    <col min="2" max="2" width="8.42578125" customWidth="1"/>
    <col min="3" max="3" width="5.5703125" bestFit="1" customWidth="1"/>
    <col min="4" max="4" width="5.85546875" bestFit="1" customWidth="1"/>
    <col min="5" max="5" width="15.28515625" bestFit="1" customWidth="1"/>
    <col min="6" max="6" width="10.7109375" bestFit="1" customWidth="1"/>
    <col min="7" max="7" width="14.85546875" bestFit="1" customWidth="1"/>
    <col min="8" max="8" width="10.28515625" bestFit="1" customWidth="1"/>
    <col min="9" max="9" width="7" bestFit="1" customWidth="1"/>
    <col min="10" max="10" width="9.42578125" bestFit="1" customWidth="1"/>
    <col min="11" max="11" width="6.5703125" bestFit="1" customWidth="1"/>
    <col min="12" max="12" width="6.140625" bestFit="1" customWidth="1"/>
    <col min="13" max="13" width="7.7109375" bestFit="1" customWidth="1"/>
    <col min="14" max="14" width="8" bestFit="1" customWidth="1"/>
    <col min="15" max="15" width="13" customWidth="1"/>
    <col min="16" max="16" width="13.28515625" customWidth="1"/>
    <col min="17" max="17" width="12" bestFit="1" customWidth="1"/>
    <col min="18" max="18" width="7.5703125" bestFit="1" customWidth="1"/>
    <col min="19" max="19" width="13.28515625" customWidth="1"/>
    <col min="20" max="20" width="21.7109375" bestFit="1" customWidth="1"/>
    <col min="21" max="21" width="6.85546875" bestFit="1" customWidth="1"/>
    <col min="22" max="22" width="7.5703125" bestFit="1" customWidth="1"/>
    <col min="23" max="23" width="8.7109375" bestFit="1" customWidth="1"/>
    <col min="24" max="24" width="9.7109375" bestFit="1" customWidth="1"/>
  </cols>
  <sheetData>
    <row r="1" spans="1:23" ht="18.75" x14ac:dyDescent="0.3">
      <c r="A1" s="1" t="s">
        <v>52</v>
      </c>
    </row>
    <row r="2" spans="1:23" x14ac:dyDescent="0.25">
      <c r="A2" s="2" t="s">
        <v>53</v>
      </c>
    </row>
    <row r="4" spans="1:23" ht="45" x14ac:dyDescent="0.25">
      <c r="A4" s="3" t="s">
        <v>35</v>
      </c>
      <c r="B4" s="3" t="s">
        <v>46</v>
      </c>
      <c r="C4" s="3" t="s">
        <v>54</v>
      </c>
      <c r="D4" s="3" t="s">
        <v>55</v>
      </c>
      <c r="E4" s="18" t="s">
        <v>273</v>
      </c>
      <c r="F4" s="3" t="s">
        <v>228</v>
      </c>
      <c r="G4" s="18" t="s">
        <v>274</v>
      </c>
      <c r="H4" s="3" t="s">
        <v>229</v>
      </c>
      <c r="I4" s="3" t="s">
        <v>56</v>
      </c>
      <c r="J4" s="3" t="s">
        <v>57</v>
      </c>
      <c r="K4" s="3" t="s">
        <v>58</v>
      </c>
      <c r="L4" s="3" t="s">
        <v>120</v>
      </c>
      <c r="M4" s="3" t="s">
        <v>59</v>
      </c>
      <c r="N4" s="3" t="s">
        <v>60</v>
      </c>
      <c r="O4" s="18" t="s">
        <v>275</v>
      </c>
      <c r="P4" s="18" t="s">
        <v>276</v>
      </c>
      <c r="Q4" s="3" t="s">
        <v>61</v>
      </c>
      <c r="R4" s="3" t="s">
        <v>62</v>
      </c>
      <c r="S4" s="12" t="s">
        <v>224</v>
      </c>
      <c r="T4" s="12" t="s">
        <v>277</v>
      </c>
      <c r="U4" s="12" t="s">
        <v>245</v>
      </c>
      <c r="V4" s="12" t="s">
        <v>246</v>
      </c>
      <c r="W4" s="12" t="s">
        <v>247</v>
      </c>
    </row>
    <row r="5" spans="1:23" x14ac:dyDescent="0.25">
      <c r="A5" s="4"/>
      <c r="B5" s="4"/>
      <c r="C5" s="4" t="s">
        <v>38</v>
      </c>
      <c r="D5" s="4" t="s">
        <v>38</v>
      </c>
      <c r="E5" s="4" t="s">
        <v>278</v>
      </c>
      <c r="F5" s="4" t="s">
        <v>63</v>
      </c>
      <c r="G5" s="4" t="s">
        <v>278</v>
      </c>
      <c r="H5" s="4" t="s">
        <v>63</v>
      </c>
      <c r="I5" s="4" t="s">
        <v>64</v>
      </c>
      <c r="J5" s="4" t="s">
        <v>65</v>
      </c>
      <c r="K5" s="4" t="s">
        <v>66</v>
      </c>
      <c r="L5" s="4"/>
      <c r="M5" s="4" t="s">
        <v>67</v>
      </c>
      <c r="N5" s="4" t="s">
        <v>67</v>
      </c>
      <c r="O5" s="4" t="s">
        <v>38</v>
      </c>
      <c r="P5" s="4" t="s">
        <v>67</v>
      </c>
      <c r="Q5" s="4" t="s">
        <v>51</v>
      </c>
      <c r="R5" s="4" t="s">
        <v>51</v>
      </c>
      <c r="S5" s="4"/>
      <c r="V5" s="4" t="s">
        <v>248</v>
      </c>
      <c r="W5" s="4" t="s">
        <v>248</v>
      </c>
    </row>
    <row r="6" spans="1:23" x14ac:dyDescent="0.25">
      <c r="A6" s="6" t="s">
        <v>279</v>
      </c>
      <c r="B6" s="5" t="s">
        <v>138</v>
      </c>
      <c r="C6" s="5">
        <v>30</v>
      </c>
      <c r="D6" s="5">
        <v>97</v>
      </c>
      <c r="E6" s="5">
        <v>5</v>
      </c>
      <c r="F6" s="5">
        <f>E6*60</f>
        <v>300</v>
      </c>
      <c r="G6" s="5">
        <v>4.99</v>
      </c>
      <c r="H6" s="5">
        <f>G6*60</f>
        <v>299.40000000000003</v>
      </c>
      <c r="I6" s="10">
        <v>0</v>
      </c>
      <c r="J6" s="10">
        <v>279.62676521491937</v>
      </c>
      <c r="K6" s="10">
        <v>0</v>
      </c>
      <c r="L6" s="5">
        <v>0</v>
      </c>
      <c r="M6" s="5">
        <v>1</v>
      </c>
      <c r="N6" s="5">
        <v>0</v>
      </c>
      <c r="O6" s="5">
        <v>5</v>
      </c>
      <c r="P6" s="5">
        <v>0</v>
      </c>
      <c r="Q6" s="10">
        <f>O6*P6*J6</f>
        <v>0</v>
      </c>
      <c r="R6" s="10">
        <v>0</v>
      </c>
      <c r="S6" s="6" t="s">
        <v>280</v>
      </c>
      <c r="T6" s="6" t="s">
        <v>281</v>
      </c>
      <c r="U6" s="6" t="str">
        <f>_xlfn.XLOOKUP(T6,[1]Detalle_Unidades!F3:F549,[1]Detalle_Unidades!A3:A549)</f>
        <v>TRM1</v>
      </c>
    </row>
    <row r="7" spans="1:23" x14ac:dyDescent="0.25">
      <c r="A7" s="6" t="s">
        <v>282</v>
      </c>
      <c r="B7" s="5" t="s">
        <v>138</v>
      </c>
      <c r="C7" s="5">
        <v>40</v>
      </c>
      <c r="D7" s="5">
        <v>80</v>
      </c>
      <c r="E7" s="5">
        <v>5</v>
      </c>
      <c r="F7" s="5">
        <f t="shared" ref="F7:F70" si="0">E7*60</f>
        <v>300</v>
      </c>
      <c r="G7" s="5">
        <v>5.07</v>
      </c>
      <c r="H7" s="5">
        <f t="shared" ref="H7:H70" si="1">G7*60</f>
        <v>304.20000000000005</v>
      </c>
      <c r="I7" s="10">
        <v>0</v>
      </c>
      <c r="J7" s="10">
        <v>279.62676521491937</v>
      </c>
      <c r="K7" s="10">
        <v>0</v>
      </c>
      <c r="L7" s="5">
        <v>0</v>
      </c>
      <c r="M7" s="5">
        <v>6</v>
      </c>
      <c r="N7" s="5">
        <v>6</v>
      </c>
      <c r="O7" s="5">
        <v>5</v>
      </c>
      <c r="P7" s="5">
        <v>2</v>
      </c>
      <c r="Q7" s="10">
        <f t="shared" ref="Q7:Q70" si="2">O7*P7*J7</f>
        <v>2796.267652149194</v>
      </c>
      <c r="R7" s="10">
        <v>0</v>
      </c>
      <c r="S7" s="6" t="s">
        <v>283</v>
      </c>
      <c r="T7" s="6" t="s">
        <v>281</v>
      </c>
      <c r="U7" s="6" t="str">
        <f>_xlfn.XLOOKUP(T7,[1]Detalle_Unidades!F4:F550,[1]Detalle_Unidades!A4:A550)</f>
        <v>TRM1</v>
      </c>
    </row>
    <row r="8" spans="1:23" x14ac:dyDescent="0.25">
      <c r="A8" s="6" t="s">
        <v>284</v>
      </c>
      <c r="B8" s="5" t="s">
        <v>138</v>
      </c>
      <c r="C8" s="5">
        <v>30</v>
      </c>
      <c r="D8" s="5">
        <v>77</v>
      </c>
      <c r="E8" s="5">
        <v>3.88</v>
      </c>
      <c r="F8" s="5">
        <f t="shared" si="0"/>
        <v>232.79999999999998</v>
      </c>
      <c r="G8" s="5">
        <v>3.11</v>
      </c>
      <c r="H8" s="5">
        <f t="shared" si="1"/>
        <v>186.6</v>
      </c>
      <c r="I8" s="10">
        <v>0</v>
      </c>
      <c r="J8" s="10">
        <v>279.62676521491937</v>
      </c>
      <c r="K8" s="10">
        <v>0</v>
      </c>
      <c r="L8" s="5">
        <v>0</v>
      </c>
      <c r="M8" s="5">
        <v>10</v>
      </c>
      <c r="N8" s="5">
        <v>8</v>
      </c>
      <c r="O8" s="5">
        <v>5</v>
      </c>
      <c r="P8" s="5">
        <v>4</v>
      </c>
      <c r="Q8" s="10">
        <f t="shared" si="2"/>
        <v>5592.5353042983879</v>
      </c>
      <c r="R8" s="10">
        <v>0</v>
      </c>
      <c r="S8" s="6" t="s">
        <v>283</v>
      </c>
      <c r="T8" s="6" t="s">
        <v>281</v>
      </c>
      <c r="U8" s="6" t="str">
        <f>_xlfn.XLOOKUP(T8,[1]Detalle_Unidades!F5:F551,[1]Detalle_Unidades!A5:A551)</f>
        <v>TRM1</v>
      </c>
    </row>
    <row r="9" spans="1:23" x14ac:dyDescent="0.25">
      <c r="A9" s="6" t="s">
        <v>285</v>
      </c>
      <c r="B9" s="5" t="s">
        <v>138</v>
      </c>
      <c r="C9" s="5">
        <v>89</v>
      </c>
      <c r="D9" s="5">
        <v>110</v>
      </c>
      <c r="E9" s="5">
        <v>42.41</v>
      </c>
      <c r="F9" s="5">
        <f t="shared" si="0"/>
        <v>2544.6</v>
      </c>
      <c r="G9" s="5">
        <v>41.41</v>
      </c>
      <c r="H9" s="5">
        <f t="shared" si="1"/>
        <v>2484.6</v>
      </c>
      <c r="I9" s="10">
        <v>0</v>
      </c>
      <c r="J9" s="10">
        <v>387.15751277141874</v>
      </c>
      <c r="K9" s="10">
        <v>0</v>
      </c>
      <c r="L9" s="5">
        <v>0</v>
      </c>
      <c r="M9" s="5">
        <v>8</v>
      </c>
      <c r="N9" s="5">
        <v>1</v>
      </c>
      <c r="O9" s="5">
        <v>12</v>
      </c>
      <c r="P9" s="5">
        <v>2</v>
      </c>
      <c r="Q9" s="10">
        <f t="shared" si="2"/>
        <v>9291.7803065140506</v>
      </c>
      <c r="R9" s="10">
        <v>0</v>
      </c>
      <c r="S9" s="6" t="s">
        <v>283</v>
      </c>
      <c r="T9" s="6" t="s">
        <v>286</v>
      </c>
      <c r="U9" s="6" t="str">
        <f>_xlfn.XLOOKUP(T9,[1]Detalle_Unidades!F6:F552,[1]Detalle_Unidades!A6:A552)</f>
        <v>TSR1</v>
      </c>
    </row>
    <row r="10" spans="1:23" x14ac:dyDescent="0.25">
      <c r="A10" s="6" t="s">
        <v>287</v>
      </c>
      <c r="B10" s="5" t="s">
        <v>138</v>
      </c>
      <c r="C10" s="5">
        <v>89</v>
      </c>
      <c r="D10" s="5">
        <v>110</v>
      </c>
      <c r="E10" s="5">
        <v>2.5</v>
      </c>
      <c r="F10" s="5">
        <f t="shared" si="0"/>
        <v>150</v>
      </c>
      <c r="G10" s="5">
        <v>49.25</v>
      </c>
      <c r="H10" s="5">
        <f t="shared" si="1"/>
        <v>2955</v>
      </c>
      <c r="I10" s="10">
        <v>0</v>
      </c>
      <c r="J10" s="10">
        <v>387.15751277141874</v>
      </c>
      <c r="K10" s="10">
        <v>0</v>
      </c>
      <c r="L10" s="5">
        <v>0</v>
      </c>
      <c r="M10" s="5">
        <v>8</v>
      </c>
      <c r="N10" s="5">
        <v>1</v>
      </c>
      <c r="O10" s="5">
        <v>12</v>
      </c>
      <c r="P10" s="5">
        <v>2</v>
      </c>
      <c r="Q10" s="10">
        <f t="shared" si="2"/>
        <v>9291.7803065140506</v>
      </c>
      <c r="R10" s="10">
        <v>0</v>
      </c>
      <c r="S10" s="6" t="s">
        <v>283</v>
      </c>
      <c r="T10" s="6" t="s">
        <v>286</v>
      </c>
      <c r="U10" s="6" t="str">
        <f>_xlfn.XLOOKUP(T10,[1]Detalle_Unidades!F7:F553,[1]Detalle_Unidades!A7:A553)</f>
        <v>TSR1</v>
      </c>
    </row>
    <row r="11" spans="1:23" x14ac:dyDescent="0.25">
      <c r="A11" s="6" t="s">
        <v>288</v>
      </c>
      <c r="B11" s="5" t="s">
        <v>138</v>
      </c>
      <c r="C11" s="5">
        <v>42</v>
      </c>
      <c r="D11" s="5">
        <v>132</v>
      </c>
      <c r="E11" s="5">
        <v>5</v>
      </c>
      <c r="F11" s="5">
        <f t="shared" si="0"/>
        <v>300</v>
      </c>
      <c r="G11" s="5">
        <v>12.7</v>
      </c>
      <c r="H11" s="5">
        <f t="shared" si="1"/>
        <v>762</v>
      </c>
      <c r="I11" s="10">
        <v>0</v>
      </c>
      <c r="J11" s="10">
        <v>387.15751277141874</v>
      </c>
      <c r="K11" s="10">
        <v>0</v>
      </c>
      <c r="L11" s="5">
        <v>0</v>
      </c>
      <c r="M11" s="5">
        <v>8</v>
      </c>
      <c r="N11" s="5">
        <v>1</v>
      </c>
      <c r="O11" s="5">
        <v>12</v>
      </c>
      <c r="P11" s="5">
        <v>2</v>
      </c>
      <c r="Q11" s="10">
        <f t="shared" si="2"/>
        <v>9291.7803065140506</v>
      </c>
      <c r="R11" s="10">
        <v>0</v>
      </c>
      <c r="S11" s="6" t="s">
        <v>283</v>
      </c>
      <c r="T11" s="6" t="s">
        <v>286</v>
      </c>
      <c r="U11" s="6" t="str">
        <f>_xlfn.XLOOKUP(T11,[1]Detalle_Unidades!F8:F554,[1]Detalle_Unidades!A8:A554)</f>
        <v>TSR1</v>
      </c>
    </row>
    <row r="12" spans="1:23" x14ac:dyDescent="0.25">
      <c r="A12" s="6" t="s">
        <v>289</v>
      </c>
      <c r="B12" s="5" t="s">
        <v>139</v>
      </c>
      <c r="C12" s="5">
        <v>33</v>
      </c>
      <c r="D12" s="5">
        <v>60</v>
      </c>
      <c r="E12" s="5">
        <v>0.94</v>
      </c>
      <c r="F12" s="5">
        <f t="shared" si="0"/>
        <v>56.4</v>
      </c>
      <c r="G12" s="5">
        <v>0.94</v>
      </c>
      <c r="H12" s="5">
        <f t="shared" si="1"/>
        <v>56.4</v>
      </c>
      <c r="I12" s="10">
        <v>0</v>
      </c>
      <c r="J12" s="10">
        <v>305.81256323001929</v>
      </c>
      <c r="K12" s="10">
        <v>0</v>
      </c>
      <c r="L12" s="5">
        <v>0</v>
      </c>
      <c r="M12" s="5">
        <v>48</v>
      </c>
      <c r="N12" s="5">
        <v>24</v>
      </c>
      <c r="O12" s="5">
        <v>5</v>
      </c>
      <c r="P12" s="5">
        <v>8</v>
      </c>
      <c r="Q12" s="10">
        <f t="shared" si="2"/>
        <v>12232.502529200772</v>
      </c>
      <c r="R12" s="10">
        <v>0</v>
      </c>
      <c r="S12" s="6" t="s">
        <v>280</v>
      </c>
      <c r="T12" s="6" t="s">
        <v>289</v>
      </c>
      <c r="U12" s="6" t="str">
        <f>_xlfn.XLOOKUP(T12,[1]Detalle_Unidades!F9:F555,[1]Detalle_Unidades!A9:A555)</f>
        <v>TBQ3</v>
      </c>
    </row>
    <row r="13" spans="1:23" x14ac:dyDescent="0.25">
      <c r="A13" s="6" t="s">
        <v>290</v>
      </c>
      <c r="B13" s="5" t="s">
        <v>139</v>
      </c>
      <c r="C13" s="5">
        <v>33</v>
      </c>
      <c r="D13" s="5">
        <v>60</v>
      </c>
      <c r="E13" s="5">
        <v>1.05</v>
      </c>
      <c r="F13" s="5">
        <f t="shared" si="0"/>
        <v>63</v>
      </c>
      <c r="G13" s="5">
        <v>0.96</v>
      </c>
      <c r="H13" s="5">
        <f t="shared" si="1"/>
        <v>57.599999999999994</v>
      </c>
      <c r="I13" s="10">
        <v>0</v>
      </c>
      <c r="J13" s="10">
        <v>292.11056578848354</v>
      </c>
      <c r="K13" s="10">
        <v>0</v>
      </c>
      <c r="L13" s="5">
        <v>0</v>
      </c>
      <c r="M13" s="5">
        <v>48</v>
      </c>
      <c r="N13" s="5">
        <v>24</v>
      </c>
      <c r="O13" s="5">
        <v>5</v>
      </c>
      <c r="P13" s="5">
        <v>8</v>
      </c>
      <c r="Q13" s="10">
        <f t="shared" si="2"/>
        <v>11684.422631539343</v>
      </c>
      <c r="R13" s="10">
        <v>0</v>
      </c>
      <c r="S13" s="6" t="s">
        <v>280</v>
      </c>
      <c r="T13" s="6" t="s">
        <v>290</v>
      </c>
      <c r="U13" s="6" t="str">
        <f>_xlfn.XLOOKUP(T13,[1]Detalle_Unidades!F10:F556,[1]Detalle_Unidades!A10:A556)</f>
        <v>TBQ4</v>
      </c>
    </row>
    <row r="14" spans="1:23" x14ac:dyDescent="0.25">
      <c r="A14" s="6" t="s">
        <v>291</v>
      </c>
      <c r="B14" s="5" t="s">
        <v>139</v>
      </c>
      <c r="C14" s="5">
        <v>45</v>
      </c>
      <c r="D14" s="5">
        <v>119</v>
      </c>
      <c r="E14" s="5">
        <v>2</v>
      </c>
      <c r="F14" s="5">
        <f t="shared" si="0"/>
        <v>120</v>
      </c>
      <c r="G14" s="5">
        <v>0.5</v>
      </c>
      <c r="H14" s="5">
        <f t="shared" si="1"/>
        <v>30</v>
      </c>
      <c r="I14" s="10">
        <v>0</v>
      </c>
      <c r="J14" s="10">
        <v>295.6946453405572</v>
      </c>
      <c r="K14" s="10">
        <v>0</v>
      </c>
      <c r="L14" s="5">
        <v>1</v>
      </c>
      <c r="M14" s="5">
        <v>8</v>
      </c>
      <c r="N14" s="5">
        <v>4</v>
      </c>
      <c r="O14" s="5">
        <v>5</v>
      </c>
      <c r="P14" s="5">
        <v>0.75</v>
      </c>
      <c r="Q14" s="10">
        <f t="shared" si="2"/>
        <v>1108.8549200270895</v>
      </c>
      <c r="R14" s="10">
        <v>0</v>
      </c>
      <c r="S14" s="6" t="s">
        <v>280</v>
      </c>
      <c r="T14" s="6" t="s">
        <v>292</v>
      </c>
      <c r="U14" s="6" t="str">
        <f>_xlfn.XLOOKUP(T14,[1]Detalle_Unidades!F11:F557,[1]Detalle_Unidades!A11:A557)</f>
        <v>TFL1</v>
      </c>
    </row>
    <row r="15" spans="1:23" x14ac:dyDescent="0.25">
      <c r="A15" s="6" t="s">
        <v>293</v>
      </c>
      <c r="B15" s="5" t="s">
        <v>139</v>
      </c>
      <c r="C15" s="5">
        <v>20</v>
      </c>
      <c r="D15" s="5">
        <v>46</v>
      </c>
      <c r="E15" s="5">
        <v>1.5</v>
      </c>
      <c r="F15" s="5">
        <f t="shared" si="0"/>
        <v>90</v>
      </c>
      <c r="G15" s="5">
        <v>0.1</v>
      </c>
      <c r="H15" s="5">
        <f t="shared" si="1"/>
        <v>6</v>
      </c>
      <c r="I15" s="10">
        <v>0</v>
      </c>
      <c r="J15" s="10">
        <v>295.6946453405572</v>
      </c>
      <c r="K15" s="10">
        <v>0</v>
      </c>
      <c r="L15" s="5">
        <v>1</v>
      </c>
      <c r="M15" s="5">
        <v>8</v>
      </c>
      <c r="N15" s="5">
        <v>4</v>
      </c>
      <c r="O15" s="5">
        <v>10</v>
      </c>
      <c r="P15" s="5">
        <v>0.75</v>
      </c>
      <c r="Q15" s="10">
        <f t="shared" si="2"/>
        <v>2217.709840054179</v>
      </c>
      <c r="R15" s="10">
        <v>0</v>
      </c>
      <c r="S15" s="6" t="s">
        <v>280</v>
      </c>
      <c r="T15" s="6" t="s">
        <v>292</v>
      </c>
      <c r="U15" s="6" t="str">
        <f>_xlfn.XLOOKUP(T15,[1]Detalle_Unidades!F12:F558,[1]Detalle_Unidades!A12:A558)</f>
        <v>TFL1</v>
      </c>
    </row>
    <row r="16" spans="1:23" x14ac:dyDescent="0.25">
      <c r="A16" s="6" t="s">
        <v>294</v>
      </c>
      <c r="B16" s="5" t="s">
        <v>139</v>
      </c>
      <c r="C16" s="5">
        <v>80</v>
      </c>
      <c r="D16" s="5">
        <v>120</v>
      </c>
      <c r="E16" s="5">
        <v>2</v>
      </c>
      <c r="F16" s="5">
        <f t="shared" si="0"/>
        <v>120</v>
      </c>
      <c r="G16" s="5">
        <v>0.4</v>
      </c>
      <c r="H16" s="5">
        <f t="shared" si="1"/>
        <v>24</v>
      </c>
      <c r="I16" s="10">
        <v>0</v>
      </c>
      <c r="J16" s="10">
        <v>309.62963582295873</v>
      </c>
      <c r="K16" s="10">
        <v>0</v>
      </c>
      <c r="L16" s="5">
        <v>1</v>
      </c>
      <c r="M16" s="5">
        <v>16</v>
      </c>
      <c r="N16" s="5">
        <v>4</v>
      </c>
      <c r="O16" s="5">
        <v>5</v>
      </c>
      <c r="P16" s="5">
        <v>0.75</v>
      </c>
      <c r="Q16" s="10">
        <f t="shared" si="2"/>
        <v>1161.1111343360953</v>
      </c>
      <c r="R16" s="10">
        <v>0</v>
      </c>
      <c r="S16" s="6" t="s">
        <v>280</v>
      </c>
      <c r="T16" s="6" t="s">
        <v>295</v>
      </c>
      <c r="U16" s="6" t="str">
        <f>_xlfn.XLOOKUP(T16,[1]Detalle_Unidades!F13:F559,[1]Detalle_Unidades!A13:A559)</f>
        <v>TFL4</v>
      </c>
    </row>
    <row r="17" spans="1:21" x14ac:dyDescent="0.25">
      <c r="A17" s="6" t="s">
        <v>296</v>
      </c>
      <c r="B17" s="5" t="s">
        <v>139</v>
      </c>
      <c r="C17" s="5">
        <v>60</v>
      </c>
      <c r="D17" s="5">
        <v>169</v>
      </c>
      <c r="E17" s="5">
        <v>2</v>
      </c>
      <c r="F17" s="5">
        <f t="shared" si="0"/>
        <v>120</v>
      </c>
      <c r="G17" s="5">
        <v>0.77</v>
      </c>
      <c r="H17" s="5">
        <f t="shared" si="1"/>
        <v>46.2</v>
      </c>
      <c r="I17" s="10">
        <v>0</v>
      </c>
      <c r="J17" s="10">
        <v>309.62963582295873</v>
      </c>
      <c r="K17" s="10">
        <v>0</v>
      </c>
      <c r="L17" s="5">
        <v>1</v>
      </c>
      <c r="M17" s="5">
        <v>16</v>
      </c>
      <c r="N17" s="5">
        <v>4</v>
      </c>
      <c r="O17" s="5">
        <v>5</v>
      </c>
      <c r="P17" s="5">
        <v>0.75</v>
      </c>
      <c r="Q17" s="10">
        <f t="shared" si="2"/>
        <v>1161.1111343360953</v>
      </c>
      <c r="R17" s="10">
        <v>0</v>
      </c>
      <c r="S17" s="6" t="s">
        <v>280</v>
      </c>
      <c r="T17" s="6" t="s">
        <v>295</v>
      </c>
      <c r="U17" s="6" t="str">
        <f>_xlfn.XLOOKUP(T17,[1]Detalle_Unidades!F14:F560,[1]Detalle_Unidades!A14:A560)</f>
        <v>TFL4</v>
      </c>
    </row>
    <row r="18" spans="1:21" x14ac:dyDescent="0.25">
      <c r="A18" s="6" t="s">
        <v>297</v>
      </c>
      <c r="B18" s="5" t="s">
        <v>139</v>
      </c>
      <c r="C18" s="5">
        <v>40</v>
      </c>
      <c r="D18" s="5">
        <v>164</v>
      </c>
      <c r="E18" s="5">
        <v>0</v>
      </c>
      <c r="F18" s="5">
        <f t="shared" si="0"/>
        <v>0</v>
      </c>
      <c r="G18" s="5">
        <v>0</v>
      </c>
      <c r="H18" s="5">
        <f t="shared" si="1"/>
        <v>0</v>
      </c>
      <c r="I18" s="10">
        <v>0</v>
      </c>
      <c r="J18" s="10">
        <v>309.62963582295873</v>
      </c>
      <c r="K18" s="10">
        <v>0</v>
      </c>
      <c r="L18" s="5">
        <v>1</v>
      </c>
      <c r="M18" s="5">
        <v>16</v>
      </c>
      <c r="N18" s="5">
        <v>4</v>
      </c>
      <c r="O18" s="5">
        <v>5</v>
      </c>
      <c r="P18" s="5">
        <v>0.75</v>
      </c>
      <c r="Q18" s="10">
        <f t="shared" si="2"/>
        <v>1161.1111343360953</v>
      </c>
      <c r="R18" s="10">
        <v>0</v>
      </c>
      <c r="S18" s="6" t="s">
        <v>280</v>
      </c>
      <c r="T18" s="6" t="s">
        <v>295</v>
      </c>
      <c r="U18" s="6" t="str">
        <f>_xlfn.XLOOKUP(T18,[1]Detalle_Unidades!F15:F561,[1]Detalle_Unidades!A15:A561)</f>
        <v>TFL4</v>
      </c>
    </row>
    <row r="19" spans="1:21" x14ac:dyDescent="0.25">
      <c r="A19" s="6" t="s">
        <v>298</v>
      </c>
      <c r="B19" s="5" t="s">
        <v>139</v>
      </c>
      <c r="C19" s="5">
        <v>50</v>
      </c>
      <c r="D19" s="5">
        <v>97</v>
      </c>
      <c r="E19" s="5">
        <v>4.17</v>
      </c>
      <c r="F19" s="5">
        <f t="shared" si="0"/>
        <v>250.2</v>
      </c>
      <c r="G19" s="5">
        <v>4.07</v>
      </c>
      <c r="H19" s="5">
        <f t="shared" si="1"/>
        <v>244.20000000000002</v>
      </c>
      <c r="I19" s="10">
        <v>0</v>
      </c>
      <c r="J19" s="10">
        <v>209.04492362231716</v>
      </c>
      <c r="K19" s="10">
        <v>0</v>
      </c>
      <c r="L19" s="5">
        <v>1</v>
      </c>
      <c r="M19" s="5">
        <v>8</v>
      </c>
      <c r="N19" s="5">
        <v>8</v>
      </c>
      <c r="O19" s="5">
        <v>10</v>
      </c>
      <c r="P19" s="5">
        <v>1</v>
      </c>
      <c r="Q19" s="10">
        <f t="shared" si="2"/>
        <v>2090.4492362231717</v>
      </c>
      <c r="R19" s="10">
        <v>0</v>
      </c>
      <c r="S19" s="6" t="s">
        <v>280</v>
      </c>
      <c r="T19" s="6" t="s">
        <v>299</v>
      </c>
      <c r="U19" s="6" t="str">
        <f>_xlfn.XLOOKUP(T19,[1]Detalle_Unidades!F16:F562,[1]Detalle_Unidades!A16:A562)</f>
        <v>TBST</v>
      </c>
    </row>
    <row r="20" spans="1:21" x14ac:dyDescent="0.25">
      <c r="A20" s="6" t="s">
        <v>300</v>
      </c>
      <c r="B20" s="5" t="s">
        <v>139</v>
      </c>
      <c r="C20" s="5">
        <v>50</v>
      </c>
      <c r="D20" s="5">
        <v>97</v>
      </c>
      <c r="E20" s="5">
        <v>4.18</v>
      </c>
      <c r="F20" s="5">
        <f t="shared" si="0"/>
        <v>250.79999999999998</v>
      </c>
      <c r="G20" s="5">
        <v>4.07</v>
      </c>
      <c r="H20" s="5">
        <f t="shared" si="1"/>
        <v>244.20000000000002</v>
      </c>
      <c r="I20" s="10">
        <v>0</v>
      </c>
      <c r="J20" s="10">
        <v>209.04492362231716</v>
      </c>
      <c r="K20" s="10">
        <v>0</v>
      </c>
      <c r="L20" s="5">
        <v>1</v>
      </c>
      <c r="M20" s="5">
        <v>8</v>
      </c>
      <c r="N20" s="5">
        <v>8</v>
      </c>
      <c r="O20" s="5">
        <v>10</v>
      </c>
      <c r="P20" s="5">
        <v>1</v>
      </c>
      <c r="Q20" s="10">
        <f t="shared" si="2"/>
        <v>2090.4492362231717</v>
      </c>
      <c r="R20" s="10">
        <v>0</v>
      </c>
      <c r="S20" s="6" t="s">
        <v>280</v>
      </c>
      <c r="T20" s="6" t="s">
        <v>299</v>
      </c>
      <c r="U20" s="6" t="str">
        <f>_xlfn.XLOOKUP(T20,[1]Detalle_Unidades!F17:F563,[1]Detalle_Unidades!A17:A563)</f>
        <v>TBST</v>
      </c>
    </row>
    <row r="21" spans="1:21" x14ac:dyDescent="0.25">
      <c r="A21" s="6" t="s">
        <v>301</v>
      </c>
      <c r="B21" s="5" t="s">
        <v>139</v>
      </c>
      <c r="C21" s="5">
        <v>50</v>
      </c>
      <c r="D21" s="5">
        <v>97</v>
      </c>
      <c r="E21" s="5">
        <v>4.16</v>
      </c>
      <c r="F21" s="5">
        <f t="shared" si="0"/>
        <v>249.60000000000002</v>
      </c>
      <c r="G21" s="5">
        <v>4.1900000000000004</v>
      </c>
      <c r="H21" s="5">
        <f t="shared" si="1"/>
        <v>251.40000000000003</v>
      </c>
      <c r="I21" s="10">
        <v>0</v>
      </c>
      <c r="J21" s="10">
        <v>209.04492362231716</v>
      </c>
      <c r="K21" s="10">
        <v>0</v>
      </c>
      <c r="L21" s="5">
        <v>1</v>
      </c>
      <c r="M21" s="5">
        <v>8</v>
      </c>
      <c r="N21" s="5">
        <v>8</v>
      </c>
      <c r="O21" s="5">
        <v>10</v>
      </c>
      <c r="P21" s="5">
        <v>1</v>
      </c>
      <c r="Q21" s="10">
        <f t="shared" si="2"/>
        <v>2090.4492362231717</v>
      </c>
      <c r="R21" s="10">
        <v>0</v>
      </c>
      <c r="S21" s="6" t="s">
        <v>280</v>
      </c>
      <c r="T21" s="6" t="s">
        <v>299</v>
      </c>
      <c r="U21" s="6" t="str">
        <f>_xlfn.XLOOKUP(T21,[1]Detalle_Unidades!F18:F564,[1]Detalle_Unidades!A18:A564)</f>
        <v>TBST</v>
      </c>
    </row>
    <row r="22" spans="1:21" x14ac:dyDescent="0.25">
      <c r="A22" s="6" t="s">
        <v>302</v>
      </c>
      <c r="B22" s="5" t="s">
        <v>139</v>
      </c>
      <c r="C22" s="5">
        <v>82.5</v>
      </c>
      <c r="D22" s="5">
        <v>166</v>
      </c>
      <c r="E22" s="5">
        <v>1.90625</v>
      </c>
      <c r="F22" s="5">
        <f t="shared" si="0"/>
        <v>114.375</v>
      </c>
      <c r="G22" s="5">
        <v>1</v>
      </c>
      <c r="H22" s="5">
        <f t="shared" si="1"/>
        <v>60</v>
      </c>
      <c r="I22" s="10">
        <v>0</v>
      </c>
      <c r="J22" s="10">
        <v>209.04492362231716</v>
      </c>
      <c r="K22" s="10">
        <v>0</v>
      </c>
      <c r="L22" s="5">
        <v>1</v>
      </c>
      <c r="M22" s="5">
        <v>72</v>
      </c>
      <c r="N22" s="5">
        <v>72</v>
      </c>
      <c r="O22" s="5">
        <v>3</v>
      </c>
      <c r="P22" s="5">
        <v>6</v>
      </c>
      <c r="Q22" s="10">
        <f t="shared" si="2"/>
        <v>3762.8086252017088</v>
      </c>
      <c r="R22" s="10">
        <v>0</v>
      </c>
      <c r="S22" s="6" t="s">
        <v>280</v>
      </c>
      <c r="T22" s="6" t="s">
        <v>299</v>
      </c>
      <c r="U22" s="6" t="str">
        <f>_xlfn.XLOOKUP(T22,[1]Detalle_Unidades!F19:F565,[1]Detalle_Unidades!A19:A565)</f>
        <v>TBST</v>
      </c>
    </row>
    <row r="23" spans="1:21" x14ac:dyDescent="0.25">
      <c r="A23" s="6" t="s">
        <v>303</v>
      </c>
      <c r="B23" s="5" t="s">
        <v>139</v>
      </c>
      <c r="C23" s="5">
        <v>50</v>
      </c>
      <c r="D23" s="5">
        <v>97</v>
      </c>
      <c r="E23" s="5">
        <v>4.17</v>
      </c>
      <c r="F23" s="5">
        <f t="shared" si="0"/>
        <v>250.2</v>
      </c>
      <c r="G23" s="5">
        <v>4.26</v>
      </c>
      <c r="H23" s="5">
        <f t="shared" si="1"/>
        <v>255.6</v>
      </c>
      <c r="I23" s="10">
        <v>0</v>
      </c>
      <c r="J23" s="10">
        <v>209.04492362231716</v>
      </c>
      <c r="K23" s="10">
        <v>0</v>
      </c>
      <c r="L23" s="5">
        <v>1</v>
      </c>
      <c r="M23" s="5">
        <v>8</v>
      </c>
      <c r="N23" s="5">
        <v>8</v>
      </c>
      <c r="O23" s="5">
        <v>10</v>
      </c>
      <c r="P23" s="5">
        <v>1</v>
      </c>
      <c r="Q23" s="10">
        <f t="shared" si="2"/>
        <v>2090.4492362231717</v>
      </c>
      <c r="R23" s="10">
        <v>0</v>
      </c>
      <c r="S23" s="6" t="s">
        <v>280</v>
      </c>
      <c r="T23" s="6" t="s">
        <v>299</v>
      </c>
      <c r="U23" s="6" t="str">
        <f>_xlfn.XLOOKUP(T23,[1]Detalle_Unidades!F20:F566,[1]Detalle_Unidades!A20:A566)</f>
        <v>TBST</v>
      </c>
    </row>
    <row r="24" spans="1:21" x14ac:dyDescent="0.25">
      <c r="A24" s="6" t="s">
        <v>304</v>
      </c>
      <c r="B24" s="5" t="s">
        <v>139</v>
      </c>
      <c r="C24" s="5">
        <v>50</v>
      </c>
      <c r="D24" s="5">
        <v>97</v>
      </c>
      <c r="E24" s="9">
        <v>4.32</v>
      </c>
      <c r="F24" s="5">
        <f t="shared" si="0"/>
        <v>259.20000000000005</v>
      </c>
      <c r="G24" s="9">
        <v>4.53</v>
      </c>
      <c r="H24" s="5">
        <f t="shared" si="1"/>
        <v>271.8</v>
      </c>
      <c r="I24" s="10">
        <v>0</v>
      </c>
      <c r="J24" s="10">
        <v>209.04492362231716</v>
      </c>
      <c r="K24" s="10">
        <v>0</v>
      </c>
      <c r="L24" s="5">
        <v>1</v>
      </c>
      <c r="M24" s="5">
        <v>8</v>
      </c>
      <c r="N24" s="5">
        <v>8</v>
      </c>
      <c r="O24" s="9">
        <v>10</v>
      </c>
      <c r="P24" s="9">
        <v>1</v>
      </c>
      <c r="Q24" s="10">
        <f t="shared" si="2"/>
        <v>2090.4492362231717</v>
      </c>
      <c r="R24" s="10">
        <v>0</v>
      </c>
      <c r="S24" s="6" t="s">
        <v>280</v>
      </c>
      <c r="T24" s="6" t="s">
        <v>299</v>
      </c>
      <c r="U24" s="6" t="str">
        <f>_xlfn.XLOOKUP(T24,[1]Detalle_Unidades!F21:F567,[1]Detalle_Unidades!A21:A567)</f>
        <v>TBST</v>
      </c>
    </row>
    <row r="25" spans="1:21" x14ac:dyDescent="0.25">
      <c r="A25" s="6" t="s">
        <v>305</v>
      </c>
      <c r="B25" s="5" t="s">
        <v>139</v>
      </c>
      <c r="C25" s="5">
        <v>82.5</v>
      </c>
      <c r="D25" s="5">
        <v>166</v>
      </c>
      <c r="E25" s="9">
        <v>1.90625</v>
      </c>
      <c r="F25" s="5">
        <f t="shared" si="0"/>
        <v>114.375</v>
      </c>
      <c r="G25" s="9">
        <v>1.01</v>
      </c>
      <c r="H25" s="5">
        <f t="shared" si="1"/>
        <v>60.6</v>
      </c>
      <c r="I25" s="10">
        <v>0</v>
      </c>
      <c r="J25" s="10">
        <v>209.04492362231716</v>
      </c>
      <c r="K25" s="10">
        <v>0</v>
      </c>
      <c r="L25" s="5">
        <v>1</v>
      </c>
      <c r="M25" s="5">
        <v>72</v>
      </c>
      <c r="N25" s="5">
        <v>72</v>
      </c>
      <c r="O25" s="9">
        <v>3</v>
      </c>
      <c r="P25" s="9">
        <v>6</v>
      </c>
      <c r="Q25" s="10">
        <f t="shared" si="2"/>
        <v>3762.8086252017088</v>
      </c>
      <c r="R25" s="10">
        <v>0</v>
      </c>
      <c r="S25" s="6" t="s">
        <v>280</v>
      </c>
      <c r="T25" s="6" t="s">
        <v>299</v>
      </c>
      <c r="U25" s="6" t="str">
        <f>_xlfn.XLOOKUP(T25,[1]Detalle_Unidades!F22:F568,[1]Detalle_Unidades!A22:A568)</f>
        <v>TBST</v>
      </c>
    </row>
    <row r="26" spans="1:21" x14ac:dyDescent="0.25">
      <c r="A26" s="6" t="s">
        <v>306</v>
      </c>
      <c r="B26" s="5" t="s">
        <v>140</v>
      </c>
      <c r="C26" s="5">
        <v>17</v>
      </c>
      <c r="D26" s="5">
        <v>36</v>
      </c>
      <c r="E26" s="9">
        <v>0.68</v>
      </c>
      <c r="F26" s="5">
        <f t="shared" si="0"/>
        <v>40.800000000000004</v>
      </c>
      <c r="G26" s="9">
        <v>0.71</v>
      </c>
      <c r="H26" s="5">
        <f t="shared" si="1"/>
        <v>42.599999999999994</v>
      </c>
      <c r="I26" s="10">
        <v>0</v>
      </c>
      <c r="J26" s="10">
        <v>90.782561195510695</v>
      </c>
      <c r="K26" s="10">
        <v>0</v>
      </c>
      <c r="L26" s="5">
        <v>1</v>
      </c>
      <c r="M26" s="5">
        <v>72</v>
      </c>
      <c r="N26" s="5">
        <v>9</v>
      </c>
      <c r="O26" s="9">
        <v>2</v>
      </c>
      <c r="P26" s="9">
        <v>13</v>
      </c>
      <c r="Q26" s="10">
        <f t="shared" si="2"/>
        <v>2360.3465910832779</v>
      </c>
      <c r="R26" s="10">
        <v>0</v>
      </c>
      <c r="S26" s="6" t="s">
        <v>307</v>
      </c>
      <c r="T26" s="6" t="s">
        <v>306</v>
      </c>
      <c r="U26" s="6" t="str">
        <f>_xlfn.XLOOKUP(T26,[1]Detalle_Unidades!F23:F569,[1]Detalle_Unidades!A23:A569)</f>
        <v>ZPA2</v>
      </c>
    </row>
    <row r="27" spans="1:21" x14ac:dyDescent="0.25">
      <c r="A27" s="6" t="s">
        <v>308</v>
      </c>
      <c r="B27" s="5" t="s">
        <v>140</v>
      </c>
      <c r="C27" s="5">
        <v>25</v>
      </c>
      <c r="D27" s="5">
        <v>63</v>
      </c>
      <c r="E27" s="9">
        <v>0.98</v>
      </c>
      <c r="F27" s="5">
        <f t="shared" si="0"/>
        <v>58.8</v>
      </c>
      <c r="G27" s="9">
        <v>0.91</v>
      </c>
      <c r="H27" s="5">
        <f t="shared" si="1"/>
        <v>54.6</v>
      </c>
      <c r="I27" s="10">
        <v>0</v>
      </c>
      <c r="J27" s="10">
        <v>83.874429013764981</v>
      </c>
      <c r="K27" s="10">
        <v>0</v>
      </c>
      <c r="L27" s="5">
        <v>1</v>
      </c>
      <c r="M27" s="5">
        <v>72</v>
      </c>
      <c r="N27" s="5">
        <v>9</v>
      </c>
      <c r="O27" s="9">
        <v>2</v>
      </c>
      <c r="P27" s="9">
        <v>13</v>
      </c>
      <c r="Q27" s="10">
        <f t="shared" si="2"/>
        <v>2180.7351543578893</v>
      </c>
      <c r="R27" s="10">
        <v>0</v>
      </c>
      <c r="S27" s="6" t="s">
        <v>307</v>
      </c>
      <c r="T27" s="6" t="s">
        <v>308</v>
      </c>
      <c r="U27" s="6" t="str">
        <f>_xlfn.XLOOKUP(T27,[1]Detalle_Unidades!F24:F570,[1]Detalle_Unidades!A24:A570)</f>
        <v>ZPA3</v>
      </c>
    </row>
    <row r="28" spans="1:21" x14ac:dyDescent="0.25">
      <c r="A28" s="6" t="s">
        <v>309</v>
      </c>
      <c r="B28" s="5" t="s">
        <v>140</v>
      </c>
      <c r="C28" s="5">
        <v>25</v>
      </c>
      <c r="D28" s="5">
        <v>64</v>
      </c>
      <c r="E28" s="9">
        <v>0.93</v>
      </c>
      <c r="F28" s="5">
        <f t="shared" si="0"/>
        <v>55.800000000000004</v>
      </c>
      <c r="G28" s="9">
        <v>0.93</v>
      </c>
      <c r="H28" s="5">
        <f t="shared" si="1"/>
        <v>55.800000000000004</v>
      </c>
      <c r="I28" s="10">
        <v>0</v>
      </c>
      <c r="J28" s="10">
        <v>87.057459539755129</v>
      </c>
      <c r="K28" s="10">
        <v>0</v>
      </c>
      <c r="L28" s="5">
        <v>1</v>
      </c>
      <c r="M28" s="5">
        <v>72</v>
      </c>
      <c r="N28" s="5">
        <v>9</v>
      </c>
      <c r="O28" s="9">
        <v>2</v>
      </c>
      <c r="P28" s="9">
        <v>13</v>
      </c>
      <c r="Q28" s="10">
        <f t="shared" si="2"/>
        <v>2263.4939480336334</v>
      </c>
      <c r="R28" s="10">
        <v>0</v>
      </c>
      <c r="S28" s="6" t="s">
        <v>307</v>
      </c>
      <c r="T28" s="6" t="s">
        <v>309</v>
      </c>
      <c r="U28" s="6" t="str">
        <f>_xlfn.XLOOKUP(T28,[1]Detalle_Unidades!F25:F571,[1]Detalle_Unidades!A25:A571)</f>
        <v>ZPA4</v>
      </c>
    </row>
    <row r="29" spans="1:21" x14ac:dyDescent="0.25">
      <c r="A29" s="6" t="s">
        <v>310</v>
      </c>
      <c r="B29" s="5" t="s">
        <v>140</v>
      </c>
      <c r="C29" s="5">
        <v>25</v>
      </c>
      <c r="D29" s="5">
        <v>63</v>
      </c>
      <c r="E29" s="9">
        <v>0.95</v>
      </c>
      <c r="F29" s="5">
        <f t="shared" si="0"/>
        <v>57</v>
      </c>
      <c r="G29" s="9">
        <v>0.94</v>
      </c>
      <c r="H29" s="5">
        <f t="shared" si="1"/>
        <v>56.4</v>
      </c>
      <c r="I29" s="10">
        <v>0</v>
      </c>
      <c r="J29" s="10">
        <v>81.96728621634351</v>
      </c>
      <c r="K29" s="10">
        <v>0</v>
      </c>
      <c r="L29" s="5">
        <v>0</v>
      </c>
      <c r="M29" s="5">
        <v>72</v>
      </c>
      <c r="N29" s="5">
        <v>9</v>
      </c>
      <c r="O29" s="9">
        <v>2</v>
      </c>
      <c r="P29" s="9">
        <v>13</v>
      </c>
      <c r="Q29" s="10">
        <f t="shared" si="2"/>
        <v>2131.1494416249311</v>
      </c>
      <c r="R29" s="10">
        <v>0</v>
      </c>
      <c r="S29" s="6" t="s">
        <v>307</v>
      </c>
      <c r="T29" s="6" t="s">
        <v>310</v>
      </c>
      <c r="U29" s="6" t="str">
        <f>_xlfn.XLOOKUP(T29,[1]Detalle_Unidades!F26:F572,[1]Detalle_Unidades!A26:A572)</f>
        <v>ZPA5</v>
      </c>
    </row>
    <row r="30" spans="1:21" x14ac:dyDescent="0.25">
      <c r="A30" s="6" t="s">
        <v>311</v>
      </c>
      <c r="B30" s="5" t="s">
        <v>141</v>
      </c>
      <c r="C30" s="5">
        <v>30</v>
      </c>
      <c r="D30" s="5">
        <v>52</v>
      </c>
      <c r="E30" s="9">
        <v>0.73</v>
      </c>
      <c r="F30" s="5">
        <f t="shared" si="0"/>
        <v>43.8</v>
      </c>
      <c r="G30" s="9">
        <v>0.73</v>
      </c>
      <c r="H30" s="5">
        <f t="shared" si="1"/>
        <v>43.8</v>
      </c>
      <c r="I30" s="10">
        <v>0</v>
      </c>
      <c r="J30" s="10">
        <v>390.1415516333202</v>
      </c>
      <c r="K30" s="10">
        <v>0</v>
      </c>
      <c r="L30" s="5">
        <v>0</v>
      </c>
      <c r="M30" s="5">
        <v>48</v>
      </c>
      <c r="N30" s="5">
        <v>18</v>
      </c>
      <c r="O30" s="9">
        <v>5</v>
      </c>
      <c r="P30" s="9">
        <v>16</v>
      </c>
      <c r="Q30" s="10">
        <f t="shared" si="2"/>
        <v>31211.324130665616</v>
      </c>
      <c r="R30" s="10">
        <v>0</v>
      </c>
      <c r="S30" s="6" t="s">
        <v>312</v>
      </c>
      <c r="T30" s="6" t="s">
        <v>311</v>
      </c>
      <c r="U30" s="6" t="str">
        <f>_xlfn.XLOOKUP(T30,[1]Detalle_Unidades!F27:F573,[1]Detalle_Unidades!A27:A573)</f>
        <v>CTG1</v>
      </c>
    </row>
    <row r="31" spans="1:21" x14ac:dyDescent="0.25">
      <c r="A31" s="6" t="s">
        <v>313</v>
      </c>
      <c r="B31" s="5" t="s">
        <v>141</v>
      </c>
      <c r="C31" s="5">
        <v>30</v>
      </c>
      <c r="D31" s="5">
        <v>60</v>
      </c>
      <c r="E31" s="9">
        <v>0.75</v>
      </c>
      <c r="F31" s="5">
        <f t="shared" si="0"/>
        <v>45</v>
      </c>
      <c r="G31" s="9">
        <v>0.75</v>
      </c>
      <c r="H31" s="5">
        <f t="shared" si="1"/>
        <v>45</v>
      </c>
      <c r="I31" s="10">
        <v>0</v>
      </c>
      <c r="J31" s="10">
        <v>389.67974604873342</v>
      </c>
      <c r="K31" s="10">
        <v>0</v>
      </c>
      <c r="L31" s="5">
        <v>0</v>
      </c>
      <c r="M31" s="5">
        <v>72</v>
      </c>
      <c r="N31" s="5">
        <v>16</v>
      </c>
      <c r="O31" s="9">
        <v>5</v>
      </c>
      <c r="P31" s="9">
        <v>16</v>
      </c>
      <c r="Q31" s="10">
        <f t="shared" si="2"/>
        <v>31174.379683898675</v>
      </c>
      <c r="R31" s="10">
        <v>0</v>
      </c>
      <c r="S31" s="6" t="s">
        <v>280</v>
      </c>
      <c r="T31" s="6" t="s">
        <v>313</v>
      </c>
      <c r="U31" s="6" t="str">
        <f>_xlfn.XLOOKUP(T31,[1]Detalle_Unidades!F28:F574,[1]Detalle_Unidades!A28:A574)</f>
        <v>CTG2</v>
      </c>
    </row>
    <row r="32" spans="1:21" x14ac:dyDescent="0.25">
      <c r="A32" s="6" t="s">
        <v>314</v>
      </c>
      <c r="B32" s="5" t="s">
        <v>141</v>
      </c>
      <c r="C32" s="5">
        <v>30</v>
      </c>
      <c r="D32" s="5">
        <v>66</v>
      </c>
      <c r="E32" s="5">
        <v>0</v>
      </c>
      <c r="F32" s="5">
        <f t="shared" si="0"/>
        <v>0</v>
      </c>
      <c r="G32" s="5">
        <v>0</v>
      </c>
      <c r="H32" s="5">
        <f t="shared" si="1"/>
        <v>0</v>
      </c>
      <c r="I32" s="10">
        <v>0</v>
      </c>
      <c r="J32" s="10">
        <v>407.835923848064</v>
      </c>
      <c r="K32" s="10">
        <v>0</v>
      </c>
      <c r="L32" s="5">
        <v>0</v>
      </c>
      <c r="M32" s="5">
        <v>72</v>
      </c>
      <c r="N32" s="5">
        <v>16</v>
      </c>
      <c r="O32" s="9">
        <v>5</v>
      </c>
      <c r="P32" s="9">
        <v>16</v>
      </c>
      <c r="Q32" s="10">
        <f t="shared" si="2"/>
        <v>32626.873907845118</v>
      </c>
      <c r="R32" s="10">
        <v>0</v>
      </c>
      <c r="S32" s="6" t="s">
        <v>280</v>
      </c>
      <c r="T32" s="6" t="s">
        <v>314</v>
      </c>
      <c r="U32" s="6" t="str">
        <f>_xlfn.XLOOKUP(T32,[1]Detalle_Unidades!F29:F575,[1]Detalle_Unidades!A29:A575)</f>
        <v>CTG3</v>
      </c>
    </row>
    <row r="33" spans="1:21" x14ac:dyDescent="0.25">
      <c r="A33" s="6" t="s">
        <v>315</v>
      </c>
      <c r="B33" s="5" t="s">
        <v>141</v>
      </c>
      <c r="C33" s="5">
        <v>42</v>
      </c>
      <c r="D33" s="5">
        <v>45</v>
      </c>
      <c r="E33" s="9">
        <v>2.86</v>
      </c>
      <c r="F33" s="5">
        <f t="shared" si="0"/>
        <v>171.6</v>
      </c>
      <c r="G33" s="9">
        <v>2.69</v>
      </c>
      <c r="H33" s="5">
        <f t="shared" si="1"/>
        <v>161.4</v>
      </c>
      <c r="I33" s="10">
        <v>0</v>
      </c>
      <c r="J33" s="10">
        <v>251.26125598856214</v>
      </c>
      <c r="K33" s="10">
        <v>0</v>
      </c>
      <c r="L33" s="5">
        <v>0</v>
      </c>
      <c r="M33" s="5">
        <v>4</v>
      </c>
      <c r="N33" s="5">
        <v>4</v>
      </c>
      <c r="O33" s="9">
        <v>5</v>
      </c>
      <c r="P33" s="9">
        <v>1</v>
      </c>
      <c r="Q33" s="10">
        <f t="shared" si="2"/>
        <v>1256.3062799428108</v>
      </c>
      <c r="R33" s="10">
        <v>0</v>
      </c>
      <c r="S33" s="6" t="s">
        <v>280</v>
      </c>
      <c r="T33" s="6" t="s">
        <v>315</v>
      </c>
      <c r="U33" s="6" t="str">
        <f>_xlfn.XLOOKUP(T33,[1]Detalle_Unidades!F30:F576,[1]Detalle_Unidades!A30:A576)</f>
        <v>PRG1</v>
      </c>
    </row>
    <row r="34" spans="1:21" x14ac:dyDescent="0.25">
      <c r="A34" s="6" t="s">
        <v>316</v>
      </c>
      <c r="B34" s="5" t="s">
        <v>141</v>
      </c>
      <c r="C34" s="5">
        <v>42</v>
      </c>
      <c r="D34" s="5">
        <v>45</v>
      </c>
      <c r="E34" s="9">
        <v>2.89</v>
      </c>
      <c r="F34" s="5">
        <f t="shared" si="0"/>
        <v>173.4</v>
      </c>
      <c r="G34" s="9">
        <v>3.26</v>
      </c>
      <c r="H34" s="5">
        <f t="shared" si="1"/>
        <v>195.6</v>
      </c>
      <c r="I34" s="10">
        <v>0</v>
      </c>
      <c r="J34" s="10">
        <v>251.26125598856214</v>
      </c>
      <c r="K34" s="10">
        <v>0</v>
      </c>
      <c r="L34" s="5">
        <v>0</v>
      </c>
      <c r="M34" s="5">
        <v>4</v>
      </c>
      <c r="N34" s="5">
        <v>4</v>
      </c>
      <c r="O34" s="9">
        <v>5</v>
      </c>
      <c r="P34" s="9">
        <v>1</v>
      </c>
      <c r="Q34" s="10">
        <f t="shared" si="2"/>
        <v>1256.3062799428108</v>
      </c>
      <c r="R34" s="10">
        <v>0</v>
      </c>
      <c r="S34" s="6" t="s">
        <v>280</v>
      </c>
      <c r="T34" s="6" t="s">
        <v>316</v>
      </c>
      <c r="U34" s="6" t="str">
        <f>_xlfn.XLOOKUP(T34,[1]Detalle_Unidades!F31:F577,[1]Detalle_Unidades!A31:A577)</f>
        <v>PRG2</v>
      </c>
    </row>
    <row r="35" spans="1:21" x14ac:dyDescent="0.25">
      <c r="A35" s="6" t="s">
        <v>317</v>
      </c>
      <c r="B35" s="5" t="s">
        <v>141</v>
      </c>
      <c r="C35" s="5">
        <v>125</v>
      </c>
      <c r="D35" s="5">
        <v>179</v>
      </c>
      <c r="E35" s="9">
        <v>5</v>
      </c>
      <c r="F35" s="5">
        <f t="shared" si="0"/>
        <v>300</v>
      </c>
      <c r="G35" s="9">
        <v>5.0999999999999996</v>
      </c>
      <c r="H35" s="5">
        <f t="shared" si="1"/>
        <v>306</v>
      </c>
      <c r="I35" s="10">
        <v>0</v>
      </c>
      <c r="J35" s="10">
        <v>183.3465715742916</v>
      </c>
      <c r="K35" s="10">
        <v>0</v>
      </c>
      <c r="L35" s="5">
        <v>1</v>
      </c>
      <c r="M35" s="5">
        <v>36</v>
      </c>
      <c r="N35" s="5">
        <v>15</v>
      </c>
      <c r="O35" s="9">
        <v>5</v>
      </c>
      <c r="P35" s="9">
        <v>3</v>
      </c>
      <c r="Q35" s="10">
        <f t="shared" si="2"/>
        <v>2750.1985736143743</v>
      </c>
      <c r="R35" s="10">
        <v>0</v>
      </c>
      <c r="S35" s="6" t="s">
        <v>280</v>
      </c>
      <c r="T35" s="6" t="s">
        <v>318</v>
      </c>
      <c r="U35" s="6" t="str">
        <f>_xlfn.XLOOKUP(T35,[1]Detalle_Unidades!F32:F578,[1]Detalle_Unidades!A32:A578)</f>
        <v>TCDT</v>
      </c>
    </row>
    <row r="36" spans="1:21" x14ac:dyDescent="0.25">
      <c r="A36" s="6" t="s">
        <v>319</v>
      </c>
      <c r="B36" s="5" t="s">
        <v>141</v>
      </c>
      <c r="C36" s="5">
        <v>125</v>
      </c>
      <c r="D36" s="5">
        <v>179</v>
      </c>
      <c r="E36" s="9">
        <v>5</v>
      </c>
      <c r="F36" s="5">
        <f t="shared" si="0"/>
        <v>300</v>
      </c>
      <c r="G36" s="9">
        <v>5.0999999999999996</v>
      </c>
      <c r="H36" s="5">
        <f t="shared" si="1"/>
        <v>306</v>
      </c>
      <c r="I36" s="10">
        <v>0</v>
      </c>
      <c r="J36" s="10">
        <v>183.3465715742916</v>
      </c>
      <c r="K36" s="10">
        <v>0</v>
      </c>
      <c r="L36" s="5">
        <v>1</v>
      </c>
      <c r="M36" s="5">
        <v>36</v>
      </c>
      <c r="N36" s="5">
        <v>15</v>
      </c>
      <c r="O36" s="9">
        <v>5</v>
      </c>
      <c r="P36" s="9">
        <v>3</v>
      </c>
      <c r="Q36" s="10">
        <f t="shared" si="2"/>
        <v>2750.1985736143743</v>
      </c>
      <c r="R36" s="10">
        <v>0</v>
      </c>
      <c r="S36" s="6" t="s">
        <v>280</v>
      </c>
      <c r="T36" s="6" t="s">
        <v>318</v>
      </c>
      <c r="U36" s="6" t="str">
        <f>_xlfn.XLOOKUP(T36,[1]Detalle_Unidades!F33:F579,[1]Detalle_Unidades!A33:A579)</f>
        <v>TCDT</v>
      </c>
    </row>
    <row r="37" spans="1:21" x14ac:dyDescent="0.25">
      <c r="A37" s="6" t="s">
        <v>320</v>
      </c>
      <c r="B37" s="5" t="s">
        <v>141</v>
      </c>
      <c r="C37" s="5">
        <v>51</v>
      </c>
      <c r="D37" s="5">
        <v>197</v>
      </c>
      <c r="E37" s="9">
        <v>2.5</v>
      </c>
      <c r="F37" s="5">
        <f t="shared" si="0"/>
        <v>150</v>
      </c>
      <c r="G37" s="9">
        <v>7.7</v>
      </c>
      <c r="H37" s="5">
        <f t="shared" si="1"/>
        <v>462</v>
      </c>
      <c r="I37" s="10">
        <v>0</v>
      </c>
      <c r="J37" s="10">
        <v>183.3465715742916</v>
      </c>
      <c r="K37" s="10">
        <v>0</v>
      </c>
      <c r="L37" s="5">
        <v>1</v>
      </c>
      <c r="M37" s="5">
        <v>36</v>
      </c>
      <c r="N37" s="5">
        <v>15</v>
      </c>
      <c r="O37" s="9">
        <v>11.3</v>
      </c>
      <c r="P37" s="9">
        <v>3</v>
      </c>
      <c r="Q37" s="10">
        <f t="shared" si="2"/>
        <v>6215.4487763684865</v>
      </c>
      <c r="R37" s="10">
        <v>0</v>
      </c>
      <c r="S37" s="6" t="s">
        <v>280</v>
      </c>
      <c r="T37" s="6" t="s">
        <v>318</v>
      </c>
      <c r="U37" s="6" t="str">
        <f>_xlfn.XLOOKUP(T37,[1]Detalle_Unidades!F34:F580,[1]Detalle_Unidades!A34:A580)</f>
        <v>TCDT</v>
      </c>
    </row>
    <row r="38" spans="1:21" x14ac:dyDescent="0.25">
      <c r="A38" s="6" t="s">
        <v>321</v>
      </c>
      <c r="B38" s="5" t="s">
        <v>141</v>
      </c>
      <c r="C38" s="5">
        <v>38</v>
      </c>
      <c r="D38" s="5">
        <v>50</v>
      </c>
      <c r="E38" s="9">
        <v>3.07</v>
      </c>
      <c r="F38" s="5">
        <f t="shared" si="0"/>
        <v>184.2</v>
      </c>
      <c r="G38" s="9">
        <v>3.08</v>
      </c>
      <c r="H38" s="5">
        <f t="shared" si="1"/>
        <v>184.8</v>
      </c>
      <c r="I38" s="10">
        <v>0</v>
      </c>
      <c r="J38" s="10">
        <v>245.25583249026639</v>
      </c>
      <c r="K38" s="10">
        <v>0</v>
      </c>
      <c r="L38" s="5">
        <v>0</v>
      </c>
      <c r="M38" s="5">
        <v>4</v>
      </c>
      <c r="N38" s="5">
        <v>1</v>
      </c>
      <c r="O38" s="9">
        <v>5</v>
      </c>
      <c r="P38" s="9">
        <v>2</v>
      </c>
      <c r="Q38" s="10">
        <f t="shared" si="2"/>
        <v>2452.558324902664</v>
      </c>
      <c r="R38" s="10">
        <v>0</v>
      </c>
      <c r="S38" s="6" t="s">
        <v>322</v>
      </c>
      <c r="T38" s="6" t="s">
        <v>323</v>
      </c>
      <c r="U38" s="6" t="str">
        <f>_xlfn.XLOOKUP(T38,[1]Detalle_Unidades!F35:F581,[1]Detalle_Unidades!A35:A581)</f>
        <v>TCBE</v>
      </c>
    </row>
    <row r="39" spans="1:21" x14ac:dyDescent="0.25">
      <c r="A39" s="6" t="s">
        <v>324</v>
      </c>
      <c r="B39" s="5" t="s">
        <v>142</v>
      </c>
      <c r="C39" s="5">
        <v>18</v>
      </c>
      <c r="D39" s="5">
        <v>36</v>
      </c>
      <c r="E39" s="9">
        <v>0.25</v>
      </c>
      <c r="F39" s="5">
        <f t="shared" si="0"/>
        <v>15</v>
      </c>
      <c r="G39" s="9">
        <v>0.48</v>
      </c>
      <c r="H39" s="5">
        <f t="shared" si="1"/>
        <v>28.799999999999997</v>
      </c>
      <c r="I39" s="10">
        <v>0</v>
      </c>
      <c r="J39" s="10">
        <v>79.841921467967637</v>
      </c>
      <c r="K39" s="10">
        <v>0</v>
      </c>
      <c r="L39" s="5">
        <v>1</v>
      </c>
      <c r="M39" s="5">
        <v>24</v>
      </c>
      <c r="N39" s="5">
        <v>18</v>
      </c>
      <c r="O39" s="9">
        <v>3</v>
      </c>
      <c r="P39" s="9">
        <v>10</v>
      </c>
      <c r="Q39" s="10">
        <f t="shared" si="2"/>
        <v>2395.2576440390289</v>
      </c>
      <c r="R39" s="10">
        <v>0</v>
      </c>
      <c r="S39" s="6" t="s">
        <v>307</v>
      </c>
      <c r="T39" s="6" t="s">
        <v>324</v>
      </c>
      <c r="U39" s="6" t="str">
        <f>_xlfn.XLOOKUP(T39,[1]Detalle_Unidades!F36:F582,[1]Detalle_Unidades!A36:A582)</f>
        <v>PPA1</v>
      </c>
    </row>
    <row r="40" spans="1:21" x14ac:dyDescent="0.25">
      <c r="A40" s="6" t="s">
        <v>325</v>
      </c>
      <c r="B40" s="5" t="s">
        <v>142</v>
      </c>
      <c r="C40" s="5">
        <v>35</v>
      </c>
      <c r="D40" s="5">
        <v>72</v>
      </c>
      <c r="E40" s="9">
        <v>0.49</v>
      </c>
      <c r="F40" s="5">
        <f t="shared" si="0"/>
        <v>29.4</v>
      </c>
      <c r="G40" s="9">
        <v>0.97</v>
      </c>
      <c r="H40" s="5">
        <f t="shared" si="1"/>
        <v>58.199999999999996</v>
      </c>
      <c r="I40" s="10">
        <v>0</v>
      </c>
      <c r="J40" s="10">
        <v>73.231719382735662</v>
      </c>
      <c r="K40" s="10">
        <v>0</v>
      </c>
      <c r="L40" s="5">
        <v>1</v>
      </c>
      <c r="M40" s="5">
        <v>24</v>
      </c>
      <c r="N40" s="5">
        <v>18</v>
      </c>
      <c r="O40" s="9">
        <v>4</v>
      </c>
      <c r="P40" s="9">
        <v>10</v>
      </c>
      <c r="Q40" s="10">
        <f t="shared" si="2"/>
        <v>2929.2687753094265</v>
      </c>
      <c r="R40" s="10">
        <v>0</v>
      </c>
      <c r="S40" s="6" t="s">
        <v>307</v>
      </c>
      <c r="T40" s="6" t="s">
        <v>325</v>
      </c>
      <c r="U40" s="6" t="str">
        <f>_xlfn.XLOOKUP(T40,[1]Detalle_Unidades!F37:F583,[1]Detalle_Unidades!A37:A583)</f>
        <v>PPA2</v>
      </c>
    </row>
    <row r="41" spans="1:21" x14ac:dyDescent="0.25">
      <c r="A41" s="6" t="s">
        <v>326</v>
      </c>
      <c r="B41" s="5" t="s">
        <v>142</v>
      </c>
      <c r="C41" s="5">
        <v>35</v>
      </c>
      <c r="D41" s="5">
        <v>70</v>
      </c>
      <c r="E41" s="9">
        <v>0.49</v>
      </c>
      <c r="F41" s="5">
        <f t="shared" si="0"/>
        <v>29.4</v>
      </c>
      <c r="G41" s="9">
        <v>0.97</v>
      </c>
      <c r="H41" s="5">
        <f t="shared" si="1"/>
        <v>58.199999999999996</v>
      </c>
      <c r="I41" s="10">
        <v>0</v>
      </c>
      <c r="J41" s="10">
        <v>76.331697365450694</v>
      </c>
      <c r="K41" s="10">
        <v>0</v>
      </c>
      <c r="L41" s="5">
        <v>1</v>
      </c>
      <c r="M41" s="5">
        <v>24</v>
      </c>
      <c r="N41" s="5">
        <v>18</v>
      </c>
      <c r="O41" s="9">
        <v>4</v>
      </c>
      <c r="P41" s="9">
        <v>10</v>
      </c>
      <c r="Q41" s="10">
        <f t="shared" si="2"/>
        <v>3053.2678946180276</v>
      </c>
      <c r="R41" s="10">
        <v>0</v>
      </c>
      <c r="S41" s="6" t="s">
        <v>307</v>
      </c>
      <c r="T41" s="6" t="s">
        <v>326</v>
      </c>
      <c r="U41" s="6" t="str">
        <f>_xlfn.XLOOKUP(T41,[1]Detalle_Unidades!F38:F584,[1]Detalle_Unidades!A38:A584)</f>
        <v>PPA3</v>
      </c>
    </row>
    <row r="42" spans="1:21" x14ac:dyDescent="0.25">
      <c r="A42" s="6" t="s">
        <v>327</v>
      </c>
      <c r="B42" s="5" t="s">
        <v>142</v>
      </c>
      <c r="C42" s="5">
        <v>60</v>
      </c>
      <c r="D42" s="5">
        <v>165</v>
      </c>
      <c r="E42" s="9">
        <v>0.5</v>
      </c>
      <c r="F42" s="5">
        <f t="shared" si="0"/>
        <v>30</v>
      </c>
      <c r="G42" s="9">
        <v>0.7</v>
      </c>
      <c r="H42" s="5">
        <f t="shared" si="1"/>
        <v>42</v>
      </c>
      <c r="I42" s="10">
        <v>0</v>
      </c>
      <c r="J42" s="10">
        <v>66.597827813683594</v>
      </c>
      <c r="K42" s="10">
        <v>0</v>
      </c>
      <c r="L42" s="5">
        <v>1</v>
      </c>
      <c r="M42" s="5">
        <v>24</v>
      </c>
      <c r="N42" s="5">
        <v>1</v>
      </c>
      <c r="O42" s="9">
        <v>8</v>
      </c>
      <c r="P42" s="9">
        <v>9</v>
      </c>
      <c r="Q42" s="10">
        <f t="shared" si="2"/>
        <v>4795.0436025852187</v>
      </c>
      <c r="R42" s="10">
        <v>0</v>
      </c>
      <c r="S42" s="6" t="s">
        <v>307</v>
      </c>
      <c r="T42" s="6" t="s">
        <v>327</v>
      </c>
      <c r="U42" s="6" t="str">
        <f>_xlfn.XLOOKUP(T42,[1]Detalle_Unidades!F39:F585,[1]Detalle_Unidades!A39:A585)</f>
        <v>PPA4</v>
      </c>
    </row>
    <row r="43" spans="1:21" x14ac:dyDescent="0.25">
      <c r="A43" s="6" t="s">
        <v>328</v>
      </c>
      <c r="B43" s="5" t="s">
        <v>142</v>
      </c>
      <c r="C43" s="5">
        <v>6</v>
      </c>
      <c r="D43" s="5">
        <v>8</v>
      </c>
      <c r="E43" s="9">
        <v>5</v>
      </c>
      <c r="F43" s="5">
        <f t="shared" si="0"/>
        <v>300</v>
      </c>
      <c r="G43" s="9">
        <v>5</v>
      </c>
      <c r="H43" s="5">
        <f t="shared" si="1"/>
        <v>300</v>
      </c>
      <c r="I43" s="10">
        <v>0</v>
      </c>
      <c r="J43" s="10">
        <v>23.438653991399324</v>
      </c>
      <c r="K43" s="10">
        <v>0</v>
      </c>
      <c r="L43" s="5">
        <v>1</v>
      </c>
      <c r="M43" s="5">
        <v>12</v>
      </c>
      <c r="N43" s="5">
        <v>2</v>
      </c>
      <c r="O43" s="9">
        <v>3</v>
      </c>
      <c r="P43" s="9">
        <v>0</v>
      </c>
      <c r="Q43" s="10">
        <f t="shared" si="2"/>
        <v>0</v>
      </c>
      <c r="R43" s="10">
        <v>0</v>
      </c>
      <c r="S43" s="6" t="s">
        <v>280</v>
      </c>
      <c r="T43" s="6" t="s">
        <v>328</v>
      </c>
      <c r="U43" s="6" t="str">
        <f>_xlfn.XLOOKUP(T43,[1]Detalle_Unidades!F40:F586,[1]Detalle_Unidades!A40:A586)</f>
        <v>TYP1</v>
      </c>
    </row>
    <row r="44" spans="1:21" x14ac:dyDescent="0.25">
      <c r="A44" s="6" t="s">
        <v>329</v>
      </c>
      <c r="B44" s="5" t="s">
        <v>142</v>
      </c>
      <c r="C44" s="5">
        <v>22</v>
      </c>
      <c r="D44" s="5">
        <v>28</v>
      </c>
      <c r="E44" s="9">
        <v>7.5</v>
      </c>
      <c r="F44" s="5">
        <f t="shared" si="0"/>
        <v>450</v>
      </c>
      <c r="G44" s="9">
        <v>7.5</v>
      </c>
      <c r="H44" s="5">
        <f t="shared" si="1"/>
        <v>450</v>
      </c>
      <c r="I44" s="10">
        <v>0</v>
      </c>
      <c r="J44" s="10">
        <v>23.438659565395518</v>
      </c>
      <c r="K44" s="10">
        <v>0</v>
      </c>
      <c r="L44" s="5">
        <v>1</v>
      </c>
      <c r="M44" s="5">
        <v>12</v>
      </c>
      <c r="N44" s="5">
        <v>2</v>
      </c>
      <c r="O44" s="9">
        <v>2.8</v>
      </c>
      <c r="P44" s="9">
        <v>0</v>
      </c>
      <c r="Q44" s="10">
        <f t="shared" si="2"/>
        <v>0</v>
      </c>
      <c r="R44" s="10">
        <v>0</v>
      </c>
      <c r="S44" s="6" t="s">
        <v>280</v>
      </c>
      <c r="T44" s="6" t="s">
        <v>329</v>
      </c>
      <c r="U44" s="6" t="str">
        <f>_xlfn.XLOOKUP(T44,[1]Detalle_Unidades!F41:F587,[1]Detalle_Unidades!A41:A587)</f>
        <v>TYP2</v>
      </c>
    </row>
    <row r="45" spans="1:21" x14ac:dyDescent="0.25">
      <c r="A45" s="6" t="s">
        <v>330</v>
      </c>
      <c r="B45" s="5" t="s">
        <v>142</v>
      </c>
      <c r="C45" s="5">
        <v>30</v>
      </c>
      <c r="D45" s="5">
        <v>50</v>
      </c>
      <c r="E45" s="9">
        <v>11.82</v>
      </c>
      <c r="F45" s="5">
        <f t="shared" si="0"/>
        <v>709.2</v>
      </c>
      <c r="G45" s="9">
        <v>11.85</v>
      </c>
      <c r="H45" s="5">
        <f t="shared" si="1"/>
        <v>711</v>
      </c>
      <c r="I45" s="10">
        <v>0</v>
      </c>
      <c r="J45" s="10">
        <v>23.438656778397419</v>
      </c>
      <c r="K45" s="10">
        <v>0</v>
      </c>
      <c r="L45" s="5">
        <v>0</v>
      </c>
      <c r="M45" s="5">
        <v>12</v>
      </c>
      <c r="N45" s="5">
        <v>2</v>
      </c>
      <c r="O45" s="9">
        <v>2</v>
      </c>
      <c r="P45" s="9">
        <v>0</v>
      </c>
      <c r="Q45" s="10">
        <f t="shared" si="2"/>
        <v>0</v>
      </c>
      <c r="R45" s="10">
        <v>0</v>
      </c>
      <c r="S45" s="6" t="s">
        <v>280</v>
      </c>
      <c r="T45" s="6" t="s">
        <v>330</v>
      </c>
      <c r="U45" s="6" t="str">
        <f>_xlfn.XLOOKUP(T45,[1]Detalle_Unidades!F42:F588,[1]Detalle_Unidades!A42:A588)</f>
        <v>TYP3</v>
      </c>
    </row>
    <row r="46" spans="1:21" x14ac:dyDescent="0.25">
      <c r="A46" s="6" t="s">
        <v>331</v>
      </c>
      <c r="B46" s="5" t="s">
        <v>142</v>
      </c>
      <c r="C46" s="5">
        <v>30</v>
      </c>
      <c r="D46" s="5">
        <v>50</v>
      </c>
      <c r="E46" s="9">
        <v>10.130000000000001</v>
      </c>
      <c r="F46" s="5">
        <f t="shared" si="0"/>
        <v>607.80000000000007</v>
      </c>
      <c r="G46" s="9">
        <v>10.42</v>
      </c>
      <c r="H46" s="5">
        <f t="shared" si="1"/>
        <v>625.20000000000005</v>
      </c>
      <c r="I46" s="10">
        <v>0</v>
      </c>
      <c r="J46" s="10">
        <v>23.438665139391713</v>
      </c>
      <c r="K46" s="10">
        <v>0</v>
      </c>
      <c r="L46" s="5">
        <v>0</v>
      </c>
      <c r="M46" s="5">
        <v>12</v>
      </c>
      <c r="N46" s="5">
        <v>2</v>
      </c>
      <c r="O46" s="9">
        <v>2</v>
      </c>
      <c r="P46" s="9">
        <v>0</v>
      </c>
      <c r="Q46" s="10">
        <f t="shared" si="2"/>
        <v>0</v>
      </c>
      <c r="R46" s="10">
        <v>0</v>
      </c>
      <c r="S46" s="6" t="s">
        <v>280</v>
      </c>
      <c r="T46" s="6" t="s">
        <v>331</v>
      </c>
      <c r="U46" s="6" t="str">
        <f>_xlfn.XLOOKUP(T46,[1]Detalle_Unidades!F43:F589,[1]Detalle_Unidades!A43:A589)</f>
        <v>TYP4</v>
      </c>
    </row>
    <row r="47" spans="1:21" x14ac:dyDescent="0.25">
      <c r="A47" s="6" t="s">
        <v>332</v>
      </c>
      <c r="B47" s="5" t="s">
        <v>142</v>
      </c>
      <c r="C47" s="5">
        <v>30</v>
      </c>
      <c r="D47" s="5">
        <v>50</v>
      </c>
      <c r="E47" s="9">
        <v>8.34</v>
      </c>
      <c r="F47" s="5">
        <f t="shared" si="0"/>
        <v>500.4</v>
      </c>
      <c r="G47" s="9">
        <v>8.34</v>
      </c>
      <c r="H47" s="5">
        <f t="shared" si="1"/>
        <v>500.4</v>
      </c>
      <c r="I47" s="10">
        <v>0</v>
      </c>
      <c r="J47" s="10">
        <v>23.438662352393614</v>
      </c>
      <c r="K47" s="10">
        <v>0</v>
      </c>
      <c r="L47" s="5">
        <v>0</v>
      </c>
      <c r="M47" s="5">
        <v>12</v>
      </c>
      <c r="N47" s="5">
        <v>2</v>
      </c>
      <c r="O47" s="9">
        <v>2</v>
      </c>
      <c r="P47" s="9">
        <v>0</v>
      </c>
      <c r="Q47" s="10">
        <f t="shared" si="2"/>
        <v>0</v>
      </c>
      <c r="R47" s="10">
        <v>0</v>
      </c>
      <c r="S47" s="6" t="s">
        <v>280</v>
      </c>
      <c r="T47" s="6" t="s">
        <v>332</v>
      </c>
      <c r="U47" s="6" t="str">
        <f>_xlfn.XLOOKUP(T47,[1]Detalle_Unidades!F44:F590,[1]Detalle_Unidades!A44:A590)</f>
        <v>TYP5</v>
      </c>
    </row>
    <row r="48" spans="1:21" x14ac:dyDescent="0.25">
      <c r="A48" s="6" t="s">
        <v>333</v>
      </c>
      <c r="B48" s="5" t="s">
        <v>142</v>
      </c>
      <c r="C48" s="5">
        <v>17</v>
      </c>
      <c r="D48" s="5">
        <v>25</v>
      </c>
      <c r="E48" s="9">
        <v>0.22</v>
      </c>
      <c r="F48" s="5">
        <f t="shared" si="0"/>
        <v>13.2</v>
      </c>
      <c r="G48" s="9">
        <v>0.3</v>
      </c>
      <c r="H48" s="5">
        <f t="shared" si="1"/>
        <v>18</v>
      </c>
      <c r="I48" s="10">
        <v>0</v>
      </c>
      <c r="J48" s="10">
        <v>66.115955842802151</v>
      </c>
      <c r="K48" s="10">
        <v>0</v>
      </c>
      <c r="L48" s="5">
        <v>1</v>
      </c>
      <c r="M48" s="5">
        <v>24</v>
      </c>
      <c r="N48" s="5">
        <v>12</v>
      </c>
      <c r="O48" s="9">
        <v>4</v>
      </c>
      <c r="P48" s="9">
        <v>9</v>
      </c>
      <c r="Q48" s="10">
        <f t="shared" si="2"/>
        <v>2380.1744103408773</v>
      </c>
      <c r="R48" s="10">
        <v>0</v>
      </c>
      <c r="S48" s="6" t="s">
        <v>334</v>
      </c>
      <c r="T48" s="6" t="s">
        <v>335</v>
      </c>
      <c r="U48" s="6" t="str">
        <f>_xlfn.XLOOKUP(T48,[1]Detalle_Unidades!F45:F591,[1]Detalle_Unidades!A45:A591)</f>
        <v>4YCN</v>
      </c>
    </row>
    <row r="49" spans="1:21" x14ac:dyDescent="0.25">
      <c r="A49" s="6" t="s">
        <v>336</v>
      </c>
      <c r="B49" s="5" t="s">
        <v>145</v>
      </c>
      <c r="C49" s="5">
        <v>90</v>
      </c>
      <c r="D49" s="5">
        <v>164</v>
      </c>
      <c r="E49" s="9">
        <v>1</v>
      </c>
      <c r="F49" s="5">
        <f t="shared" si="0"/>
        <v>60</v>
      </c>
      <c r="G49" s="9">
        <v>0.56999999999999995</v>
      </c>
      <c r="H49" s="5">
        <f t="shared" si="1"/>
        <v>34.199999999999996</v>
      </c>
      <c r="I49" s="10">
        <v>0</v>
      </c>
      <c r="J49" s="10">
        <v>70.928544155804332</v>
      </c>
      <c r="K49" s="10">
        <v>0</v>
      </c>
      <c r="L49" s="5">
        <v>1</v>
      </c>
      <c r="M49" s="5">
        <v>72</v>
      </c>
      <c r="N49" s="5">
        <v>72</v>
      </c>
      <c r="O49" s="9">
        <v>5.5</v>
      </c>
      <c r="P49" s="9">
        <v>10</v>
      </c>
      <c r="Q49" s="10">
        <f t="shared" si="2"/>
        <v>3901.0699285692381</v>
      </c>
      <c r="R49" s="10">
        <v>0</v>
      </c>
      <c r="S49" s="6" t="s">
        <v>307</v>
      </c>
      <c r="T49" s="6" t="s">
        <v>336</v>
      </c>
      <c r="U49" s="6" t="str">
        <f>_xlfn.XLOOKUP(T49,[1]Detalle_Unidades!F46:F592,[1]Detalle_Unidades!A46:A592)</f>
        <v>GEC3</v>
      </c>
    </row>
    <row r="50" spans="1:21" x14ac:dyDescent="0.25">
      <c r="A50" s="6" t="s">
        <v>337</v>
      </c>
      <c r="B50" s="5" t="s">
        <v>145</v>
      </c>
      <c r="C50" s="5">
        <v>130</v>
      </c>
      <c r="D50" s="5">
        <v>270</v>
      </c>
      <c r="E50" s="9">
        <v>1</v>
      </c>
      <c r="F50" s="5">
        <f t="shared" si="0"/>
        <v>60</v>
      </c>
      <c r="G50" s="9">
        <v>0.81</v>
      </c>
      <c r="H50" s="5">
        <f t="shared" si="1"/>
        <v>48.6</v>
      </c>
      <c r="I50" s="10">
        <v>0</v>
      </c>
      <c r="J50" s="10">
        <v>72.276615135071864</v>
      </c>
      <c r="K50" s="10">
        <v>0</v>
      </c>
      <c r="L50" s="5">
        <v>1</v>
      </c>
      <c r="M50" s="5">
        <v>72</v>
      </c>
      <c r="N50" s="5">
        <v>72</v>
      </c>
      <c r="O50" s="9">
        <v>9</v>
      </c>
      <c r="P50" s="9">
        <v>10</v>
      </c>
      <c r="Q50" s="10">
        <f t="shared" si="2"/>
        <v>6504.8953621564679</v>
      </c>
      <c r="R50" s="10">
        <v>0</v>
      </c>
      <c r="S50" s="6" t="s">
        <v>307</v>
      </c>
      <c r="T50" s="6" t="s">
        <v>337</v>
      </c>
      <c r="U50" s="6" t="str">
        <f>_xlfn.XLOOKUP(T50,[1]Detalle_Unidades!F47:F593,[1]Detalle_Unidades!A47:A593)</f>
        <v>GE32</v>
      </c>
    </row>
    <row r="51" spans="1:21" x14ac:dyDescent="0.25">
      <c r="A51" s="6" t="s">
        <v>338</v>
      </c>
      <c r="B51" s="5" t="s">
        <v>146</v>
      </c>
      <c r="C51" s="5">
        <v>8</v>
      </c>
      <c r="D51" s="5">
        <v>19</v>
      </c>
      <c r="E51" s="9">
        <v>2.13</v>
      </c>
      <c r="F51" s="5">
        <f t="shared" si="0"/>
        <v>127.8</v>
      </c>
      <c r="G51" s="9">
        <v>2.65</v>
      </c>
      <c r="H51" s="5">
        <f t="shared" si="1"/>
        <v>159</v>
      </c>
      <c r="I51" s="10">
        <v>0</v>
      </c>
      <c r="J51" s="10">
        <v>323.35978194526894</v>
      </c>
      <c r="K51" s="10">
        <v>0</v>
      </c>
      <c r="L51" s="5">
        <v>0</v>
      </c>
      <c r="M51" s="5">
        <v>3</v>
      </c>
      <c r="N51" s="5">
        <v>1</v>
      </c>
      <c r="O51" s="9">
        <v>1.8</v>
      </c>
      <c r="P51" s="9">
        <v>6</v>
      </c>
      <c r="Q51" s="10">
        <f t="shared" si="2"/>
        <v>3492.2856450089048</v>
      </c>
      <c r="R51" s="10">
        <v>0</v>
      </c>
      <c r="S51" s="6" t="s">
        <v>280</v>
      </c>
      <c r="T51" s="6" t="s">
        <v>339</v>
      </c>
      <c r="U51" s="6" t="str">
        <f>_xlfn.XLOOKUP(T51,[1]Detalle_Unidades!F48:F594,[1]Detalle_Unidades!A48:A594)</f>
        <v>3ENA</v>
      </c>
    </row>
    <row r="52" spans="1:21" x14ac:dyDescent="0.25">
      <c r="A52" s="6" t="s">
        <v>340</v>
      </c>
      <c r="B52" s="5" t="s">
        <v>146</v>
      </c>
      <c r="C52" s="5">
        <v>8</v>
      </c>
      <c r="D52" s="5">
        <v>19</v>
      </c>
      <c r="E52" s="9">
        <v>2.2200000000000002</v>
      </c>
      <c r="F52" s="5">
        <f t="shared" si="0"/>
        <v>133.20000000000002</v>
      </c>
      <c r="G52" s="9">
        <v>2.68</v>
      </c>
      <c r="H52" s="5">
        <f t="shared" si="1"/>
        <v>160.80000000000001</v>
      </c>
      <c r="I52" s="10">
        <v>0</v>
      </c>
      <c r="J52" s="10">
        <v>323.35978194526894</v>
      </c>
      <c r="K52" s="10">
        <v>0</v>
      </c>
      <c r="L52" s="5">
        <v>0</v>
      </c>
      <c r="M52" s="5">
        <v>3</v>
      </c>
      <c r="N52" s="5">
        <v>1</v>
      </c>
      <c r="O52" s="9">
        <v>1.8</v>
      </c>
      <c r="P52" s="9">
        <v>6</v>
      </c>
      <c r="Q52" s="10">
        <f t="shared" si="2"/>
        <v>3492.2856450089048</v>
      </c>
      <c r="R52" s="10">
        <v>0</v>
      </c>
      <c r="S52" s="6" t="s">
        <v>280</v>
      </c>
      <c r="T52" s="6" t="s">
        <v>339</v>
      </c>
      <c r="U52" s="6" t="str">
        <f>_xlfn.XLOOKUP(T52,[1]Detalle_Unidades!F49:F595,[1]Detalle_Unidades!A49:A595)</f>
        <v>3ENA</v>
      </c>
    </row>
    <row r="53" spans="1:21" x14ac:dyDescent="0.25">
      <c r="A53" s="6" t="s">
        <v>341</v>
      </c>
      <c r="B53" s="5" t="s">
        <v>146</v>
      </c>
      <c r="C53" s="5">
        <v>8</v>
      </c>
      <c r="D53" s="5">
        <v>19</v>
      </c>
      <c r="E53" s="9">
        <v>2.2200000000000002</v>
      </c>
      <c r="F53" s="5">
        <f t="shared" si="0"/>
        <v>133.20000000000002</v>
      </c>
      <c r="G53" s="9">
        <v>2.68</v>
      </c>
      <c r="H53" s="5">
        <f t="shared" si="1"/>
        <v>160.80000000000001</v>
      </c>
      <c r="I53" s="10">
        <v>0</v>
      </c>
      <c r="J53" s="10">
        <v>323.35978194526894</v>
      </c>
      <c r="K53" s="10">
        <v>0</v>
      </c>
      <c r="L53" s="5">
        <v>0</v>
      </c>
      <c r="M53" s="5">
        <v>3</v>
      </c>
      <c r="N53" s="5">
        <v>1</v>
      </c>
      <c r="O53" s="9">
        <v>1.8</v>
      </c>
      <c r="P53" s="9">
        <v>6</v>
      </c>
      <c r="Q53" s="10">
        <f t="shared" si="2"/>
        <v>3492.2856450089048</v>
      </c>
      <c r="R53" s="10">
        <v>0</v>
      </c>
      <c r="S53" s="6" t="s">
        <v>280</v>
      </c>
      <c r="T53" s="6" t="s">
        <v>339</v>
      </c>
      <c r="U53" s="6" t="str">
        <f>_xlfn.XLOOKUP(T53,[1]Detalle_Unidades!F50:F596,[1]Detalle_Unidades!A50:A596)</f>
        <v>3ENA</v>
      </c>
    </row>
    <row r="54" spans="1:21" x14ac:dyDescent="0.25">
      <c r="A54" s="6" t="s">
        <v>342</v>
      </c>
      <c r="B54" s="5" t="s">
        <v>146</v>
      </c>
      <c r="C54" s="5">
        <v>8</v>
      </c>
      <c r="D54" s="5">
        <v>19</v>
      </c>
      <c r="E54" s="9">
        <v>2.13</v>
      </c>
      <c r="F54" s="5">
        <f t="shared" si="0"/>
        <v>127.8</v>
      </c>
      <c r="G54" s="9">
        <v>2.68</v>
      </c>
      <c r="H54" s="5">
        <f t="shared" si="1"/>
        <v>160.80000000000001</v>
      </c>
      <c r="I54" s="10">
        <v>0</v>
      </c>
      <c r="J54" s="10">
        <v>323.35978194526894</v>
      </c>
      <c r="K54" s="10">
        <v>0</v>
      </c>
      <c r="L54" s="5">
        <v>0</v>
      </c>
      <c r="M54" s="5">
        <v>3</v>
      </c>
      <c r="N54" s="5">
        <v>1</v>
      </c>
      <c r="O54" s="9">
        <v>1.8</v>
      </c>
      <c r="P54" s="9">
        <v>6</v>
      </c>
      <c r="Q54" s="10">
        <f t="shared" si="2"/>
        <v>3492.2856450089048</v>
      </c>
      <c r="R54" s="10">
        <v>0</v>
      </c>
      <c r="S54" s="6" t="s">
        <v>280</v>
      </c>
      <c r="T54" s="6" t="s">
        <v>339</v>
      </c>
      <c r="U54" s="6" t="str">
        <f>_xlfn.XLOOKUP(T54,[1]Detalle_Unidades!F51:F597,[1]Detalle_Unidades!A51:A597)</f>
        <v>3ENA</v>
      </c>
    </row>
    <row r="55" spans="1:21" x14ac:dyDescent="0.25">
      <c r="A55" s="6" t="s">
        <v>343</v>
      </c>
      <c r="B55" s="5" t="s">
        <v>146</v>
      </c>
      <c r="C55" s="5">
        <v>8</v>
      </c>
      <c r="D55" s="5">
        <v>19</v>
      </c>
      <c r="E55" s="9">
        <v>2.08</v>
      </c>
      <c r="F55" s="5">
        <f t="shared" si="0"/>
        <v>124.80000000000001</v>
      </c>
      <c r="G55" s="9">
        <v>2.65</v>
      </c>
      <c r="H55" s="5">
        <f t="shared" si="1"/>
        <v>159</v>
      </c>
      <c r="I55" s="10">
        <v>0</v>
      </c>
      <c r="J55" s="10">
        <v>323.35978194526894</v>
      </c>
      <c r="K55" s="10">
        <v>0</v>
      </c>
      <c r="L55" s="5">
        <v>0</v>
      </c>
      <c r="M55" s="5">
        <v>3</v>
      </c>
      <c r="N55" s="5">
        <v>1</v>
      </c>
      <c r="O55" s="9">
        <v>1.8</v>
      </c>
      <c r="P55" s="9">
        <v>6</v>
      </c>
      <c r="Q55" s="10">
        <f t="shared" si="2"/>
        <v>3492.2856450089048</v>
      </c>
      <c r="R55" s="10">
        <v>0</v>
      </c>
      <c r="S55" s="6" t="s">
        <v>280</v>
      </c>
      <c r="T55" s="6" t="s">
        <v>339</v>
      </c>
      <c r="U55" s="6" t="str">
        <f>_xlfn.XLOOKUP(T55,[1]Detalle_Unidades!F52:F598,[1]Detalle_Unidades!A52:A598)</f>
        <v>3ENA</v>
      </c>
    </row>
    <row r="56" spans="1:21" x14ac:dyDescent="0.25">
      <c r="A56" s="6" t="s">
        <v>344</v>
      </c>
      <c r="B56" s="5" t="s">
        <v>146</v>
      </c>
      <c r="C56" s="5">
        <v>8</v>
      </c>
      <c r="D56" s="5">
        <v>19</v>
      </c>
      <c r="E56" s="9">
        <v>2.16</v>
      </c>
      <c r="F56" s="5">
        <f t="shared" si="0"/>
        <v>129.60000000000002</v>
      </c>
      <c r="G56" s="9">
        <v>2.71</v>
      </c>
      <c r="H56" s="5">
        <f t="shared" si="1"/>
        <v>162.6</v>
      </c>
      <c r="I56" s="10">
        <v>0</v>
      </c>
      <c r="J56" s="10">
        <v>323.35978194526894</v>
      </c>
      <c r="K56" s="10">
        <v>0</v>
      </c>
      <c r="L56" s="5">
        <v>0</v>
      </c>
      <c r="M56" s="5">
        <v>3</v>
      </c>
      <c r="N56" s="5">
        <v>1</v>
      </c>
      <c r="O56" s="9">
        <v>1.8</v>
      </c>
      <c r="P56" s="9">
        <v>6</v>
      </c>
      <c r="Q56" s="10">
        <f t="shared" si="2"/>
        <v>3492.2856450089048</v>
      </c>
      <c r="R56" s="10">
        <v>0</v>
      </c>
      <c r="S56" s="6" t="s">
        <v>280</v>
      </c>
      <c r="T56" s="6" t="s">
        <v>339</v>
      </c>
      <c r="U56" s="6" t="str">
        <f>_xlfn.XLOOKUP(T56,[1]Detalle_Unidades!F53:F599,[1]Detalle_Unidades!A53:A599)</f>
        <v>3ENA</v>
      </c>
    </row>
    <row r="57" spans="1:21" x14ac:dyDescent="0.25">
      <c r="A57" s="6" t="s">
        <v>345</v>
      </c>
      <c r="B57" s="5" t="s">
        <v>146</v>
      </c>
      <c r="C57" s="5">
        <v>8</v>
      </c>
      <c r="D57" s="5">
        <v>19</v>
      </c>
      <c r="E57" s="9">
        <v>2.04</v>
      </c>
      <c r="F57" s="5">
        <f t="shared" si="0"/>
        <v>122.4</v>
      </c>
      <c r="G57" s="9">
        <v>2.68</v>
      </c>
      <c r="H57" s="5">
        <f t="shared" si="1"/>
        <v>160.80000000000001</v>
      </c>
      <c r="I57" s="10">
        <v>0</v>
      </c>
      <c r="J57" s="10">
        <v>323.35978194526894</v>
      </c>
      <c r="K57" s="10">
        <v>0</v>
      </c>
      <c r="L57" s="5">
        <v>0</v>
      </c>
      <c r="M57" s="5">
        <v>3</v>
      </c>
      <c r="N57" s="5">
        <v>1</v>
      </c>
      <c r="O57" s="9">
        <v>1.8</v>
      </c>
      <c r="P57" s="9">
        <v>6</v>
      </c>
      <c r="Q57" s="10">
        <f t="shared" si="2"/>
        <v>3492.2856450089048</v>
      </c>
      <c r="R57" s="10">
        <v>0</v>
      </c>
      <c r="S57" s="6" t="s">
        <v>280</v>
      </c>
      <c r="T57" s="6" t="s">
        <v>339</v>
      </c>
      <c r="U57" s="6" t="str">
        <f>_xlfn.XLOOKUP(T57,[1]Detalle_Unidades!F54:F600,[1]Detalle_Unidades!A54:A600)</f>
        <v>3ENA</v>
      </c>
    </row>
    <row r="58" spans="1:21" x14ac:dyDescent="0.25">
      <c r="A58" s="6" t="s">
        <v>346</v>
      </c>
      <c r="B58" s="5" t="s">
        <v>146</v>
      </c>
      <c r="C58" s="5">
        <v>8</v>
      </c>
      <c r="D58" s="5">
        <v>19</v>
      </c>
      <c r="E58" s="9">
        <v>2.11</v>
      </c>
      <c r="F58" s="5">
        <f t="shared" si="0"/>
        <v>126.6</v>
      </c>
      <c r="G58" s="9">
        <v>2.77</v>
      </c>
      <c r="H58" s="5">
        <f t="shared" si="1"/>
        <v>166.2</v>
      </c>
      <c r="I58" s="10">
        <v>0</v>
      </c>
      <c r="J58" s="10">
        <v>323.35978194526894</v>
      </c>
      <c r="K58" s="10">
        <v>0</v>
      </c>
      <c r="L58" s="5">
        <v>0</v>
      </c>
      <c r="M58" s="5">
        <v>3</v>
      </c>
      <c r="N58" s="5">
        <v>1</v>
      </c>
      <c r="O58" s="9">
        <v>1.8</v>
      </c>
      <c r="P58" s="9">
        <v>6</v>
      </c>
      <c r="Q58" s="10">
        <f t="shared" si="2"/>
        <v>3492.2856450089048</v>
      </c>
      <c r="R58" s="10">
        <v>0</v>
      </c>
      <c r="S58" s="6" t="s">
        <v>280</v>
      </c>
      <c r="T58" s="6" t="s">
        <v>339</v>
      </c>
      <c r="U58" s="6" t="str">
        <f>_xlfn.XLOOKUP(T58,[1]Detalle_Unidades!F55:F601,[1]Detalle_Unidades!A55:A601)</f>
        <v>3ENA</v>
      </c>
    </row>
    <row r="59" spans="1:21" x14ac:dyDescent="0.25">
      <c r="A59" s="6" t="s">
        <v>347</v>
      </c>
      <c r="B59" s="5" t="s">
        <v>146</v>
      </c>
      <c r="C59" s="5">
        <v>8</v>
      </c>
      <c r="D59" s="5">
        <v>19</v>
      </c>
      <c r="E59" s="9">
        <v>2.1</v>
      </c>
      <c r="F59" s="5">
        <f t="shared" si="0"/>
        <v>126</v>
      </c>
      <c r="G59" s="9">
        <v>2.58</v>
      </c>
      <c r="H59" s="5">
        <f t="shared" si="1"/>
        <v>154.80000000000001</v>
      </c>
      <c r="I59" s="10">
        <v>0</v>
      </c>
      <c r="J59" s="10">
        <v>323.35978194526894</v>
      </c>
      <c r="K59" s="10">
        <v>0</v>
      </c>
      <c r="L59" s="5">
        <v>0</v>
      </c>
      <c r="M59" s="5">
        <v>3</v>
      </c>
      <c r="N59" s="5">
        <v>1</v>
      </c>
      <c r="O59" s="9">
        <v>1.8</v>
      </c>
      <c r="P59" s="9">
        <v>6</v>
      </c>
      <c r="Q59" s="10">
        <f t="shared" si="2"/>
        <v>3492.2856450089048</v>
      </c>
      <c r="R59" s="10">
        <v>0</v>
      </c>
      <c r="S59" s="6" t="s">
        <v>280</v>
      </c>
      <c r="T59" s="6" t="s">
        <v>339</v>
      </c>
      <c r="U59" s="6" t="str">
        <f>_xlfn.XLOOKUP(T59,[1]Detalle_Unidades!F56:F602,[1]Detalle_Unidades!A56:A602)</f>
        <v>3ENA</v>
      </c>
    </row>
    <row r="60" spans="1:21" x14ac:dyDescent="0.25">
      <c r="A60" s="6" t="s">
        <v>348</v>
      </c>
      <c r="B60" s="5" t="s">
        <v>146</v>
      </c>
      <c r="C60" s="5">
        <v>8</v>
      </c>
      <c r="D60" s="5">
        <v>19</v>
      </c>
      <c r="E60" s="9">
        <v>2.09</v>
      </c>
      <c r="F60" s="5">
        <f t="shared" si="0"/>
        <v>125.39999999999999</v>
      </c>
      <c r="G60" s="9">
        <v>2.68</v>
      </c>
      <c r="H60" s="5">
        <f t="shared" si="1"/>
        <v>160.80000000000001</v>
      </c>
      <c r="I60" s="10">
        <v>0</v>
      </c>
      <c r="J60" s="10">
        <v>323.35978194526894</v>
      </c>
      <c r="K60" s="10">
        <v>0</v>
      </c>
      <c r="L60" s="5">
        <v>0</v>
      </c>
      <c r="M60" s="5">
        <v>3</v>
      </c>
      <c r="N60" s="5">
        <v>1</v>
      </c>
      <c r="O60" s="9">
        <v>1.8</v>
      </c>
      <c r="P60" s="9">
        <v>6</v>
      </c>
      <c r="Q60" s="10">
        <f t="shared" si="2"/>
        <v>3492.2856450089048</v>
      </c>
      <c r="R60" s="10">
        <v>0</v>
      </c>
      <c r="S60" s="6" t="s">
        <v>280</v>
      </c>
      <c r="T60" s="6" t="s">
        <v>339</v>
      </c>
      <c r="U60" s="6" t="str">
        <f>_xlfn.XLOOKUP(T60,[1]Detalle_Unidades!F57:F603,[1]Detalle_Unidades!A57:A603)</f>
        <v>3ENA</v>
      </c>
    </row>
    <row r="61" spans="1:21" x14ac:dyDescent="0.25">
      <c r="A61" s="6" t="s">
        <v>349</v>
      </c>
      <c r="B61" s="5" t="s">
        <v>146</v>
      </c>
      <c r="C61" s="5">
        <v>8</v>
      </c>
      <c r="D61" s="5">
        <v>19</v>
      </c>
      <c r="E61" s="9">
        <v>2.12</v>
      </c>
      <c r="F61" s="5">
        <f t="shared" si="0"/>
        <v>127.2</v>
      </c>
      <c r="G61" s="9">
        <v>2.69</v>
      </c>
      <c r="H61" s="5">
        <f t="shared" si="1"/>
        <v>161.4</v>
      </c>
      <c r="I61" s="10">
        <v>0</v>
      </c>
      <c r="J61" s="10">
        <v>323.35978194526894</v>
      </c>
      <c r="K61" s="10">
        <v>0</v>
      </c>
      <c r="L61" s="5">
        <v>0</v>
      </c>
      <c r="M61" s="5">
        <v>3</v>
      </c>
      <c r="N61" s="5">
        <v>1</v>
      </c>
      <c r="O61" s="9">
        <v>1.8</v>
      </c>
      <c r="P61" s="9">
        <v>6</v>
      </c>
      <c r="Q61" s="10">
        <f t="shared" si="2"/>
        <v>3492.2856450089048</v>
      </c>
      <c r="R61" s="10">
        <v>0</v>
      </c>
      <c r="S61" s="6" t="s">
        <v>280</v>
      </c>
      <c r="T61" s="6" t="s">
        <v>339</v>
      </c>
      <c r="U61" s="6" t="str">
        <f>_xlfn.XLOOKUP(T61,[1]Detalle_Unidades!F58:F604,[1]Detalle_Unidades!A58:A604)</f>
        <v>3ENA</v>
      </c>
    </row>
    <row r="62" spans="1:21" x14ac:dyDescent="0.25">
      <c r="A62" s="6" t="s">
        <v>350</v>
      </c>
      <c r="B62" s="5" t="s">
        <v>143</v>
      </c>
      <c r="C62" s="5">
        <v>10</v>
      </c>
      <c r="D62" s="5">
        <v>47</v>
      </c>
      <c r="E62" s="9">
        <v>5.94</v>
      </c>
      <c r="F62" s="5">
        <f t="shared" si="0"/>
        <v>356.40000000000003</v>
      </c>
      <c r="G62" s="9">
        <v>5.8</v>
      </c>
      <c r="H62" s="5">
        <f t="shared" si="1"/>
        <v>348</v>
      </c>
      <c r="I62" s="10">
        <v>0</v>
      </c>
      <c r="J62" s="10">
        <v>751.15451396146693</v>
      </c>
      <c r="K62" s="10">
        <v>0</v>
      </c>
      <c r="L62" s="5">
        <v>0</v>
      </c>
      <c r="M62" s="5">
        <v>1</v>
      </c>
      <c r="N62" s="5">
        <v>1</v>
      </c>
      <c r="O62" s="9">
        <v>1.5</v>
      </c>
      <c r="P62" s="9">
        <v>0.25</v>
      </c>
      <c r="Q62" s="10">
        <f t="shared" si="2"/>
        <v>281.68294273555011</v>
      </c>
      <c r="R62" s="10">
        <v>0</v>
      </c>
      <c r="S62" s="6" t="s">
        <v>283</v>
      </c>
      <c r="T62" s="6" t="s">
        <v>350</v>
      </c>
      <c r="U62" s="6" t="str">
        <f>_xlfn.XLOOKUP(T62,[1]Detalle_Unidades!F59:F605,[1]Detalle_Unidades!A59:A605)</f>
        <v>TDR1</v>
      </c>
    </row>
    <row r="63" spans="1:21" x14ac:dyDescent="0.25">
      <c r="A63" s="6" t="s">
        <v>351</v>
      </c>
      <c r="B63" s="5" t="s">
        <v>147</v>
      </c>
      <c r="C63" s="5">
        <v>72</v>
      </c>
      <c r="D63" s="5">
        <v>145</v>
      </c>
      <c r="E63" s="9">
        <v>2.23</v>
      </c>
      <c r="F63" s="5">
        <f t="shared" si="0"/>
        <v>133.80000000000001</v>
      </c>
      <c r="G63" s="9">
        <v>2.82</v>
      </c>
      <c r="H63" s="5">
        <f t="shared" si="1"/>
        <v>169.2</v>
      </c>
      <c r="I63" s="10">
        <v>0</v>
      </c>
      <c r="J63" s="10">
        <v>173.77379051250108</v>
      </c>
      <c r="K63" s="10">
        <v>0</v>
      </c>
      <c r="L63" s="5">
        <v>1</v>
      </c>
      <c r="M63" s="5">
        <v>24</v>
      </c>
      <c r="N63" s="5">
        <v>24</v>
      </c>
      <c r="O63" s="9">
        <v>10</v>
      </c>
      <c r="P63" s="9">
        <v>12</v>
      </c>
      <c r="Q63" s="10">
        <f t="shared" si="2"/>
        <v>20852.854861500131</v>
      </c>
      <c r="R63" s="10">
        <v>0</v>
      </c>
      <c r="S63" s="6" t="s">
        <v>352</v>
      </c>
      <c r="T63" s="6" t="s">
        <v>351</v>
      </c>
      <c r="U63" s="6" t="str">
        <f>_xlfn.XLOOKUP(T63,[1]Detalle_Unidades!F60:F606,[1]Detalle_Unidades!A60:A606)</f>
        <v>TGJ1</v>
      </c>
    </row>
    <row r="64" spans="1:21" x14ac:dyDescent="0.25">
      <c r="A64" s="6" t="s">
        <v>353</v>
      </c>
      <c r="B64" s="5" t="s">
        <v>147</v>
      </c>
      <c r="C64" s="5">
        <v>72</v>
      </c>
      <c r="D64" s="5">
        <v>130</v>
      </c>
      <c r="E64" s="9">
        <v>1.05</v>
      </c>
      <c r="F64" s="5">
        <f t="shared" si="0"/>
        <v>63</v>
      </c>
      <c r="G64" s="9">
        <v>1.44</v>
      </c>
      <c r="H64" s="5">
        <f t="shared" si="1"/>
        <v>86.399999999999991</v>
      </c>
      <c r="I64" s="10">
        <v>0</v>
      </c>
      <c r="J64" s="10">
        <v>208.64053019851787</v>
      </c>
      <c r="K64" s="10">
        <v>0</v>
      </c>
      <c r="L64" s="5">
        <v>1</v>
      </c>
      <c r="M64" s="5">
        <v>24</v>
      </c>
      <c r="N64" s="5">
        <v>24</v>
      </c>
      <c r="O64" s="9">
        <v>10</v>
      </c>
      <c r="P64" s="9">
        <v>12</v>
      </c>
      <c r="Q64" s="10">
        <f t="shared" si="2"/>
        <v>25036.863623822144</v>
      </c>
      <c r="R64" s="10">
        <v>0</v>
      </c>
      <c r="S64" s="6" t="s">
        <v>352</v>
      </c>
      <c r="T64" s="6" t="s">
        <v>353</v>
      </c>
      <c r="U64" s="6" t="str">
        <f>_xlfn.XLOOKUP(T64,[1]Detalle_Unidades!F61:F607,[1]Detalle_Unidades!A61:A607)</f>
        <v>TGJ2</v>
      </c>
    </row>
    <row r="65" spans="1:21" x14ac:dyDescent="0.25">
      <c r="A65" s="6" t="s">
        <v>354</v>
      </c>
      <c r="B65" s="5" t="s">
        <v>147</v>
      </c>
      <c r="C65" s="5">
        <v>5.2</v>
      </c>
      <c r="D65" s="5">
        <v>9</v>
      </c>
      <c r="E65" s="9">
        <v>0.06</v>
      </c>
      <c r="F65" s="5">
        <f t="shared" si="0"/>
        <v>3.5999999999999996</v>
      </c>
      <c r="G65" s="9">
        <v>0.06</v>
      </c>
      <c r="H65" s="5">
        <f t="shared" si="1"/>
        <v>3.5999999999999996</v>
      </c>
      <c r="I65" s="10">
        <v>0</v>
      </c>
      <c r="J65" s="10">
        <v>316.32428395051403</v>
      </c>
      <c r="K65" s="10">
        <v>0</v>
      </c>
      <c r="L65" s="5">
        <v>1</v>
      </c>
      <c r="M65" s="5">
        <v>4</v>
      </c>
      <c r="N65" s="5">
        <v>1</v>
      </c>
      <c r="O65" s="9">
        <v>2</v>
      </c>
      <c r="P65" s="9">
        <v>3</v>
      </c>
      <c r="Q65" s="10">
        <f t="shared" si="2"/>
        <v>1897.9457037030843</v>
      </c>
      <c r="R65" s="10">
        <v>0</v>
      </c>
      <c r="S65" s="6" t="s">
        <v>283</v>
      </c>
      <c r="T65" s="6" t="s">
        <v>355</v>
      </c>
      <c r="U65" s="6" t="str">
        <f>_xlfn.XLOOKUP(T65,[1]Detalle_Unidades!F62:F608,[1]Detalle_Unidades!A62:A608)</f>
        <v>TRN1</v>
      </c>
    </row>
    <row r="66" spans="1:21" x14ac:dyDescent="0.25">
      <c r="A66" s="6" t="s">
        <v>356</v>
      </c>
      <c r="B66" s="5" t="s">
        <v>147</v>
      </c>
      <c r="C66" s="5">
        <v>5.2</v>
      </c>
      <c r="D66" s="5">
        <v>9</v>
      </c>
      <c r="E66" s="9">
        <v>0.06</v>
      </c>
      <c r="F66" s="5">
        <f t="shared" si="0"/>
        <v>3.5999999999999996</v>
      </c>
      <c r="G66" s="9">
        <v>0.06</v>
      </c>
      <c r="H66" s="5">
        <f t="shared" si="1"/>
        <v>3.5999999999999996</v>
      </c>
      <c r="I66" s="10">
        <v>0</v>
      </c>
      <c r="J66" s="10">
        <v>316.32428395051403</v>
      </c>
      <c r="K66" s="10">
        <v>0</v>
      </c>
      <c r="L66" s="5">
        <v>1</v>
      </c>
      <c r="M66" s="5">
        <v>4</v>
      </c>
      <c r="N66" s="5">
        <v>1</v>
      </c>
      <c r="O66" s="9">
        <v>2</v>
      </c>
      <c r="P66" s="9">
        <v>3</v>
      </c>
      <c r="Q66" s="10">
        <f t="shared" si="2"/>
        <v>1897.9457037030843</v>
      </c>
      <c r="R66" s="10">
        <v>0</v>
      </c>
      <c r="S66" s="6" t="s">
        <v>283</v>
      </c>
      <c r="T66" s="6" t="s">
        <v>355</v>
      </c>
      <c r="U66" s="6" t="str">
        <f>_xlfn.XLOOKUP(T66,[1]Detalle_Unidades!F63:F609,[1]Detalle_Unidades!A63:A609)</f>
        <v>TRN1</v>
      </c>
    </row>
    <row r="67" spans="1:21" x14ac:dyDescent="0.25">
      <c r="A67" s="6" t="s">
        <v>357</v>
      </c>
      <c r="B67" s="5" t="s">
        <v>147</v>
      </c>
      <c r="C67" s="5">
        <v>5.2</v>
      </c>
      <c r="D67" s="5">
        <v>9</v>
      </c>
      <c r="E67" s="9">
        <v>0.06</v>
      </c>
      <c r="F67" s="5">
        <f t="shared" si="0"/>
        <v>3.5999999999999996</v>
      </c>
      <c r="G67" s="9">
        <v>0.06</v>
      </c>
      <c r="H67" s="5">
        <f t="shared" si="1"/>
        <v>3.5999999999999996</v>
      </c>
      <c r="I67" s="10">
        <v>0</v>
      </c>
      <c r="J67" s="10">
        <v>316.32428395051403</v>
      </c>
      <c r="K67" s="10">
        <v>0</v>
      </c>
      <c r="L67" s="5">
        <v>1</v>
      </c>
      <c r="M67" s="5">
        <v>4</v>
      </c>
      <c r="N67" s="5">
        <v>1</v>
      </c>
      <c r="O67" s="9">
        <v>2</v>
      </c>
      <c r="P67" s="9">
        <v>3</v>
      </c>
      <c r="Q67" s="10">
        <f t="shared" si="2"/>
        <v>1897.9457037030843</v>
      </c>
      <c r="R67" s="10">
        <v>0</v>
      </c>
      <c r="S67" s="6" t="s">
        <v>283</v>
      </c>
      <c r="T67" s="6" t="s">
        <v>355</v>
      </c>
      <c r="U67" s="6" t="str">
        <f>_xlfn.XLOOKUP(T67,[1]Detalle_Unidades!F64:F610,[1]Detalle_Unidades!A64:A610)</f>
        <v>TRN1</v>
      </c>
    </row>
    <row r="68" spans="1:21" x14ac:dyDescent="0.25">
      <c r="A68" s="6" t="s">
        <v>358</v>
      </c>
      <c r="B68" s="5" t="s">
        <v>147</v>
      </c>
      <c r="C68" s="5">
        <v>5.2</v>
      </c>
      <c r="D68" s="5">
        <v>9</v>
      </c>
      <c r="E68" s="9">
        <v>0.06</v>
      </c>
      <c r="F68" s="5">
        <f t="shared" si="0"/>
        <v>3.5999999999999996</v>
      </c>
      <c r="G68" s="9">
        <v>0.06</v>
      </c>
      <c r="H68" s="5">
        <f t="shared" si="1"/>
        <v>3.5999999999999996</v>
      </c>
      <c r="I68" s="10">
        <v>0</v>
      </c>
      <c r="J68" s="10">
        <v>316.32428395051403</v>
      </c>
      <c r="K68" s="10">
        <v>0</v>
      </c>
      <c r="L68" s="5">
        <v>1</v>
      </c>
      <c r="M68" s="5">
        <v>4</v>
      </c>
      <c r="N68" s="5">
        <v>1</v>
      </c>
      <c r="O68" s="9">
        <v>2</v>
      </c>
      <c r="P68" s="9">
        <v>3</v>
      </c>
      <c r="Q68" s="10">
        <f t="shared" si="2"/>
        <v>1897.9457037030843</v>
      </c>
      <c r="R68" s="10">
        <v>0</v>
      </c>
      <c r="S68" s="6" t="s">
        <v>283</v>
      </c>
      <c r="T68" s="6" t="s">
        <v>355</v>
      </c>
      <c r="U68" s="6" t="str">
        <f>_xlfn.XLOOKUP(T68,[1]Detalle_Unidades!F65:F611,[1]Detalle_Unidades!A65:A611)</f>
        <v>TRN1</v>
      </c>
    </row>
    <row r="69" spans="1:21" x14ac:dyDescent="0.25">
      <c r="A69" s="6" t="s">
        <v>359</v>
      </c>
      <c r="B69" s="5" t="s">
        <v>147</v>
      </c>
      <c r="C69" s="5">
        <v>5.2</v>
      </c>
      <c r="D69" s="5">
        <v>9</v>
      </c>
      <c r="E69" s="5">
        <v>0</v>
      </c>
      <c r="F69" s="5">
        <f t="shared" si="0"/>
        <v>0</v>
      </c>
      <c r="G69" s="5">
        <v>0</v>
      </c>
      <c r="H69" s="5">
        <f t="shared" si="1"/>
        <v>0</v>
      </c>
      <c r="I69" s="10">
        <v>0</v>
      </c>
      <c r="J69" s="10">
        <v>316.32428395051403</v>
      </c>
      <c r="K69" s="10">
        <v>0</v>
      </c>
      <c r="L69" s="5">
        <v>1</v>
      </c>
      <c r="M69" s="5">
        <v>4</v>
      </c>
      <c r="N69" s="5">
        <v>1</v>
      </c>
      <c r="O69" s="9">
        <v>2</v>
      </c>
      <c r="P69" s="9">
        <v>3</v>
      </c>
      <c r="Q69" s="10">
        <f t="shared" si="2"/>
        <v>1897.9457037030843</v>
      </c>
      <c r="R69" s="10">
        <v>0</v>
      </c>
      <c r="S69" s="6" t="s">
        <v>283</v>
      </c>
      <c r="T69" s="6" t="s">
        <v>355</v>
      </c>
      <c r="U69" s="6" t="str">
        <f>_xlfn.XLOOKUP(T69,[1]Detalle_Unidades!F66:F612,[1]Detalle_Unidades!A66:A612)</f>
        <v>TRN1</v>
      </c>
    </row>
    <row r="70" spans="1:21" x14ac:dyDescent="0.25">
      <c r="A70" s="6" t="s">
        <v>360</v>
      </c>
      <c r="B70" s="5" t="s">
        <v>147</v>
      </c>
      <c r="C70" s="5">
        <v>5.2</v>
      </c>
      <c r="D70" s="5">
        <v>9</v>
      </c>
      <c r="E70" s="9">
        <v>0.06</v>
      </c>
      <c r="F70" s="5">
        <f t="shared" si="0"/>
        <v>3.5999999999999996</v>
      </c>
      <c r="G70" s="9">
        <v>0.06</v>
      </c>
      <c r="H70" s="5">
        <f t="shared" si="1"/>
        <v>3.5999999999999996</v>
      </c>
      <c r="I70" s="10">
        <v>0</v>
      </c>
      <c r="J70" s="10">
        <v>316.32428395051403</v>
      </c>
      <c r="K70" s="10">
        <v>0</v>
      </c>
      <c r="L70" s="5">
        <v>1</v>
      </c>
      <c r="M70" s="5">
        <v>4</v>
      </c>
      <c r="N70" s="5">
        <v>1</v>
      </c>
      <c r="O70" s="9">
        <v>2</v>
      </c>
      <c r="P70" s="9">
        <v>3</v>
      </c>
      <c r="Q70" s="10">
        <f t="shared" si="2"/>
        <v>1897.9457037030843</v>
      </c>
      <c r="R70" s="10">
        <v>0</v>
      </c>
      <c r="S70" s="6" t="s">
        <v>283</v>
      </c>
      <c r="T70" s="6" t="s">
        <v>355</v>
      </c>
      <c r="U70" s="6" t="str">
        <f>_xlfn.XLOOKUP(T70,[1]Detalle_Unidades!F67:F613,[1]Detalle_Unidades!A67:A613)</f>
        <v>TRN1</v>
      </c>
    </row>
    <row r="71" spans="1:21" x14ac:dyDescent="0.25">
      <c r="A71" s="6" t="s">
        <v>361</v>
      </c>
      <c r="B71" s="5" t="s">
        <v>147</v>
      </c>
      <c r="C71" s="5">
        <v>5.2</v>
      </c>
      <c r="D71" s="5">
        <v>9</v>
      </c>
      <c r="E71" s="9">
        <v>0.06</v>
      </c>
      <c r="F71" s="5">
        <f t="shared" ref="F71:F81" si="3">E71*60</f>
        <v>3.5999999999999996</v>
      </c>
      <c r="G71" s="9">
        <v>0.06</v>
      </c>
      <c r="H71" s="5">
        <f t="shared" ref="H71:H81" si="4">G71*60</f>
        <v>3.5999999999999996</v>
      </c>
      <c r="I71" s="10">
        <v>0</v>
      </c>
      <c r="J71" s="10">
        <v>316.32428395051403</v>
      </c>
      <c r="K71" s="10">
        <v>0</v>
      </c>
      <c r="L71" s="5">
        <v>1</v>
      </c>
      <c r="M71" s="5">
        <v>4</v>
      </c>
      <c r="N71" s="5">
        <v>1</v>
      </c>
      <c r="O71" s="9">
        <v>2</v>
      </c>
      <c r="P71" s="9">
        <v>3</v>
      </c>
      <c r="Q71" s="10">
        <f t="shared" ref="Q71:Q81" si="5">O71*P71*J71</f>
        <v>1897.9457037030843</v>
      </c>
      <c r="R71" s="10">
        <v>0</v>
      </c>
      <c r="S71" s="6" t="s">
        <v>283</v>
      </c>
      <c r="T71" s="6" t="s">
        <v>355</v>
      </c>
      <c r="U71" s="6" t="str">
        <f>_xlfn.XLOOKUP(T71,[1]Detalle_Unidades!F68:F614,[1]Detalle_Unidades!A68:A614)</f>
        <v>TRN1</v>
      </c>
    </row>
    <row r="72" spans="1:21" x14ac:dyDescent="0.25">
      <c r="A72" s="6" t="s">
        <v>362</v>
      </c>
      <c r="B72" s="5" t="s">
        <v>147</v>
      </c>
      <c r="C72" s="5">
        <v>5.2</v>
      </c>
      <c r="D72" s="5">
        <v>9</v>
      </c>
      <c r="E72" s="5">
        <v>0</v>
      </c>
      <c r="F72" s="5">
        <f t="shared" si="3"/>
        <v>0</v>
      </c>
      <c r="G72" s="5">
        <v>0</v>
      </c>
      <c r="H72" s="5">
        <f t="shared" si="4"/>
        <v>0</v>
      </c>
      <c r="I72" s="10">
        <v>0</v>
      </c>
      <c r="J72" s="10">
        <v>316.32428395051403</v>
      </c>
      <c r="K72" s="10">
        <v>0</v>
      </c>
      <c r="L72" s="5">
        <v>1</v>
      </c>
      <c r="M72" s="5">
        <v>4</v>
      </c>
      <c r="N72" s="5">
        <v>1</v>
      </c>
      <c r="O72" s="9">
        <v>2</v>
      </c>
      <c r="P72" s="9">
        <v>3</v>
      </c>
      <c r="Q72" s="10">
        <f t="shared" si="5"/>
        <v>1897.9457037030843</v>
      </c>
      <c r="R72" s="10">
        <v>0</v>
      </c>
      <c r="S72" s="6" t="s">
        <v>283</v>
      </c>
      <c r="T72" s="6" t="s">
        <v>355</v>
      </c>
      <c r="U72" s="6" t="str">
        <f>_xlfn.XLOOKUP(T72,[1]Detalle_Unidades!F69:F615,[1]Detalle_Unidades!A69:A615)</f>
        <v>TRN1</v>
      </c>
    </row>
    <row r="73" spans="1:21" x14ac:dyDescent="0.25">
      <c r="A73" s="6" t="s">
        <v>363</v>
      </c>
      <c r="B73" s="5" t="s">
        <v>147</v>
      </c>
      <c r="C73" s="5">
        <v>5.2</v>
      </c>
      <c r="D73" s="5">
        <v>9</v>
      </c>
      <c r="E73" s="5">
        <v>0</v>
      </c>
      <c r="F73" s="5">
        <f t="shared" si="3"/>
        <v>0</v>
      </c>
      <c r="G73" s="5">
        <v>0</v>
      </c>
      <c r="H73" s="5">
        <f t="shared" si="4"/>
        <v>0</v>
      </c>
      <c r="I73" s="10">
        <v>0</v>
      </c>
      <c r="J73" s="10">
        <v>316.32428395051403</v>
      </c>
      <c r="K73" s="10">
        <v>0</v>
      </c>
      <c r="L73" s="5">
        <v>1</v>
      </c>
      <c r="M73" s="5">
        <v>4</v>
      </c>
      <c r="N73" s="5">
        <v>1</v>
      </c>
      <c r="O73" s="9">
        <v>2</v>
      </c>
      <c r="P73" s="9">
        <v>3</v>
      </c>
      <c r="Q73" s="10">
        <f t="shared" si="5"/>
        <v>1897.9457037030843</v>
      </c>
      <c r="R73" s="10">
        <v>0</v>
      </c>
      <c r="S73" s="6" t="s">
        <v>283</v>
      </c>
      <c r="T73" s="6" t="s">
        <v>355</v>
      </c>
      <c r="U73" s="6" t="str">
        <f>_xlfn.XLOOKUP(T73,[1]Detalle_Unidades!F70:F616,[1]Detalle_Unidades!A70:A616)</f>
        <v>TRN1</v>
      </c>
    </row>
    <row r="74" spans="1:21" x14ac:dyDescent="0.25">
      <c r="A74" s="6" t="s">
        <v>364</v>
      </c>
      <c r="B74" s="5" t="s">
        <v>147</v>
      </c>
      <c r="C74" s="5">
        <v>5.2</v>
      </c>
      <c r="D74" s="5">
        <v>9</v>
      </c>
      <c r="E74" s="5">
        <v>0</v>
      </c>
      <c r="F74" s="5">
        <f t="shared" si="3"/>
        <v>0</v>
      </c>
      <c r="G74" s="5">
        <v>0</v>
      </c>
      <c r="H74" s="5">
        <f t="shared" si="4"/>
        <v>0</v>
      </c>
      <c r="I74" s="10">
        <v>0</v>
      </c>
      <c r="J74" s="10">
        <v>316.32428395051403</v>
      </c>
      <c r="K74" s="10">
        <v>0</v>
      </c>
      <c r="L74" s="5">
        <v>1</v>
      </c>
      <c r="M74" s="5">
        <v>4</v>
      </c>
      <c r="N74" s="5">
        <v>1</v>
      </c>
      <c r="O74" s="9">
        <v>2</v>
      </c>
      <c r="P74" s="9">
        <v>3</v>
      </c>
      <c r="Q74" s="10">
        <f t="shared" si="5"/>
        <v>1897.9457037030843</v>
      </c>
      <c r="R74" s="10">
        <v>0</v>
      </c>
      <c r="S74" s="6" t="s">
        <v>283</v>
      </c>
      <c r="T74" s="6" t="s">
        <v>355</v>
      </c>
      <c r="U74" s="6" t="str">
        <f>_xlfn.XLOOKUP(T74,[1]Detalle_Unidades!F71:F617,[1]Detalle_Unidades!A71:A617)</f>
        <v>TRN1</v>
      </c>
    </row>
    <row r="75" spans="1:21" x14ac:dyDescent="0.25">
      <c r="A75" s="6" t="s">
        <v>365</v>
      </c>
      <c r="B75" s="5" t="s">
        <v>149</v>
      </c>
      <c r="C75" s="5">
        <v>68</v>
      </c>
      <c r="D75" s="5">
        <v>165</v>
      </c>
      <c r="E75" s="9">
        <v>4</v>
      </c>
      <c r="F75" s="5">
        <f t="shared" si="3"/>
        <v>240</v>
      </c>
      <c r="G75" s="9">
        <v>4</v>
      </c>
      <c r="H75" s="5">
        <f t="shared" si="4"/>
        <v>240</v>
      </c>
      <c r="I75" s="10">
        <v>0</v>
      </c>
      <c r="J75" s="10">
        <v>66.464330604862198</v>
      </c>
      <c r="K75" s="10">
        <v>0</v>
      </c>
      <c r="L75" s="5">
        <v>1</v>
      </c>
      <c r="M75" s="5">
        <v>72</v>
      </c>
      <c r="N75" s="5">
        <v>3</v>
      </c>
      <c r="O75" s="9">
        <v>8</v>
      </c>
      <c r="P75" s="9">
        <v>12</v>
      </c>
      <c r="Q75" s="10">
        <f t="shared" si="5"/>
        <v>6380.575738066771</v>
      </c>
      <c r="R75" s="10">
        <v>0</v>
      </c>
      <c r="S75" s="6" t="s">
        <v>307</v>
      </c>
      <c r="T75" s="6" t="s">
        <v>365</v>
      </c>
      <c r="U75" s="6" t="str">
        <f>_xlfn.XLOOKUP(T75,[1]Detalle_Unidades!F72:F618,[1]Detalle_Unidades!A72:A618)</f>
        <v>TSJ1</v>
      </c>
    </row>
    <row r="76" spans="1:21" x14ac:dyDescent="0.25">
      <c r="A76" s="6" t="s">
        <v>366</v>
      </c>
      <c r="B76" s="5" t="s">
        <v>149</v>
      </c>
      <c r="C76" s="5">
        <v>66</v>
      </c>
      <c r="D76" s="5">
        <v>170</v>
      </c>
      <c r="E76" s="9">
        <v>1.57</v>
      </c>
      <c r="F76" s="5">
        <f t="shared" si="3"/>
        <v>94.2</v>
      </c>
      <c r="G76" s="9">
        <v>1.57</v>
      </c>
      <c r="H76" s="5">
        <f t="shared" si="4"/>
        <v>94.2</v>
      </c>
      <c r="I76" s="10">
        <v>0</v>
      </c>
      <c r="J76" s="10">
        <v>61.169034221549623</v>
      </c>
      <c r="K76" s="10">
        <v>0</v>
      </c>
      <c r="L76" s="5">
        <v>1</v>
      </c>
      <c r="M76" s="5">
        <v>72</v>
      </c>
      <c r="N76" s="5">
        <v>8</v>
      </c>
      <c r="O76" s="9">
        <v>9</v>
      </c>
      <c r="P76" s="9">
        <v>10</v>
      </c>
      <c r="Q76" s="10">
        <f t="shared" si="5"/>
        <v>5505.2130799394663</v>
      </c>
      <c r="R76" s="10">
        <v>0</v>
      </c>
      <c r="S76" s="6" t="s">
        <v>307</v>
      </c>
      <c r="T76" s="6" t="s">
        <v>366</v>
      </c>
      <c r="U76" s="6" t="str">
        <f>_xlfn.XLOOKUP(T76,[1]Detalle_Unidades!F73:F619,[1]Detalle_Unidades!A73:A619)</f>
        <v>TSJ2</v>
      </c>
    </row>
    <row r="77" spans="1:21" x14ac:dyDescent="0.25">
      <c r="A77" s="6" t="s">
        <v>367</v>
      </c>
      <c r="B77" s="5" t="s">
        <v>150</v>
      </c>
      <c r="C77" s="5">
        <v>90</v>
      </c>
      <c r="D77" s="5">
        <v>164</v>
      </c>
      <c r="E77" s="9">
        <v>6.02</v>
      </c>
      <c r="F77" s="5">
        <f t="shared" si="3"/>
        <v>361.2</v>
      </c>
      <c r="G77" s="9">
        <v>6.01</v>
      </c>
      <c r="H77" s="5">
        <f t="shared" si="4"/>
        <v>360.59999999999997</v>
      </c>
      <c r="I77" s="10">
        <v>0</v>
      </c>
      <c r="J77" s="10">
        <v>344.99134637091043</v>
      </c>
      <c r="K77" s="10">
        <v>0</v>
      </c>
      <c r="L77" s="5">
        <v>0</v>
      </c>
      <c r="M77" s="5">
        <v>6</v>
      </c>
      <c r="N77" s="5">
        <v>2</v>
      </c>
      <c r="O77" s="9">
        <v>4.5</v>
      </c>
      <c r="P77" s="9">
        <v>0.4</v>
      </c>
      <c r="Q77" s="10">
        <f t="shared" si="5"/>
        <v>620.98442346763875</v>
      </c>
      <c r="R77" s="10">
        <v>0</v>
      </c>
      <c r="S77" s="6" t="s">
        <v>280</v>
      </c>
      <c r="T77" s="6" t="s">
        <v>367</v>
      </c>
      <c r="U77" s="6" t="str">
        <f>_xlfn.XLOOKUP(T77,[1]Detalle_Unidades!F74:F620,[1]Detalle_Unidades!A74:A620)</f>
        <v>MRL1</v>
      </c>
    </row>
    <row r="78" spans="1:21" x14ac:dyDescent="0.25">
      <c r="A78" s="6" t="s">
        <v>368</v>
      </c>
      <c r="B78" s="5" t="s">
        <v>151</v>
      </c>
      <c r="C78" s="5">
        <v>80</v>
      </c>
      <c r="D78" s="5">
        <v>153</v>
      </c>
      <c r="E78" s="5">
        <v>0</v>
      </c>
      <c r="F78" s="5">
        <f t="shared" si="3"/>
        <v>0</v>
      </c>
      <c r="G78" s="5">
        <v>0</v>
      </c>
      <c r="H78" s="5">
        <f t="shared" si="4"/>
        <v>0</v>
      </c>
      <c r="I78" s="10">
        <v>0</v>
      </c>
      <c r="J78" s="10">
        <v>427.43994715851608</v>
      </c>
      <c r="K78" s="10">
        <v>0</v>
      </c>
      <c r="L78" s="5">
        <v>0</v>
      </c>
      <c r="M78" s="5">
        <v>2</v>
      </c>
      <c r="N78" s="5">
        <v>4</v>
      </c>
      <c r="O78" s="9">
        <v>4</v>
      </c>
      <c r="P78" s="9">
        <v>5</v>
      </c>
      <c r="Q78" s="10">
        <f t="shared" si="5"/>
        <v>8548.7989431703209</v>
      </c>
      <c r="R78" s="10">
        <v>0</v>
      </c>
      <c r="S78" s="6" t="s">
        <v>280</v>
      </c>
      <c r="T78" s="6" t="s">
        <v>369</v>
      </c>
      <c r="U78" s="6" t="str">
        <f>_xlfn.XLOOKUP(T78,[1]Detalle_Unidades!F75:F621,[1]Detalle_Unidades!A75:A621)</f>
        <v>TEC1</v>
      </c>
    </row>
    <row r="79" spans="1:21" x14ac:dyDescent="0.25">
      <c r="A79" s="6" t="s">
        <v>370</v>
      </c>
      <c r="B79" s="5" t="s">
        <v>151</v>
      </c>
      <c r="C79" s="5">
        <v>20</v>
      </c>
      <c r="D79" s="5">
        <v>76</v>
      </c>
      <c r="E79" s="5">
        <v>0</v>
      </c>
      <c r="F79" s="5">
        <f t="shared" si="3"/>
        <v>0</v>
      </c>
      <c r="G79" s="5">
        <v>0</v>
      </c>
      <c r="H79" s="5">
        <f t="shared" si="4"/>
        <v>0</v>
      </c>
      <c r="I79" s="10">
        <v>0</v>
      </c>
      <c r="J79" s="10">
        <v>427.43994715851608</v>
      </c>
      <c r="K79" s="10">
        <v>0</v>
      </c>
      <c r="L79" s="5">
        <v>0</v>
      </c>
      <c r="M79" s="5">
        <v>2</v>
      </c>
      <c r="N79" s="5">
        <v>4</v>
      </c>
      <c r="O79" s="9">
        <v>4</v>
      </c>
      <c r="P79" s="9">
        <v>5</v>
      </c>
      <c r="Q79" s="10">
        <f t="shared" si="5"/>
        <v>8548.7989431703209</v>
      </c>
      <c r="R79" s="10">
        <v>0</v>
      </c>
      <c r="S79" s="6" t="s">
        <v>280</v>
      </c>
      <c r="T79" s="6" t="s">
        <v>369</v>
      </c>
      <c r="U79" s="6" t="str">
        <f>_xlfn.XLOOKUP(T79,[1]Detalle_Unidades!F76:F622,[1]Detalle_Unidades!A76:A622)</f>
        <v>TEC1</v>
      </c>
    </row>
    <row r="80" spans="1:21" x14ac:dyDescent="0.25">
      <c r="A80" s="6" t="s">
        <v>371</v>
      </c>
      <c r="B80" s="5" t="s">
        <v>151</v>
      </c>
      <c r="C80" s="5">
        <v>65</v>
      </c>
      <c r="D80" s="5">
        <v>160</v>
      </c>
      <c r="E80" s="9">
        <v>1</v>
      </c>
      <c r="F80" s="5">
        <f t="shared" si="3"/>
        <v>60</v>
      </c>
      <c r="G80" s="9">
        <v>4</v>
      </c>
      <c r="H80" s="5">
        <f t="shared" si="4"/>
        <v>240</v>
      </c>
      <c r="I80" s="10">
        <v>0</v>
      </c>
      <c r="J80" s="10">
        <v>444.30295784107977</v>
      </c>
      <c r="K80" s="10">
        <v>0</v>
      </c>
      <c r="L80" s="5">
        <v>0</v>
      </c>
      <c r="M80" s="5">
        <v>10</v>
      </c>
      <c r="N80" s="5">
        <v>4</v>
      </c>
      <c r="O80" s="9">
        <v>4</v>
      </c>
      <c r="P80" s="9">
        <v>0.75</v>
      </c>
      <c r="Q80" s="10">
        <f t="shared" si="5"/>
        <v>1332.9088735232394</v>
      </c>
      <c r="R80" s="10">
        <v>0</v>
      </c>
      <c r="S80" s="6" t="s">
        <v>280</v>
      </c>
      <c r="T80" s="6" t="s">
        <v>372</v>
      </c>
      <c r="U80" s="6" t="str">
        <f>_xlfn.XLOOKUP(T80,[1]Detalle_Unidades!F77:F623,[1]Detalle_Unidades!A77:A623)</f>
        <v>TVL1</v>
      </c>
    </row>
    <row r="81" spans="1:21" x14ac:dyDescent="0.25">
      <c r="A81" s="6" t="s">
        <v>373</v>
      </c>
      <c r="B81" s="5" t="s">
        <v>151</v>
      </c>
      <c r="C81" s="5">
        <v>35</v>
      </c>
      <c r="D81" s="5">
        <v>74</v>
      </c>
      <c r="E81" s="9">
        <v>1</v>
      </c>
      <c r="F81" s="5">
        <f t="shared" si="3"/>
        <v>60</v>
      </c>
      <c r="G81" s="9">
        <v>4</v>
      </c>
      <c r="H81" s="5">
        <f t="shared" si="4"/>
        <v>240</v>
      </c>
      <c r="I81" s="10">
        <v>0</v>
      </c>
      <c r="J81" s="10">
        <v>444.30295784107977</v>
      </c>
      <c r="K81" s="10">
        <v>0</v>
      </c>
      <c r="L81" s="5">
        <v>0</v>
      </c>
      <c r="M81" s="5">
        <v>10</v>
      </c>
      <c r="N81" s="5">
        <v>4</v>
      </c>
      <c r="O81" s="9">
        <v>10</v>
      </c>
      <c r="P81" s="9">
        <v>0.75</v>
      </c>
      <c r="Q81" s="10">
        <f t="shared" si="5"/>
        <v>3332.2721838080984</v>
      </c>
      <c r="R81" s="10">
        <v>0</v>
      </c>
      <c r="S81" s="6" t="s">
        <v>283</v>
      </c>
      <c r="T81" s="6" t="s">
        <v>372</v>
      </c>
      <c r="U81" s="6" t="str">
        <f>_xlfn.XLOOKUP(T81,[1]Detalle_Unidades!F78:F624,[1]Detalle_Unidades!A78:A624)</f>
        <v>TVL1</v>
      </c>
    </row>
  </sheetData>
  <phoneticPr fontId="6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8E61-263A-41C1-8D7A-FB26CE02804C}">
  <sheetPr>
    <tabColor theme="8" tint="0.79998168889431442"/>
  </sheetPr>
  <dimension ref="A1:S40"/>
  <sheetViews>
    <sheetView workbookViewId="0">
      <selection activeCell="O11" sqref="O11"/>
    </sheetView>
  </sheetViews>
  <sheetFormatPr defaultRowHeight="15" x14ac:dyDescent="0.25"/>
  <cols>
    <col min="1" max="1" width="22.5703125" customWidth="1"/>
    <col min="2" max="2" width="9.7109375" customWidth="1"/>
    <col min="3" max="3" width="5.5703125" bestFit="1" customWidth="1"/>
    <col min="4" max="4" width="7.5703125" bestFit="1" customWidth="1"/>
    <col min="5" max="5" width="5.5703125" bestFit="1" customWidth="1"/>
    <col min="6" max="6" width="12" bestFit="1" customWidth="1"/>
    <col min="7" max="7" width="10.140625" bestFit="1" customWidth="1"/>
    <col min="8" max="8" width="5.7109375" bestFit="1" customWidth="1"/>
    <col min="9" max="9" width="7.5703125" bestFit="1" customWidth="1"/>
    <col min="10" max="10" width="9.140625" customWidth="1"/>
    <col min="11" max="11" width="7.5703125" bestFit="1" customWidth="1"/>
    <col min="12" max="13" width="7" bestFit="1" customWidth="1"/>
    <col min="14" max="14" width="14.7109375" bestFit="1" customWidth="1"/>
    <col min="15" max="15" width="19.5703125" bestFit="1" customWidth="1"/>
    <col min="16" max="16" width="23.85546875" customWidth="1"/>
    <col min="17" max="17" width="6.85546875" bestFit="1" customWidth="1"/>
    <col min="18" max="18" width="9" bestFit="1" customWidth="1"/>
    <col min="19" max="19" width="10.7109375" bestFit="1" customWidth="1"/>
  </cols>
  <sheetData>
    <row r="1" spans="1:19" ht="18.75" x14ac:dyDescent="0.3">
      <c r="A1" s="1" t="s">
        <v>169</v>
      </c>
    </row>
    <row r="2" spans="1:19" x14ac:dyDescent="0.25">
      <c r="A2" s="2" t="s">
        <v>68</v>
      </c>
    </row>
    <row r="4" spans="1:19" x14ac:dyDescent="0.25">
      <c r="A4" s="3" t="s">
        <v>35</v>
      </c>
      <c r="B4" s="3" t="s">
        <v>46</v>
      </c>
      <c r="C4" s="3" t="s">
        <v>54</v>
      </c>
      <c r="D4" s="3" t="s">
        <v>55</v>
      </c>
      <c r="E4" s="3" t="s">
        <v>170</v>
      </c>
      <c r="F4" s="3" t="s">
        <v>171</v>
      </c>
      <c r="G4" s="3" t="s">
        <v>172</v>
      </c>
      <c r="H4" s="3" t="s">
        <v>182</v>
      </c>
      <c r="I4" s="3" t="s">
        <v>183</v>
      </c>
      <c r="J4" s="12" t="s">
        <v>441</v>
      </c>
      <c r="K4" s="3" t="s">
        <v>184</v>
      </c>
      <c r="L4" s="3" t="s">
        <v>173</v>
      </c>
      <c r="M4" s="3" t="s">
        <v>50</v>
      </c>
      <c r="N4" s="12" t="s">
        <v>185</v>
      </c>
      <c r="O4" s="12" t="s">
        <v>392</v>
      </c>
      <c r="P4" s="12" t="s">
        <v>277</v>
      </c>
      <c r="Q4" s="12" t="s">
        <v>245</v>
      </c>
      <c r="R4" s="12" t="s">
        <v>246</v>
      </c>
      <c r="S4" s="12" t="s">
        <v>247</v>
      </c>
    </row>
    <row r="5" spans="1:19" x14ac:dyDescent="0.25">
      <c r="A5" s="4" t="s">
        <v>442</v>
      </c>
      <c r="B5" s="4" t="s">
        <v>46</v>
      </c>
      <c r="C5" s="4" t="s">
        <v>38</v>
      </c>
      <c r="D5" s="4" t="s">
        <v>38</v>
      </c>
      <c r="E5" s="4" t="s">
        <v>174</v>
      </c>
      <c r="F5" s="4" t="s">
        <v>174</v>
      </c>
      <c r="G5" s="4" t="s">
        <v>175</v>
      </c>
      <c r="H5" s="4" t="s">
        <v>70</v>
      </c>
      <c r="I5" s="4" t="s">
        <v>396</v>
      </c>
      <c r="J5" s="4" t="s">
        <v>163</v>
      </c>
      <c r="K5" s="4" t="s">
        <v>70</v>
      </c>
      <c r="L5" s="16" t="s">
        <v>174</v>
      </c>
      <c r="M5" s="4" t="s">
        <v>69</v>
      </c>
      <c r="N5" s="4" t="s">
        <v>38</v>
      </c>
      <c r="O5" s="4"/>
      <c r="P5" s="4"/>
      <c r="Q5" s="4"/>
      <c r="R5" s="4" t="s">
        <v>248</v>
      </c>
      <c r="S5" s="4" t="s">
        <v>248</v>
      </c>
    </row>
    <row r="6" spans="1:19" x14ac:dyDescent="0.25">
      <c r="A6" s="6" t="s">
        <v>191</v>
      </c>
      <c r="B6" s="5" t="s">
        <v>140</v>
      </c>
      <c r="C6" s="5">
        <v>0</v>
      </c>
      <c r="D6" s="19">
        <f>_xlfn.XLOOKUP(P6,[2]CapacidadEfectiva!$B$145:$B$179,[2]CapacidadEfectiva!$C$145:$C$179)</f>
        <v>1250</v>
      </c>
      <c r="E6" s="19">
        <f>C6/G6</f>
        <v>0</v>
      </c>
      <c r="F6" s="19">
        <f>D6/G6</f>
        <v>126.95897701534679</v>
      </c>
      <c r="G6" s="5" t="str">
        <f>_xlfn.XLOOKUP(P6,[3]Phidráulica!$A$10:$A$166,[3]Phidráulica!$J$10:$J$166)</f>
        <v>9,8457</v>
      </c>
      <c r="H6" s="19" t="str">
        <f>_xlfn.XLOOKUP(A6,[4]Información_Técnica!$A$8:$A$36,[4]Información_Técnica!$F$8:$F$36)</f>
        <v>18,47</v>
      </c>
      <c r="I6" s="19">
        <f>_xlfn.XLOOKUP(A6,[4]Información_Técnica!$A$8:$A$36,[4]Información_Técnica!$G$8:$G$36)</f>
        <v>741.69</v>
      </c>
      <c r="J6" s="19">
        <v>0.96002599485633688</v>
      </c>
      <c r="K6" s="19">
        <f>H6+J6*(I6-H6)</f>
        <v>712.78</v>
      </c>
      <c r="L6" s="23">
        <v>0</v>
      </c>
      <c r="M6" s="19">
        <f>_xlfn.XLOOKUP(Q6,'[5]01_SERIE'!$H$14042:$H$16057,'[5]01_SERIE'!$K$14042:$K$16057)</f>
        <v>25.320716592950564</v>
      </c>
      <c r="N6" s="5">
        <v>300</v>
      </c>
      <c r="O6" s="6" t="str">
        <f>_xlfn.XLOOKUP(P6,[3]Phidráulica!$A$10:$A$166,[3]Phidráulica!$K$10:$K$166)</f>
        <v>Cuenta con embalse</v>
      </c>
      <c r="P6" s="6" t="s">
        <v>191</v>
      </c>
      <c r="Q6" s="6" t="str">
        <f>_xlfn.XLOOKUP(P6,[6]Detalle_Unidades!$F$2:$F$886,[6]Detalle_Unidades!$A$2:$A$886)</f>
        <v>GVIO</v>
      </c>
      <c r="R6" s="5">
        <v>4.4355000000000002</v>
      </c>
      <c r="S6" s="5">
        <v>-73.29007</v>
      </c>
    </row>
    <row r="7" spans="1:19" x14ac:dyDescent="0.25">
      <c r="A7" s="6" t="s">
        <v>402</v>
      </c>
      <c r="B7" s="5" t="s">
        <v>138</v>
      </c>
      <c r="C7" s="5">
        <v>0</v>
      </c>
      <c r="D7" s="19">
        <f>_xlfn.XLOOKUP(P7,[2]CapacidadEfectiva!$B$145:$B$179,[2]CapacidadEfectiva!$C$145:$C$179)</f>
        <v>1240</v>
      </c>
      <c r="E7" s="19">
        <f t="shared" ref="E7:E40" si="0">C7/G7</f>
        <v>0</v>
      </c>
      <c r="F7" s="19">
        <f t="shared" ref="F7:F40" si="1">D7/G7</f>
        <v>229.63813474573132</v>
      </c>
      <c r="G7" s="5" t="str">
        <f>_xlfn.XLOOKUP(P7,[3]Phidráulica!$A$10:$A$166,[3]Phidráulica!$J$10:$J$166)</f>
        <v>5,3998</v>
      </c>
      <c r="H7" s="19" t="str">
        <f>_xlfn.XLOOKUP(A7,[4]Información_Técnica!$A$8:$A$36,[4]Información_Técnica!$F$8:$F$36)</f>
        <v>13,98</v>
      </c>
      <c r="I7" s="19">
        <f>_xlfn.XLOOKUP(A7,[4]Información_Técnica!$A$8:$A$36,[4]Información_Técnica!$G$8:$G$36)</f>
        <v>57.94</v>
      </c>
      <c r="J7" s="19">
        <v>0.38034576888080074</v>
      </c>
      <c r="K7" s="19">
        <f t="shared" ref="K7:K40" si="2">H7+J7*(I7-H7)</f>
        <v>30.7</v>
      </c>
      <c r="L7" s="23">
        <v>0</v>
      </c>
      <c r="M7" s="19">
        <f>_xlfn.XLOOKUP(Q7,'[5]01_SERIE'!$H$14042:$H$16057,'[5]01_SERIE'!$K$14042:$K$16057)</f>
        <v>207.77070809260636</v>
      </c>
      <c r="N7" s="5">
        <v>176</v>
      </c>
      <c r="O7" s="6" t="str">
        <f>_xlfn.XLOOKUP(P7,[3]Phidráulica!$A$10:$A$166,[3]Phidráulica!$K$10:$K$166)</f>
        <v>Cuenta con embalse</v>
      </c>
      <c r="P7" s="6" t="s">
        <v>240</v>
      </c>
      <c r="Q7" s="6" t="str">
        <f>_xlfn.XLOOKUP(P7,[6]Detalle_Unidades!$F$2:$F$886,[6]Detalle_Unidades!$A$2:$A$886)</f>
        <v>SNCR</v>
      </c>
      <c r="R7" s="5">
        <v>6.2115</v>
      </c>
      <c r="S7" s="5">
        <v>-74.840500000000006</v>
      </c>
    </row>
    <row r="8" spans="1:19" x14ac:dyDescent="0.25">
      <c r="A8" s="6" t="s">
        <v>192</v>
      </c>
      <c r="B8" s="5" t="s">
        <v>138</v>
      </c>
      <c r="C8" s="5">
        <v>0</v>
      </c>
      <c r="D8" s="19">
        <f>_xlfn.XLOOKUP(P8,[2]CapacidadEfectiva!$B$145:$B$179,[2]CapacidadEfectiva!$C$145:$C$179)</f>
        <v>1200</v>
      </c>
      <c r="E8" s="19">
        <f t="shared" si="0"/>
        <v>0</v>
      </c>
      <c r="F8" s="19">
        <f t="shared" si="1"/>
        <v>695.16857838025726</v>
      </c>
      <c r="G8" s="5" t="str">
        <f>_xlfn.XLOOKUP(P8,[3]Phidráulica!$A$10:$A$166,[3]Phidráulica!$J$10:$J$166)</f>
        <v>1,7262</v>
      </c>
      <c r="H8" s="19" t="str">
        <f>_xlfn.XLOOKUP(A8,[4]Información_Técnica!$A$8:$A$36,[4]Información_Técnica!$F$8:$F$36)</f>
        <v>1.299</v>
      </c>
      <c r="I8" s="19">
        <f>_xlfn.XLOOKUP(A8,[4]Información_Técnica!$A$8:$A$36,[4]Información_Técnica!$G$8:$G$36)</f>
        <v>1431</v>
      </c>
      <c r="J8" s="19">
        <v>0.50166666666666671</v>
      </c>
      <c r="K8" s="19">
        <f t="shared" si="2"/>
        <v>1365.22</v>
      </c>
      <c r="L8" s="23">
        <v>0</v>
      </c>
      <c r="M8" s="19">
        <f>_xlfn.XLOOKUP(Q8,'[5]01_SERIE'!$H$14042:$H$16057,'[5]01_SERIE'!$K$14042:$K$16057)</f>
        <v>24.491581872249579</v>
      </c>
      <c r="N8" s="5">
        <v>616</v>
      </c>
      <c r="O8" s="6" t="str">
        <f>_xlfn.XLOOKUP(P8,[3]Phidráulica!$A$10:$A$166,[3]Phidráulica!$K$10:$K$166)</f>
        <v>Cuenta con embalse</v>
      </c>
      <c r="P8" s="6" t="s">
        <v>192</v>
      </c>
      <c r="Q8" s="6" t="str">
        <f>_xlfn.XLOOKUP(P8,[6]Detalle_Unidades!$F$2:$F$886,[6]Detalle_Unidades!$A$2:$A$886)</f>
        <v>PES1</v>
      </c>
      <c r="R8" s="5">
        <v>7.1345000000000001</v>
      </c>
      <c r="S8" s="5">
        <v>-75.662199999999999</v>
      </c>
    </row>
    <row r="9" spans="1:19" x14ac:dyDescent="0.25">
      <c r="A9" s="26" t="s">
        <v>190</v>
      </c>
      <c r="B9" s="5" t="s">
        <v>140</v>
      </c>
      <c r="C9" s="5">
        <v>0</v>
      </c>
      <c r="D9" s="19">
        <f>_xlfn.XLOOKUP(P9,[2]CapacidadEfectiva!$B$145:$B$179,[2]CapacidadEfectiva!$C$145:$C$179)</f>
        <v>1000</v>
      </c>
      <c r="E9" s="19">
        <f t="shared" si="0"/>
        <v>0</v>
      </c>
      <c r="F9" s="19">
        <f t="shared" si="1"/>
        <v>143.1987742184927</v>
      </c>
      <c r="G9" s="5" t="str">
        <f>_xlfn.XLOOKUP(P9,[3]Phidráulica!$A$10:$A$166,[3]Phidráulica!$J$10:$J$166)</f>
        <v>6,9833</v>
      </c>
      <c r="H9" s="19" t="str">
        <f>_xlfn.XLOOKUP(A9,[4]Información_Técnica!$A$8:$A$36,[4]Información_Técnica!$F$8:$F$36)</f>
        <v>67,7</v>
      </c>
      <c r="I9" s="19">
        <f>_xlfn.XLOOKUP(A9,[4]Información_Técnica!$A$8:$A$36,[4]Información_Técnica!$G$8:$G$36)</f>
        <v>528.48</v>
      </c>
      <c r="J9" s="19">
        <v>0.86798472155909545</v>
      </c>
      <c r="K9" s="19">
        <f t="shared" si="2"/>
        <v>467.65000000000003</v>
      </c>
      <c r="L9" s="23">
        <v>0</v>
      </c>
      <c r="M9" s="19">
        <f>_xlfn.XLOOKUP(Q9,'[5]01_SERIE'!$H$14042:$H$16057,'[5]01_SERIE'!$K$14042:$K$16057)</f>
        <v>42.083671256852533</v>
      </c>
      <c r="N9" s="5">
        <v>80</v>
      </c>
      <c r="O9" s="6" t="str">
        <f>_xlfn.XLOOKUP(P9,[3]Phidráulica!$A$10:$A$166,[3]Phidráulica!$K$10:$K$166)</f>
        <v>Cuenta con embalse</v>
      </c>
      <c r="P9" s="6" t="s">
        <v>380</v>
      </c>
      <c r="Q9" s="6" t="str">
        <f>_xlfn.XLOOKUP(P9,[6]Detalle_Unidades!$F$2:$F$886,[6]Detalle_Unidades!$A$2:$A$886)</f>
        <v>CHVR</v>
      </c>
      <c r="R9" s="5">
        <v>4.9000000000000004</v>
      </c>
      <c r="S9" s="5">
        <v>-73.3</v>
      </c>
    </row>
    <row r="10" spans="1:19" x14ac:dyDescent="0.25">
      <c r="A10" s="6" t="s">
        <v>403</v>
      </c>
      <c r="B10" s="5" t="s">
        <v>150</v>
      </c>
      <c r="C10" s="5">
        <v>0</v>
      </c>
      <c r="D10" s="19">
        <f>_xlfn.XLOOKUP(P10,[2]CapacidadEfectiva!$B$145:$B$179,[2]CapacidadEfectiva!$C$145:$C$179)</f>
        <v>819</v>
      </c>
      <c r="E10" s="19">
        <f t="shared" si="0"/>
        <v>0</v>
      </c>
      <c r="F10" s="19">
        <f t="shared" si="1"/>
        <v>586.21430105217951</v>
      </c>
      <c r="G10" s="5" t="str">
        <f>_xlfn.XLOOKUP(P10,[3]Phidráulica!$A$10:$A$166,[3]Phidráulica!$J$10:$J$166)</f>
        <v>1,3971</v>
      </c>
      <c r="H10" s="19" t="str">
        <f>_xlfn.XLOOKUP(A10,[4]Información_Técnica!$A$8:$A$36,[4]Información_Técnica!$F$8:$F$36)</f>
        <v>555,84</v>
      </c>
      <c r="I10" s="19">
        <f>_xlfn.XLOOKUP(A10,[4]Información_Técnica!$A$8:$A$36,[4]Información_Técnica!$G$8:$G$36)</f>
        <v>3206.49</v>
      </c>
      <c r="J10" s="19">
        <v>0.84208778978741061</v>
      </c>
      <c r="K10" s="19">
        <f t="shared" si="2"/>
        <v>2787.9199999999996</v>
      </c>
      <c r="L10" s="23">
        <v>0</v>
      </c>
      <c r="M10" s="19">
        <f>_xlfn.XLOOKUP(Q10,'[5]01_SERIE'!$H$14042:$H$16057,'[5]01_SERIE'!$K$14042:$K$16057)</f>
        <v>197.7375149452773</v>
      </c>
      <c r="N10" s="5">
        <v>360</v>
      </c>
      <c r="O10" s="6" t="str">
        <f>_xlfn.XLOOKUP(P10,[3]Phidráulica!$A$10:$A$166,[3]Phidráulica!$K$10:$K$166)</f>
        <v>Cuenta con embalse</v>
      </c>
      <c r="P10" s="6" t="s">
        <v>243</v>
      </c>
      <c r="Q10" s="6" t="str">
        <f>_xlfn.XLOOKUP(P10,[6]Detalle_Unidades!$F$2:$F$886,[6]Detalle_Unidades!$A$2:$A$886)</f>
        <v>SOG1</v>
      </c>
      <c r="R10" s="5">
        <v>7.1003639999999999</v>
      </c>
      <c r="S10" s="5">
        <v>-73.407010999999997</v>
      </c>
    </row>
    <row r="11" spans="1:19" x14ac:dyDescent="0.25">
      <c r="A11" s="6" t="s">
        <v>239</v>
      </c>
      <c r="B11" s="5" t="s">
        <v>138</v>
      </c>
      <c r="C11" s="5">
        <v>0</v>
      </c>
      <c r="D11" s="19">
        <f>_xlfn.XLOOKUP(P11,[2]CapacidadEfectiva!$B$145:$B$179,[2]CapacidadEfectiva!$C$145:$C$179)</f>
        <v>700</v>
      </c>
      <c r="E11" s="19">
        <f t="shared" si="0"/>
        <v>0</v>
      </c>
      <c r="F11" s="19">
        <f t="shared" si="1"/>
        <v>228.70585160257457</v>
      </c>
      <c r="G11" s="5" t="str">
        <f>_xlfn.XLOOKUP(P11,[3]Phidráulica!$A$10:$A$166,[3]Phidráulica!$J$10:$J$166)</f>
        <v>3,0607</v>
      </c>
      <c r="H11" s="19" t="str">
        <f>_xlfn.XLOOKUP(A11,[4]Información_Técnica!$A$8:$A$36,[4]Información_Técnica!$F$8:$F$36)</f>
        <v>29,45</v>
      </c>
      <c r="I11" s="19">
        <f>_xlfn.XLOOKUP(A11,[4]Información_Técnica!$A$8:$A$36,[4]Información_Técnica!$G$8:$G$36)</f>
        <v>161.28</v>
      </c>
      <c r="J11" s="19">
        <v>0.26116968823484793</v>
      </c>
      <c r="K11" s="19">
        <f t="shared" si="2"/>
        <v>63.88000000000001</v>
      </c>
      <c r="L11" s="23">
        <v>0</v>
      </c>
      <c r="M11" s="19">
        <f>_xlfn.XLOOKUP(Q11,'[5]01_SERIE'!$H$14042:$H$16057,'[5]01_SERIE'!$K$14042:$K$16057)</f>
        <v>197.62603502141806</v>
      </c>
      <c r="N11" s="5">
        <v>500</v>
      </c>
      <c r="O11" s="6" t="str">
        <f>_xlfn.XLOOKUP(P11,[3]Phidráulica!$A$10:$A$166,[3]Phidráulica!$K$10:$K$166)</f>
        <v>Cuenta con embalse</v>
      </c>
      <c r="P11" s="6" t="s">
        <v>239</v>
      </c>
      <c r="Q11" s="6" t="str">
        <f>_xlfn.XLOOKUP(P11,[6]Detalle_Unidades!$F$2:$F$886,[6]Detalle_Unidades!$A$2:$A$886)</f>
        <v>PRC3</v>
      </c>
      <c r="R11" s="5"/>
      <c r="S11" s="5"/>
    </row>
    <row r="12" spans="1:19" x14ac:dyDescent="0.25">
      <c r="A12" s="6" t="s">
        <v>404</v>
      </c>
      <c r="B12" s="5" t="s">
        <v>138</v>
      </c>
      <c r="C12" s="5">
        <v>0</v>
      </c>
      <c r="D12" s="19">
        <f>_xlfn.XLOOKUP(P12,[2]CapacidadEfectiva!$B$145:$B$179,[2]CapacidadEfectiva!$C$145:$C$179)</f>
        <v>560</v>
      </c>
      <c r="E12" s="19">
        <f t="shared" si="0"/>
        <v>0</v>
      </c>
      <c r="F12" s="19">
        <f t="shared" si="1"/>
        <v>77.580593768615884</v>
      </c>
      <c r="G12" s="5" t="str">
        <f>_xlfn.XLOOKUP(P12,[3]Phidráulica!$A$10:$A$166,[3]Phidráulica!$J$10:$J$166)</f>
        <v>7,2183</v>
      </c>
      <c r="H12" s="19" t="str">
        <f>_xlfn.XLOOKUP(A12,[4]Información_Técnica!$A$8:$A$36,[4]Información_Técnica!$F$8:$F$36)</f>
        <v>77,84</v>
      </c>
      <c r="I12" s="19">
        <f>_xlfn.XLOOKUP(A12,[4]Información_Técnica!$A$8:$A$36,[4]Información_Técnica!$G$8:$G$36)</f>
        <v>1120.02</v>
      </c>
      <c r="J12" s="19">
        <v>0.92000422191943809</v>
      </c>
      <c r="K12" s="19">
        <f t="shared" si="2"/>
        <v>1036.6500000000001</v>
      </c>
      <c r="L12" s="23">
        <v>0</v>
      </c>
      <c r="M12" s="19">
        <f>_xlfn.XLOOKUP(Q12,'[5]01_SERIE'!$H$14042:$H$16057,'[5]01_SERIE'!$K$14042:$K$16057)</f>
        <v>197.59816504045327</v>
      </c>
      <c r="N12" s="5">
        <v>0</v>
      </c>
      <c r="O12" s="6" t="str">
        <f>_xlfn.XLOOKUP(P12,[3]Phidráulica!$A$10:$A$166,[3]Phidráulica!$K$10:$K$166)</f>
        <v>Cuenta con embalse</v>
      </c>
      <c r="P12" s="6" t="s">
        <v>237</v>
      </c>
      <c r="Q12" s="6" t="str">
        <f>_xlfn.XLOOKUP(P12,[6]Detalle_Unidades!$F$2:$F$886,[6]Detalle_Unidades!$A$2:$A$886)</f>
        <v>GTPE</v>
      </c>
      <c r="R12" s="5">
        <v>6.3198689999999997</v>
      </c>
      <c r="S12" s="5">
        <v>-75.177636000000007</v>
      </c>
    </row>
    <row r="13" spans="1:19" x14ac:dyDescent="0.25">
      <c r="A13" s="6" t="s">
        <v>187</v>
      </c>
      <c r="B13" s="5" t="s">
        <v>148</v>
      </c>
      <c r="C13" s="5">
        <v>0</v>
      </c>
      <c r="D13" s="19">
        <f>_xlfn.XLOOKUP(P13,[2]CapacidadEfectiva!$B$145:$B$179,[2]CapacidadEfectiva!$C$145:$C$179)</f>
        <v>540</v>
      </c>
      <c r="E13" s="19">
        <f t="shared" si="0"/>
        <v>0</v>
      </c>
      <c r="F13" s="19">
        <f t="shared" si="1"/>
        <v>916.03053435114498</v>
      </c>
      <c r="G13" s="5" t="str">
        <f>_xlfn.XLOOKUP(P13,[3]Phidráulica!$A$10:$A$166,[3]Phidráulica!$J$10:$J$166)</f>
        <v>0,5895</v>
      </c>
      <c r="H13" s="19" t="str">
        <f>_xlfn.XLOOKUP(A13,[4]Información_Técnica!$A$8:$A$36,[4]Información_Técnica!$F$8:$F$36)</f>
        <v>448,19</v>
      </c>
      <c r="I13" s="19">
        <f>_xlfn.XLOOKUP(A13,[4]Información_Técnica!$A$8:$A$36,[4]Información_Técnica!$G$8:$G$36)</f>
        <v>1171.79</v>
      </c>
      <c r="J13" s="19">
        <v>0.77616086235489223</v>
      </c>
      <c r="K13" s="19">
        <f t="shared" si="2"/>
        <v>1009.8199999999999</v>
      </c>
      <c r="L13" s="23">
        <v>0</v>
      </c>
      <c r="M13" s="19">
        <f>_xlfn.XLOOKUP(Q13,'[5]01_SERIE'!$H$14042:$H$16057,'[5]01_SERIE'!$K$14042:$K$16057)</f>
        <v>25.320713805952469</v>
      </c>
      <c r="N13" s="5">
        <v>180</v>
      </c>
      <c r="O13" s="6" t="str">
        <f>_xlfn.XLOOKUP(P13,[3]Phidráulica!$A$10:$A$166,[3]Phidráulica!$K$10:$K$166)</f>
        <v>Cuenta con embalse</v>
      </c>
      <c r="P13" s="6" t="s">
        <v>187</v>
      </c>
      <c r="Q13" s="6" t="str">
        <f>_xlfn.XLOOKUP(P13,[6]Detalle_Unidades!$F$2:$F$886,[6]Detalle_Unidades!$A$2:$A$886)</f>
        <v>CHBG</v>
      </c>
      <c r="R13" s="5">
        <v>2.423</v>
      </c>
      <c r="S13" s="5">
        <v>-75.259</v>
      </c>
    </row>
    <row r="14" spans="1:19" x14ac:dyDescent="0.25">
      <c r="A14" s="6" t="s">
        <v>378</v>
      </c>
      <c r="B14" s="5" t="s">
        <v>138</v>
      </c>
      <c r="C14" s="5">
        <v>0</v>
      </c>
      <c r="D14" s="19">
        <f>_xlfn.XLOOKUP(P14,[2]CapacidadEfectiva!$B$145:$B$179,[2]CapacidadEfectiva!$C$145:$C$179)</f>
        <v>405</v>
      </c>
      <c r="E14" s="19">
        <f t="shared" si="0"/>
        <v>0</v>
      </c>
      <c r="F14" s="19">
        <f t="shared" si="1"/>
        <v>188.96976483762597</v>
      </c>
      <c r="G14" s="5" t="str">
        <f>_xlfn.XLOOKUP(P14,[3]Phidráulica!$A$10:$A$166,[3]Phidráulica!$J$10:$J$166)</f>
        <v>2,1432</v>
      </c>
      <c r="H14" s="19" t="str">
        <f>_xlfn.XLOOKUP(A14,[4]Información_Técnica!$A$8:$A$36,[4]Información_Técnica!$F$8:$F$36)</f>
        <v>38,79</v>
      </c>
      <c r="I14" s="19">
        <f>_xlfn.XLOOKUP(A14,[4]Información_Técnica!$A$8:$A$36,[4]Información_Técnica!$G$8:$G$36)</f>
        <v>124.67</v>
      </c>
      <c r="J14" s="19">
        <v>0.28039124359571493</v>
      </c>
      <c r="K14" s="19">
        <f t="shared" si="2"/>
        <v>62.87</v>
      </c>
      <c r="L14" s="23">
        <v>0</v>
      </c>
      <c r="M14" s="19">
        <f>_xlfn.XLOOKUP(Q14,'[5]01_SERIE'!$H$14042:$H$16057,'[5]01_SERIE'!$K$14042:$K$16057)</f>
        <v>209.16420714084651</v>
      </c>
      <c r="N14" s="5">
        <v>225</v>
      </c>
      <c r="O14" s="6" t="str">
        <f>_xlfn.XLOOKUP(P14,[3]Phidráulica!$A$10:$A$166,[3]Phidráulica!$K$10:$K$166)</f>
        <v>Cuenta con embalse</v>
      </c>
      <c r="P14" s="6" t="s">
        <v>378</v>
      </c>
      <c r="Q14" s="6" t="str">
        <f>_xlfn.XLOOKUP(P14,[6]Detalle_Unidades!$F$2:$F$886,[6]Detalle_Unidades!$A$2:$A$886)</f>
        <v>PRC2</v>
      </c>
      <c r="R14" s="5"/>
      <c r="S14" s="5"/>
    </row>
    <row r="15" spans="1:19" x14ac:dyDescent="0.25">
      <c r="A15" s="6" t="s">
        <v>189</v>
      </c>
      <c r="B15" s="5" t="s">
        <v>144</v>
      </c>
      <c r="C15" s="5">
        <v>0</v>
      </c>
      <c r="D15" s="19">
        <f>_xlfn.XLOOKUP(P15,[2]CapacidadEfectiva!$B$145:$B$179,[2]CapacidadEfectiva!$C$145:$C$179)</f>
        <v>400</v>
      </c>
      <c r="E15" s="19">
        <f t="shared" si="0"/>
        <v>0</v>
      </c>
      <c r="F15" s="19">
        <f t="shared" si="1"/>
        <v>363.47114947751021</v>
      </c>
      <c r="G15" s="5" t="str">
        <f>_xlfn.XLOOKUP(P15,[3]Phidráulica!$A$10:$A$166,[3]Phidráulica!$J$10:$J$166)</f>
        <v>1,1005</v>
      </c>
      <c r="H15" s="19" t="str">
        <f>_xlfn.XLOOKUP(A15,[4]Información_Técnica!$A$8:$A$36,[4]Información_Técnica!$F$8:$F$36)</f>
        <v>453,72</v>
      </c>
      <c r="I15" s="19">
        <f>_xlfn.XLOOKUP(A15,[4]Información_Técnica!$A$8:$A$36,[4]Información_Técnica!$G$8:$G$36)</f>
        <v>2742.14</v>
      </c>
      <c r="J15" s="19">
        <v>0.64587794198617388</v>
      </c>
      <c r="K15" s="19">
        <f t="shared" si="2"/>
        <v>1931.76</v>
      </c>
      <c r="L15" s="23">
        <v>0</v>
      </c>
      <c r="M15" s="19">
        <f>_xlfn.XLOOKUP(Q15,'[5]01_SERIE'!$H$14042:$H$16057,'[5]01_SERIE'!$K$14042:$K$16057)</f>
        <v>178.36787817473919</v>
      </c>
      <c r="N15" s="5">
        <v>0</v>
      </c>
      <c r="O15" s="6" t="str">
        <f>_xlfn.XLOOKUP(P15,[3]Phidráulica!$A$10:$A$166,[3]Phidráulica!$K$10:$K$166)</f>
        <v>Cuenta con embalse</v>
      </c>
      <c r="P15" s="6" t="s">
        <v>189</v>
      </c>
      <c r="Q15" s="6" t="str">
        <f>_xlfn.XLOOKUP(P15,[6]Detalle_Unidades!$F$2:$F$886,[6]Detalle_Unidades!$A$2:$A$886)</f>
        <v>QUI1</v>
      </c>
      <c r="R15" s="5">
        <v>2.4493999999999998</v>
      </c>
      <c r="S15" s="5">
        <v>-75.564400000000006</v>
      </c>
    </row>
    <row r="16" spans="1:19" x14ac:dyDescent="0.25">
      <c r="A16" s="6" t="s">
        <v>405</v>
      </c>
      <c r="B16" s="5" t="s">
        <v>143</v>
      </c>
      <c r="C16" s="5">
        <v>0</v>
      </c>
      <c r="D16" s="19">
        <f>_xlfn.XLOOKUP(P16,[2]CapacidadEfectiva!$B$145:$B$179,[2]CapacidadEfectiva!$C$145:$C$179)</f>
        <v>396</v>
      </c>
      <c r="E16" s="19">
        <f t="shared" si="0"/>
        <v>0</v>
      </c>
      <c r="F16" s="19">
        <f t="shared" si="1"/>
        <v>191.55420113191119</v>
      </c>
      <c r="G16" s="5" t="str">
        <f>_xlfn.XLOOKUP(P16,[3]Phidráulica!$A$10:$A$166,[3]Phidráulica!$J$10:$J$166)</f>
        <v>2,0673</v>
      </c>
      <c r="H16" s="19" t="str">
        <f>_xlfn.XLOOKUP(A16,[4]Información_Técnica!$A$8:$A$36,[4]Información_Técnica!$F$8:$F$36)</f>
        <v>48,01</v>
      </c>
      <c r="I16" s="19">
        <f>_xlfn.XLOOKUP(A16,[4]Información_Técnica!$A$8:$A$36,[4]Información_Técnica!$G$8:$G$36)</f>
        <v>489.8</v>
      </c>
      <c r="J16" s="19">
        <v>0.76602005477715662</v>
      </c>
      <c r="K16" s="19">
        <f t="shared" si="2"/>
        <v>386.43</v>
      </c>
      <c r="L16" s="23">
        <v>0</v>
      </c>
      <c r="M16" s="19">
        <f>_xlfn.XLOOKUP(Q16,'[5]01_SERIE'!$H$14042:$H$16057,'[5]01_SERIE'!$K$14042:$K$16057)</f>
        <v>300.99579441987242</v>
      </c>
      <c r="N16" s="5">
        <v>60</v>
      </c>
      <c r="O16" s="6" t="str">
        <f>_xlfn.XLOOKUP(P16,[3]Phidráulica!$A$10:$A$166,[3]Phidráulica!$K$10:$K$166)</f>
        <v>Cuenta con embalse</v>
      </c>
      <c r="P16" s="6" t="s">
        <v>238</v>
      </c>
      <c r="Q16" s="6" t="str">
        <f>_xlfn.XLOOKUP(P16,[6]Detalle_Unidades!$F$2:$F$886,[6]Detalle_Unidades!$A$2:$A$886)</f>
        <v>HMLG</v>
      </c>
      <c r="R16" s="5">
        <v>5.37</v>
      </c>
      <c r="S16" s="5">
        <v>-74.569999999999993</v>
      </c>
    </row>
    <row r="17" spans="1:19" x14ac:dyDescent="0.25">
      <c r="A17" s="6" t="s">
        <v>387</v>
      </c>
      <c r="B17" s="5" t="s">
        <v>151</v>
      </c>
      <c r="C17" s="5">
        <v>0</v>
      </c>
      <c r="D17" s="19">
        <f>_xlfn.XLOOKUP(P17,[2]CapacidadEfectiva!$B$145:$B$179,[2]CapacidadEfectiva!$C$145:$C$179)</f>
        <v>355</v>
      </c>
      <c r="E17" s="19">
        <f t="shared" si="0"/>
        <v>0</v>
      </c>
      <c r="F17" s="19">
        <f t="shared" si="1"/>
        <v>101.162658155705</v>
      </c>
      <c r="G17" s="5" t="str">
        <f>_xlfn.XLOOKUP(P17,[3]Phidráulica!$A$10:$A$166,[3]Phidráulica!$J$10:$J$166)</f>
        <v>3,5092</v>
      </c>
      <c r="H17" s="19" t="str">
        <f>_xlfn.XLOOKUP(A17,[4]Información_Técnica!$A$8:$A$36,[4]Información_Técnica!$F$8:$F$36)</f>
        <v>6,32</v>
      </c>
      <c r="I17" s="19">
        <f>_xlfn.XLOOKUP(A17,[4]Información_Técnica!$A$8:$A$36,[4]Información_Técnica!$G$8:$G$36)</f>
        <v>38.380000000000003</v>
      </c>
      <c r="J17" s="19">
        <v>0.6428571428571429</v>
      </c>
      <c r="K17" s="19">
        <f t="shared" si="2"/>
        <v>26.930000000000003</v>
      </c>
      <c r="L17" s="23">
        <v>0</v>
      </c>
      <c r="M17" s="19">
        <f>_xlfn.XLOOKUP(Q17,'[5]01_SERIE'!$H$14042:$H$16057,'[5]01_SERIE'!$K$14042:$K$16057)</f>
        <v>335.83327062587614</v>
      </c>
      <c r="N17" s="5">
        <v>90</v>
      </c>
      <c r="O17" s="6" t="str">
        <f>_xlfn.XLOOKUP(P17,[3]Phidráulica!$A$10:$A$166,[3]Phidráulica!$K$10:$K$166)</f>
        <v>Cuenta con embalse</v>
      </c>
      <c r="P17" s="6" t="s">
        <v>387</v>
      </c>
      <c r="Q17" s="6" t="s">
        <v>395</v>
      </c>
      <c r="R17" s="5"/>
      <c r="S17" s="5"/>
    </row>
    <row r="18" spans="1:19" x14ac:dyDescent="0.25">
      <c r="A18" s="6" t="s">
        <v>196</v>
      </c>
      <c r="B18" s="5" t="s">
        <v>146</v>
      </c>
      <c r="C18" s="5">
        <v>0</v>
      </c>
      <c r="D18" s="19">
        <f>_xlfn.XLOOKUP(P18,[2]CapacidadEfectiva!$B$145:$B$179,[2]CapacidadEfectiva!$C$145:$C$179)</f>
        <v>338</v>
      </c>
      <c r="E18" s="19">
        <f t="shared" si="0"/>
        <v>0</v>
      </c>
      <c r="F18" s="19">
        <f t="shared" si="1"/>
        <v>710.6812447434819</v>
      </c>
      <c r="G18" s="5" t="str">
        <f>_xlfn.XLOOKUP(P18,[3]Phidráulica!$A$10:$A$166,[3]Phidráulica!$J$10:$J$166)</f>
        <v>0,4756</v>
      </c>
      <c r="H18" s="19" t="str">
        <f>_xlfn.XLOOKUP(A18,[4]Información_Técnica!$A$8:$A$36,[4]Información_Técnica!$F$8:$F$36)</f>
        <v>354,01</v>
      </c>
      <c r="I18" s="19">
        <f>_xlfn.XLOOKUP(A18,[4]Información_Técnica!$A$8:$A$36,[4]Información_Técnica!$G$8:$G$36)</f>
        <v>1418.17</v>
      </c>
      <c r="J18" s="19">
        <v>0.64770335287926628</v>
      </c>
      <c r="K18" s="19">
        <f t="shared" si="2"/>
        <v>1043.27</v>
      </c>
      <c r="L18" s="23">
        <v>0</v>
      </c>
      <c r="M18" s="19">
        <f>_xlfn.XLOOKUP(Q18,'[5]01_SERIE'!$H$14042:$H$16057,'[5]01_SERIE'!$K$14042:$K$16057)</f>
        <v>198.43426446939736</v>
      </c>
      <c r="N18" s="5">
        <v>120</v>
      </c>
      <c r="O18" s="6" t="str">
        <f>_xlfn.XLOOKUP(P18,[3]Phidráulica!$A$10:$A$166,[3]Phidráulica!$K$10:$K$166)</f>
        <v>Cuenta con embalse</v>
      </c>
      <c r="P18" s="6" t="s">
        <v>196</v>
      </c>
      <c r="Q18" s="6" t="str">
        <f>_xlfn.XLOOKUP(P18,[6]Detalle_Unidades!$F$2:$F$886,[6]Detalle_Unidades!$A$2:$A$886)</f>
        <v>URA1</v>
      </c>
      <c r="R18" s="5">
        <v>7.8666669999999996</v>
      </c>
      <c r="S18" s="5">
        <v>-76.283332999999999</v>
      </c>
    </row>
    <row r="19" spans="1:19" x14ac:dyDescent="0.25">
      <c r="A19" s="6" t="s">
        <v>195</v>
      </c>
      <c r="B19" s="5" t="s">
        <v>151</v>
      </c>
      <c r="C19" s="5">
        <v>0</v>
      </c>
      <c r="D19" s="19">
        <f>_xlfn.XLOOKUP(P19,[2]CapacidadEfectiva!$B$145:$B$179,[2]CapacidadEfectiva!$C$145:$C$179)</f>
        <v>315</v>
      </c>
      <c r="E19" s="19">
        <f t="shared" si="0"/>
        <v>0</v>
      </c>
      <c r="F19" s="19">
        <f t="shared" si="1"/>
        <v>365.81117175705492</v>
      </c>
      <c r="G19" s="5" t="str">
        <f>_xlfn.XLOOKUP(P19,[3]Phidráulica!$A$10:$A$166,[3]Phidráulica!$J$10:$J$166)</f>
        <v>0,8611</v>
      </c>
      <c r="H19" s="19" t="str">
        <f>_xlfn.XLOOKUP(A19,[4]Información_Técnica!$A$8:$A$36,[4]Información_Técnica!$F$8:$F$36)</f>
        <v>91,45</v>
      </c>
      <c r="I19" s="19">
        <f>_xlfn.XLOOKUP(A19,[4]Información_Técnica!$A$8:$A$36,[4]Información_Técnica!$G$8:$G$36)</f>
        <v>807.22</v>
      </c>
      <c r="J19" s="19">
        <v>0.90181203459211756</v>
      </c>
      <c r="K19" s="19">
        <f t="shared" si="2"/>
        <v>736.94</v>
      </c>
      <c r="L19" s="23">
        <v>0</v>
      </c>
      <c r="M19" s="19">
        <f>_xlfn.XLOOKUP(Q19,'[5]01_SERIE'!$H$14042:$H$16057,'[5]01_SERIE'!$K$14042:$K$16057)</f>
        <v>335.55457081622814</v>
      </c>
      <c r="N19" s="5">
        <v>90</v>
      </c>
      <c r="O19" s="6" t="str">
        <f>_xlfn.XLOOKUP(P19,[3]Phidráulica!$A$10:$A$166,[3]Phidráulica!$K$10:$K$166)</f>
        <v>Cuenta con embalse</v>
      </c>
      <c r="P19" s="6" t="s">
        <v>195</v>
      </c>
      <c r="Q19" s="6" t="str">
        <f>_xlfn.XLOOKUP(P19,[6]Detalle_Unidades!$F$2:$F$886,[6]Detalle_Unidades!$A$2:$A$886)</f>
        <v>SLVJ</v>
      </c>
      <c r="R19" s="5">
        <v>2.5639150000000002</v>
      </c>
      <c r="S19" s="5">
        <v>-76.422730000000001</v>
      </c>
    </row>
    <row r="20" spans="1:19" x14ac:dyDescent="0.25">
      <c r="A20" s="6" t="s">
        <v>406</v>
      </c>
      <c r="B20" s="5" t="s">
        <v>138</v>
      </c>
      <c r="C20" s="5">
        <v>0</v>
      </c>
      <c r="D20" s="19">
        <f>_xlfn.XLOOKUP(P20,[2]CapacidadEfectiva!$B$145:$B$179,[2]CapacidadEfectiva!$C$145:$C$179)</f>
        <v>306</v>
      </c>
      <c r="E20" s="19">
        <f t="shared" si="0"/>
        <v>0</v>
      </c>
      <c r="F20" s="19">
        <f t="shared" si="1"/>
        <v>39.154969226241505</v>
      </c>
      <c r="G20" s="5" t="str">
        <f>_xlfn.XLOOKUP(P20,[3]Phidráulica!$A$10:$A$166,[3]Phidráulica!$J$10:$J$166)</f>
        <v>7,8151</v>
      </c>
      <c r="H20" s="19" t="str">
        <f>_xlfn.XLOOKUP(A20,[4]Información_Técnica!$A$8:$A$36,[4]Información_Técnica!$F$8:$F$36)</f>
        <v>47,64</v>
      </c>
      <c r="I20" s="19">
        <f>_xlfn.XLOOKUP(A20,[4]Información_Técnica!$A$8:$A$36,[4]Información_Técnica!$G$8:$G$36)</f>
        <v>185.26</v>
      </c>
      <c r="J20" s="19">
        <v>0.70396744659206512</v>
      </c>
      <c r="K20" s="19">
        <f t="shared" si="2"/>
        <v>144.52000000000001</v>
      </c>
      <c r="L20" s="23">
        <v>0</v>
      </c>
      <c r="M20" s="19">
        <f>_xlfn.XLOOKUP(Q20,'[5]01_SERIE'!$H$14042:$H$16057,'[5]01_SERIE'!$K$14042:$K$16057)</f>
        <v>249.43632963498686</v>
      </c>
      <c r="N20" s="5">
        <v>0</v>
      </c>
      <c r="O20" s="6" t="str">
        <f>_xlfn.XLOOKUP(P20,[3]Phidráulica!$A$10:$A$166,[3]Phidráulica!$K$10:$K$166)</f>
        <v>Cuenta con embalse</v>
      </c>
      <c r="P20" s="6" t="s">
        <v>377</v>
      </c>
      <c r="Q20" s="6" t="str">
        <f>_xlfn.XLOOKUP(P20,[6]Detalle_Unidades!$F$2:$F$886,[6]Detalle_Unidades!$A$2:$A$886)</f>
        <v>LTSJ</v>
      </c>
      <c r="R20" s="5">
        <v>6.5093079999999999</v>
      </c>
      <c r="S20" s="5">
        <v>-75.452425000000005</v>
      </c>
    </row>
    <row r="21" spans="1:19" x14ac:dyDescent="0.25">
      <c r="A21" s="6" t="s">
        <v>193</v>
      </c>
      <c r="B21" s="5" t="s">
        <v>138</v>
      </c>
      <c r="C21" s="5">
        <v>0</v>
      </c>
      <c r="D21" s="19">
        <f>_xlfn.XLOOKUP(P21,[2]CapacidadEfectiva!$B$145:$B$179,[2]CapacidadEfectiva!$C$145:$C$179)</f>
        <v>207</v>
      </c>
      <c r="E21" s="19">
        <f t="shared" si="0"/>
        <v>0</v>
      </c>
      <c r="F21" s="19">
        <f t="shared" si="1"/>
        <v>119.61169536576911</v>
      </c>
      <c r="G21" s="5" t="str">
        <f>_xlfn.XLOOKUP(P21,[3]Phidráulica!$A$10:$A$166,[3]Phidráulica!$J$10:$J$166)</f>
        <v>1,7306</v>
      </c>
      <c r="H21" s="19" t="str">
        <f>_xlfn.XLOOKUP(A21,[4]Información_Técnica!$A$8:$A$36,[4]Información_Técnica!$F$8:$F$36)</f>
        <v>19,57</v>
      </c>
      <c r="I21" s="19">
        <f>_xlfn.XLOOKUP(A21,[4]Información_Técnica!$A$8:$A$36,[4]Información_Técnica!$G$8:$G$36)</f>
        <v>67.59</v>
      </c>
      <c r="J21" s="19">
        <v>0.71470220741357771</v>
      </c>
      <c r="K21" s="19">
        <f t="shared" si="2"/>
        <v>53.89</v>
      </c>
      <c r="L21" s="23">
        <v>0</v>
      </c>
      <c r="M21" s="19">
        <f>_xlfn.XLOOKUP(Q21,'[5]01_SERIE'!$H$14042:$H$16057,'[5]01_SERIE'!$K$14042:$K$16057)</f>
        <v>25.273337625310401</v>
      </c>
      <c r="N21" s="5">
        <v>147</v>
      </c>
      <c r="O21" s="6" t="str">
        <f>_xlfn.XLOOKUP(P21,[3]Phidráulica!$A$10:$A$166,[3]Phidráulica!$K$10:$K$166)</f>
        <v>Cuenta con embalse</v>
      </c>
      <c r="P21" s="6" t="s">
        <v>193</v>
      </c>
      <c r="Q21" s="6" t="str">
        <f>_xlfn.XLOOKUP(P21,[6]Detalle_Unidades!$F$2:$F$886,[6]Detalle_Unidades!$A$2:$A$886)</f>
        <v>PLYS</v>
      </c>
      <c r="R21" s="5">
        <v>6.2953109999999999</v>
      </c>
      <c r="S21" s="5">
        <v>-74.943152999999995</v>
      </c>
    </row>
    <row r="22" spans="1:19" x14ac:dyDescent="0.25">
      <c r="A22" s="6" t="s">
        <v>407</v>
      </c>
      <c r="B22" s="5" t="s">
        <v>138</v>
      </c>
      <c r="C22" s="5">
        <v>0</v>
      </c>
      <c r="D22" s="19">
        <f>_xlfn.XLOOKUP(P22,[2]CapacidadEfectiva!$B$145:$B$179,[2]CapacidadEfectiva!$C$145:$C$179)</f>
        <v>170</v>
      </c>
      <c r="E22" s="19">
        <f t="shared" si="0"/>
        <v>0</v>
      </c>
      <c r="F22" s="19">
        <f t="shared" si="1"/>
        <v>72.06137933957865</v>
      </c>
      <c r="G22" s="5" t="str">
        <f>_xlfn.XLOOKUP(P22,[3]Phidráulica!$A$10:$A$166,[3]Phidráulica!$J$10:$J$166)</f>
        <v>2,3591</v>
      </c>
      <c r="H22" s="19" t="str">
        <f>_xlfn.XLOOKUP(A22,[4]Información_Técnica!$A$8:$A$36,[4]Información_Técnica!$F$8:$F$36)</f>
        <v>16,86</v>
      </c>
      <c r="I22" s="19">
        <f>_xlfn.XLOOKUP(A22,[4]Información_Técnica!$A$8:$A$36,[4]Información_Técnica!$G$8:$G$36)</f>
        <v>178.37</v>
      </c>
      <c r="J22" s="19">
        <v>0.84378676242957096</v>
      </c>
      <c r="K22" s="19">
        <f t="shared" si="2"/>
        <v>153.13999999999999</v>
      </c>
      <c r="L22" s="23">
        <v>0</v>
      </c>
      <c r="M22" s="19">
        <f>_xlfn.XLOOKUP(Q22,'[5]01_SERIE'!$H$14042:$H$16057,'[5]01_SERIE'!$K$14042:$K$16057)</f>
        <v>207.91005799743039</v>
      </c>
      <c r="N22" s="5">
        <v>30</v>
      </c>
      <c r="O22" s="6" t="str">
        <f>_xlfn.XLOOKUP(P22,[3]Phidráulica!$A$10:$A$166,[3]Phidráulica!$K$10:$K$166)</f>
        <v>Cuenta con embalse</v>
      </c>
      <c r="P22" s="6" t="s">
        <v>376</v>
      </c>
      <c r="Q22" s="6" t="str">
        <f>_xlfn.XLOOKUP(P22,[6]Detalle_Unidades!$F$2:$F$886,[6]Detalle_Unidades!$A$2:$A$886)</f>
        <v>JAGS</v>
      </c>
      <c r="R22" s="5">
        <v>6.3866940000000003</v>
      </c>
      <c r="S22" s="5">
        <v>-74.998221999999998</v>
      </c>
    </row>
    <row r="23" spans="1:19" x14ac:dyDescent="0.25">
      <c r="A23" s="6" t="s">
        <v>188</v>
      </c>
      <c r="B23" s="5" t="s">
        <v>151</v>
      </c>
      <c r="C23" s="5">
        <v>0</v>
      </c>
      <c r="D23" s="19">
        <f>_xlfn.XLOOKUP(P23,[2]CapacidadEfectiva!$B$145:$B$179,[2]CapacidadEfectiva!$C$145:$C$179)</f>
        <v>132</v>
      </c>
      <c r="E23" s="19">
        <f t="shared" si="0"/>
        <v>0</v>
      </c>
      <c r="F23" s="19">
        <f t="shared" si="1"/>
        <v>66.784720465469263</v>
      </c>
      <c r="G23" s="5" t="str">
        <f>_xlfn.XLOOKUP(P23,[3]Phidráulica!$A$10:$A$166,[3]Phidráulica!$J$10:$J$166)</f>
        <v>1,9765</v>
      </c>
      <c r="H23" s="19" t="str">
        <f>_xlfn.XLOOKUP(A23,[4]Información_Técnica!$A$8:$A$36,[4]Información_Técnica!$F$8:$F$36)</f>
        <v>104,36</v>
      </c>
      <c r="I23" s="19">
        <f>_xlfn.XLOOKUP(A23,[4]Información_Técnica!$A$8:$A$36,[4]Información_Técnica!$G$8:$G$36)</f>
        <v>529.29999999999995</v>
      </c>
      <c r="J23" s="19">
        <v>0.9643949734080105</v>
      </c>
      <c r="K23" s="19">
        <f t="shared" si="2"/>
        <v>514.16999999999996</v>
      </c>
      <c r="L23" s="23">
        <v>0</v>
      </c>
      <c r="M23" s="19">
        <f>_xlfn.XLOOKUP(Q23,'[5]01_SERIE'!$H$14042:$H$16057,'[5]01_SERIE'!$K$14042:$K$16057)</f>
        <v>335.27587100658008</v>
      </c>
      <c r="N23" s="5">
        <v>64</v>
      </c>
      <c r="O23" s="6" t="str">
        <f>_xlfn.XLOOKUP(P23,[3]Phidráulica!$A$10:$A$166,[3]Phidráulica!$K$10:$K$166)</f>
        <v>Cuenta con embalse</v>
      </c>
      <c r="P23" s="6" t="s">
        <v>188</v>
      </c>
      <c r="Q23" s="6" t="str">
        <f>_xlfn.XLOOKUP(P23,[6]Detalle_Unidades!$F$2:$F$886,[6]Detalle_Unidades!$A$2:$A$886)</f>
        <v>CLMG</v>
      </c>
      <c r="R23" s="5">
        <v>3.5245850000000001</v>
      </c>
      <c r="S23" s="5">
        <v>-76.333664999999996</v>
      </c>
    </row>
    <row r="24" spans="1:19" x14ac:dyDescent="0.25">
      <c r="A24" s="6" t="s">
        <v>194</v>
      </c>
      <c r="B24" s="5" t="s">
        <v>148</v>
      </c>
      <c r="C24" s="5">
        <v>0</v>
      </c>
      <c r="D24" s="19">
        <f>_xlfn.XLOOKUP(P24,[2]CapacidadEfectiva!$B$145:$B$179,[2]CapacidadEfectiva!$C$145:$C$179)</f>
        <v>51</v>
      </c>
      <c r="E24" s="19">
        <f t="shared" si="0"/>
        <v>0</v>
      </c>
      <c r="F24" s="19">
        <f t="shared" si="1"/>
        <v>102.34798314268512</v>
      </c>
      <c r="G24" s="5" t="str">
        <f>_xlfn.XLOOKUP(P24,[3]Phidráulica!$A$10:$A$166,[3]Phidráulica!$J$10:$J$166)</f>
        <v>0,4983</v>
      </c>
      <c r="H24" s="19" t="str">
        <f>_xlfn.XLOOKUP(A24,[4]Información_Técnica!$A$8:$A$36,[4]Información_Técnica!$F$8:$F$36)</f>
        <v>327,82</v>
      </c>
      <c r="I24" s="19">
        <f>_xlfn.XLOOKUP(A24,[4]Información_Técnica!$A$8:$A$36,[4]Información_Técnica!$G$8:$G$36)</f>
        <v>980.89</v>
      </c>
      <c r="J24" s="19">
        <v>0.67548654814950926</v>
      </c>
      <c r="K24" s="19">
        <f t="shared" si="2"/>
        <v>768.96</v>
      </c>
      <c r="L24" s="23">
        <v>0</v>
      </c>
      <c r="M24" s="19">
        <f>_xlfn.XLOOKUP(Q24,'[5]01_SERIE'!$H$14042:$H$16057,'[5]01_SERIE'!$K$14042:$K$16057)</f>
        <v>306.569790612833</v>
      </c>
      <c r="N24" s="5">
        <v>3</v>
      </c>
      <c r="O24" s="6" t="str">
        <f>_xlfn.XLOOKUP(P24,[3]Phidráulica!$A$10:$A$166,[3]Phidráulica!$K$10:$K$166)</f>
        <v>Cuenta con embalse</v>
      </c>
      <c r="P24" s="6" t="s">
        <v>194</v>
      </c>
      <c r="Q24" s="6" t="str">
        <f>_xlfn.XLOOKUP(P24,[6]Detalle_Unidades!$F$2:$F$886,[6]Detalle_Unidades!$A$2:$A$886)</f>
        <v>PRDO</v>
      </c>
      <c r="R24" s="5">
        <v>3.4515009999999999</v>
      </c>
      <c r="S24" s="5">
        <v>-74.531129000000007</v>
      </c>
    </row>
    <row r="25" spans="1:19" x14ac:dyDescent="0.25">
      <c r="A25" s="6" t="s">
        <v>379</v>
      </c>
      <c r="B25" s="5" t="s">
        <v>138</v>
      </c>
      <c r="C25" s="5">
        <v>0</v>
      </c>
      <c r="D25" s="19">
        <f>_xlfn.XLOOKUP(P25,[2]CapacidadEfectiva!$B$145:$B$179,[2]CapacidadEfectiva!$C$145:$C$179)</f>
        <v>40</v>
      </c>
      <c r="E25" s="19">
        <f t="shared" si="0"/>
        <v>0</v>
      </c>
      <c r="F25" s="19">
        <f t="shared" si="1"/>
        <v>60.304537916478218</v>
      </c>
      <c r="G25" s="5" t="str">
        <f>_xlfn.XLOOKUP(P25,[3]Phidráulica!$A$10:$A$166,[3]Phidráulica!$J$10:$J$166)</f>
        <v>0,6633</v>
      </c>
      <c r="H25" s="5">
        <v>8.4499999999999993</v>
      </c>
      <c r="I25" s="19">
        <v>27.65</v>
      </c>
      <c r="J25" s="19">
        <v>0.59687500000000004</v>
      </c>
      <c r="K25" s="19">
        <f t="shared" si="2"/>
        <v>19.91</v>
      </c>
      <c r="L25" s="23">
        <v>0</v>
      </c>
      <c r="M25" s="19">
        <f>_xlfn.XLOOKUP(Q25,'[5]01_SERIE'!$H$14042:$H$16057,'[5]01_SERIE'!$K$14042:$K$16057)</f>
        <v>207.91005799743039</v>
      </c>
      <c r="N25" s="5">
        <v>1</v>
      </c>
      <c r="O25" s="6" t="str">
        <f>_xlfn.XLOOKUP(P25,[3]Phidráulica!$A$10:$A$166,[3]Phidráulica!$K$10:$K$166)</f>
        <v>Cuenta con embalse</v>
      </c>
      <c r="P25" s="6" t="s">
        <v>379</v>
      </c>
      <c r="Q25" s="6" t="s">
        <v>393</v>
      </c>
      <c r="R25" s="5">
        <v>6.7817999999999996</v>
      </c>
      <c r="S25" s="5">
        <v>-75.255499999999998</v>
      </c>
    </row>
    <row r="26" spans="1:19" x14ac:dyDescent="0.25">
      <c r="A26" s="6" t="s">
        <v>382</v>
      </c>
      <c r="B26" s="5" t="s">
        <v>140</v>
      </c>
      <c r="C26" s="5">
        <v>0</v>
      </c>
      <c r="D26" s="19">
        <f>_xlfn.XLOOKUP(P26,[2]CapacidadEfectiva!$B$145:$B$179,[2]CapacidadEfectiva!$C$145:$C$179)</f>
        <v>324</v>
      </c>
      <c r="E26" s="19">
        <f t="shared" si="0"/>
        <v>0</v>
      </c>
      <c r="F26" s="19">
        <f t="shared" si="1"/>
        <v>37.421172992076869</v>
      </c>
      <c r="G26" s="24" t="str">
        <f>_xlfn.XLOOKUP(P26,[3]Phidráulica!$A$10:$A$166,[3]Phidráulica!$J$10:$J$166)</f>
        <v>8,6582</v>
      </c>
      <c r="H26" s="27">
        <v>10.32</v>
      </c>
      <c r="I26" s="23">
        <v>228.43</v>
      </c>
      <c r="J26" s="23">
        <v>0.62491403420292513</v>
      </c>
      <c r="K26" s="19">
        <f t="shared" si="2"/>
        <v>146.62</v>
      </c>
      <c r="L26" s="19">
        <v>0</v>
      </c>
      <c r="M26" s="19">
        <f>_xlfn.XLOOKUP(Q26,'[5]01_SERIE'!$H$14042:$H$16057,'[5]01_SERIE'!$K$14042:$K$16057)</f>
        <v>181.15487627121951</v>
      </c>
      <c r="N26" s="5">
        <v>120</v>
      </c>
      <c r="O26" s="6" t="str">
        <f>_xlfn.XLOOKUP(P26,[3]Phidráulica!$A$10:$A$166,[3]Phidráulica!$K$10:$K$166)</f>
        <v>Cuenta con embalse</v>
      </c>
      <c r="P26" s="6" t="s">
        <v>382</v>
      </c>
      <c r="Q26" s="6" t="s">
        <v>394</v>
      </c>
    </row>
    <row r="27" spans="1:19" x14ac:dyDescent="0.25">
      <c r="A27" s="6" t="s">
        <v>383</v>
      </c>
      <c r="B27" s="5" t="s">
        <v>140</v>
      </c>
      <c r="C27" s="5">
        <v>0</v>
      </c>
      <c r="D27" s="19">
        <f>_xlfn.XLOOKUP(P27,[2]CapacidadEfectiva!$B$145:$B$179,[2]CapacidadEfectiva!$C$145:$C$179)</f>
        <v>276</v>
      </c>
      <c r="E27" s="19">
        <f t="shared" si="0"/>
        <v>0</v>
      </c>
      <c r="F27" s="19">
        <f t="shared" si="1"/>
        <v>37.436419125127166</v>
      </c>
      <c r="G27" s="24" t="str">
        <f>_xlfn.XLOOKUP(P27,[3]Phidráulica!$A$10:$A$166,[3]Phidráulica!$J$10:$J$166)</f>
        <v>7,3725</v>
      </c>
      <c r="H27" s="19">
        <v>0</v>
      </c>
      <c r="I27" s="19">
        <v>0</v>
      </c>
      <c r="J27" s="19">
        <v>0</v>
      </c>
      <c r="K27" s="19">
        <f t="shared" si="2"/>
        <v>0</v>
      </c>
      <c r="L27" s="19">
        <v>0</v>
      </c>
      <c r="M27" s="19">
        <f>_xlfn.XLOOKUP(Q27,'[5]01_SERIE'!$H$14042:$H$16057,'[5]01_SERIE'!$K$14042:$K$16057)</f>
        <v>181.15487627121951</v>
      </c>
      <c r="N27" s="5">
        <v>102</v>
      </c>
      <c r="O27" s="6" t="str">
        <f>_xlfn.XLOOKUP(P27,[3]Phidráulica!$A$10:$A$166,[3]Phidráulica!$K$10:$K$166)</f>
        <v>Cuenta con embalse</v>
      </c>
      <c r="P27" s="6" t="s">
        <v>383</v>
      </c>
      <c r="Q27" s="6" t="s">
        <v>394</v>
      </c>
    </row>
    <row r="28" spans="1:19" x14ac:dyDescent="0.25">
      <c r="A28" s="6" t="s">
        <v>374</v>
      </c>
      <c r="B28" s="5" t="s">
        <v>138</v>
      </c>
      <c r="C28" s="5">
        <v>0</v>
      </c>
      <c r="D28" s="19">
        <f>_xlfn.XLOOKUP(P28,[2]CapacidadEfectiva!$B$145:$B$179,[2]CapacidadEfectiva!$C$145:$C$179)</f>
        <v>270</v>
      </c>
      <c r="E28" s="19">
        <f t="shared" si="0"/>
        <v>0</v>
      </c>
      <c r="F28" s="19">
        <f t="shared" si="1"/>
        <v>58.498537536561585</v>
      </c>
      <c r="G28" s="5" t="str">
        <f>_xlfn.XLOOKUP(P28,[3]Phidráulica!$A$10:$A$166,[3]Phidráulica!$J$10:$J$166)</f>
        <v>4,6155</v>
      </c>
      <c r="H28" s="19">
        <v>0</v>
      </c>
      <c r="I28" s="19">
        <v>0</v>
      </c>
      <c r="J28" s="19">
        <v>0</v>
      </c>
      <c r="K28" s="19">
        <f t="shared" si="2"/>
        <v>0</v>
      </c>
      <c r="L28" s="19">
        <v>0</v>
      </c>
      <c r="M28" s="19">
        <f>_xlfn.XLOOKUP(Q28,'[5]01_SERIE'!$H$14042:$H$16057,'[5]01_SERIE'!$K$14042:$K$16057)</f>
        <v>207.91005799743039</v>
      </c>
      <c r="N28" s="5">
        <v>0</v>
      </c>
      <c r="O28" s="6" t="str">
        <f>_xlfn.XLOOKUP(P28,[3]Phidráulica!$A$10:$A$166,[3]Phidráulica!$K$10:$K$166)</f>
        <v>Cuenta con embalse</v>
      </c>
      <c r="P28" s="6" t="s">
        <v>374</v>
      </c>
      <c r="Q28" s="6" t="s">
        <v>393</v>
      </c>
    </row>
    <row r="29" spans="1:19" x14ac:dyDescent="0.25">
      <c r="A29" s="6" t="s">
        <v>375</v>
      </c>
      <c r="B29" s="5" t="s">
        <v>138</v>
      </c>
      <c r="C29" s="5">
        <v>0</v>
      </c>
      <c r="D29" s="19">
        <f>_xlfn.XLOOKUP(P29,[2]CapacidadEfectiva!$B$145:$B$179,[2]CapacidadEfectiva!$C$145:$C$179)</f>
        <v>202</v>
      </c>
      <c r="E29" s="19">
        <f t="shared" si="0"/>
        <v>0</v>
      </c>
      <c r="F29" s="19">
        <f t="shared" si="1"/>
        <v>55.337917431443991</v>
      </c>
      <c r="G29" s="5" t="str">
        <f>_xlfn.XLOOKUP(P29,[3]Phidráulica!$A$10:$A$166,[3]Phidráulica!$J$10:$J$166)</f>
        <v>3,6503</v>
      </c>
      <c r="H29" s="19">
        <v>0</v>
      </c>
      <c r="I29" s="19">
        <v>0</v>
      </c>
      <c r="J29" s="19">
        <v>0</v>
      </c>
      <c r="K29" s="19">
        <f t="shared" si="2"/>
        <v>0</v>
      </c>
      <c r="L29" s="19">
        <v>0</v>
      </c>
      <c r="M29" s="19">
        <f>_xlfn.XLOOKUP(Q29,'[5]01_SERIE'!$H$14042:$H$16057,'[5]01_SERIE'!$K$14042:$K$16057)</f>
        <v>207.91005799743039</v>
      </c>
      <c r="N29" s="5">
        <v>105</v>
      </c>
      <c r="O29" s="6" t="str">
        <f>_xlfn.XLOOKUP(P29,[3]Phidráulica!$A$10:$A$166,[3]Phidráulica!$K$10:$K$166)</f>
        <v>Cuenta con embalse</v>
      </c>
      <c r="P29" s="6" t="s">
        <v>375</v>
      </c>
      <c r="Q29" s="6" t="s">
        <v>393</v>
      </c>
    </row>
    <row r="30" spans="1:19" x14ac:dyDescent="0.25">
      <c r="A30" s="6" t="s">
        <v>381</v>
      </c>
      <c r="B30" s="5" t="s">
        <v>140</v>
      </c>
      <c r="C30" s="5">
        <v>0</v>
      </c>
      <c r="D30" s="19">
        <f>_xlfn.XLOOKUP(P30,[2]CapacidadEfectiva!$B$145:$B$179,[2]CapacidadEfectiva!$C$145:$C$179)</f>
        <v>150</v>
      </c>
      <c r="E30" s="19">
        <f t="shared" si="0"/>
        <v>0</v>
      </c>
      <c r="F30" s="19">
        <f t="shared" si="1"/>
        <v>18.818688211973704</v>
      </c>
      <c r="G30" s="5" t="str">
        <f>_xlfn.XLOOKUP(P30,[3]Phidráulica!$A$10:$A$166,[3]Phidráulica!$J$10:$J$166)</f>
        <v>7,9708</v>
      </c>
      <c r="H30" s="19">
        <v>0</v>
      </c>
      <c r="I30" s="19">
        <v>0</v>
      </c>
      <c r="J30" s="19">
        <v>0</v>
      </c>
      <c r="K30" s="19">
        <f t="shared" si="2"/>
        <v>0</v>
      </c>
      <c r="L30" s="19">
        <v>0</v>
      </c>
      <c r="M30" s="19">
        <f>_xlfn.XLOOKUP(Q30,'[5]01_SERIE'!$H$14042:$H$16057,'[5]01_SERIE'!$K$14042:$K$16057)</f>
        <v>25.320992505762117</v>
      </c>
      <c r="N30" s="5">
        <v>40</v>
      </c>
      <c r="O30" s="6" t="str">
        <f>_xlfn.XLOOKUP(P30,[3]Phidráulica!$A$10:$A$166,[3]Phidráulica!$K$10:$K$166)</f>
        <v>Filo de agua</v>
      </c>
      <c r="P30" s="6" t="s">
        <v>381</v>
      </c>
      <c r="Q30" s="6" t="str">
        <f>_xlfn.XLOOKUP(P30,[6]Detalle_Unidades!$F$2:$F$886,[6]Detalle_Unidades!$A$2:$A$886)</f>
        <v>DVS1</v>
      </c>
    </row>
    <row r="31" spans="1:19" x14ac:dyDescent="0.25">
      <c r="A31" s="6" t="s">
        <v>241</v>
      </c>
      <c r="B31" s="5" t="s">
        <v>143</v>
      </c>
      <c r="C31" s="5">
        <v>0</v>
      </c>
      <c r="D31" s="19">
        <f>_xlfn.XLOOKUP(P31,[2]CapacidadEfectiva!$B$145:$B$179,[2]CapacidadEfectiva!$C$145:$C$179)</f>
        <v>135</v>
      </c>
      <c r="E31" s="19">
        <f t="shared" si="0"/>
        <v>0</v>
      </c>
      <c r="F31" s="19">
        <f t="shared" si="1"/>
        <v>85.545909638172489</v>
      </c>
      <c r="G31" s="5" t="str">
        <f>_xlfn.XLOOKUP(P31,[3]Phidráulica!$A$10:$A$166,[3]Phidráulica!$J$10:$J$166)</f>
        <v>1,5781</v>
      </c>
      <c r="H31" s="19">
        <v>0</v>
      </c>
      <c r="I31" s="19">
        <v>0</v>
      </c>
      <c r="J31" s="19">
        <v>0</v>
      </c>
      <c r="K31" s="19">
        <f t="shared" si="2"/>
        <v>0</v>
      </c>
      <c r="L31" s="19">
        <v>0</v>
      </c>
      <c r="M31" s="19">
        <f>_xlfn.XLOOKUP(Q31,'[5]01_SERIE'!$H$14042:$H$16057,'[5]01_SERIE'!$K$14042:$K$16057)</f>
        <v>25.273334838312305</v>
      </c>
      <c r="N31" s="5">
        <v>36</v>
      </c>
      <c r="O31" s="6" t="str">
        <f>_xlfn.XLOOKUP(P31,[3]Phidráulica!$A$10:$A$166,[3]Phidráulica!$K$10:$K$166)</f>
        <v>Filo de agua</v>
      </c>
      <c r="P31" s="6" t="s">
        <v>241</v>
      </c>
      <c r="Q31" s="6" t="str">
        <f>_xlfn.XLOOKUP(P31,[6]Detalle_Unidades!$F$2:$F$886,[6]Detalle_Unidades!$A$2:$A$886)</f>
        <v>SNFR</v>
      </c>
    </row>
    <row r="32" spans="1:19" x14ac:dyDescent="0.25">
      <c r="A32" s="6" t="s">
        <v>386</v>
      </c>
      <c r="B32" s="5" t="s">
        <v>148</v>
      </c>
      <c r="C32" s="5">
        <v>0</v>
      </c>
      <c r="D32" s="19">
        <f>_xlfn.XLOOKUP(P32,[2]CapacidadEfectiva!$B$145:$B$179,[2]CapacidadEfectiva!$C$145:$C$179)</f>
        <v>80</v>
      </c>
      <c r="E32" s="19">
        <f t="shared" si="0"/>
        <v>0</v>
      </c>
      <c r="F32" s="19">
        <f t="shared" si="1"/>
        <v>16.479894528675015</v>
      </c>
      <c r="G32" s="5" t="str">
        <f>_xlfn.XLOOKUP(P32,[3]Phidráulica!$A$10:$A$166,[3]Phidráulica!$J$10:$J$166)</f>
        <v>4,8544</v>
      </c>
      <c r="H32" s="19">
        <v>0</v>
      </c>
      <c r="I32" s="19">
        <v>0</v>
      </c>
      <c r="J32" s="19">
        <v>0</v>
      </c>
      <c r="K32" s="19">
        <f t="shared" si="2"/>
        <v>0</v>
      </c>
      <c r="L32" s="19">
        <v>0</v>
      </c>
      <c r="M32" s="19">
        <f>_xlfn.XLOOKUP(Q32,'[5]01_SERIE'!$H$14042:$H$16057,'[5]01_SERIE'!$K$14042:$K$16057)</f>
        <v>24.968161333745808</v>
      </c>
      <c r="N32" s="5">
        <v>13.2</v>
      </c>
      <c r="O32" s="6" t="str">
        <f>_xlfn.XLOOKUP(P32,[3]Phidráulica!$A$10:$A$166,[3]Phidráulica!$K$10:$K$166)</f>
        <v>Filo de agua</v>
      </c>
      <c r="P32" s="6" t="s">
        <v>386</v>
      </c>
      <c r="Q32" s="6" t="str">
        <f>_xlfn.XLOOKUP(P32,[6]Detalle_Unidades!$F$2:$F$886,[6]Detalle_Unidades!$A$2:$A$886)</f>
        <v>MOY1</v>
      </c>
    </row>
    <row r="33" spans="1:17" x14ac:dyDescent="0.25">
      <c r="A33" s="6" t="s">
        <v>234</v>
      </c>
      <c r="B33" s="5" t="s">
        <v>138</v>
      </c>
      <c r="C33" s="5">
        <v>0</v>
      </c>
      <c r="D33" s="19">
        <f>_xlfn.XLOOKUP(P33,[2]CapacidadEfectiva!$B$145:$B$179,[2]CapacidadEfectiva!$C$145:$C$179)</f>
        <v>78</v>
      </c>
      <c r="E33" s="19">
        <f t="shared" si="0"/>
        <v>0</v>
      </c>
      <c r="F33" s="19">
        <f t="shared" si="1"/>
        <v>64.741035856573703</v>
      </c>
      <c r="G33" s="5" t="str">
        <f>_xlfn.XLOOKUP(P33,[3]Phidráulica!$A$10:$A$166,[3]Phidráulica!$J$10:$J$166)</f>
        <v>1,2048</v>
      </c>
      <c r="H33" s="19">
        <v>0</v>
      </c>
      <c r="I33" s="19">
        <v>0</v>
      </c>
      <c r="J33" s="19">
        <v>0</v>
      </c>
      <c r="K33" s="19">
        <f t="shared" si="2"/>
        <v>0</v>
      </c>
      <c r="L33" s="19">
        <v>0</v>
      </c>
      <c r="M33" s="19">
        <f>_xlfn.XLOOKUP(Q33,'[5]01_SERIE'!$H$14042:$H$16057,'[5]01_SERIE'!$K$14042:$K$16057)</f>
        <v>22.295987558840498</v>
      </c>
      <c r="N33" s="5">
        <v>31.2</v>
      </c>
      <c r="O33" s="6" t="str">
        <f>_xlfn.XLOOKUP(P33,[3]Phidráulica!$A$10:$A$166,[3]Phidráulica!$K$10:$K$166)</f>
        <v>Filo de agua especial</v>
      </c>
      <c r="P33" s="6" t="s">
        <v>234</v>
      </c>
      <c r="Q33" s="6" t="str">
        <f>_xlfn.XLOOKUP(P33,[6]Detalle_Unidades!$F$2:$F$886,[6]Detalle_Unidades!$A$2:$A$886)</f>
        <v>CLL1</v>
      </c>
    </row>
    <row r="34" spans="1:17" x14ac:dyDescent="0.25">
      <c r="A34" s="6" t="s">
        <v>388</v>
      </c>
      <c r="B34" s="5" t="s">
        <v>151</v>
      </c>
      <c r="C34" s="5">
        <v>0</v>
      </c>
      <c r="D34" s="19">
        <f>_xlfn.XLOOKUP(P34,[2]CapacidadEfectiva!$B$145:$B$179,[2]CapacidadEfectiva!$C$145:$C$179)</f>
        <v>72</v>
      </c>
      <c r="E34" s="19">
        <f t="shared" si="0"/>
        <v>0</v>
      </c>
      <c r="F34" s="19">
        <f t="shared" si="1"/>
        <v>121.93056731583404</v>
      </c>
      <c r="G34" s="5" t="str">
        <f>_xlfn.XLOOKUP(P34,[3]Phidráulica!$A$10:$A$166,[3]Phidráulica!$J$10:$J$166)</f>
        <v>0,5905</v>
      </c>
      <c r="H34" s="19">
        <v>0</v>
      </c>
      <c r="I34" s="19">
        <v>0</v>
      </c>
      <c r="J34" s="19">
        <v>0</v>
      </c>
      <c r="K34" s="19">
        <f t="shared" si="2"/>
        <v>0</v>
      </c>
      <c r="L34" s="19">
        <v>0</v>
      </c>
      <c r="M34" s="19">
        <f>_xlfn.XLOOKUP(Q34,'[5]01_SERIE'!$H$14042:$H$16057,'[5]01_SERIE'!$K$14042:$K$16057)</f>
        <v>335.83327062587614</v>
      </c>
      <c r="N34" s="5">
        <v>8</v>
      </c>
      <c r="O34" s="6" t="str">
        <f>_xlfn.XLOOKUP(P34,[3]Phidráulica!$A$10:$A$166,[3]Phidráulica!$K$10:$K$166)</f>
        <v>Cuenta con embalse</v>
      </c>
      <c r="P34" s="6" t="s">
        <v>388</v>
      </c>
      <c r="Q34" s="6" t="s">
        <v>395</v>
      </c>
    </row>
    <row r="35" spans="1:17" x14ac:dyDescent="0.25">
      <c r="A35" s="6" t="s">
        <v>235</v>
      </c>
      <c r="B35" s="5" t="s">
        <v>148</v>
      </c>
      <c r="C35" s="5">
        <v>0</v>
      </c>
      <c r="D35" s="19">
        <f>_xlfn.XLOOKUP(P35,[2]CapacidadEfectiva!$B$145:$B$179,[2]CapacidadEfectiva!$C$145:$C$179)</f>
        <v>56</v>
      </c>
      <c r="E35" s="19">
        <f t="shared" si="0"/>
        <v>0</v>
      </c>
      <c r="F35" s="19">
        <f t="shared" si="1"/>
        <v>9.4155625798641456</v>
      </c>
      <c r="G35" s="5" t="str">
        <f>_xlfn.XLOOKUP(P35,[3]Phidráulica!$A$10:$A$166,[3]Phidráulica!$J$10:$J$166)</f>
        <v>5,9476</v>
      </c>
      <c r="H35" s="19">
        <v>0</v>
      </c>
      <c r="I35" s="19">
        <v>0</v>
      </c>
      <c r="J35" s="19">
        <v>0</v>
      </c>
      <c r="K35" s="19">
        <f t="shared" si="2"/>
        <v>0</v>
      </c>
      <c r="L35" s="19">
        <v>0</v>
      </c>
      <c r="M35" s="19">
        <f>_xlfn.XLOOKUP(Q35,'[5]01_SERIE'!$H$14042:$H$16057,'[5]01_SERIE'!$K$14042:$K$16057)</f>
        <v>26.721180349433819</v>
      </c>
      <c r="N35" s="5">
        <v>6</v>
      </c>
      <c r="O35" s="6" t="str">
        <f>_xlfn.XLOOKUP(P35,[3]Phidráulica!$A$10:$A$166,[3]Phidráulica!$K$10:$K$166)</f>
        <v>Filo de agua</v>
      </c>
      <c r="P35" s="6" t="s">
        <v>235</v>
      </c>
      <c r="Q35" s="6" t="str">
        <f>_xlfn.XLOOKUP(P35,[6]Detalle_Unidades!$F$2:$F$886,[6]Detalle_Unidades!$A$2:$A$886)</f>
        <v>CUC1</v>
      </c>
    </row>
    <row r="36" spans="1:17" x14ac:dyDescent="0.25">
      <c r="A36" s="6" t="s">
        <v>236</v>
      </c>
      <c r="B36" s="5" t="s">
        <v>138</v>
      </c>
      <c r="C36" s="5">
        <v>0</v>
      </c>
      <c r="D36" s="19">
        <f>_xlfn.XLOOKUP(P36,[2]CapacidadEfectiva!$B$145:$B$179,[2]CapacidadEfectiva!$C$145:$C$179)</f>
        <v>55</v>
      </c>
      <c r="E36" s="19">
        <f t="shared" si="0"/>
        <v>0</v>
      </c>
      <c r="F36" s="19">
        <f t="shared" si="1"/>
        <v>34.310667498440424</v>
      </c>
      <c r="G36" s="5" t="str">
        <f>_xlfn.XLOOKUP(P36,[3]Phidráulica!$A$10:$A$166,[3]Phidráulica!$J$10:$J$166)</f>
        <v>1,603</v>
      </c>
      <c r="H36" s="19">
        <v>0</v>
      </c>
      <c r="I36" s="19">
        <v>0</v>
      </c>
      <c r="J36" s="19">
        <v>0</v>
      </c>
      <c r="K36" s="19">
        <f t="shared" si="2"/>
        <v>0</v>
      </c>
      <c r="L36" s="19">
        <v>0</v>
      </c>
      <c r="M36" s="19">
        <f>_xlfn.XLOOKUP(Q36,'[5]01_SERIE'!$H$14042:$H$16057,'[5]01_SERIE'!$K$14042:$K$16057)</f>
        <v>22.295984771842399</v>
      </c>
      <c r="N36" s="5">
        <v>24</v>
      </c>
      <c r="O36" s="6" t="str">
        <f>_xlfn.XLOOKUP(P36,[3]Phidráulica!$A$10:$A$166,[3]Phidráulica!$K$10:$K$166)</f>
        <v>Filo de agua</v>
      </c>
      <c r="P36" s="6" t="s">
        <v>236</v>
      </c>
      <c r="Q36" s="6" t="str">
        <f>_xlfn.XLOOKUP(P36,[6]Detalle_Unidades!$F$2:$F$886,[6]Detalle_Unidades!$A$2:$A$886)</f>
        <v>HMIN</v>
      </c>
    </row>
    <row r="37" spans="1:17" x14ac:dyDescent="0.25">
      <c r="A37" s="6" t="s">
        <v>242</v>
      </c>
      <c r="B37" s="5" t="s">
        <v>138</v>
      </c>
      <c r="C37" s="5">
        <v>0</v>
      </c>
      <c r="D37" s="19">
        <f>_xlfn.XLOOKUP(P37,[2]CapacidadEfectiva!$B$145:$B$179,[2]CapacidadEfectiva!$C$145:$C$179)</f>
        <v>50</v>
      </c>
      <c r="E37" s="19">
        <f t="shared" si="0"/>
        <v>0</v>
      </c>
      <c r="F37" s="19">
        <f t="shared" si="1"/>
        <v>33.482890243085784</v>
      </c>
      <c r="G37" s="5" t="str">
        <f>_xlfn.XLOOKUP(P37,[3]Phidráulica!$A$10:$A$166,[3]Phidráulica!$J$10:$J$166)</f>
        <v>1,4933</v>
      </c>
      <c r="H37" s="19">
        <v>0</v>
      </c>
      <c r="I37" s="19">
        <v>0</v>
      </c>
      <c r="J37" s="19">
        <v>0</v>
      </c>
      <c r="K37" s="19">
        <f t="shared" si="2"/>
        <v>0</v>
      </c>
      <c r="L37" s="19">
        <v>0</v>
      </c>
      <c r="M37" s="19">
        <f>_xlfn.XLOOKUP(Q37,'[5]01_SERIE'!$H$14042:$H$16057,'[5]01_SERIE'!$K$14042:$K$16057)</f>
        <v>24.968158546747713</v>
      </c>
      <c r="N37" s="5">
        <v>18.899999999999999</v>
      </c>
      <c r="O37" s="6" t="str">
        <f>_xlfn.XLOOKUP(P37,[3]Phidráulica!$A$10:$A$166,[3]Phidráulica!$K$10:$K$166)</f>
        <v>Filo de agua</v>
      </c>
      <c r="P37" s="6" t="s">
        <v>242</v>
      </c>
      <c r="Q37" s="6" t="str">
        <f>_xlfn.XLOOKUP(P37,[6]Detalle_Unidades!$F$2:$F$886,[6]Detalle_Unidades!$A$2:$A$886)</f>
        <v>SMI1</v>
      </c>
    </row>
    <row r="38" spans="1:17" x14ac:dyDescent="0.25">
      <c r="A38" s="6" t="s">
        <v>384</v>
      </c>
      <c r="B38" s="5" t="s">
        <v>140</v>
      </c>
      <c r="C38" s="5">
        <v>0</v>
      </c>
      <c r="D38" s="19">
        <f>_xlfn.XLOOKUP(P38,[2]CapacidadEfectiva!$B$145:$B$179,[2]CapacidadEfectiva!$C$145:$C$179)</f>
        <v>35</v>
      </c>
      <c r="E38" s="19">
        <f t="shared" si="0"/>
        <v>0</v>
      </c>
      <c r="F38" s="19">
        <f t="shared" si="1"/>
        <v>10.374673938819065</v>
      </c>
      <c r="G38" s="5" t="str">
        <f>_xlfn.XLOOKUP(P38,[3]Phidráulica!$A$10:$A$166,[3]Phidráulica!$J$10:$J$166)</f>
        <v>3,3736</v>
      </c>
      <c r="H38" s="19">
        <v>0</v>
      </c>
      <c r="I38" s="19">
        <v>0</v>
      </c>
      <c r="J38" s="19">
        <v>0</v>
      </c>
      <c r="K38" s="19">
        <f t="shared" si="2"/>
        <v>0</v>
      </c>
      <c r="L38" s="19">
        <v>0</v>
      </c>
      <c r="M38" s="19">
        <f>_xlfn.XLOOKUP(Q38,'[5]01_SERIE'!$H$14042:$H$16057,'[5]01_SERIE'!$K$14042:$K$16057)</f>
        <v>25.321271205571765</v>
      </c>
      <c r="N38" s="5">
        <v>5</v>
      </c>
      <c r="O38" s="6" t="str">
        <f>_xlfn.XLOOKUP(P38,[3]Phidráulica!$A$10:$A$166,[3]Phidráulica!$K$10:$K$166)</f>
        <v>Filo de agua</v>
      </c>
      <c r="P38" s="6" t="s">
        <v>384</v>
      </c>
      <c r="Q38" s="6" t="str">
        <f>_xlfn.XLOOKUP(P38,[6]Detalle_Unidades!$F$2:$F$886,[6]Detalle_Unidades!$A$2:$A$886)</f>
        <v>2QEK</v>
      </c>
    </row>
    <row r="39" spans="1:17" x14ac:dyDescent="0.25">
      <c r="A39" s="26" t="s">
        <v>443</v>
      </c>
      <c r="B39" s="5" t="s">
        <v>143</v>
      </c>
      <c r="C39" s="5">
        <v>0</v>
      </c>
      <c r="D39" s="19">
        <f>_xlfn.XLOOKUP(P39,[2]CapacidadEfectiva!$B$145:$B$179,[2]CapacidadEfectiva!$C$145:$C$179)</f>
        <v>30</v>
      </c>
      <c r="E39" s="19">
        <f t="shared" si="0"/>
        <v>0</v>
      </c>
      <c r="F39" s="19">
        <f t="shared" si="1"/>
        <v>22.839741149600307</v>
      </c>
      <c r="G39" s="5" t="str">
        <f>_xlfn.XLOOKUP(P39,[3]Phidráulica!$A$10:$A$166,[3]Phidráulica!$J$10:$J$166)</f>
        <v>1,3135</v>
      </c>
      <c r="H39" s="19">
        <v>0</v>
      </c>
      <c r="I39" s="19">
        <v>0</v>
      </c>
      <c r="J39" s="19">
        <v>0</v>
      </c>
      <c r="K39" s="19">
        <f t="shared" si="2"/>
        <v>0</v>
      </c>
      <c r="L39" s="19">
        <v>0</v>
      </c>
      <c r="M39" s="19">
        <f>_xlfn.XLOOKUP(Q39,'[5]01_SERIE'!$H$14042:$H$16057,'[5]01_SERIE'!$K$14042:$K$16057)</f>
        <v>25.273340412308499</v>
      </c>
      <c r="N39" s="5">
        <v>0</v>
      </c>
      <c r="O39" s="6" t="str">
        <f>_xlfn.XLOOKUP(P39,[3]Phidráulica!$A$10:$A$166,[3]Phidráulica!$K$10:$K$166)</f>
        <v>Filo de agua</v>
      </c>
      <c r="P39" s="6" t="s">
        <v>190</v>
      </c>
      <c r="Q39" s="6" t="str">
        <f>_xlfn.XLOOKUP(P39,[6]Detalle_Unidades!$F$2:$F$886,[6]Detalle_Unidades!$A$2:$A$886)</f>
        <v>ESMR</v>
      </c>
    </row>
    <row r="40" spans="1:17" x14ac:dyDescent="0.25">
      <c r="A40" s="6" t="s">
        <v>385</v>
      </c>
      <c r="B40" s="5" t="s">
        <v>140</v>
      </c>
      <c r="C40" s="5">
        <v>0</v>
      </c>
      <c r="D40" s="19">
        <f>_xlfn.XLOOKUP(P40,[2]CapacidadEfectiva!$B$145:$B$179,[2]CapacidadEfectiva!$C$145:$C$179)</f>
        <v>19</v>
      </c>
      <c r="E40" s="19">
        <f t="shared" si="0"/>
        <v>0</v>
      </c>
      <c r="F40" s="19">
        <f t="shared" si="1"/>
        <v>7.7063475968363413</v>
      </c>
      <c r="G40" s="5" t="str">
        <f>_xlfn.XLOOKUP(P40,[3]Phidráulica!$A$10:$A$166,[3]Phidráulica!$J$10:$J$166)</f>
        <v>2,4655</v>
      </c>
      <c r="H40" s="19">
        <v>0</v>
      </c>
      <c r="I40" s="19">
        <v>0</v>
      </c>
      <c r="J40" s="19">
        <v>0</v>
      </c>
      <c r="K40" s="19">
        <f t="shared" si="2"/>
        <v>0</v>
      </c>
      <c r="L40" s="19">
        <v>0</v>
      </c>
      <c r="M40" s="19">
        <f>_xlfn.XLOOKUP(Q40,'[5]01_SERIE'!$H$14042:$H$16057,'[5]01_SERIE'!$K$14042:$K$16057)</f>
        <v>24.491584659247678</v>
      </c>
      <c r="N40" s="5">
        <v>8.1999999999999993</v>
      </c>
      <c r="O40" s="6" t="str">
        <f>_xlfn.XLOOKUP(P40,[3]Phidráulica!$A$10:$A$166,[3]Phidráulica!$K$10:$K$166)</f>
        <v>Filo de agua</v>
      </c>
      <c r="P40" s="6" t="s">
        <v>385</v>
      </c>
      <c r="Q40" s="6" t="str">
        <f>_xlfn.XLOOKUP(P40,[6]Detalle_Unidades!$F$2:$F$886,[6]Detalle_Unidades!$A$2:$A$886)</f>
        <v>TUJ1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FE28-5F4C-4310-A2D6-C5E29AFC3BC7}">
  <sheetPr>
    <tabColor theme="8" tint="0.79998168889431442"/>
  </sheetPr>
  <dimension ref="A1:V29"/>
  <sheetViews>
    <sheetView zoomScaleNormal="100" workbookViewId="0">
      <selection activeCell="F14" sqref="F14"/>
    </sheetView>
  </sheetViews>
  <sheetFormatPr defaultRowHeight="15" x14ac:dyDescent="0.25"/>
  <cols>
    <col min="1" max="1" width="8.42578125" customWidth="1"/>
    <col min="2" max="2" width="12.85546875" customWidth="1"/>
    <col min="3" max="3" width="12" bestFit="1" customWidth="1"/>
    <col min="4" max="4" width="9.5703125" bestFit="1" customWidth="1"/>
    <col min="5" max="5" width="7.85546875" bestFit="1" customWidth="1"/>
    <col min="6" max="6" width="11.85546875" bestFit="1" customWidth="1"/>
    <col min="7" max="7" width="9" bestFit="1" customWidth="1"/>
    <col min="8" max="8" width="9.5703125" bestFit="1" customWidth="1"/>
    <col min="9" max="9" width="8.7109375" bestFit="1" customWidth="1"/>
    <col min="10" max="10" width="8.42578125" bestFit="1" customWidth="1"/>
    <col min="11" max="11" width="11.140625" bestFit="1" customWidth="1"/>
    <col min="12" max="12" width="6.28515625" bestFit="1" customWidth="1"/>
    <col min="13" max="13" width="16.7109375" bestFit="1" customWidth="1"/>
    <col min="14" max="14" width="6" bestFit="1" customWidth="1"/>
    <col min="15" max="15" width="10.7109375" bestFit="1" customWidth="1"/>
    <col min="16" max="16" width="12.28515625" bestFit="1" customWidth="1"/>
    <col min="17" max="17" width="7.7109375" bestFit="1" customWidth="1"/>
    <col min="18" max="18" width="8.140625" bestFit="1" customWidth="1"/>
    <col min="19" max="19" width="8" bestFit="1" customWidth="1"/>
    <col min="20" max="20" width="7.28515625" bestFit="1" customWidth="1"/>
    <col min="21" max="21" width="10.42578125" bestFit="1" customWidth="1"/>
    <col min="22" max="22" width="10.140625" bestFit="1" customWidth="1"/>
    <col min="23" max="23" width="8.85546875" bestFit="1" customWidth="1"/>
    <col min="24" max="24" width="14.42578125" bestFit="1" customWidth="1"/>
    <col min="25" max="25" width="14.5703125" bestFit="1" customWidth="1"/>
    <col min="26" max="26" width="24.28515625" bestFit="1" customWidth="1"/>
    <col min="27" max="27" width="15.42578125" bestFit="1" customWidth="1"/>
    <col min="28" max="28" width="21.7109375" bestFit="1" customWidth="1"/>
    <col min="29" max="29" width="14.5703125" bestFit="1" customWidth="1"/>
    <col min="30" max="30" width="16.7109375" bestFit="1" customWidth="1"/>
    <col min="31" max="31" width="10.140625" bestFit="1" customWidth="1"/>
    <col min="32" max="32" width="18.28515625" bestFit="1" customWidth="1"/>
    <col min="33" max="33" width="12.28515625" bestFit="1" customWidth="1"/>
    <col min="34" max="34" width="8.140625" bestFit="1" customWidth="1"/>
    <col min="35" max="35" width="11.7109375" bestFit="1" customWidth="1"/>
    <col min="36" max="36" width="8.42578125" bestFit="1" customWidth="1"/>
  </cols>
  <sheetData>
    <row r="1" spans="1:22" ht="18.75" x14ac:dyDescent="0.3">
      <c r="A1" s="1" t="s">
        <v>400</v>
      </c>
    </row>
    <row r="2" spans="1:22" x14ac:dyDescent="0.25">
      <c r="A2" s="20" t="s">
        <v>401</v>
      </c>
    </row>
    <row r="4" spans="1:22" x14ac:dyDescent="0.25">
      <c r="A4" s="3" t="s">
        <v>119</v>
      </c>
      <c r="B4" s="3" t="s">
        <v>191</v>
      </c>
      <c r="C4" s="3" t="s">
        <v>240</v>
      </c>
      <c r="D4" s="3" t="s">
        <v>192</v>
      </c>
      <c r="E4" s="3" t="s">
        <v>380</v>
      </c>
      <c r="F4" s="3" t="s">
        <v>243</v>
      </c>
      <c r="G4" s="3" t="s">
        <v>239</v>
      </c>
      <c r="H4" s="3" t="s">
        <v>237</v>
      </c>
      <c r="I4" s="3" t="s">
        <v>187</v>
      </c>
      <c r="J4" s="3" t="s">
        <v>378</v>
      </c>
      <c r="K4" s="3" t="s">
        <v>189</v>
      </c>
      <c r="L4" s="3" t="s">
        <v>238</v>
      </c>
      <c r="M4" s="3" t="s">
        <v>387</v>
      </c>
      <c r="N4" s="3" t="s">
        <v>196</v>
      </c>
      <c r="O4" s="3" t="s">
        <v>195</v>
      </c>
      <c r="P4" s="3" t="s">
        <v>377</v>
      </c>
      <c r="Q4" s="3" t="s">
        <v>193</v>
      </c>
      <c r="R4" s="3" t="s">
        <v>376</v>
      </c>
      <c r="S4" s="3" t="s">
        <v>188</v>
      </c>
      <c r="T4" s="3" t="s">
        <v>194</v>
      </c>
      <c r="U4" s="3" t="s">
        <v>439</v>
      </c>
      <c r="V4" s="3" t="s">
        <v>440</v>
      </c>
    </row>
    <row r="5" spans="1:22" x14ac:dyDescent="0.25">
      <c r="A5" s="4"/>
      <c r="B5" s="16" t="s">
        <v>174</v>
      </c>
      <c r="C5" s="4" t="s">
        <v>174</v>
      </c>
      <c r="D5" s="4" t="s">
        <v>174</v>
      </c>
      <c r="E5" s="4" t="s">
        <v>174</v>
      </c>
      <c r="F5" s="4" t="s">
        <v>174</v>
      </c>
      <c r="G5" s="4" t="s">
        <v>174</v>
      </c>
      <c r="H5" s="4" t="s">
        <v>174</v>
      </c>
      <c r="I5" s="4" t="s">
        <v>174</v>
      </c>
      <c r="J5" s="4" t="s">
        <v>174</v>
      </c>
      <c r="K5" s="4" t="s">
        <v>174</v>
      </c>
      <c r="L5" s="4" t="s">
        <v>174</v>
      </c>
      <c r="M5" s="4" t="s">
        <v>174</v>
      </c>
      <c r="N5" s="4" t="s">
        <v>174</v>
      </c>
      <c r="O5" s="4" t="s">
        <v>174</v>
      </c>
      <c r="P5" s="4" t="s">
        <v>174</v>
      </c>
      <c r="Q5" s="4" t="s">
        <v>174</v>
      </c>
      <c r="R5" s="4" t="s">
        <v>174</v>
      </c>
      <c r="S5" s="4" t="s">
        <v>174</v>
      </c>
      <c r="T5" s="4" t="s">
        <v>174</v>
      </c>
      <c r="U5" s="4" t="s">
        <v>174</v>
      </c>
      <c r="V5" s="4" t="s">
        <v>174</v>
      </c>
    </row>
    <row r="6" spans="1:22" x14ac:dyDescent="0.25">
      <c r="A6" s="5">
        <v>1</v>
      </c>
      <c r="B6" s="5">
        <v>77.2</v>
      </c>
      <c r="C6" s="5">
        <v>9.6199999999999992</v>
      </c>
      <c r="D6" s="5">
        <v>331.24</v>
      </c>
      <c r="E6" s="5">
        <v>164.37</v>
      </c>
      <c r="F6" s="5">
        <v>203.52</v>
      </c>
      <c r="G6" s="5">
        <v>9.32</v>
      </c>
      <c r="H6" s="5">
        <v>10.76</v>
      </c>
      <c r="I6" s="5">
        <v>199.58</v>
      </c>
      <c r="J6" s="5">
        <v>12.17</v>
      </c>
      <c r="K6" s="5">
        <v>336.37</v>
      </c>
      <c r="L6" s="5">
        <v>23.26</v>
      </c>
      <c r="M6" s="5">
        <v>17.43</v>
      </c>
      <c r="N6" s="5">
        <v>285.19</v>
      </c>
      <c r="O6" s="5">
        <v>65.290000000000006</v>
      </c>
      <c r="P6" s="5">
        <v>12.17</v>
      </c>
      <c r="Q6" s="5">
        <v>9.32</v>
      </c>
      <c r="R6" s="5">
        <v>19.100000000000001</v>
      </c>
      <c r="S6" s="5">
        <v>17.489999999999998</v>
      </c>
      <c r="T6" s="5">
        <v>20.32</v>
      </c>
      <c r="U6" s="5">
        <v>21.71</v>
      </c>
      <c r="V6" s="5">
        <v>41.96</v>
      </c>
    </row>
    <row r="7" spans="1:22" x14ac:dyDescent="0.25">
      <c r="A7" s="5">
        <v>2</v>
      </c>
      <c r="B7" s="5">
        <v>77.2</v>
      </c>
      <c r="C7" s="5">
        <v>9.6199999999999992</v>
      </c>
      <c r="D7" s="5">
        <v>331.24</v>
      </c>
      <c r="E7" s="5">
        <v>164.37</v>
      </c>
      <c r="F7" s="5">
        <v>203.52</v>
      </c>
      <c r="G7" s="5">
        <v>9.32</v>
      </c>
      <c r="H7" s="5">
        <v>10.76</v>
      </c>
      <c r="I7" s="5">
        <v>199.58</v>
      </c>
      <c r="J7" s="5">
        <v>12.17</v>
      </c>
      <c r="K7" s="5">
        <v>336.37</v>
      </c>
      <c r="L7" s="5">
        <v>23.26</v>
      </c>
      <c r="M7" s="5">
        <v>17.43</v>
      </c>
      <c r="N7" s="5">
        <v>285.19</v>
      </c>
      <c r="O7" s="5">
        <v>65.290000000000006</v>
      </c>
      <c r="P7" s="5">
        <v>12.17</v>
      </c>
      <c r="Q7" s="5">
        <v>9.32</v>
      </c>
      <c r="R7" s="5">
        <v>19.100000000000001</v>
      </c>
      <c r="S7" s="5">
        <v>17.489999999999998</v>
      </c>
      <c r="T7" s="5">
        <v>20.32</v>
      </c>
      <c r="U7" s="5">
        <v>21.71</v>
      </c>
      <c r="V7" s="5">
        <v>41.96</v>
      </c>
    </row>
    <row r="8" spans="1:22" x14ac:dyDescent="0.25">
      <c r="A8" s="5">
        <v>3</v>
      </c>
      <c r="B8" s="5">
        <v>77.2</v>
      </c>
      <c r="C8" s="5">
        <v>9.6199999999999992</v>
      </c>
      <c r="D8" s="5">
        <v>331.24</v>
      </c>
      <c r="E8" s="5">
        <v>164.37</v>
      </c>
      <c r="F8" s="5">
        <v>203.52</v>
      </c>
      <c r="G8" s="5">
        <v>9.32</v>
      </c>
      <c r="H8" s="5">
        <v>10.76</v>
      </c>
      <c r="I8" s="5">
        <v>199.58</v>
      </c>
      <c r="J8" s="5">
        <v>12.17</v>
      </c>
      <c r="K8" s="5">
        <v>336.37</v>
      </c>
      <c r="L8" s="5">
        <v>23.26</v>
      </c>
      <c r="M8" s="5">
        <v>17.43</v>
      </c>
      <c r="N8" s="5">
        <v>285.19</v>
      </c>
      <c r="O8" s="5">
        <v>65.290000000000006</v>
      </c>
      <c r="P8" s="5">
        <v>12.17</v>
      </c>
      <c r="Q8" s="5">
        <v>9.32</v>
      </c>
      <c r="R8" s="5">
        <v>19.100000000000001</v>
      </c>
      <c r="S8" s="5">
        <v>17.489999999999998</v>
      </c>
      <c r="T8" s="5">
        <v>20.32</v>
      </c>
      <c r="U8" s="5">
        <v>21.71</v>
      </c>
      <c r="V8" s="5">
        <v>41.96</v>
      </c>
    </row>
    <row r="9" spans="1:22" x14ac:dyDescent="0.25">
      <c r="A9" s="5">
        <v>4</v>
      </c>
      <c r="B9" s="5">
        <v>77.2</v>
      </c>
      <c r="C9" s="5">
        <v>9.6199999999999992</v>
      </c>
      <c r="D9" s="5">
        <v>331.24</v>
      </c>
      <c r="E9" s="5">
        <v>164.37</v>
      </c>
      <c r="F9" s="5">
        <v>203.52</v>
      </c>
      <c r="G9" s="5">
        <v>9.32</v>
      </c>
      <c r="H9" s="5">
        <v>10.76</v>
      </c>
      <c r="I9" s="5">
        <v>199.58</v>
      </c>
      <c r="J9" s="5">
        <v>12.17</v>
      </c>
      <c r="K9" s="5">
        <v>336.37</v>
      </c>
      <c r="L9" s="5">
        <v>23.26</v>
      </c>
      <c r="M9" s="5">
        <v>17.43</v>
      </c>
      <c r="N9" s="5">
        <v>285.19</v>
      </c>
      <c r="O9" s="5">
        <v>65.290000000000006</v>
      </c>
      <c r="P9" s="5">
        <v>12.17</v>
      </c>
      <c r="Q9" s="5">
        <v>9.32</v>
      </c>
      <c r="R9" s="5">
        <v>19.100000000000001</v>
      </c>
      <c r="S9" s="5">
        <v>17.489999999999998</v>
      </c>
      <c r="T9" s="5">
        <v>20.32</v>
      </c>
      <c r="U9" s="5">
        <v>21.71</v>
      </c>
      <c r="V9" s="5">
        <v>41.96</v>
      </c>
    </row>
    <row r="10" spans="1:22" x14ac:dyDescent="0.25">
      <c r="A10" s="5">
        <v>5</v>
      </c>
      <c r="B10" s="5">
        <v>77.2</v>
      </c>
      <c r="C10" s="5">
        <v>9.6199999999999992</v>
      </c>
      <c r="D10" s="5">
        <v>331.24</v>
      </c>
      <c r="E10" s="5">
        <v>164.37</v>
      </c>
      <c r="F10" s="5">
        <v>203.52</v>
      </c>
      <c r="G10" s="5">
        <v>9.32</v>
      </c>
      <c r="H10" s="5">
        <v>10.76</v>
      </c>
      <c r="I10" s="5">
        <v>199.58</v>
      </c>
      <c r="J10" s="5">
        <v>12.17</v>
      </c>
      <c r="K10" s="5">
        <v>336.37</v>
      </c>
      <c r="L10" s="5">
        <v>23.26</v>
      </c>
      <c r="M10" s="5">
        <v>17.43</v>
      </c>
      <c r="N10" s="5">
        <v>285.19</v>
      </c>
      <c r="O10" s="5">
        <v>65.290000000000006</v>
      </c>
      <c r="P10" s="5">
        <v>12.17</v>
      </c>
      <c r="Q10" s="5">
        <v>9.32</v>
      </c>
      <c r="R10" s="5">
        <v>19.100000000000001</v>
      </c>
      <c r="S10" s="5">
        <v>17.489999999999998</v>
      </c>
      <c r="T10" s="5">
        <v>20.32</v>
      </c>
      <c r="U10" s="5">
        <v>21.71</v>
      </c>
      <c r="V10" s="5">
        <v>41.96</v>
      </c>
    </row>
    <row r="11" spans="1:22" x14ac:dyDescent="0.25">
      <c r="A11" s="5">
        <v>6</v>
      </c>
      <c r="B11" s="5">
        <v>77.2</v>
      </c>
      <c r="C11" s="5">
        <v>9.6199999999999992</v>
      </c>
      <c r="D11" s="5">
        <v>331.24</v>
      </c>
      <c r="E11" s="5">
        <v>164.37</v>
      </c>
      <c r="F11" s="5">
        <v>203.52</v>
      </c>
      <c r="G11" s="5">
        <v>9.32</v>
      </c>
      <c r="H11" s="5">
        <v>10.76</v>
      </c>
      <c r="I11" s="5">
        <v>199.58</v>
      </c>
      <c r="J11" s="5">
        <v>12.17</v>
      </c>
      <c r="K11" s="5">
        <v>336.37</v>
      </c>
      <c r="L11" s="5">
        <v>23.26</v>
      </c>
      <c r="M11" s="5">
        <v>17.43</v>
      </c>
      <c r="N11" s="5">
        <v>285.19</v>
      </c>
      <c r="O11" s="5">
        <v>65.290000000000006</v>
      </c>
      <c r="P11" s="5">
        <v>12.17</v>
      </c>
      <c r="Q11" s="5">
        <v>9.32</v>
      </c>
      <c r="R11" s="5">
        <v>19.100000000000001</v>
      </c>
      <c r="S11" s="5">
        <v>17.489999999999998</v>
      </c>
      <c r="T11" s="5">
        <v>20.32</v>
      </c>
      <c r="U11" s="5">
        <v>21.71</v>
      </c>
      <c r="V11" s="5">
        <v>41.96</v>
      </c>
    </row>
    <row r="12" spans="1:22" x14ac:dyDescent="0.25">
      <c r="A12" s="5">
        <v>7</v>
      </c>
      <c r="B12" s="5">
        <v>77.2</v>
      </c>
      <c r="C12" s="5">
        <v>9.6199999999999992</v>
      </c>
      <c r="D12" s="5">
        <v>331.24</v>
      </c>
      <c r="E12" s="5">
        <v>164.37</v>
      </c>
      <c r="F12" s="5">
        <v>203.52</v>
      </c>
      <c r="G12" s="5">
        <v>9.32</v>
      </c>
      <c r="H12" s="5">
        <v>10.76</v>
      </c>
      <c r="I12" s="5">
        <v>199.58</v>
      </c>
      <c r="J12" s="5">
        <v>12.17</v>
      </c>
      <c r="K12" s="5">
        <v>336.37</v>
      </c>
      <c r="L12" s="5">
        <v>23.26</v>
      </c>
      <c r="M12" s="5">
        <v>17.43</v>
      </c>
      <c r="N12" s="5">
        <v>285.19</v>
      </c>
      <c r="O12" s="5">
        <v>65.290000000000006</v>
      </c>
      <c r="P12" s="5">
        <v>12.17</v>
      </c>
      <c r="Q12" s="5">
        <v>9.32</v>
      </c>
      <c r="R12" s="5">
        <v>19.100000000000001</v>
      </c>
      <c r="S12" s="5">
        <v>17.489999999999998</v>
      </c>
      <c r="T12" s="5">
        <v>20.32</v>
      </c>
      <c r="U12" s="5">
        <v>21.71</v>
      </c>
      <c r="V12" s="5">
        <v>41.96</v>
      </c>
    </row>
    <row r="13" spans="1:22" x14ac:dyDescent="0.25">
      <c r="A13" s="5">
        <v>8</v>
      </c>
      <c r="B13" s="5">
        <v>77.2</v>
      </c>
      <c r="C13" s="5">
        <v>9.6199999999999992</v>
      </c>
      <c r="D13" s="5">
        <v>331.24</v>
      </c>
      <c r="E13" s="5">
        <v>164.37</v>
      </c>
      <c r="F13" s="5">
        <v>203.52</v>
      </c>
      <c r="G13" s="5">
        <v>9.32</v>
      </c>
      <c r="H13" s="5">
        <v>10.76</v>
      </c>
      <c r="I13" s="5">
        <v>199.58</v>
      </c>
      <c r="J13" s="5">
        <v>12.17</v>
      </c>
      <c r="K13" s="5">
        <v>336.37</v>
      </c>
      <c r="L13" s="5">
        <v>23.26</v>
      </c>
      <c r="M13" s="5">
        <v>17.43</v>
      </c>
      <c r="N13" s="5">
        <v>285.19</v>
      </c>
      <c r="O13" s="5">
        <v>65.290000000000006</v>
      </c>
      <c r="P13" s="5">
        <v>12.17</v>
      </c>
      <c r="Q13" s="5">
        <v>9.32</v>
      </c>
      <c r="R13" s="5">
        <v>19.100000000000001</v>
      </c>
      <c r="S13" s="5">
        <v>17.489999999999998</v>
      </c>
      <c r="T13" s="5">
        <v>20.32</v>
      </c>
      <c r="U13" s="5">
        <v>21.71</v>
      </c>
      <c r="V13" s="5">
        <v>41.96</v>
      </c>
    </row>
    <row r="14" spans="1:22" x14ac:dyDescent="0.25">
      <c r="A14" s="5">
        <v>9</v>
      </c>
      <c r="B14" s="5">
        <v>77.2</v>
      </c>
      <c r="C14" s="5">
        <v>9.6199999999999992</v>
      </c>
      <c r="D14" s="5">
        <v>331.24</v>
      </c>
      <c r="E14" s="5">
        <v>164.37</v>
      </c>
      <c r="F14" s="5">
        <v>203.52</v>
      </c>
      <c r="G14" s="5">
        <v>9.32</v>
      </c>
      <c r="H14" s="5">
        <v>10.76</v>
      </c>
      <c r="I14" s="5">
        <v>199.58</v>
      </c>
      <c r="J14" s="5">
        <v>12.17</v>
      </c>
      <c r="K14" s="5">
        <v>336.37</v>
      </c>
      <c r="L14" s="5">
        <v>23.26</v>
      </c>
      <c r="M14" s="5">
        <v>17.43</v>
      </c>
      <c r="N14" s="5">
        <v>285.19</v>
      </c>
      <c r="O14" s="5">
        <v>65.290000000000006</v>
      </c>
      <c r="P14" s="5">
        <v>12.17</v>
      </c>
      <c r="Q14" s="5">
        <v>9.32</v>
      </c>
      <c r="R14" s="5">
        <v>19.100000000000001</v>
      </c>
      <c r="S14" s="5">
        <v>17.489999999999998</v>
      </c>
      <c r="T14" s="5">
        <v>20.32</v>
      </c>
      <c r="U14" s="5">
        <v>21.71</v>
      </c>
      <c r="V14" s="5">
        <v>41.96</v>
      </c>
    </row>
    <row r="15" spans="1:22" x14ac:dyDescent="0.25">
      <c r="A15" s="5">
        <v>10</v>
      </c>
      <c r="B15" s="5">
        <v>77.2</v>
      </c>
      <c r="C15" s="5">
        <v>9.6199999999999992</v>
      </c>
      <c r="D15" s="5">
        <v>331.24</v>
      </c>
      <c r="E15" s="5">
        <v>164.37</v>
      </c>
      <c r="F15" s="5">
        <v>203.52</v>
      </c>
      <c r="G15" s="5">
        <v>9.32</v>
      </c>
      <c r="H15" s="5">
        <v>10.76</v>
      </c>
      <c r="I15" s="5">
        <v>199.58</v>
      </c>
      <c r="J15" s="5">
        <v>12.17</v>
      </c>
      <c r="K15" s="5">
        <v>336.37</v>
      </c>
      <c r="L15" s="5">
        <v>23.26</v>
      </c>
      <c r="M15" s="5">
        <v>17.43</v>
      </c>
      <c r="N15" s="5">
        <v>285.19</v>
      </c>
      <c r="O15" s="5">
        <v>65.290000000000006</v>
      </c>
      <c r="P15" s="5">
        <v>12.17</v>
      </c>
      <c r="Q15" s="5">
        <v>9.32</v>
      </c>
      <c r="R15" s="5">
        <v>19.100000000000001</v>
      </c>
      <c r="S15" s="5">
        <v>17.489999999999998</v>
      </c>
      <c r="T15" s="5">
        <v>20.32</v>
      </c>
      <c r="U15" s="5">
        <v>21.71</v>
      </c>
      <c r="V15" s="5">
        <v>41.96</v>
      </c>
    </row>
    <row r="16" spans="1:22" x14ac:dyDescent="0.25">
      <c r="A16" s="5">
        <v>11</v>
      </c>
      <c r="B16" s="5">
        <v>77.2</v>
      </c>
      <c r="C16" s="5">
        <v>9.6199999999999992</v>
      </c>
      <c r="D16" s="5">
        <v>331.24</v>
      </c>
      <c r="E16" s="5">
        <v>164.37</v>
      </c>
      <c r="F16" s="5">
        <v>203.52</v>
      </c>
      <c r="G16" s="5">
        <v>9.32</v>
      </c>
      <c r="H16" s="5">
        <v>10.76</v>
      </c>
      <c r="I16" s="5">
        <v>199.58</v>
      </c>
      <c r="J16" s="5">
        <v>12.17</v>
      </c>
      <c r="K16" s="5">
        <v>336.37</v>
      </c>
      <c r="L16" s="5">
        <v>23.26</v>
      </c>
      <c r="M16" s="5">
        <v>17.43</v>
      </c>
      <c r="N16" s="5">
        <v>285.19</v>
      </c>
      <c r="O16" s="5">
        <v>65.290000000000006</v>
      </c>
      <c r="P16" s="5">
        <v>12.17</v>
      </c>
      <c r="Q16" s="5">
        <v>9.32</v>
      </c>
      <c r="R16" s="5">
        <v>19.100000000000001</v>
      </c>
      <c r="S16" s="5">
        <v>17.489999999999998</v>
      </c>
      <c r="T16" s="5">
        <v>20.32</v>
      </c>
      <c r="U16" s="5">
        <v>21.71</v>
      </c>
      <c r="V16" s="5">
        <v>41.96</v>
      </c>
    </row>
    <row r="17" spans="1:22" x14ac:dyDescent="0.25">
      <c r="A17" s="5">
        <v>12</v>
      </c>
      <c r="B17" s="5">
        <v>77.2</v>
      </c>
      <c r="C17" s="5">
        <v>9.6199999999999992</v>
      </c>
      <c r="D17" s="5">
        <v>331.24</v>
      </c>
      <c r="E17" s="5">
        <v>164.37</v>
      </c>
      <c r="F17" s="5">
        <v>203.52</v>
      </c>
      <c r="G17" s="5">
        <v>9.32</v>
      </c>
      <c r="H17" s="5">
        <v>10.76</v>
      </c>
      <c r="I17" s="5">
        <v>199.58</v>
      </c>
      <c r="J17" s="5">
        <v>12.17</v>
      </c>
      <c r="K17" s="5">
        <v>336.37</v>
      </c>
      <c r="L17" s="5">
        <v>23.26</v>
      </c>
      <c r="M17" s="5">
        <v>17.43</v>
      </c>
      <c r="N17" s="5">
        <v>285.19</v>
      </c>
      <c r="O17" s="5">
        <v>65.290000000000006</v>
      </c>
      <c r="P17" s="5">
        <v>12.17</v>
      </c>
      <c r="Q17" s="5">
        <v>9.32</v>
      </c>
      <c r="R17" s="5">
        <v>19.100000000000001</v>
      </c>
      <c r="S17" s="5">
        <v>17.489999999999998</v>
      </c>
      <c r="T17" s="5">
        <v>20.32</v>
      </c>
      <c r="U17" s="5">
        <v>21.71</v>
      </c>
      <c r="V17" s="5">
        <v>41.96</v>
      </c>
    </row>
    <row r="18" spans="1:22" x14ac:dyDescent="0.25">
      <c r="A18" s="5">
        <v>13</v>
      </c>
      <c r="B18" s="5">
        <v>77.2</v>
      </c>
      <c r="C18" s="5">
        <v>9.6199999999999992</v>
      </c>
      <c r="D18" s="5">
        <v>331.24</v>
      </c>
      <c r="E18" s="5">
        <v>164.37</v>
      </c>
      <c r="F18" s="5">
        <v>203.52</v>
      </c>
      <c r="G18" s="5">
        <v>9.32</v>
      </c>
      <c r="H18" s="5">
        <v>10.76</v>
      </c>
      <c r="I18" s="5">
        <v>199.58</v>
      </c>
      <c r="J18" s="5">
        <v>12.17</v>
      </c>
      <c r="K18" s="5">
        <v>336.37</v>
      </c>
      <c r="L18" s="5">
        <v>23.26</v>
      </c>
      <c r="M18" s="5">
        <v>17.43</v>
      </c>
      <c r="N18" s="5">
        <v>285.19</v>
      </c>
      <c r="O18" s="5">
        <v>65.290000000000006</v>
      </c>
      <c r="P18" s="5">
        <v>12.17</v>
      </c>
      <c r="Q18" s="5">
        <v>9.32</v>
      </c>
      <c r="R18" s="5">
        <v>19.100000000000001</v>
      </c>
      <c r="S18" s="5">
        <v>17.489999999999998</v>
      </c>
      <c r="T18" s="5">
        <v>20.32</v>
      </c>
      <c r="U18" s="5">
        <v>21.71</v>
      </c>
      <c r="V18" s="5">
        <v>41.96</v>
      </c>
    </row>
    <row r="19" spans="1:22" x14ac:dyDescent="0.25">
      <c r="A19" s="5">
        <v>14</v>
      </c>
      <c r="B19" s="5">
        <v>77.2</v>
      </c>
      <c r="C19" s="5">
        <v>9.6199999999999992</v>
      </c>
      <c r="D19" s="5">
        <v>331.24</v>
      </c>
      <c r="E19" s="5">
        <v>164.37</v>
      </c>
      <c r="F19" s="5">
        <v>203.52</v>
      </c>
      <c r="G19" s="5">
        <v>9.32</v>
      </c>
      <c r="H19" s="5">
        <v>10.76</v>
      </c>
      <c r="I19" s="5">
        <v>199.58</v>
      </c>
      <c r="J19" s="5">
        <v>12.17</v>
      </c>
      <c r="K19" s="5">
        <v>336.37</v>
      </c>
      <c r="L19" s="5">
        <v>23.26</v>
      </c>
      <c r="M19" s="5">
        <v>17.43</v>
      </c>
      <c r="N19" s="5">
        <v>285.19</v>
      </c>
      <c r="O19" s="5">
        <v>65.290000000000006</v>
      </c>
      <c r="P19" s="5">
        <v>12.17</v>
      </c>
      <c r="Q19" s="5">
        <v>9.32</v>
      </c>
      <c r="R19" s="5">
        <v>19.100000000000001</v>
      </c>
      <c r="S19" s="5">
        <v>17.489999999999998</v>
      </c>
      <c r="T19" s="5">
        <v>20.32</v>
      </c>
      <c r="U19" s="5">
        <v>21.71</v>
      </c>
      <c r="V19" s="5">
        <v>41.96</v>
      </c>
    </row>
    <row r="20" spans="1:22" x14ac:dyDescent="0.25">
      <c r="A20" s="5">
        <v>15</v>
      </c>
      <c r="B20" s="5">
        <v>77.2</v>
      </c>
      <c r="C20" s="5">
        <v>9.6199999999999992</v>
      </c>
      <c r="D20" s="5">
        <v>331.24</v>
      </c>
      <c r="E20" s="5">
        <v>164.37</v>
      </c>
      <c r="F20" s="5">
        <v>203.52</v>
      </c>
      <c r="G20" s="5">
        <v>9.32</v>
      </c>
      <c r="H20" s="5">
        <v>10.76</v>
      </c>
      <c r="I20" s="5">
        <v>199.58</v>
      </c>
      <c r="J20" s="5">
        <v>12.17</v>
      </c>
      <c r="K20" s="5">
        <v>336.37</v>
      </c>
      <c r="L20" s="5">
        <v>23.26</v>
      </c>
      <c r="M20" s="5">
        <v>17.43</v>
      </c>
      <c r="N20" s="5">
        <v>285.19</v>
      </c>
      <c r="O20" s="5">
        <v>65.290000000000006</v>
      </c>
      <c r="P20" s="5">
        <v>12.17</v>
      </c>
      <c r="Q20" s="5">
        <v>9.32</v>
      </c>
      <c r="R20" s="5">
        <v>19.100000000000001</v>
      </c>
      <c r="S20" s="5">
        <v>17.489999999999998</v>
      </c>
      <c r="T20" s="5">
        <v>20.32</v>
      </c>
      <c r="U20" s="5">
        <v>21.71</v>
      </c>
      <c r="V20" s="5">
        <v>41.96</v>
      </c>
    </row>
    <row r="21" spans="1:22" x14ac:dyDescent="0.25">
      <c r="A21" s="5">
        <v>16</v>
      </c>
      <c r="B21" s="5">
        <v>77.2</v>
      </c>
      <c r="C21" s="5">
        <v>9.6199999999999992</v>
      </c>
      <c r="D21" s="5">
        <v>331.24</v>
      </c>
      <c r="E21" s="5">
        <v>164.37</v>
      </c>
      <c r="F21" s="5">
        <v>203.52</v>
      </c>
      <c r="G21" s="5">
        <v>9.32</v>
      </c>
      <c r="H21" s="5">
        <v>10.76</v>
      </c>
      <c r="I21" s="5">
        <v>199.58</v>
      </c>
      <c r="J21" s="5">
        <v>12.17</v>
      </c>
      <c r="K21" s="5">
        <v>336.37</v>
      </c>
      <c r="L21" s="5">
        <v>23.26</v>
      </c>
      <c r="M21" s="5">
        <v>17.43</v>
      </c>
      <c r="N21" s="5">
        <v>285.19</v>
      </c>
      <c r="O21" s="5">
        <v>65.290000000000006</v>
      </c>
      <c r="P21" s="5">
        <v>12.17</v>
      </c>
      <c r="Q21" s="5">
        <v>9.32</v>
      </c>
      <c r="R21" s="5">
        <v>19.100000000000001</v>
      </c>
      <c r="S21" s="5">
        <v>17.489999999999998</v>
      </c>
      <c r="T21" s="5">
        <v>20.32</v>
      </c>
      <c r="U21" s="5">
        <v>21.71</v>
      </c>
      <c r="V21" s="5">
        <v>41.96</v>
      </c>
    </row>
    <row r="22" spans="1:22" x14ac:dyDescent="0.25">
      <c r="A22" s="5">
        <v>17</v>
      </c>
      <c r="B22" s="5">
        <v>77.2</v>
      </c>
      <c r="C22" s="5">
        <v>9.6199999999999992</v>
      </c>
      <c r="D22" s="5">
        <v>331.24</v>
      </c>
      <c r="E22" s="5">
        <v>164.37</v>
      </c>
      <c r="F22" s="5">
        <v>203.52</v>
      </c>
      <c r="G22" s="5">
        <v>9.32</v>
      </c>
      <c r="H22" s="5">
        <v>10.76</v>
      </c>
      <c r="I22" s="5">
        <v>199.58</v>
      </c>
      <c r="J22" s="5">
        <v>12.17</v>
      </c>
      <c r="K22" s="5">
        <v>336.37</v>
      </c>
      <c r="L22" s="5">
        <v>23.26</v>
      </c>
      <c r="M22" s="5">
        <v>17.43</v>
      </c>
      <c r="N22" s="5">
        <v>285.19</v>
      </c>
      <c r="O22" s="5">
        <v>65.290000000000006</v>
      </c>
      <c r="P22" s="5">
        <v>12.17</v>
      </c>
      <c r="Q22" s="5">
        <v>9.32</v>
      </c>
      <c r="R22" s="5">
        <v>19.100000000000001</v>
      </c>
      <c r="S22" s="5">
        <v>17.489999999999998</v>
      </c>
      <c r="T22" s="5">
        <v>20.32</v>
      </c>
      <c r="U22" s="5">
        <v>21.71</v>
      </c>
      <c r="V22" s="5">
        <v>41.96</v>
      </c>
    </row>
    <row r="23" spans="1:22" x14ac:dyDescent="0.25">
      <c r="A23" s="5">
        <v>18</v>
      </c>
      <c r="B23" s="5">
        <v>77.2</v>
      </c>
      <c r="C23" s="5">
        <v>9.6199999999999992</v>
      </c>
      <c r="D23" s="5">
        <v>331.24</v>
      </c>
      <c r="E23" s="5">
        <v>164.37</v>
      </c>
      <c r="F23" s="5">
        <v>203.52</v>
      </c>
      <c r="G23" s="5">
        <v>9.32</v>
      </c>
      <c r="H23" s="5">
        <v>10.76</v>
      </c>
      <c r="I23" s="5">
        <v>199.58</v>
      </c>
      <c r="J23" s="5">
        <v>12.17</v>
      </c>
      <c r="K23" s="5">
        <v>336.37</v>
      </c>
      <c r="L23" s="5">
        <v>23.26</v>
      </c>
      <c r="M23" s="5">
        <v>17.43</v>
      </c>
      <c r="N23" s="5">
        <v>285.19</v>
      </c>
      <c r="O23" s="5">
        <v>65.290000000000006</v>
      </c>
      <c r="P23" s="5">
        <v>12.17</v>
      </c>
      <c r="Q23" s="5">
        <v>9.32</v>
      </c>
      <c r="R23" s="5">
        <v>19.100000000000001</v>
      </c>
      <c r="S23" s="5">
        <v>17.489999999999998</v>
      </c>
      <c r="T23" s="5">
        <v>20.32</v>
      </c>
      <c r="U23" s="5">
        <v>21.71</v>
      </c>
      <c r="V23" s="5">
        <v>41.96</v>
      </c>
    </row>
    <row r="24" spans="1:22" x14ac:dyDescent="0.25">
      <c r="A24" s="5">
        <v>19</v>
      </c>
      <c r="B24" s="5">
        <v>77.2</v>
      </c>
      <c r="C24" s="5">
        <v>9.6199999999999992</v>
      </c>
      <c r="D24" s="5">
        <v>331.24</v>
      </c>
      <c r="E24" s="5">
        <v>164.37</v>
      </c>
      <c r="F24" s="5">
        <v>203.52</v>
      </c>
      <c r="G24" s="5">
        <v>9.32</v>
      </c>
      <c r="H24" s="5">
        <v>10.76</v>
      </c>
      <c r="I24" s="5">
        <v>199.58</v>
      </c>
      <c r="J24" s="5">
        <v>12.17</v>
      </c>
      <c r="K24" s="5">
        <v>336.37</v>
      </c>
      <c r="L24" s="5">
        <v>23.26</v>
      </c>
      <c r="M24" s="5">
        <v>17.43</v>
      </c>
      <c r="N24" s="5">
        <v>285.19</v>
      </c>
      <c r="O24" s="5">
        <v>65.290000000000006</v>
      </c>
      <c r="P24" s="5">
        <v>12.17</v>
      </c>
      <c r="Q24" s="5">
        <v>9.32</v>
      </c>
      <c r="R24" s="5">
        <v>19.100000000000001</v>
      </c>
      <c r="S24" s="5">
        <v>17.489999999999998</v>
      </c>
      <c r="T24" s="5">
        <v>20.32</v>
      </c>
      <c r="U24" s="5">
        <v>21.71</v>
      </c>
      <c r="V24" s="5">
        <v>41.96</v>
      </c>
    </row>
    <row r="25" spans="1:22" x14ac:dyDescent="0.25">
      <c r="A25" s="5">
        <v>20</v>
      </c>
      <c r="B25" s="5">
        <v>77.2</v>
      </c>
      <c r="C25" s="5">
        <v>9.6199999999999992</v>
      </c>
      <c r="D25" s="5">
        <v>331.24</v>
      </c>
      <c r="E25" s="5">
        <v>164.37</v>
      </c>
      <c r="F25" s="5">
        <v>203.52</v>
      </c>
      <c r="G25" s="5">
        <v>9.32</v>
      </c>
      <c r="H25" s="5">
        <v>10.76</v>
      </c>
      <c r="I25" s="5">
        <v>199.58</v>
      </c>
      <c r="J25" s="5">
        <v>12.17</v>
      </c>
      <c r="K25" s="5">
        <v>336.37</v>
      </c>
      <c r="L25" s="5">
        <v>23.26</v>
      </c>
      <c r="M25" s="5">
        <v>17.43</v>
      </c>
      <c r="N25" s="5">
        <v>285.19</v>
      </c>
      <c r="O25" s="5">
        <v>65.290000000000006</v>
      </c>
      <c r="P25" s="5">
        <v>12.17</v>
      </c>
      <c r="Q25" s="5">
        <v>9.32</v>
      </c>
      <c r="R25" s="5">
        <v>19.100000000000001</v>
      </c>
      <c r="S25" s="5">
        <v>17.489999999999998</v>
      </c>
      <c r="T25" s="5">
        <v>20.32</v>
      </c>
      <c r="U25" s="5">
        <v>21.71</v>
      </c>
      <c r="V25" s="5">
        <v>41.96</v>
      </c>
    </row>
    <row r="26" spans="1:22" x14ac:dyDescent="0.25">
      <c r="A26" s="5">
        <v>21</v>
      </c>
      <c r="B26" s="5">
        <v>77.2</v>
      </c>
      <c r="C26" s="5">
        <v>9.6199999999999992</v>
      </c>
      <c r="D26" s="5">
        <v>331.24</v>
      </c>
      <c r="E26" s="5">
        <v>164.37</v>
      </c>
      <c r="F26" s="5">
        <v>203.52</v>
      </c>
      <c r="G26" s="5">
        <v>9.32</v>
      </c>
      <c r="H26" s="5">
        <v>10.76</v>
      </c>
      <c r="I26" s="5">
        <v>199.58</v>
      </c>
      <c r="J26" s="5">
        <v>12.17</v>
      </c>
      <c r="K26" s="5">
        <v>336.37</v>
      </c>
      <c r="L26" s="5">
        <v>23.26</v>
      </c>
      <c r="M26" s="5">
        <v>17.43</v>
      </c>
      <c r="N26" s="5">
        <v>285.19</v>
      </c>
      <c r="O26" s="5">
        <v>65.290000000000006</v>
      </c>
      <c r="P26" s="5">
        <v>12.17</v>
      </c>
      <c r="Q26" s="5">
        <v>9.32</v>
      </c>
      <c r="R26" s="5">
        <v>19.100000000000001</v>
      </c>
      <c r="S26" s="5">
        <v>17.489999999999998</v>
      </c>
      <c r="T26" s="5">
        <v>20.32</v>
      </c>
      <c r="U26" s="5">
        <v>21.71</v>
      </c>
      <c r="V26" s="5">
        <v>41.96</v>
      </c>
    </row>
    <row r="27" spans="1:22" x14ac:dyDescent="0.25">
      <c r="A27" s="5">
        <v>22</v>
      </c>
      <c r="B27" s="5">
        <v>77.2</v>
      </c>
      <c r="C27" s="5">
        <v>9.6199999999999992</v>
      </c>
      <c r="D27" s="5">
        <v>331.24</v>
      </c>
      <c r="E27" s="5">
        <v>164.37</v>
      </c>
      <c r="F27" s="5">
        <v>203.52</v>
      </c>
      <c r="G27" s="5">
        <v>9.32</v>
      </c>
      <c r="H27" s="5">
        <v>10.76</v>
      </c>
      <c r="I27" s="5">
        <v>199.58</v>
      </c>
      <c r="J27" s="5">
        <v>12.17</v>
      </c>
      <c r="K27" s="5">
        <v>336.37</v>
      </c>
      <c r="L27" s="5">
        <v>23.26</v>
      </c>
      <c r="M27" s="5">
        <v>17.43</v>
      </c>
      <c r="N27" s="5">
        <v>285.19</v>
      </c>
      <c r="O27" s="5">
        <v>65.290000000000006</v>
      </c>
      <c r="P27" s="5">
        <v>12.17</v>
      </c>
      <c r="Q27" s="5">
        <v>9.32</v>
      </c>
      <c r="R27" s="5">
        <v>19.100000000000001</v>
      </c>
      <c r="S27" s="5">
        <v>17.489999999999998</v>
      </c>
      <c r="T27" s="5">
        <v>20.32</v>
      </c>
      <c r="U27" s="5">
        <v>21.71</v>
      </c>
      <c r="V27" s="5">
        <v>41.96</v>
      </c>
    </row>
    <row r="28" spans="1:22" x14ac:dyDescent="0.25">
      <c r="A28" s="5">
        <v>23</v>
      </c>
      <c r="B28" s="5">
        <v>77.2</v>
      </c>
      <c r="C28" s="5">
        <v>9.6199999999999992</v>
      </c>
      <c r="D28" s="5">
        <v>331.24</v>
      </c>
      <c r="E28" s="5">
        <v>164.37</v>
      </c>
      <c r="F28" s="5">
        <v>203.52</v>
      </c>
      <c r="G28" s="5">
        <v>9.32</v>
      </c>
      <c r="H28" s="5">
        <v>10.76</v>
      </c>
      <c r="I28" s="5">
        <v>199.58</v>
      </c>
      <c r="J28" s="5">
        <v>12.17</v>
      </c>
      <c r="K28" s="5">
        <v>336.37</v>
      </c>
      <c r="L28" s="5">
        <v>23.26</v>
      </c>
      <c r="M28" s="5">
        <v>17.43</v>
      </c>
      <c r="N28" s="5">
        <v>285.19</v>
      </c>
      <c r="O28" s="5">
        <v>65.290000000000006</v>
      </c>
      <c r="P28" s="5">
        <v>12.17</v>
      </c>
      <c r="Q28" s="5">
        <v>9.32</v>
      </c>
      <c r="R28" s="5">
        <v>19.100000000000001</v>
      </c>
      <c r="S28" s="5">
        <v>17.489999999999998</v>
      </c>
      <c r="T28" s="5">
        <v>20.32</v>
      </c>
      <c r="U28" s="5">
        <v>21.71</v>
      </c>
      <c r="V28" s="5">
        <v>41.96</v>
      </c>
    </row>
    <row r="29" spans="1:22" x14ac:dyDescent="0.25">
      <c r="A29" s="5">
        <v>24</v>
      </c>
      <c r="B29" s="5">
        <v>77.2</v>
      </c>
      <c r="C29" s="5">
        <v>9.6199999999999992</v>
      </c>
      <c r="D29" s="5">
        <v>331.24</v>
      </c>
      <c r="E29" s="5">
        <v>164.37</v>
      </c>
      <c r="F29" s="5">
        <v>203.52</v>
      </c>
      <c r="G29" s="5">
        <v>9.32</v>
      </c>
      <c r="H29" s="5">
        <v>10.76</v>
      </c>
      <c r="I29" s="5">
        <v>199.58</v>
      </c>
      <c r="J29" s="5">
        <v>12.17</v>
      </c>
      <c r="K29" s="5">
        <v>336.37</v>
      </c>
      <c r="L29" s="5">
        <v>23.26</v>
      </c>
      <c r="M29" s="5">
        <v>17.43</v>
      </c>
      <c r="N29" s="5">
        <v>285.19</v>
      </c>
      <c r="O29" s="5">
        <v>65.290000000000006</v>
      </c>
      <c r="P29" s="5">
        <v>12.17</v>
      </c>
      <c r="Q29" s="5">
        <v>9.32</v>
      </c>
      <c r="R29" s="5">
        <v>19.100000000000001</v>
      </c>
      <c r="S29" s="5">
        <v>17.489999999999998</v>
      </c>
      <c r="T29" s="5">
        <v>20.32</v>
      </c>
      <c r="U29" s="5">
        <v>21.71</v>
      </c>
      <c r="V29" s="5">
        <v>41.96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79998168889431442"/>
  </sheetPr>
  <dimension ref="A1:G18"/>
  <sheetViews>
    <sheetView workbookViewId="0">
      <selection activeCell="D9" sqref="D9"/>
    </sheetView>
  </sheetViews>
  <sheetFormatPr defaultRowHeight="15" x14ac:dyDescent="0.25"/>
  <cols>
    <col min="1" max="1" width="33.140625" customWidth="1"/>
    <col min="2" max="2" width="11.85546875" customWidth="1"/>
    <col min="3" max="4" width="16" customWidth="1"/>
  </cols>
  <sheetData>
    <row r="1" spans="1:7" ht="18.75" x14ac:dyDescent="0.3">
      <c r="A1" s="1" t="s">
        <v>168</v>
      </c>
    </row>
    <row r="2" spans="1:7" x14ac:dyDescent="0.25">
      <c r="A2" s="2" t="s">
        <v>71</v>
      </c>
    </row>
    <row r="4" spans="1:7" x14ac:dyDescent="0.25">
      <c r="A4" s="3" t="s">
        <v>35</v>
      </c>
      <c r="B4" s="3" t="s">
        <v>46</v>
      </c>
      <c r="C4" s="3" t="s">
        <v>36</v>
      </c>
      <c r="D4" s="3" t="s">
        <v>45</v>
      </c>
      <c r="E4" s="12" t="s">
        <v>245</v>
      </c>
      <c r="F4" s="12" t="s">
        <v>246</v>
      </c>
      <c r="G4" s="12" t="s">
        <v>247</v>
      </c>
    </row>
    <row r="5" spans="1:7" x14ac:dyDescent="0.25">
      <c r="A5" s="4"/>
      <c r="B5" s="4"/>
      <c r="C5" s="4" t="s">
        <v>72</v>
      </c>
      <c r="D5" s="4" t="s">
        <v>38</v>
      </c>
      <c r="E5" s="4"/>
      <c r="F5" s="4" t="s">
        <v>248</v>
      </c>
      <c r="G5" s="4" t="s">
        <v>248</v>
      </c>
    </row>
    <row r="6" spans="1:7" x14ac:dyDescent="0.25">
      <c r="A6" s="6" t="s">
        <v>389</v>
      </c>
      <c r="B6" s="5" t="s">
        <v>138</v>
      </c>
      <c r="C6" s="5" t="s">
        <v>156</v>
      </c>
      <c r="D6" s="17">
        <v>102</v>
      </c>
      <c r="E6" s="17" t="str">
        <f>_xlfn.XLOOKUP(A6,[1]Detalle_Unidades!$B$2:$B$886,[1]Detalle_Unidades!$A$2:$A$886)</f>
        <v>3IRX</v>
      </c>
    </row>
    <row r="7" spans="1:7" x14ac:dyDescent="0.25">
      <c r="A7" s="6" t="s">
        <v>249</v>
      </c>
      <c r="B7" s="5" t="s">
        <v>139</v>
      </c>
      <c r="C7" s="5" t="s">
        <v>156</v>
      </c>
      <c r="D7" s="17">
        <v>50</v>
      </c>
      <c r="E7" s="17" t="str">
        <f>_xlfn.XLOOKUP(A7,[1]Detalle_Unidades!$B$2:$B$886,[1]Detalle_Unidades!$A$2:$A$886)</f>
        <v>3INX</v>
      </c>
    </row>
    <row r="8" spans="1:7" x14ac:dyDescent="0.25">
      <c r="A8" s="6" t="s">
        <v>250</v>
      </c>
      <c r="B8" s="5" t="s">
        <v>139</v>
      </c>
      <c r="C8" s="5" t="s">
        <v>156</v>
      </c>
      <c r="D8" s="17">
        <v>370</v>
      </c>
      <c r="E8" s="17" t="str">
        <f>_xlfn.XLOOKUP(A8,[1]Detalle_Unidades!$B$2:$B$886,[1]Detalle_Unidades!$A$2:$A$886)</f>
        <v>GYPO</v>
      </c>
    </row>
    <row r="9" spans="1:7" x14ac:dyDescent="0.25">
      <c r="A9" s="6" t="s">
        <v>251</v>
      </c>
      <c r="B9" s="5" t="s">
        <v>139</v>
      </c>
      <c r="C9" s="5" t="s">
        <v>156</v>
      </c>
      <c r="D9" s="17">
        <v>200</v>
      </c>
      <c r="E9" s="17" t="str">
        <f>_xlfn.XLOOKUP(A9,[1]Detalle_Unidades!$B$2:$B$886,[1]Detalle_Unidades!$A$2:$A$886)</f>
        <v>GYP3</v>
      </c>
    </row>
    <row r="10" spans="1:7" x14ac:dyDescent="0.25">
      <c r="A10" s="6" t="s">
        <v>252</v>
      </c>
      <c r="B10" s="5" t="s">
        <v>146</v>
      </c>
      <c r="C10" s="5" t="s">
        <v>156</v>
      </c>
      <c r="D10" s="17">
        <v>100</v>
      </c>
      <c r="E10" s="17" t="str">
        <f>_xlfn.XLOOKUP(A10,[1]Detalle_Unidades!$B$2:$B$886,[1]Detalle_Unidades!$A$2:$A$886)</f>
        <v>3IZ6</v>
      </c>
    </row>
    <row r="11" spans="1:7" x14ac:dyDescent="0.25">
      <c r="A11" s="6" t="s">
        <v>253</v>
      </c>
      <c r="B11" s="5" t="s">
        <v>143</v>
      </c>
      <c r="C11" s="5" t="s">
        <v>156</v>
      </c>
      <c r="D11" s="17">
        <v>300</v>
      </c>
      <c r="E11" s="17" t="str">
        <f>_xlfn.XLOOKUP(A11,[1]Detalle_Unidades!$B$2:$B$886,[1]Detalle_Unidades!$A$2:$A$886)</f>
        <v>PORO</v>
      </c>
    </row>
    <row r="12" spans="1:7" x14ac:dyDescent="0.25">
      <c r="A12" s="6" t="s">
        <v>254</v>
      </c>
      <c r="B12" s="5" t="s">
        <v>143</v>
      </c>
      <c r="C12" s="5" t="s">
        <v>156</v>
      </c>
      <c r="D12" s="17">
        <v>83</v>
      </c>
      <c r="E12" s="17" t="str">
        <f>_xlfn.XLOOKUP(A12,[1]Detalle_Unidades!$B$2:$B$886,[1]Detalle_Unidades!$A$2:$A$886)</f>
        <v>TPUY</v>
      </c>
    </row>
    <row r="13" spans="1:7" x14ac:dyDescent="0.25">
      <c r="A13" s="6" t="s">
        <v>255</v>
      </c>
      <c r="B13" s="5" t="s">
        <v>147</v>
      </c>
      <c r="C13" s="5" t="s">
        <v>156</v>
      </c>
      <c r="D13" s="17">
        <v>68</v>
      </c>
      <c r="E13" s="17" t="str">
        <f>_xlfn.XLOOKUP(A13,[1]Detalle_Unidades!$B$2:$B$886,[1]Detalle_Unidades!$A$2:$A$886)</f>
        <v>EPFV</v>
      </c>
    </row>
    <row r="14" spans="1:7" x14ac:dyDescent="0.25">
      <c r="A14" s="6" t="s">
        <v>256</v>
      </c>
      <c r="B14" s="5" t="s">
        <v>147</v>
      </c>
      <c r="C14" s="5" t="s">
        <v>156</v>
      </c>
      <c r="D14" s="17">
        <v>100</v>
      </c>
      <c r="E14" s="17" t="str">
        <f>_xlfn.XLOOKUP(A14,[1]Detalle_Unidades!$B$2:$B$886,[1]Detalle_Unidades!$A$2:$A$886)</f>
        <v>3HF5</v>
      </c>
    </row>
    <row r="15" spans="1:7" x14ac:dyDescent="0.25">
      <c r="A15" s="6" t="s">
        <v>257</v>
      </c>
      <c r="B15" s="5" t="s">
        <v>147</v>
      </c>
      <c r="C15" s="5" t="s">
        <v>156</v>
      </c>
      <c r="D15" s="17">
        <v>150</v>
      </c>
      <c r="E15" s="17" t="str">
        <f>_xlfn.XLOOKUP(A15,[1]Detalle_Unidades!$B$2:$B$886,[1]Detalle_Unidades!$A$2:$A$886)</f>
        <v>3DDT</v>
      </c>
    </row>
    <row r="16" spans="1:7" x14ac:dyDescent="0.25">
      <c r="A16" s="6" t="s">
        <v>258</v>
      </c>
      <c r="B16" s="5" t="s">
        <v>148</v>
      </c>
      <c r="C16" s="5" t="s">
        <v>156</v>
      </c>
      <c r="D16" s="17">
        <v>160</v>
      </c>
      <c r="E16" s="17" t="str">
        <f>_xlfn.XLOOKUP(A16,[1]Detalle_Unidades!$B$2:$B$886,[1]Detalle_Unidades!$A$2:$A$886)</f>
        <v>4YCF</v>
      </c>
    </row>
    <row r="17" spans="1:5" x14ac:dyDescent="0.25">
      <c r="A17" s="6" t="s">
        <v>259</v>
      </c>
      <c r="B17" s="5" t="s">
        <v>149</v>
      </c>
      <c r="C17" s="5" t="s">
        <v>156</v>
      </c>
      <c r="D17" s="17">
        <v>80</v>
      </c>
      <c r="E17" s="17" t="str">
        <f>_xlfn.XLOOKUP(A17,[1]Detalle_Unidades!$B$2:$B$886,[1]Detalle_Unidades!$A$2:$A$886)</f>
        <v>MATA</v>
      </c>
    </row>
    <row r="18" spans="1:5" x14ac:dyDescent="0.25">
      <c r="A18" s="6" t="s">
        <v>260</v>
      </c>
      <c r="B18" s="5" t="s">
        <v>149</v>
      </c>
      <c r="C18" s="5" t="s">
        <v>156</v>
      </c>
      <c r="D18" s="17">
        <v>35</v>
      </c>
      <c r="E18" s="17" t="str">
        <f>_xlfn.XLOOKUP(A18,[1]Detalle_Unidades!$B$2:$B$886,[1]Detalle_Unidades!$A$2:$A$886)</f>
        <v>3IQA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EA66-4F5E-46CE-A032-3EC4111EFABF}">
  <sheetPr>
    <tabColor theme="6" tint="0.79998168889431442"/>
  </sheetPr>
  <dimension ref="A1:N29"/>
  <sheetViews>
    <sheetView workbookViewId="0">
      <selection activeCell="F11" sqref="F11"/>
    </sheetView>
  </sheetViews>
  <sheetFormatPr defaultRowHeight="15" x14ac:dyDescent="0.25"/>
  <cols>
    <col min="1" max="1" width="5" bestFit="1" customWidth="1"/>
    <col min="2" max="2" width="12" bestFit="1" customWidth="1"/>
    <col min="3" max="3" width="10" bestFit="1" customWidth="1"/>
    <col min="4" max="4" width="12" bestFit="1" customWidth="1"/>
    <col min="5" max="5" width="11" bestFit="1" customWidth="1"/>
    <col min="6" max="6" width="10" bestFit="1" customWidth="1"/>
    <col min="7" max="9" width="12" bestFit="1" customWidth="1"/>
    <col min="10" max="10" width="10" bestFit="1" customWidth="1"/>
    <col min="11" max="14" width="12" bestFit="1" customWidth="1"/>
  </cols>
  <sheetData>
    <row r="1" spans="1:14" ht="18.75" x14ac:dyDescent="0.3">
      <c r="A1" s="1" t="s">
        <v>166</v>
      </c>
    </row>
    <row r="2" spans="1:14" x14ac:dyDescent="0.25">
      <c r="A2" s="2" t="s">
        <v>167</v>
      </c>
    </row>
    <row r="4" spans="1:14" x14ac:dyDescent="0.25">
      <c r="A4" s="3" t="s">
        <v>119</v>
      </c>
      <c r="B4" s="3" t="s">
        <v>390</v>
      </c>
      <c r="C4" s="3" t="s">
        <v>261</v>
      </c>
      <c r="D4" s="3" t="s">
        <v>262</v>
      </c>
      <c r="E4" s="3" t="s">
        <v>263</v>
      </c>
      <c r="F4" s="3" t="s">
        <v>264</v>
      </c>
      <c r="G4" s="3" t="s">
        <v>265</v>
      </c>
      <c r="H4" s="3" t="s">
        <v>266</v>
      </c>
      <c r="I4" s="3" t="s">
        <v>267</v>
      </c>
      <c r="J4" s="3" t="s">
        <v>268</v>
      </c>
      <c r="K4" s="3" t="s">
        <v>269</v>
      </c>
      <c r="L4" s="3" t="s">
        <v>270</v>
      </c>
      <c r="M4" s="3" t="s">
        <v>271</v>
      </c>
      <c r="N4" s="3" t="s">
        <v>272</v>
      </c>
    </row>
    <row r="5" spans="1:14" x14ac:dyDescent="0.25">
      <c r="A5" s="4"/>
      <c r="B5" s="4" t="s">
        <v>86</v>
      </c>
      <c r="C5" s="4" t="s">
        <v>86</v>
      </c>
      <c r="D5" s="4" t="s">
        <v>86</v>
      </c>
      <c r="E5" s="4" t="s">
        <v>86</v>
      </c>
      <c r="F5" s="4" t="s">
        <v>86</v>
      </c>
      <c r="G5" s="4" t="s">
        <v>86</v>
      </c>
      <c r="H5" s="4" t="s">
        <v>86</v>
      </c>
      <c r="I5" s="4" t="s">
        <v>86</v>
      </c>
      <c r="J5" s="4" t="s">
        <v>86</v>
      </c>
      <c r="K5" s="4" t="s">
        <v>86</v>
      </c>
      <c r="L5" s="4" t="s">
        <v>86</v>
      </c>
      <c r="M5" s="4" t="s">
        <v>86</v>
      </c>
      <c r="N5" s="4" t="s">
        <v>86</v>
      </c>
    </row>
    <row r="6" spans="1:14" x14ac:dyDescent="0.25">
      <c r="A6" s="5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x14ac:dyDescent="0.25">
      <c r="A7" s="5">
        <v>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x14ac:dyDescent="0.25">
      <c r="A8" s="5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x14ac:dyDescent="0.25">
      <c r="A9" s="5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x14ac:dyDescent="0.25">
      <c r="A10" s="5">
        <v>5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x14ac:dyDescent="0.25">
      <c r="A11" s="5">
        <v>6</v>
      </c>
      <c r="B11" s="5">
        <v>0</v>
      </c>
      <c r="C11" s="5">
        <v>1.384E-3</v>
      </c>
      <c r="D11" s="5">
        <v>3.6908108108108103E-4</v>
      </c>
      <c r="E11" s="5">
        <v>0</v>
      </c>
      <c r="F11" s="5">
        <v>3.8440000000000002E-4</v>
      </c>
      <c r="G11" s="5">
        <v>0</v>
      </c>
      <c r="H11" s="5">
        <v>0</v>
      </c>
      <c r="I11" s="5">
        <v>1.1713235294117648E-3</v>
      </c>
      <c r="J11" s="5">
        <v>3.4272E-3</v>
      </c>
      <c r="K11" s="5">
        <v>0</v>
      </c>
      <c r="L11" s="5">
        <v>0</v>
      </c>
      <c r="M11" s="5">
        <v>0</v>
      </c>
      <c r="N11" s="5">
        <v>0</v>
      </c>
    </row>
    <row r="12" spans="1:14" x14ac:dyDescent="0.25">
      <c r="A12" s="5">
        <v>7</v>
      </c>
      <c r="B12" s="5">
        <v>0.17582245098039218</v>
      </c>
      <c r="C12" s="5">
        <v>0.10321080000000001</v>
      </c>
      <c r="D12" s="5">
        <v>0.1522781891891892</v>
      </c>
      <c r="E12" s="5">
        <v>0</v>
      </c>
      <c r="F12" s="5">
        <v>0.17069809999999999</v>
      </c>
      <c r="G12" s="5">
        <v>0.14253306666666668</v>
      </c>
      <c r="H12" s="5">
        <v>0.2102089156626506</v>
      </c>
      <c r="I12" s="5">
        <v>0.20002661764705884</v>
      </c>
      <c r="J12" s="5">
        <v>0.17102969999999998</v>
      </c>
      <c r="K12" s="5">
        <v>0.12295746666666667</v>
      </c>
      <c r="L12" s="5">
        <v>5.85259375E-2</v>
      </c>
      <c r="M12" s="5">
        <v>9.6638750000000023E-2</v>
      </c>
      <c r="N12" s="5">
        <v>4.2192E-2</v>
      </c>
    </row>
    <row r="13" spans="1:14" x14ac:dyDescent="0.25">
      <c r="A13" s="5">
        <v>8</v>
      </c>
      <c r="B13" s="5">
        <v>0.59026715686274511</v>
      </c>
      <c r="C13" s="5">
        <v>0.41726940000000001</v>
      </c>
      <c r="D13" s="5">
        <v>0.46810405405405403</v>
      </c>
      <c r="E13" s="5">
        <v>9.9086250000000001E-2</v>
      </c>
      <c r="F13" s="5">
        <v>0.58683830000000003</v>
      </c>
      <c r="G13" s="5">
        <v>0.57250760000000001</v>
      </c>
      <c r="H13" s="5">
        <v>0.7144528915662649</v>
      </c>
      <c r="I13" s="5">
        <v>0.46684205882352936</v>
      </c>
      <c r="J13" s="5">
        <v>0.5848869000000001</v>
      </c>
      <c r="K13" s="5">
        <v>0.24818153333333343</v>
      </c>
      <c r="L13" s="5">
        <v>0.48498831250000007</v>
      </c>
      <c r="M13" s="5">
        <v>0.52739837499999997</v>
      </c>
      <c r="N13" s="5">
        <v>0.25044714285714281</v>
      </c>
    </row>
    <row r="14" spans="1:14" x14ac:dyDescent="0.25">
      <c r="A14" s="5">
        <v>9</v>
      </c>
      <c r="B14" s="5">
        <v>0.76800196078431382</v>
      </c>
      <c r="C14" s="5">
        <v>0.57569920000000008</v>
      </c>
      <c r="D14" s="5">
        <v>0.66132564864864873</v>
      </c>
      <c r="E14" s="5">
        <v>0.69247709999999996</v>
      </c>
      <c r="F14" s="5">
        <v>0.83834980000000003</v>
      </c>
      <c r="G14" s="5">
        <v>0.77477123333333331</v>
      </c>
      <c r="H14" s="5">
        <v>0.87469722891566259</v>
      </c>
      <c r="I14" s="5">
        <v>0.7363104411764706</v>
      </c>
      <c r="J14" s="5">
        <v>0.74658800000000003</v>
      </c>
      <c r="K14" s="5">
        <v>0.56385833333333335</v>
      </c>
      <c r="L14" s="5">
        <v>0.84260249999999992</v>
      </c>
      <c r="M14" s="5">
        <v>0.81981075000000003</v>
      </c>
      <c r="N14" s="5">
        <v>0.52585114285714285</v>
      </c>
    </row>
    <row r="15" spans="1:14" x14ac:dyDescent="0.25">
      <c r="A15" s="5">
        <v>10</v>
      </c>
      <c r="B15" s="5">
        <v>0.74432725490196072</v>
      </c>
      <c r="C15" s="5">
        <v>0.52965180000000001</v>
      </c>
      <c r="D15" s="5">
        <v>0.55253867567567572</v>
      </c>
      <c r="E15" s="5">
        <v>0.59938429999999998</v>
      </c>
      <c r="F15" s="5">
        <v>0.90415970000000001</v>
      </c>
      <c r="G15" s="5">
        <v>0.8442582666666667</v>
      </c>
      <c r="H15" s="5">
        <v>0.84543674698795179</v>
      </c>
      <c r="I15" s="5">
        <v>0.8078702941176471</v>
      </c>
      <c r="J15" s="5">
        <v>0.80366749999999998</v>
      </c>
      <c r="K15" s="5">
        <v>0.5032403333333334</v>
      </c>
      <c r="L15" s="5">
        <v>0.9242121875</v>
      </c>
      <c r="M15" s="5">
        <v>0.90699725000000009</v>
      </c>
      <c r="N15" s="5">
        <v>0.72416599999999998</v>
      </c>
    </row>
    <row r="16" spans="1:14" x14ac:dyDescent="0.25">
      <c r="A16" s="5">
        <v>11</v>
      </c>
      <c r="B16" s="5">
        <v>0.87993019607843137</v>
      </c>
      <c r="C16" s="5">
        <v>0.68616020000000011</v>
      </c>
      <c r="D16" s="5">
        <v>0.69391710810810803</v>
      </c>
      <c r="E16" s="5">
        <v>0.77083630000000003</v>
      </c>
      <c r="F16" s="5">
        <v>0.51553280000000001</v>
      </c>
      <c r="G16" s="5">
        <v>0.9061870666666666</v>
      </c>
      <c r="H16" s="5">
        <v>0.97647265060240962</v>
      </c>
      <c r="I16" s="5">
        <v>0.85916794117647055</v>
      </c>
      <c r="J16" s="5">
        <v>0.80405369999999987</v>
      </c>
      <c r="K16" s="5">
        <v>0.67645080000000002</v>
      </c>
      <c r="L16" s="5">
        <v>0.90040406250000005</v>
      </c>
      <c r="M16" s="5">
        <v>0.96598075000000017</v>
      </c>
      <c r="N16" s="5">
        <v>0.7289634285714286</v>
      </c>
    </row>
    <row r="17" spans="1:14" x14ac:dyDescent="0.25">
      <c r="A17" s="5">
        <v>12</v>
      </c>
      <c r="B17" s="5">
        <v>0.90511970588235302</v>
      </c>
      <c r="C17" s="5">
        <v>0.7549809999999999</v>
      </c>
      <c r="D17" s="5">
        <v>0.77387300000000003</v>
      </c>
      <c r="E17" s="5">
        <v>0.85872844999999998</v>
      </c>
      <c r="F17" s="5">
        <v>0.89806189999999997</v>
      </c>
      <c r="G17" s="5">
        <v>0.93372089999999996</v>
      </c>
      <c r="H17" s="5">
        <v>0.99824891566265073</v>
      </c>
      <c r="I17" s="5">
        <v>0.91597764705882345</v>
      </c>
      <c r="J17" s="5">
        <v>0.80413060000000003</v>
      </c>
      <c r="K17" s="5">
        <v>0.67590906666666661</v>
      </c>
      <c r="L17" s="5">
        <v>0.96240981250000002</v>
      </c>
      <c r="M17" s="5">
        <v>0.87296250000000009</v>
      </c>
      <c r="N17" s="5">
        <v>0.51963599999999999</v>
      </c>
    </row>
    <row r="18" spans="1:14" x14ac:dyDescent="0.25">
      <c r="A18" s="5">
        <v>13</v>
      </c>
      <c r="B18" s="5">
        <v>0.89656215686274499</v>
      </c>
      <c r="C18" s="5">
        <v>0.86662960000000022</v>
      </c>
      <c r="D18" s="5">
        <v>0.85296694594594602</v>
      </c>
      <c r="E18" s="5">
        <v>0.94352075000000002</v>
      </c>
      <c r="F18" s="5">
        <v>0.9211100000000001</v>
      </c>
      <c r="G18" s="5">
        <v>0.92212476666666665</v>
      </c>
      <c r="H18" s="5">
        <v>0.99075975903614455</v>
      </c>
      <c r="I18" s="5">
        <v>0.88281970588235292</v>
      </c>
      <c r="J18" s="5">
        <v>0.50908550000000008</v>
      </c>
      <c r="K18" s="5">
        <v>0.66000093333333332</v>
      </c>
      <c r="L18" s="5">
        <v>0.95867712500000002</v>
      </c>
      <c r="M18" s="5">
        <v>0.63172812499999997</v>
      </c>
      <c r="N18" s="5">
        <v>0.38295314285714283</v>
      </c>
    </row>
    <row r="19" spans="1:14" x14ac:dyDescent="0.25">
      <c r="A19" s="5">
        <v>14</v>
      </c>
      <c r="B19" s="5">
        <v>0.86397617647058833</v>
      </c>
      <c r="C19" s="5">
        <v>0.81179840000000003</v>
      </c>
      <c r="D19" s="5">
        <v>0.8481354324324325</v>
      </c>
      <c r="E19" s="5">
        <v>0.93752129999999989</v>
      </c>
      <c r="F19" s="5">
        <v>0.83265339999999999</v>
      </c>
      <c r="G19" s="5">
        <v>0.88884079999999999</v>
      </c>
      <c r="H19" s="5">
        <v>0.96916566265060256</v>
      </c>
      <c r="I19" s="5">
        <v>0.74701955882352944</v>
      </c>
      <c r="J19" s="5">
        <v>0.80391550000000012</v>
      </c>
      <c r="K19" s="5">
        <v>0.65982886666666674</v>
      </c>
      <c r="L19" s="5">
        <v>0.94776137500000002</v>
      </c>
      <c r="M19" s="5">
        <v>0.59234487499999999</v>
      </c>
      <c r="N19" s="5">
        <v>0.31328771428571428</v>
      </c>
    </row>
    <row r="20" spans="1:14" x14ac:dyDescent="0.25">
      <c r="A20" s="5">
        <v>15</v>
      </c>
      <c r="B20" s="5">
        <v>0.80959323529411764</v>
      </c>
      <c r="C20" s="5">
        <v>0.77909319999999993</v>
      </c>
      <c r="D20" s="5">
        <v>0.71309929729729737</v>
      </c>
      <c r="E20" s="5">
        <v>0.84115914999999997</v>
      </c>
      <c r="F20" s="5">
        <v>0.87657460000000009</v>
      </c>
      <c r="G20" s="5">
        <v>0.84190529999999997</v>
      </c>
      <c r="H20" s="5">
        <v>0.95071204819277122</v>
      </c>
      <c r="I20" s="5">
        <v>0.53829617647058825</v>
      </c>
      <c r="J20" s="5">
        <v>0.80004169999999997</v>
      </c>
      <c r="K20" s="5">
        <v>0.57819346666666671</v>
      </c>
      <c r="L20" s="5">
        <v>0.91712424999999997</v>
      </c>
      <c r="M20" s="5">
        <v>0.71573387499999996</v>
      </c>
      <c r="N20" s="5">
        <v>0.20963914285714286</v>
      </c>
    </row>
    <row r="21" spans="1:14" x14ac:dyDescent="0.25">
      <c r="A21" s="5">
        <v>16</v>
      </c>
      <c r="B21" s="5">
        <v>0.72387196078431371</v>
      </c>
      <c r="C21" s="5">
        <v>0.69237420000000005</v>
      </c>
      <c r="D21" s="5">
        <v>0.70623094594594593</v>
      </c>
      <c r="E21" s="5">
        <v>0.84044914999999998</v>
      </c>
      <c r="F21" s="5">
        <v>0.8624482</v>
      </c>
      <c r="G21" s="5">
        <v>0.78544856666666663</v>
      </c>
      <c r="H21" s="5">
        <v>0.90004831325301204</v>
      </c>
      <c r="I21" s="5">
        <v>0.45105470588235297</v>
      </c>
      <c r="J21" s="5">
        <v>0.78159650000000003</v>
      </c>
      <c r="K21" s="5">
        <v>0.38038053333333344</v>
      </c>
      <c r="L21" s="5">
        <v>0.82395856249999999</v>
      </c>
      <c r="M21" s="5">
        <v>0.695086125</v>
      </c>
      <c r="N21" s="5">
        <v>0.27057885714285712</v>
      </c>
    </row>
    <row r="22" spans="1:14" x14ac:dyDescent="0.25">
      <c r="A22" s="5">
        <v>17</v>
      </c>
      <c r="B22" s="5">
        <v>0.40024833333333332</v>
      </c>
      <c r="C22" s="5">
        <v>0.48271059999999999</v>
      </c>
      <c r="D22" s="5">
        <v>0.40676075675675671</v>
      </c>
      <c r="E22" s="5">
        <v>0.34834575000000001</v>
      </c>
      <c r="F22" s="5">
        <v>0.58465769999999995</v>
      </c>
      <c r="G22" s="5">
        <v>0.59042079999999997</v>
      </c>
      <c r="H22" s="5">
        <v>0.74835674698795185</v>
      </c>
      <c r="I22" s="5">
        <v>0.16845073529411766</v>
      </c>
      <c r="J22" s="5">
        <v>0.63077050000000012</v>
      </c>
      <c r="K22" s="5">
        <v>0.27666113333333331</v>
      </c>
      <c r="L22" s="5">
        <v>0.51819550000000003</v>
      </c>
      <c r="M22" s="5">
        <v>0.12318599999999999</v>
      </c>
      <c r="N22" s="5">
        <v>0.12457885714285714</v>
      </c>
    </row>
    <row r="23" spans="1:14" x14ac:dyDescent="0.25">
      <c r="A23" s="5">
        <v>18</v>
      </c>
      <c r="B23" s="5">
        <v>0.10967774509803921</v>
      </c>
      <c r="C23" s="5">
        <v>0.15944820000000001</v>
      </c>
      <c r="D23" s="5">
        <v>8.9978702702702695E-2</v>
      </c>
      <c r="E23" s="5">
        <v>0.16953560000000006</v>
      </c>
      <c r="F23" s="5">
        <v>0.20577709999999999</v>
      </c>
      <c r="G23" s="5">
        <v>0.17160076666666671</v>
      </c>
      <c r="H23" s="5">
        <v>0.167695421686747</v>
      </c>
      <c r="I23" s="5">
        <v>0.11424470588235294</v>
      </c>
      <c r="J23" s="5">
        <v>0.23773599999999998</v>
      </c>
      <c r="K23" s="5">
        <v>7.5666933333333339E-2</v>
      </c>
      <c r="L23" s="5">
        <v>0.120781</v>
      </c>
      <c r="M23" s="5">
        <v>4.4433375000000004E-2</v>
      </c>
      <c r="N23" s="5">
        <v>3.0766000000000002E-2</v>
      </c>
    </row>
    <row r="24" spans="1:14" x14ac:dyDescent="0.25">
      <c r="A24" s="5">
        <v>19</v>
      </c>
      <c r="B24" s="5">
        <v>0</v>
      </c>
      <c r="C24" s="5">
        <v>6.4170000000000008E-3</v>
      </c>
      <c r="D24" s="5">
        <v>7.0252162162162167E-3</v>
      </c>
      <c r="E24" s="5">
        <v>3.4200000000000003E-3</v>
      </c>
      <c r="F24" s="5">
        <v>0</v>
      </c>
      <c r="G24" s="5">
        <v>0</v>
      </c>
      <c r="H24" s="5">
        <v>3.2530120481927713E-6</v>
      </c>
      <c r="I24" s="5">
        <v>5.2233823529411767E-3</v>
      </c>
      <c r="J24" s="5">
        <v>1.19597E-2</v>
      </c>
      <c r="K24" s="5">
        <v>7.6099999999999996E-4</v>
      </c>
      <c r="L24" s="5">
        <v>0</v>
      </c>
      <c r="M24" s="5">
        <v>2.14475E-3</v>
      </c>
      <c r="N24" s="5">
        <v>0</v>
      </c>
    </row>
    <row r="25" spans="1:14" x14ac:dyDescent="0.25">
      <c r="A25" s="5">
        <v>20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x14ac:dyDescent="0.25">
      <c r="A26" s="5">
        <v>21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x14ac:dyDescent="0.25">
      <c r="A27" s="5">
        <v>22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x14ac:dyDescent="0.25">
      <c r="A28" s="5">
        <v>23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x14ac:dyDescent="0.25">
      <c r="A29" s="5">
        <v>24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9"/>
  <sheetViews>
    <sheetView tabSelected="1" workbookViewId="0">
      <selection activeCell="I11" sqref="I11"/>
    </sheetView>
  </sheetViews>
  <sheetFormatPr defaultRowHeight="15" x14ac:dyDescent="0.25"/>
  <cols>
    <col min="1" max="1" width="8.140625" customWidth="1"/>
    <col min="2" max="3" width="16" customWidth="1"/>
  </cols>
  <sheetData>
    <row r="1" spans="1:19" ht="18.75" x14ac:dyDescent="0.3">
      <c r="A1" s="1" t="s">
        <v>90</v>
      </c>
    </row>
    <row r="2" spans="1:19" x14ac:dyDescent="0.25">
      <c r="A2" s="2" t="s">
        <v>91</v>
      </c>
    </row>
    <row r="4" spans="1:19" x14ac:dyDescent="0.25">
      <c r="A4" s="3" t="s">
        <v>119</v>
      </c>
      <c r="B4" s="3" t="s">
        <v>138</v>
      </c>
      <c r="C4" s="3" t="s">
        <v>152</v>
      </c>
      <c r="D4" s="3" t="s">
        <v>139</v>
      </c>
      <c r="E4" s="3" t="s">
        <v>140</v>
      </c>
      <c r="F4" s="3" t="s">
        <v>141</v>
      </c>
      <c r="G4" s="3" t="s">
        <v>142</v>
      </c>
      <c r="H4" s="3" t="s">
        <v>143</v>
      </c>
      <c r="I4" s="3" t="s">
        <v>154</v>
      </c>
      <c r="J4" s="3" t="s">
        <v>144</v>
      </c>
      <c r="K4" s="3" t="s">
        <v>145</v>
      </c>
      <c r="L4" s="3" t="s">
        <v>146</v>
      </c>
      <c r="M4" s="3" t="s">
        <v>147</v>
      </c>
      <c r="N4" s="3" t="s">
        <v>148</v>
      </c>
      <c r="O4" s="3" t="s">
        <v>153</v>
      </c>
      <c r="P4" s="3" t="s">
        <v>149</v>
      </c>
      <c r="Q4" s="3" t="s">
        <v>155</v>
      </c>
      <c r="R4" s="3" t="s">
        <v>150</v>
      </c>
      <c r="S4" s="3" t="s">
        <v>151</v>
      </c>
    </row>
    <row r="5" spans="1:19" x14ac:dyDescent="0.25">
      <c r="A5" s="4"/>
      <c r="B5" s="4" t="s">
        <v>38</v>
      </c>
      <c r="C5" s="4" t="s">
        <v>38</v>
      </c>
      <c r="D5" s="4" t="s">
        <v>38</v>
      </c>
      <c r="E5" s="4" t="s">
        <v>38</v>
      </c>
      <c r="F5" s="4" t="s">
        <v>38</v>
      </c>
      <c r="G5" s="4" t="s">
        <v>38</v>
      </c>
      <c r="H5" s="4" t="s">
        <v>38</v>
      </c>
      <c r="I5" s="4" t="s">
        <v>38</v>
      </c>
      <c r="J5" s="4" t="s">
        <v>38</v>
      </c>
      <c r="K5" s="4" t="s">
        <v>38</v>
      </c>
      <c r="L5" s="4" t="s">
        <v>38</v>
      </c>
    </row>
    <row r="6" spans="1:19" x14ac:dyDescent="0.25">
      <c r="A6" s="5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x14ac:dyDescent="0.25">
      <c r="A7" s="5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x14ac:dyDescent="0.25">
      <c r="A8" s="5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5">
      <c r="A9" s="5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25">
      <c r="A10" s="5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25">
      <c r="A11" s="5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25">
      <c r="A12" s="5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x14ac:dyDescent="0.25">
      <c r="A13" s="5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25">
      <c r="A14" s="5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25">
      <c r="A15" s="5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25">
      <c r="A16" s="5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x14ac:dyDescent="0.25">
      <c r="A17" s="5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25">
      <c r="A18" s="5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25">
      <c r="A19" s="5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25">
      <c r="A20" s="5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x14ac:dyDescent="0.25">
      <c r="A21" s="5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25">
      <c r="A22" s="5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25">
      <c r="A23" s="5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25">
      <c r="A24" s="5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x14ac:dyDescent="0.25">
      <c r="A25" s="5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25">
      <c r="A26" s="5">
        <v>21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x14ac:dyDescent="0.25">
      <c r="A27" s="5">
        <v>22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x14ac:dyDescent="0.25">
      <c r="A28" s="5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x14ac:dyDescent="0.25">
      <c r="A29" s="5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phoneticPr fontId="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D10" sqref="D10"/>
    </sheetView>
  </sheetViews>
  <sheetFormatPr defaultRowHeight="15" x14ac:dyDescent="0.25"/>
  <cols>
    <col min="1" max="9" width="16" customWidth="1"/>
  </cols>
  <sheetData>
    <row r="1" spans="1:9" ht="18.75" x14ac:dyDescent="0.3">
      <c r="A1" s="1" t="s">
        <v>73</v>
      </c>
    </row>
    <row r="2" spans="1:9" x14ac:dyDescent="0.25">
      <c r="A2" s="2" t="s">
        <v>74</v>
      </c>
    </row>
    <row r="4" spans="1:9" x14ac:dyDescent="0.25">
      <c r="A4" s="3" t="s">
        <v>46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79</v>
      </c>
      <c r="G4" s="3" t="s">
        <v>80</v>
      </c>
      <c r="H4" s="3" t="s">
        <v>81</v>
      </c>
      <c r="I4" s="3" t="s">
        <v>82</v>
      </c>
    </row>
    <row r="5" spans="1:9" x14ac:dyDescent="0.25">
      <c r="A5" s="4"/>
      <c r="B5" s="4" t="s">
        <v>51</v>
      </c>
      <c r="C5" s="4" t="s">
        <v>83</v>
      </c>
      <c r="D5" s="4" t="s">
        <v>84</v>
      </c>
      <c r="E5" s="4" t="s">
        <v>85</v>
      </c>
      <c r="F5" s="4" t="s">
        <v>85</v>
      </c>
      <c r="G5" s="4" t="s">
        <v>85</v>
      </c>
      <c r="H5" s="4" t="s">
        <v>86</v>
      </c>
      <c r="I5" s="4" t="s">
        <v>67</v>
      </c>
    </row>
  </sheetData>
  <phoneticPr fontId="6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>
      <selection activeCell="F27" sqref="F27"/>
    </sheetView>
  </sheetViews>
  <sheetFormatPr defaultRowHeight="15" x14ac:dyDescent="0.25"/>
  <cols>
    <col min="1" max="2" width="16" customWidth="1"/>
  </cols>
  <sheetData>
    <row r="1" spans="1:2" ht="18.75" x14ac:dyDescent="0.3">
      <c r="A1" s="1" t="s">
        <v>87</v>
      </c>
    </row>
    <row r="2" spans="1:2" x14ac:dyDescent="0.25">
      <c r="A2" s="2" t="s">
        <v>88</v>
      </c>
    </row>
    <row r="4" spans="1:2" x14ac:dyDescent="0.25">
      <c r="A4" s="3" t="s">
        <v>89</v>
      </c>
      <c r="B4" s="3" t="s">
        <v>123</v>
      </c>
    </row>
    <row r="5" spans="1:2" x14ac:dyDescent="0.25">
      <c r="A5" s="4"/>
      <c r="B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INSTRUCCIONES</vt:lpstr>
      <vt:lpstr>Config</vt:lpstr>
      <vt:lpstr>Nodos</vt:lpstr>
      <vt:lpstr>Lineas</vt:lpstr>
      <vt:lpstr>Lineas_Cand</vt:lpstr>
      <vt:lpstr>Generadores</vt:lpstr>
      <vt:lpstr>Hidraulicos</vt:lpstr>
      <vt:lpstr>Aportes</vt:lpstr>
      <vt:lpstr>Renovables</vt:lpstr>
      <vt:lpstr>Renov_Perfil</vt:lpstr>
      <vt:lpstr>Demanda</vt:lpstr>
      <vt:lpstr>BESS_Cand</vt:lpstr>
      <vt:lpstr>FACTS_Cand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2026-07-06T00:10:18Z</dcterms:created>
  <dcterms:modified xsi:type="dcterms:W3CDTF">2026-08-24T04:10:13Z</dcterms:modified>
</cp:coreProperties>
</file>