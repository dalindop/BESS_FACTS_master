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198FE7DA-0D0E-4753-B16C-183C8938D5A0}" xr6:coauthVersionLast="47" xr6:coauthVersionMax="47" xr10:uidLastSave="{00000000-0000-0000-0000-000000000000}"/>
  <bookViews>
    <workbookView xWindow="-120" yWindow="-120" windowWidth="29040" windowHeight="15720" firstSheet="1" activeTab="3"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Aportes" sheetId="8" r:id="rId8"/>
    <sheet name="Renovables" sheetId="9" r:id="rId9"/>
    <sheet name="Renov_Perfil" sheetId="10" r:id="rId10"/>
    <sheet name="Demanda" sheetId="11" r:id="rId11"/>
    <sheet name="BESS_Cand" sheetId="12" r:id="rId12"/>
    <sheet name="FACTS_Cand"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tc={2699839F-C475-428D-A676-F67D56A900B1}</author>
  </authors>
  <commentList>
    <comment ref="F202" authorId="0" shapeId="0" xr:uid="{2699839F-C475-428D-A676-F67D56A900B1}">
      <text>
        <t xml:space="preserve">[Threaded comment]
Your version of Excel allows you to read this threaded comment; however, any edits to it will get removed if the file is opened in a newer version of Excel. Learn more: https://go.microsoft.com/fwlink/?linkid=870924
Comment:
    Plan_Expansion_Transmision_2025-2039.pdf - pag 316
En el Informe Trimestral de Restricciones de 2019-T2, XM manifestó que, “La
importación del área Suroccidental a través del circuito San Carlos – Virginia
500 kV se limita a 500 MW para evitar sobrecargas en San Marcos 500/230 kV y
Virginia 500/230 kV ante la contingencia N-1 de uno de ellos. Adicionalmente,
se requiere despachar un mínimo número de unidades para el control de
tensión al interior del área.”, con lo cual muestra la necesidad de refuerzos de
transformación en el área Suroccidental.
Así que XM opera ese corredor muy por debajo de su límite térmico, por seguridad. 
</t>
      </text>
    </comment>
  </commentList>
</comments>
</file>

<file path=xl/sharedStrings.xml><?xml version="1.0" encoding="utf-8"?>
<sst xmlns="http://schemas.openxmlformats.org/spreadsheetml/2006/main" count="2393" uniqueCount="872">
  <si>
    <t>Demanda - Perfil horario de demanda por nodo</t>
  </si>
  <si>
    <t>Estructura {hora x nodo}, igual a la hoja 'load' de XM/Alvaro. Solo columnas de nodos con carga. Filas = horas del horizonte.</t>
  </si>
  <si>
    <t>hora</t>
  </si>
  <si>
    <t>MW</t>
  </si>
  <si>
    <t>Plantilla de datos - Modelo TEP con BESS y FACTS</t>
  </si>
  <si>
    <t>Fuentes y trazabilidad</t>
  </si>
  <si>
    <t>Hoja auxiliar. data_loader no la lee.</t>
  </si>
  <si>
    <t>dato</t>
  </si>
  <si>
    <t>archivo_de_origen</t>
  </si>
  <si>
    <t>Comentarios</t>
  </si>
  <si>
    <t>Esta plantilla define un CASO de estudio. Un archivo = un caso.</t>
  </si>
  <si>
    <t>Nodos</t>
  </si>
  <si>
    <t>\01_Data\02_Processed\Datos_hojas_excel_COL\18_nodos\01_Nodos_Lineas</t>
  </si>
  <si>
    <t>STN es tensión nominal mayor o igual a 220 kV</t>
  </si>
  <si>
    <t>Cada hoja corresponde a un tipo de dato. Llene solo las que aplican;</t>
  </si>
  <si>
    <t>nodos</t>
  </si>
  <si>
    <t>PARATEC_Subestaciones.xlsx</t>
  </si>
  <si>
    <t>las hojas vacias se interpretan como 'ese componente no existe'.</t>
  </si>
  <si>
    <t>Lineas</t>
  </si>
  <si>
    <t>desde / hasta</t>
  </si>
  <si>
    <t>PARATEC_Líneas.xlsx</t>
  </si>
  <si>
    <t>HOJAS:</t>
  </si>
  <si>
    <t>R, X</t>
  </si>
  <si>
    <t xml:space="preserve">  Config          -&gt; parametros globales (S_base, horizonte, etc.)</t>
  </si>
  <si>
    <t>capacidad línea</t>
  </si>
  <si>
    <t>Se pasa a MWA a partir de la corriente nominal</t>
  </si>
  <si>
    <t xml:space="preserve">  Nodos           -&gt; buses del sistema (id, tipo, demanda base)</t>
  </si>
  <si>
    <t>Generadores</t>
  </si>
  <si>
    <t>\01_Data\02_Processed\Datos_hojas_excel_COL\18_nodos\02_Generadores</t>
  </si>
  <si>
    <t xml:space="preserve">  Lineas          -&gt; lineas existentes (R, X, capacidad)</t>
  </si>
  <si>
    <t>id</t>
  </si>
  <si>
    <t>PARATEC_Utérmica.xlsx -&gt; InfoCombustible</t>
  </si>
  <si>
    <t>Filtros de Modo de operación "Desapacho centralmente" y Estado "Operación"</t>
  </si>
  <si>
    <t xml:space="preserve">  Generadores     -&gt; unidades termicas (limites, costos, rampas)</t>
  </si>
  <si>
    <t>Pmin/Pmax</t>
  </si>
  <si>
    <t xml:space="preserve">  Hidraulicos     -&gt; unidades hidraulicas y embalses (opcional)</t>
  </si>
  <si>
    <t>rampa_sub</t>
  </si>
  <si>
    <t>PARATEC_Utérmica.xlsx -&gt; VelCarga-Descarga</t>
  </si>
  <si>
    <t xml:space="preserve">  Aportes      -&gt; xxxx</t>
  </si>
  <si>
    <t>rampa_baj</t>
  </si>
  <si>
    <t xml:space="preserve">  Renovables      -&gt; solar/eolica (opcional)</t>
  </si>
  <si>
    <t xml:space="preserve"> costo</t>
  </si>
  <si>
    <t>PrecOferDesp_Jul26.xlsx</t>
  </si>
  <si>
    <t xml:space="preserve">  Renov_Perfil      -&gt; xxxxx</t>
  </si>
  <si>
    <t>u_init</t>
  </si>
  <si>
    <t>Gene.xlsx</t>
  </si>
  <si>
    <t xml:space="preserve">  BESS_Cand       -&gt; nodos candidatos a instalar BESS</t>
  </si>
  <si>
    <t>min_on</t>
  </si>
  <si>
    <t xml:space="preserve">  FACTS_Cand      -&gt; lineas candidatas a instalar TCSC</t>
  </si>
  <si>
    <t>min_off</t>
  </si>
  <si>
    <t xml:space="preserve">  Demanda         -&gt; perfil horario {hora x nodo} (como XM/Alvaro)</t>
  </si>
  <si>
    <t>cost_su</t>
  </si>
  <si>
    <t>cost_sd</t>
  </si>
  <si>
    <t>no disponible en la fuente</t>
  </si>
  <si>
    <t xml:space="preserve">Se establece en cero </t>
  </si>
  <si>
    <t>CONVENCION DE COLOR:</t>
  </si>
  <si>
    <t>combustible</t>
  </si>
  <si>
    <t>planta</t>
  </si>
  <si>
    <t>PARATEC_Ptérmica.xlsx -&gt; Ptérmica</t>
  </si>
  <si>
    <t>Hidraulicos</t>
  </si>
  <si>
    <t>\01_Data\02_Processed\Datos_hojas_excel_COL\18_nodos\03_Hidraulicos</t>
  </si>
  <si>
    <t>PARATEC_Detalle_Embalse.xlsx -&gt; Información_Técnica e Información_Básica / PARATEC_Phidráulica.xlsx / PARATEC_Chidraulicas.xlsx</t>
  </si>
  <si>
    <t>Embalse</t>
  </si>
  <si>
    <t>Pmin</t>
  </si>
  <si>
    <t>NODO SLACK: en la hoja Nodos, marque tipo=slack en un unico nodo.</t>
  </si>
  <si>
    <t>Pmax</t>
  </si>
  <si>
    <t>Capacidadefectiva.xlsx</t>
  </si>
  <si>
    <t>UNIDADES: indicadas en la fila bajo cada encabezado. (No borrarlas ni modificarlas)</t>
  </si>
  <si>
    <t>qmin</t>
  </si>
  <si>
    <t>Pmin / eta</t>
  </si>
  <si>
    <t>qmax</t>
  </si>
  <si>
    <t>Pmáx / eta</t>
  </si>
  <si>
    <t>eta</t>
  </si>
  <si>
    <t>PARATEC_Phidráulica.xlsx -&gt; Phidráulica</t>
  </si>
  <si>
    <t>Vmin</t>
  </si>
  <si>
    <t>PARATEC_Detalle_Embalse.xlsx -&gt; Información_Técnica</t>
  </si>
  <si>
    <t>Se establece en cero para las filo de agua y las que comparten cadena hidrico (ALBAN;GUATRON; PAGUA)</t>
  </si>
  <si>
    <t>Vmax</t>
  </si>
  <si>
    <t>Vinit</t>
  </si>
  <si>
    <t>VoluUtilDiarMasa_Jul26.xlsx/CapaUtilDiarMasa_Jul26.xlsx</t>
  </si>
  <si>
    <t>Smax</t>
  </si>
  <si>
    <t>costo</t>
  </si>
  <si>
    <t>Pmin_PARATEC</t>
  </si>
  <si>
    <t>PARATEC_Uhidráulica.xlsx -&gt; Uhidráulica</t>
  </si>
  <si>
    <t>clasificación</t>
  </si>
  <si>
    <t>Aportes</t>
  </si>
  <si>
    <t>/01_Data/02_Processed/Datos_hojas_excel_COL/18_nodos/04_Aportes -&gt; AporCaudal_Jul26.xlsx</t>
  </si>
  <si>
    <t>Aporte de embalses; filo de agua no aplica</t>
  </si>
  <si>
    <t>Renovables</t>
  </si>
  <si>
    <t>/01_Data/02_Processed/Datos_hojas_excel_COL/18_nodos/05_Renovables</t>
  </si>
  <si>
    <t>tipo</t>
  </si>
  <si>
    <t>capacidad</t>
  </si>
  <si>
    <t>Renov_Perfil</t>
  </si>
  <si>
    <t>/01_Data/02_Processed/Datos_hojas_excel_COL/18_nodos/05_Renovables -&gt; Gene.xlsx</t>
  </si>
  <si>
    <t>Demanda</t>
  </si>
  <si>
    <t>BESS_Cand</t>
  </si>
  <si>
    <t>Ver Capitulo 5 del documento de la tesis de maestría</t>
  </si>
  <si>
    <t>FACTS_Cand</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</si>
  <si>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</si>
  <si>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</si>
  <si>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</si>
  <si>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</si>
  <si>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</si>
  <si>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</si>
  <si>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</si>
  <si>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</si>
  <si>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</si>
  <si>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</si>
  <si>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</si>
  <si>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</si>
  <si>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</si>
  <si>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</si>
  <si>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</si>
  <si>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</si>
  <si>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</si>
  <si>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vida_bess</t>
  </si>
  <si>
    <t>años NREL</t>
  </si>
  <si>
    <t>vida_facts</t>
  </si>
  <si>
    <t>años</t>
  </si>
  <si>
    <t>incluir_perdidas</t>
  </si>
  <si>
    <t xml:space="preserve">0 (sin pérdidas - validación DC); 1(con pérdidas) </t>
  </si>
  <si>
    <t>tasa_descuento</t>
  </si>
  <si>
    <t>CREG</t>
  </si>
  <si>
    <t>c_tcsc</t>
  </si>
  <si>
    <t>[USD/MVAr]</t>
  </si>
  <si>
    <t>sigma_niveles</t>
  </si>
  <si>
    <t>theta_max_grados</t>
  </si>
  <si>
    <t>solver</t>
  </si>
  <si>
    <t>gurobi</t>
  </si>
  <si>
    <t>costo_vertimiento</t>
  </si>
  <si>
    <t>Regularizacion del vertimiento [USD por m3/s y hora]. No es un costo real.</t>
  </si>
  <si>
    <t>tol_volumen_inf</t>
  </si>
  <si>
    <t>Banda inferior del cierre de volumen: Vinit - tol*(Vmax-Vmin)</t>
  </si>
  <si>
    <t>tol_volumen_sup</t>
  </si>
  <si>
    <t>Banda superior del cierre de volumen: Vinit + tol*(Vmax-Vmin)</t>
  </si>
  <si>
    <t>fecha_inicio_simulacion</t>
  </si>
  <si>
    <t>fecha_fin_simulacion</t>
  </si>
  <si>
    <t>Nodos - Buses del sistema</t>
  </si>
  <si>
    <t>tipo: 'slack' (referencia, UNO solo), 'pv' (con gen), 'pq' (carga).</t>
  </si>
  <si>
    <t>slack/pv/pq</t>
  </si>
  <si>
    <t>slack</t>
  </si>
  <si>
    <t>Lineas - Lineas de transmision existentes</t>
  </si>
  <si>
    <t>R y X en por unidad. La susceptancia se calcula como 1/X.</t>
  </si>
  <si>
    <t>desde</t>
  </si>
  <si>
    <t>hasta</t>
  </si>
  <si>
    <t>R</t>
  </si>
  <si>
    <t>X</t>
  </si>
  <si>
    <t>nodo</t>
  </si>
  <si>
    <t>p.u.</t>
  </si>
  <si>
    <t>l1</t>
  </si>
  <si>
    <t>l2</t>
  </si>
  <si>
    <t>l3</t>
  </si>
  <si>
    <t>l4</t>
  </si>
  <si>
    <t>l5</t>
  </si>
  <si>
    <t>l6</t>
  </si>
  <si>
    <t>l7</t>
  </si>
  <si>
    <t>l8</t>
  </si>
  <si>
    <t>l9</t>
  </si>
  <si>
    <t>l10</t>
  </si>
  <si>
    <t>l11</t>
  </si>
  <si>
    <t>l12</t>
  </si>
  <si>
    <t>l13</t>
  </si>
  <si>
    <t>l14</t>
  </si>
  <si>
    <t>l15</t>
  </si>
  <si>
    <t>l16</t>
  </si>
  <si>
    <t>l17</t>
  </si>
  <si>
    <t>l18</t>
  </si>
  <si>
    <t>l19</t>
  </si>
  <si>
    <t>l20</t>
  </si>
  <si>
    <t>l21</t>
  </si>
  <si>
    <t>l22</t>
  </si>
  <si>
    <t>l23</t>
  </si>
  <si>
    <t>l24</t>
  </si>
  <si>
    <t>l25</t>
  </si>
  <si>
    <t>l26</t>
  </si>
  <si>
    <t>Lineas_Cand - Lineas candidatas a construir (TEP)</t>
  </si>
  <si>
    <t>Vacia si no hay candidatas. 'costo' = costo de construccion.</t>
  </si>
  <si>
    <t>USD</t>
  </si>
  <si>
    <t>Generadores - Unidades termicas</t>
  </si>
  <si>
    <t>Costo cuadratico c2*P^2+c1*P+c0. min_on/off y cost_su/sd para UC.</t>
  </si>
  <si>
    <t>rampa_sub_min</t>
  </si>
  <si>
    <t>rampa_baj_min</t>
  </si>
  <si>
    <t>c2</t>
  </si>
  <si>
    <t>c1</t>
  </si>
  <si>
    <t>c0</t>
  </si>
  <si>
    <t>Carga_sincronizante_frío</t>
  </si>
  <si>
    <t>Tiempo_calentamiento_frío</t>
  </si>
  <si>
    <t>Planta</t>
  </si>
  <si>
    <t>codigo</t>
  </si>
  <si>
    <t xml:space="preserve"> Latitud</t>
  </si>
  <si>
    <t>Longitud</t>
  </si>
  <si>
    <t>MW/min</t>
  </si>
  <si>
    <t>MW/h</t>
  </si>
  <si>
    <t>$/MW2</t>
  </si>
  <si>
    <t>$/MW</t>
  </si>
  <si>
    <t>$</t>
  </si>
  <si>
    <t>h</t>
  </si>
  <si>
    <t>°</t>
  </si>
  <si>
    <t>TERMOCENTRO 1</t>
  </si>
  <si>
    <t>Gas</t>
  </si>
  <si>
    <t>TERMOCENTRO CC</t>
  </si>
  <si>
    <t>TRM1</t>
  </si>
  <si>
    <t>TERMOCENTRO 2</t>
  </si>
  <si>
    <t>ACPM</t>
  </si>
  <si>
    <t>TERMOCENTRO 3</t>
  </si>
  <si>
    <t>TERMOSIERRA 1</t>
  </si>
  <si>
    <t>TERMOSIERRA CC</t>
  </si>
  <si>
    <t>TSR1</t>
  </si>
  <si>
    <t>TERMOSIERRA 2</t>
  </si>
  <si>
    <t>TERMOSIERRA 3</t>
  </si>
  <si>
    <t>BARRANQUILLA 3</t>
  </si>
  <si>
    <t>TBQ3</t>
  </si>
  <si>
    <t>BARRANQUILLA 4</t>
  </si>
  <si>
    <t>TBQ4</t>
  </si>
  <si>
    <t>FLORES 1 GAS</t>
  </si>
  <si>
    <t>FLORES I CC</t>
  </si>
  <si>
    <t>TFL1</t>
  </si>
  <si>
    <t>FLORES 1 VAPOR</t>
  </si>
  <si>
    <t>FLORES 2</t>
  </si>
  <si>
    <t>FLORES 4 CC</t>
  </si>
  <si>
    <t>TFL4</t>
  </si>
  <si>
    <t>FLORES 3</t>
  </si>
  <si>
    <t>FLORES 4</t>
  </si>
  <si>
    <t>TEBSA 11</t>
  </si>
  <si>
    <t>TEBSAB CC</t>
  </si>
  <si>
    <t>TBST</t>
  </si>
  <si>
    <t>TEBSA 12</t>
  </si>
  <si>
    <t>TEBSA 13</t>
  </si>
  <si>
    <t>TEBSA 14</t>
  </si>
  <si>
    <t>TEBSA 21</t>
  </si>
  <si>
    <t>TEBSA 22</t>
  </si>
  <si>
    <t>TEBSA 24</t>
  </si>
  <si>
    <t>ZIPAEMG 2</t>
  </si>
  <si>
    <t>Carbón</t>
  </si>
  <si>
    <t>ZPA2</t>
  </si>
  <si>
    <t>ZIPAEMG 3</t>
  </si>
  <si>
    <t>ZPA3</t>
  </si>
  <si>
    <t>ZIPAEMG 4</t>
  </si>
  <si>
    <t>ZPA4</t>
  </si>
  <si>
    <t>ZIPAEMG 5</t>
  </si>
  <si>
    <t>ZPA5</t>
  </si>
  <si>
    <t>CARTAGENA 1</t>
  </si>
  <si>
    <t>Combustóleo</t>
  </si>
  <si>
    <t>CTG1</t>
  </si>
  <si>
    <t>CARTAGENA 2</t>
  </si>
  <si>
    <t>CTG2</t>
  </si>
  <si>
    <t>CARTAGENA 3</t>
  </si>
  <si>
    <t>CTG3</t>
  </si>
  <si>
    <t>PROELECTRICA 1</t>
  </si>
  <si>
    <t>PRG1</t>
  </si>
  <si>
    <t>PROELECTRICA 2</t>
  </si>
  <si>
    <t>PRG2</t>
  </si>
  <si>
    <t>TERMOCANDELARIA CC 1</t>
  </si>
  <si>
    <t>TERMOCANDELARIA CC</t>
  </si>
  <si>
    <t>TCDT</t>
  </si>
  <si>
    <t>TERMOCANDELARIA CC 2</t>
  </si>
  <si>
    <t>TERMOCANDELARIA CC 3</t>
  </si>
  <si>
    <t>TERMOCARIBE III 1</t>
  </si>
  <si>
    <t>GLP</t>
  </si>
  <si>
    <t>TERMOCARIBE III</t>
  </si>
  <si>
    <t>TCBE</t>
  </si>
  <si>
    <t>PAIPA 1</t>
  </si>
  <si>
    <t>PPA1</t>
  </si>
  <si>
    <t>PAIPA 2</t>
  </si>
  <si>
    <t>PPA2</t>
  </si>
  <si>
    <t>PAIPA 3</t>
  </si>
  <si>
    <t>PPA3</t>
  </si>
  <si>
    <t>PAIPA 4</t>
  </si>
  <si>
    <t>PPA4</t>
  </si>
  <si>
    <t>TERMOYOPAL 1</t>
  </si>
  <si>
    <t>TYP1</t>
  </si>
  <si>
    <t>TERMOYOPAL 2</t>
  </si>
  <si>
    <t>TYP2</t>
  </si>
  <si>
    <t>TERMOYOPAL G3</t>
  </si>
  <si>
    <t>TYP3</t>
  </si>
  <si>
    <t>TERMOYOPAL G4</t>
  </si>
  <si>
    <t>TYP4</t>
  </si>
  <si>
    <t>TERMOYOPAL G5</t>
  </si>
  <si>
    <t>TYP5</t>
  </si>
  <si>
    <t>VILLANUEVA 1</t>
  </si>
  <si>
    <t>Biomasa</t>
  </si>
  <si>
    <t>VILLANUEVA</t>
  </si>
  <si>
    <t>4YCN</t>
  </si>
  <si>
    <t>GECELCA 3</t>
  </si>
  <si>
    <t>GEC3</t>
  </si>
  <si>
    <t>GECELCA 32</t>
  </si>
  <si>
    <t>GE32</t>
  </si>
  <si>
    <t>TESORITO 1</t>
  </si>
  <si>
    <t>TESORITO</t>
  </si>
  <si>
    <t>3ENA</t>
  </si>
  <si>
    <t>TESORITO 10</t>
  </si>
  <si>
    <t>TESORITO 11</t>
  </si>
  <si>
    <t>TESORITO 2</t>
  </si>
  <si>
    <t>TESORITO 3</t>
  </si>
  <si>
    <t>TESORITO 4</t>
  </si>
  <si>
    <t>TESORITO 5</t>
  </si>
  <si>
    <t>TESORITO 6</t>
  </si>
  <si>
    <t>TESORITO 7</t>
  </si>
  <si>
    <t>TESORITO 8</t>
  </si>
  <si>
    <t>TESORITO 9</t>
  </si>
  <si>
    <t>TERMODORADA 1</t>
  </si>
  <si>
    <t>TDR1</t>
  </si>
  <si>
    <t>GUAJIRA 1</t>
  </si>
  <si>
    <t>Mezcla Gas - Carbón</t>
  </si>
  <si>
    <t>TGJ1</t>
  </si>
  <si>
    <t>GUAJIRA 2</t>
  </si>
  <si>
    <t>TGJ2</t>
  </si>
  <si>
    <t>TERMONORTE 1</t>
  </si>
  <si>
    <t>TERMONORTE</t>
  </si>
  <si>
    <t>TRN1</t>
  </si>
  <si>
    <t>TERMONORTE 10</t>
  </si>
  <si>
    <t>TERMONORTE 2</t>
  </si>
  <si>
    <t>TERMONORTE 3</t>
  </si>
  <si>
    <t>TERMONORTE 4</t>
  </si>
  <si>
    <t>TERMONORTE 5</t>
  </si>
  <si>
    <t>TERMONORTE 6</t>
  </si>
  <si>
    <t>TERMONORTE 7</t>
  </si>
  <si>
    <t>TERMONORTE 8</t>
  </si>
  <si>
    <t>TERMONORTE 9</t>
  </si>
  <si>
    <t>TASAJERO 1</t>
  </si>
  <si>
    <t>TSJ1</t>
  </si>
  <si>
    <t>TASAJERO 2</t>
  </si>
  <si>
    <t>TSJ2</t>
  </si>
  <si>
    <t>MERILECTRICA 1</t>
  </si>
  <si>
    <t>MRL1</t>
  </si>
  <si>
    <t>TERMOEMCALI 1 GAS</t>
  </si>
  <si>
    <t>TERMOEMCALI CC</t>
  </si>
  <si>
    <t>TEC1</t>
  </si>
  <si>
    <t>TERMOEMCALI 1 VAPOR</t>
  </si>
  <si>
    <t>TERMOVALLE 1 GAS</t>
  </si>
  <si>
    <t>TERMOVALLE CC</t>
  </si>
  <si>
    <t>TVL1</t>
  </si>
  <si>
    <t>TERMOVALLE 1 VAPOR</t>
  </si>
  <si>
    <t>Hidraulicos - Unidades hidraulicas y embalses</t>
  </si>
  <si>
    <t>Vacia si el sistema no tiene hidraulica. Embalse: vol_min/max/ini.</t>
  </si>
  <si>
    <t>Vol/Capa</t>
  </si>
  <si>
    <t>Clasificación</t>
  </si>
  <si>
    <t>embalse</t>
  </si>
  <si>
    <t>m3/s</t>
  </si>
  <si>
    <t>MW/(m3/s)</t>
  </si>
  <si>
    <t>hm3</t>
  </si>
  <si>
    <t>Mm3</t>
  </si>
  <si>
    <t>-</t>
  </si>
  <si>
    <t>$/MWh</t>
  </si>
  <si>
    <t>GUAVIO</t>
  </si>
  <si>
    <t>Cuenta con embalse</t>
  </si>
  <si>
    <t>GVIO</t>
  </si>
  <si>
    <t>PUNCHINA</t>
  </si>
  <si>
    <t>SAN CARLOS</t>
  </si>
  <si>
    <t>SNCR</t>
  </si>
  <si>
    <t>ITUANGO</t>
  </si>
  <si>
    <t>PES1</t>
  </si>
  <si>
    <t>ESMERALDA</t>
  </si>
  <si>
    <t>CHIVOR</t>
  </si>
  <si>
    <t>CHVR</t>
  </si>
  <si>
    <t>TOPOCORO</t>
  </si>
  <si>
    <t>SOGAMOSO</t>
  </si>
  <si>
    <t>SOG1</t>
  </si>
  <si>
    <t>PORCE III</t>
  </si>
  <si>
    <t>PRC3</t>
  </si>
  <si>
    <t>PENOL</t>
  </si>
  <si>
    <t>GUATAPE</t>
  </si>
  <si>
    <t>GTPE</t>
  </si>
  <si>
    <t>BETANIA</t>
  </si>
  <si>
    <t>CHBG</t>
  </si>
  <si>
    <t>PORCE II</t>
  </si>
  <si>
    <t>PRC2</t>
  </si>
  <si>
    <t>EL QUIMBO</t>
  </si>
  <si>
    <t>QUI1</t>
  </si>
  <si>
    <t>AMANI</t>
  </si>
  <si>
    <t>MIEL I</t>
  </si>
  <si>
    <t>HMLG</t>
  </si>
  <si>
    <t>ALTO ANCHICAYA</t>
  </si>
  <si>
    <t>ALBG</t>
  </si>
  <si>
    <t>URRA</t>
  </si>
  <si>
    <t>URA1</t>
  </si>
  <si>
    <t>SALVAJINA</t>
  </si>
  <si>
    <t>SLVJ</t>
  </si>
  <si>
    <t>RIOGRANDE2</t>
  </si>
  <si>
    <t>LA TASAJERA</t>
  </si>
  <si>
    <t>LTSJ</t>
  </si>
  <si>
    <t>PLAYAS</t>
  </si>
  <si>
    <t>PLYS</t>
  </si>
  <si>
    <t>SAN LORENZO</t>
  </si>
  <si>
    <t>JAGUAS</t>
  </si>
  <si>
    <t>JAGS</t>
  </si>
  <si>
    <t>CALIMA</t>
  </si>
  <si>
    <t>CLMG</t>
  </si>
  <si>
    <t>PRADO</t>
  </si>
  <si>
    <t>PRDO</t>
  </si>
  <si>
    <t>TRONERAS</t>
  </si>
  <si>
    <t>GTRG</t>
  </si>
  <si>
    <t>LA GUACA</t>
  </si>
  <si>
    <t>PGUG</t>
  </si>
  <si>
    <t>PARAISO</t>
  </si>
  <si>
    <t>GUADALUPE III</t>
  </si>
  <si>
    <t>GUADALUPE IV</t>
  </si>
  <si>
    <t>DARIO VALENCIA SAMPER</t>
  </si>
  <si>
    <t>Filo de agua</t>
  </si>
  <si>
    <t>DVS1</t>
  </si>
  <si>
    <t>SAN FRANCISCO</t>
  </si>
  <si>
    <t>SNFR</t>
  </si>
  <si>
    <t>AMOYA LA ESPERANZA</t>
  </si>
  <si>
    <t>MOY1</t>
  </si>
  <si>
    <t>CARLOS LLERAS</t>
  </si>
  <si>
    <t>Filo de agua especial</t>
  </si>
  <si>
    <t>CLL1</t>
  </si>
  <si>
    <t>BAJO ANCHICAYA</t>
  </si>
  <si>
    <t>CUCUANA</t>
  </si>
  <si>
    <t>CUC1</t>
  </si>
  <si>
    <t>ESCUELA DE MINAS</t>
  </si>
  <si>
    <t>HMIN</t>
  </si>
  <si>
    <t>SAN MIGUEL</t>
  </si>
  <si>
    <t>SMI1</t>
  </si>
  <si>
    <t>SALTO II</t>
  </si>
  <si>
    <t>2QEK</t>
  </si>
  <si>
    <t>ESMERALDA (CQR)</t>
  </si>
  <si>
    <t>ESMR</t>
  </si>
  <si>
    <t>TUNJITA</t>
  </si>
  <si>
    <t>TUJ1</t>
  </si>
  <si>
    <t>Aportes - Aporte natural por embalse I(h,t)</t>
  </si>
  <si>
    <t>m3/s, dato diario de XM AporCaudal repartido uniformemente entre las 24 horas. El modelo convierte a Mm3 con k_q2v en el balance.</t>
  </si>
  <si>
    <t>Renovables - Generacion solar y eolica</t>
  </si>
  <si>
    <t>La disponibilidad horaria va en la hoja Demanda o un perfil aparte.</t>
  </si>
  <si>
    <t>solar/eolica</t>
  </si>
  <si>
    <t>PORTON DEL SOL</t>
  </si>
  <si>
    <t>solar</t>
  </si>
  <si>
    <t>3IRX</t>
  </si>
  <si>
    <t>CARACOLI I</t>
  </si>
  <si>
    <t>3INX</t>
  </si>
  <si>
    <t>GUAYEPO</t>
  </si>
  <si>
    <t>GYPO</t>
  </si>
  <si>
    <t>GUAYEPO III</t>
  </si>
  <si>
    <t>GYP3</t>
  </si>
  <si>
    <t>PARQUE SOLAR LA UNION</t>
  </si>
  <si>
    <t>3IZ6</t>
  </si>
  <si>
    <t>PARQUE SOLAR PUERTA DE ORO</t>
  </si>
  <si>
    <t>PORO</t>
  </si>
  <si>
    <t>PARQUE SOLAR TEPUY</t>
  </si>
  <si>
    <t>TPUY</t>
  </si>
  <si>
    <t>EL PASO</t>
  </si>
  <si>
    <t>EPFV</t>
  </si>
  <si>
    <t>FUNDACION</t>
  </si>
  <si>
    <t>3HF5</t>
  </si>
  <si>
    <t>LATAM SOLAR LA LOMA</t>
  </si>
  <si>
    <t>3DDT</t>
  </si>
  <si>
    <t>SHANGRI LA</t>
  </si>
  <si>
    <t>4YCF</t>
  </si>
  <si>
    <t>LA MATA</t>
  </si>
  <si>
    <t>MATA</t>
  </si>
  <si>
    <t>SUNNORTE</t>
  </si>
  <si>
    <t>3IQA</t>
  </si>
  <si>
    <t>Renov_Perfil - Disponibilidad horaria de generacion renovable</t>
  </si>
  <si>
    <t>Estructura {hora x recurso}. Fraccion de la capacidad instalada (0-1).</t>
  </si>
  <si>
    <t>frac</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</si>
  <si>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</si>
  <si>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</si>
  <si>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</si>
  <si>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</si>
  <si>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</si>
  <si>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</si>
  <si>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</si>
  <si>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</si>
  <si>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</si>
  <si>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</si>
  <si>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</si>
  <si>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</si>
  <si>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</si>
  <si>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FACTS_Cand - Lineas candidatas a instalar TCSC</t>
  </si>
  <si>
    <t>Vacia si no se consideran FACTS. 'linea' debe existir en Lineas.</t>
  </si>
  <si>
    <t>linea</t>
  </si>
  <si>
    <t>habilitada</t>
  </si>
  <si>
    <r>
      <t xml:space="preserve">  Encabezado fondo </t>
    </r>
    <r>
      <rPr>
        <i/>
        <sz val="10"/>
        <color rgb="FF0000FF"/>
        <rFont val="Calibri"/>
        <family val="2"/>
      </rPr>
      <t xml:space="preserve">azul </t>
    </r>
    <r>
      <rPr>
        <i/>
        <sz val="10"/>
        <color rgb="FF808080"/>
        <rFont val="Calibri"/>
        <family val="2"/>
      </rPr>
      <t>y letras blancas = dato leído por el código</t>
    </r>
  </si>
  <si>
    <r>
      <t xml:space="preserve">  Encabezado fondo </t>
    </r>
    <r>
      <rPr>
        <i/>
        <sz val="10"/>
        <color rgb="FFFF0000"/>
        <rFont val="Calibri"/>
        <family val="2"/>
      </rPr>
      <t>rojo</t>
    </r>
    <r>
      <rPr>
        <i/>
        <sz val="10"/>
        <color rgb="FF808080"/>
        <rFont val="Calibri"/>
        <family val="2"/>
      </rPr>
      <t xml:space="preserve"> y letras blancas = dato no leído por el código</t>
    </r>
  </si>
  <si>
    <r>
      <t xml:space="preserve">  Texto </t>
    </r>
    <r>
      <rPr>
        <i/>
        <sz val="10"/>
        <color rgb="FF0000FF"/>
        <rFont val="Calibri"/>
        <family val="2"/>
      </rPr>
      <t>azul</t>
    </r>
    <r>
      <rPr>
        <i/>
        <sz val="10"/>
        <color rgb="FF808080"/>
        <rFont val="Calibri"/>
        <family val="2"/>
      </rPr>
      <t xml:space="preserve"> = dato de entrada (lo edita el usuario).</t>
    </r>
  </si>
  <si>
    <r>
      <t xml:space="preserve">  Fondo </t>
    </r>
    <r>
      <rPr>
        <i/>
        <sz val="10"/>
        <color theme="4" tint="0.39997558519241921"/>
        <rFont val="Calibri"/>
        <family val="2"/>
      </rPr>
      <t>azul claro</t>
    </r>
    <r>
      <rPr>
        <i/>
        <sz val="10"/>
        <color rgb="FF808080"/>
        <rFont val="Calibri"/>
        <family val="2"/>
      </rPr>
      <t xml:space="preserve"> y letras </t>
    </r>
    <r>
      <rPr>
        <i/>
        <sz val="10"/>
        <color rgb="FF0000FF"/>
        <rFont val="Calibri"/>
        <family val="2"/>
      </rPr>
      <t>azules oscuras</t>
    </r>
    <r>
      <rPr>
        <i/>
        <sz val="10"/>
        <color rgb="FF808080"/>
        <rFont val="Calibri"/>
        <family val="2"/>
      </rPr>
      <t xml:space="preserve">  = dato a cambiar cada vez que se simulan fechas distintas</t>
    </r>
  </si>
  <si>
    <t>-0.40,-0.20,-0.10,0.15,0.30,0.45,0.60</t>
  </si>
  <si>
    <t>Solo compensacion capacitiva/inductiva</t>
  </si>
  <si>
    <t>ALTAMIRA</t>
  </si>
  <si>
    <t>ANCON SUR</t>
  </si>
  <si>
    <t>ANTIOQUIA</t>
  </si>
  <si>
    <t>ARMENIA</t>
  </si>
  <si>
    <t>BACATA</t>
  </si>
  <si>
    <t>BALSILLAS</t>
  </si>
  <si>
    <t>BANADIA</t>
  </si>
  <si>
    <t>BARBOSA (ANTIOQUIA)</t>
  </si>
  <si>
    <t>BARRANCA</t>
  </si>
  <si>
    <t>BELEN (CUCUTA)</t>
  </si>
  <si>
    <t>BELLO</t>
  </si>
  <si>
    <t>BOLIVAR</t>
  </si>
  <si>
    <t>BUCARAMANGA</t>
  </si>
  <si>
    <t>CAÑO LIMON</t>
  </si>
  <si>
    <t>CARACOLI</t>
  </si>
  <si>
    <t>CARTAGENA</t>
  </si>
  <si>
    <t>CARTAGO</t>
  </si>
  <si>
    <t>CHINU</t>
  </si>
  <si>
    <t>CIRCO</t>
  </si>
  <si>
    <t>COMUNEROS</t>
  </si>
  <si>
    <t>CUESTECITAS</t>
  </si>
  <si>
    <t>EL BOSQUE</t>
  </si>
  <si>
    <t>EL COPEY</t>
  </si>
  <si>
    <t>EL RIO</t>
  </si>
  <si>
    <t>ENVIGADO</t>
  </si>
  <si>
    <t>GUAJIRA</t>
  </si>
  <si>
    <t>GUATIGUARA</t>
  </si>
  <si>
    <t>GUAYABAL</t>
  </si>
  <si>
    <t>HELICONIA</t>
  </si>
  <si>
    <t>IBAGUE</t>
  </si>
  <si>
    <t>JAMONDINO</t>
  </si>
  <si>
    <t>JUANCHITO</t>
  </si>
  <si>
    <t>LA ENEA</t>
  </si>
  <si>
    <t>LA HERMOSA</t>
  </si>
  <si>
    <t>LA LOMA</t>
  </si>
  <si>
    <t>LA MESA</t>
  </si>
  <si>
    <t>LA REFORMA</t>
  </si>
  <si>
    <t>LA SIERRA (ANTIOQUIA)</t>
  </si>
  <si>
    <t>LOS PALOS</t>
  </si>
  <si>
    <t>MALENA</t>
  </si>
  <si>
    <t>MIRAFLORES</t>
  </si>
  <si>
    <t>MOCOA (JUNIN)</t>
  </si>
  <si>
    <t>NOROESTE</t>
  </si>
  <si>
    <t>NUEVA BARRANQUILLA</t>
  </si>
  <si>
    <t>NUEVA CUESTECITAS</t>
  </si>
  <si>
    <t>NUEVA ESPERANZA</t>
  </si>
  <si>
    <t>OCAÑA</t>
  </si>
  <si>
    <t>OCCIDENTE</t>
  </si>
  <si>
    <t>ORIENTE</t>
  </si>
  <si>
    <t>PAEZ</t>
  </si>
  <si>
    <t>PAIPA</t>
  </si>
  <si>
    <t>PALENQUE</t>
  </si>
  <si>
    <t>PANCE</t>
  </si>
  <si>
    <t>PRIMAVERA</t>
  </si>
  <si>
    <t>RENACER</t>
  </si>
  <si>
    <t>RIO CORDOBA</t>
  </si>
  <si>
    <t>SABANALARGA</t>
  </si>
  <si>
    <t>SAHAGUN</t>
  </si>
  <si>
    <t>SAMORE</t>
  </si>
  <si>
    <t>SAN ANTONIO</t>
  </si>
  <si>
    <t>SAN BERNARDINO</t>
  </si>
  <si>
    <t>SAN FELIPE</t>
  </si>
  <si>
    <t>SAN MARCOS (VALLE)</t>
  </si>
  <si>
    <t>SAN MATEO (BOGOTA)</t>
  </si>
  <si>
    <t>SAN MATEO (CUCUTA)</t>
  </si>
  <si>
    <t>SANTA MARTA</t>
  </si>
  <si>
    <t>SOCHAGOTA</t>
  </si>
  <si>
    <t>SURIA</t>
  </si>
  <si>
    <t>TASAJERO</t>
  </si>
  <si>
    <t>TEBSA</t>
  </si>
  <si>
    <t>TERMOCANDELARIA</t>
  </si>
  <si>
    <t>TERMOCOL</t>
  </si>
  <si>
    <t>TERMOFLORES</t>
  </si>
  <si>
    <t>TERNERA</t>
  </si>
  <si>
    <t>TESALIA</t>
  </si>
  <si>
    <t>TOLEDO</t>
  </si>
  <si>
    <t>TOLUVIEJO</t>
  </si>
  <si>
    <t>TORCA</t>
  </si>
  <si>
    <t>TULUNI</t>
  </si>
  <si>
    <t>TUNAL</t>
  </si>
  <si>
    <t>URABA</t>
  </si>
  <si>
    <t>VALLEDUPAR</t>
  </si>
  <si>
    <t>YUMBO</t>
  </si>
  <si>
    <t>ALFEREZ</t>
  </si>
  <si>
    <t>CALI</t>
  </si>
  <si>
    <t>VALLE DEL CAUCA</t>
  </si>
  <si>
    <t>HUILA</t>
  </si>
  <si>
    <t>BUENAVENTURA</t>
  </si>
  <si>
    <t>LA ESTRELLA</t>
  </si>
  <si>
    <t>QUINDÍO</t>
  </si>
  <si>
    <t>TENJO</t>
  </si>
  <si>
    <t>CUNDINAMARCA</t>
  </si>
  <si>
    <t>MOSQUERA</t>
  </si>
  <si>
    <t>ARAUCA</t>
  </si>
  <si>
    <t>BARBOSA</t>
  </si>
  <si>
    <t>BARRANCABERMEJA</t>
  </si>
  <si>
    <t>SANTANDER</t>
  </si>
  <si>
    <t>CÚCUTA</t>
  </si>
  <si>
    <t>NORTE DE SANTANDER</t>
  </si>
  <si>
    <t>YAGUARÁ</t>
  </si>
  <si>
    <t>ATLÁNTICO</t>
  </si>
  <si>
    <t>BARRANQUILLA</t>
  </si>
  <si>
    <t>CARTAGENA DE INDIAS</t>
  </si>
  <si>
    <t>BOLÍVAR</t>
  </si>
  <si>
    <t>CERROMATOSO</t>
  </si>
  <si>
    <t>MONTELÍBANO</t>
  </si>
  <si>
    <t>CÓRDOBA</t>
  </si>
  <si>
    <t>CHINÚ</t>
  </si>
  <si>
    <t>SANTA MARÍA</t>
  </si>
  <si>
    <t>BOYACÁ</t>
  </si>
  <si>
    <t>BOGOTÁ, D.C.</t>
  </si>
  <si>
    <t>MAICAO</t>
  </si>
  <si>
    <t>LA GUAJIRA</t>
  </si>
  <si>
    <t>CESAR</t>
  </si>
  <si>
    <t>GUADALUPE</t>
  </si>
  <si>
    <t>CHINCHINÁ</t>
  </si>
  <si>
    <t>CALDAS</t>
  </si>
  <si>
    <t>FUNDACIÓN</t>
  </si>
  <si>
    <t>MAGDALENA</t>
  </si>
  <si>
    <t>RIOHACHA</t>
  </si>
  <si>
    <t>SAN RAFAEL</t>
  </si>
  <si>
    <t>PIEDECUESTA</t>
  </si>
  <si>
    <t>UBALÁ</t>
  </si>
  <si>
    <t>MEDELLÍN</t>
  </si>
  <si>
    <t>IBAGUÉ</t>
  </si>
  <si>
    <t>TOLIMA</t>
  </si>
  <si>
    <t>PASTO</t>
  </si>
  <si>
    <t>NARIÑO</t>
  </si>
  <si>
    <t>VILLAMARÍA</t>
  </si>
  <si>
    <t>SANTA ROSA DE CABAL</t>
  </si>
  <si>
    <t>RISARALDA</t>
  </si>
  <si>
    <t>VILLAVICENCIO</t>
  </si>
  <si>
    <t>META</t>
  </si>
  <si>
    <t>PUERTO NARE</t>
  </si>
  <si>
    <t>LA VIRGINIA</t>
  </si>
  <si>
    <t>PUERTO BERRÍO</t>
  </si>
  <si>
    <t>LA DORADA</t>
  </si>
  <si>
    <t>MOCOA</t>
  </si>
  <si>
    <t>PUTUMAYO</t>
  </si>
  <si>
    <t>MONTERÍA</t>
  </si>
  <si>
    <t>COTA</t>
  </si>
  <si>
    <t>ALBANIA</t>
  </si>
  <si>
    <t>SOACHA</t>
  </si>
  <si>
    <t>SANTA FÉ DE ANTIOQUIA</t>
  </si>
  <si>
    <t>RIONEGRO</t>
  </si>
  <si>
    <t>GUACHENÉ</t>
  </si>
  <si>
    <t>CAUCA</t>
  </si>
  <si>
    <t>GIRÓN</t>
  </si>
  <si>
    <t>AMALFI</t>
  </si>
  <si>
    <t>ANORÍ</t>
  </si>
  <si>
    <t>CIMITARRA</t>
  </si>
  <si>
    <t>PURNIO</t>
  </si>
  <si>
    <t>CIÉNAGA</t>
  </si>
  <si>
    <t>SAHAGÚN</t>
  </si>
  <si>
    <t>SUÁREZ</t>
  </si>
  <si>
    <t>NOBSA</t>
  </si>
  <si>
    <t>POPAYÁN</t>
  </si>
  <si>
    <t>SAN SEBASTIÁN DE MARIQUITA</t>
  </si>
  <si>
    <t>SAN JUAN DEL CESAR</t>
  </si>
  <si>
    <t>BETULIA</t>
  </si>
  <si>
    <t>SAN CAYETANO</t>
  </si>
  <si>
    <t>SOLEDAD</t>
  </si>
  <si>
    <t>TOLÚ VIEJO</t>
  </si>
  <si>
    <t>SUCRE</t>
  </si>
  <si>
    <t>CHAPARRAL</t>
  </si>
  <si>
    <t>TURBO</t>
  </si>
  <si>
    <t>TIERRALTA</t>
  </si>
  <si>
    <t>nombre_ciudad</t>
  </si>
  <si>
    <t>nombre_departamento</t>
  </si>
  <si>
    <t>EL SALTO</t>
  </si>
  <si>
    <t>SAN JUAN</t>
  </si>
  <si>
    <t>MONTERIA</t>
  </si>
  <si>
    <t>latitud</t>
  </si>
  <si>
    <t>longitud</t>
  </si>
  <si>
    <t>l27</t>
  </si>
  <si>
    <t>l28</t>
  </si>
  <si>
    <t>l29</t>
  </si>
  <si>
    <t>l30</t>
  </si>
  <si>
    <t>l31</t>
  </si>
  <si>
    <t>l32</t>
  </si>
  <si>
    <t>l33</t>
  </si>
  <si>
    <t>l34</t>
  </si>
  <si>
    <t>l35</t>
  </si>
  <si>
    <t>l36</t>
  </si>
  <si>
    <t>l37</t>
  </si>
  <si>
    <t>l38</t>
  </si>
  <si>
    <t>l39</t>
  </si>
  <si>
    <t>l40</t>
  </si>
  <si>
    <t>l41</t>
  </si>
  <si>
    <t>l42</t>
  </si>
  <si>
    <t>l43</t>
  </si>
  <si>
    <t>l44</t>
  </si>
  <si>
    <t>l45</t>
  </si>
  <si>
    <t>l46</t>
  </si>
  <si>
    <t>l47</t>
  </si>
  <si>
    <t>l48</t>
  </si>
  <si>
    <t>l49</t>
  </si>
  <si>
    <t>l50</t>
  </si>
  <si>
    <t>l51</t>
  </si>
  <si>
    <t>l52</t>
  </si>
  <si>
    <t>l53</t>
  </si>
  <si>
    <t>l54</t>
  </si>
  <si>
    <t>l55</t>
  </si>
  <si>
    <t>l56</t>
  </si>
  <si>
    <t>l57</t>
  </si>
  <si>
    <t>l58</t>
  </si>
  <si>
    <t>l59</t>
  </si>
  <si>
    <t>l60</t>
  </si>
  <si>
    <t>l61</t>
  </si>
  <si>
    <t>l62</t>
  </si>
  <si>
    <t>l63</t>
  </si>
  <si>
    <t>l64</t>
  </si>
  <si>
    <t>l65</t>
  </si>
  <si>
    <t>l66</t>
  </si>
  <si>
    <t>l67</t>
  </si>
  <si>
    <t>l68</t>
  </si>
  <si>
    <t>l69</t>
  </si>
  <si>
    <t>l70</t>
  </si>
  <si>
    <t>l71</t>
  </si>
  <si>
    <t>l72</t>
  </si>
  <si>
    <t>l73</t>
  </si>
  <si>
    <t>l74</t>
  </si>
  <si>
    <t>l75</t>
  </si>
  <si>
    <t>l76</t>
  </si>
  <si>
    <t>l77</t>
  </si>
  <si>
    <t>l78</t>
  </si>
  <si>
    <t>l79</t>
  </si>
  <si>
    <t>l80</t>
  </si>
  <si>
    <t>l81</t>
  </si>
  <si>
    <t>l82</t>
  </si>
  <si>
    <t>l83</t>
  </si>
  <si>
    <t>l84</t>
  </si>
  <si>
    <t>l85</t>
  </si>
  <si>
    <t>l86</t>
  </si>
  <si>
    <t>l87</t>
  </si>
  <si>
    <t>l88</t>
  </si>
  <si>
    <t>l89</t>
  </si>
  <si>
    <t>l90</t>
  </si>
  <si>
    <t>l91</t>
  </si>
  <si>
    <t>l92</t>
  </si>
  <si>
    <t>l93</t>
  </si>
  <si>
    <t>l94</t>
  </si>
  <si>
    <t>l95</t>
  </si>
  <si>
    <t>l96</t>
  </si>
  <si>
    <t>l97</t>
  </si>
  <si>
    <t>l98</t>
  </si>
  <si>
    <t>l99</t>
  </si>
  <si>
    <t>l100</t>
  </si>
  <si>
    <t>l101</t>
  </si>
  <si>
    <t>l102</t>
  </si>
  <si>
    <t>l103</t>
  </si>
  <si>
    <t>l104</t>
  </si>
  <si>
    <t>l105</t>
  </si>
  <si>
    <t>l106</t>
  </si>
  <si>
    <t>l107</t>
  </si>
  <si>
    <t>l108</t>
  </si>
  <si>
    <t>l109</t>
  </si>
  <si>
    <t>l110</t>
  </si>
  <si>
    <t>l111</t>
  </si>
  <si>
    <t>l112</t>
  </si>
  <si>
    <t>l113</t>
  </si>
  <si>
    <t>l114</t>
  </si>
  <si>
    <t>l115</t>
  </si>
  <si>
    <t>l116</t>
  </si>
  <si>
    <t>l117</t>
  </si>
  <si>
    <t>l118</t>
  </si>
  <si>
    <t>l119</t>
  </si>
  <si>
    <t>l120</t>
  </si>
  <si>
    <t>l121</t>
  </si>
  <si>
    <t>l122</t>
  </si>
  <si>
    <t>l123</t>
  </si>
  <si>
    <t>l124</t>
  </si>
  <si>
    <t>l125</t>
  </si>
  <si>
    <t>l126</t>
  </si>
  <si>
    <t>l127</t>
  </si>
  <si>
    <t>l128</t>
  </si>
  <si>
    <t>l129</t>
  </si>
  <si>
    <t>l130</t>
  </si>
  <si>
    <t>l131</t>
  </si>
  <si>
    <t>l132</t>
  </si>
  <si>
    <t>l133</t>
  </si>
  <si>
    <t>l134</t>
  </si>
  <si>
    <t>l135</t>
  </si>
  <si>
    <t>l136</t>
  </si>
  <si>
    <t>l137</t>
  </si>
  <si>
    <t>l138</t>
  </si>
  <si>
    <t>l139</t>
  </si>
  <si>
    <t>l140</t>
  </si>
  <si>
    <t>l141</t>
  </si>
  <si>
    <t>l142</t>
  </si>
  <si>
    <t>l143</t>
  </si>
  <si>
    <t>l144</t>
  </si>
  <si>
    <t>l145</t>
  </si>
  <si>
    <t>l146</t>
  </si>
  <si>
    <t>l147</t>
  </si>
  <si>
    <t>l148</t>
  </si>
  <si>
    <t>l149</t>
  </si>
  <si>
    <t>l150</t>
  </si>
  <si>
    <t>l151</t>
  </si>
  <si>
    <t>l152</t>
  </si>
  <si>
    <t>l153</t>
  </si>
  <si>
    <t>l154</t>
  </si>
  <si>
    <t>l155</t>
  </si>
  <si>
    <t>l156</t>
  </si>
  <si>
    <t>l157</t>
  </si>
  <si>
    <t>l158</t>
  </si>
  <si>
    <t>l159</t>
  </si>
  <si>
    <t>l160</t>
  </si>
  <si>
    <t>l161</t>
  </si>
  <si>
    <t>l162</t>
  </si>
  <si>
    <t>l163</t>
  </si>
  <si>
    <t>l164</t>
  </si>
  <si>
    <t>l165</t>
  </si>
  <si>
    <t>l166</t>
  </si>
  <si>
    <t>l167</t>
  </si>
  <si>
    <t>l168</t>
  </si>
  <si>
    <t>l169</t>
  </si>
  <si>
    <t>l170</t>
  </si>
  <si>
    <t>l171</t>
  </si>
  <si>
    <t>l172</t>
  </si>
  <si>
    <t>l173</t>
  </si>
  <si>
    <t>l174</t>
  </si>
  <si>
    <t>l175</t>
  </si>
  <si>
    <t>l176</t>
  </si>
  <si>
    <t>l177</t>
  </si>
  <si>
    <t>l178</t>
  </si>
  <si>
    <t>l179</t>
  </si>
  <si>
    <t>l180</t>
  </si>
  <si>
    <t>l181</t>
  </si>
  <si>
    <t>l182</t>
  </si>
  <si>
    <t>l183</t>
  </si>
  <si>
    <t>l184</t>
  </si>
  <si>
    <t>l185</t>
  </si>
  <si>
    <t>l186</t>
  </si>
  <si>
    <t>l187</t>
  </si>
  <si>
    <t>l188</t>
  </si>
  <si>
    <t>l189</t>
  </si>
  <si>
    <t>l190</t>
  </si>
  <si>
    <t>l191</t>
  </si>
  <si>
    <t>l192</t>
  </si>
  <si>
    <t>l193</t>
  </si>
  <si>
    <t>l194</t>
  </si>
  <si>
    <t>l195</t>
  </si>
  <si>
    <t>l196</t>
  </si>
  <si>
    <t>l197</t>
  </si>
  <si>
    <t>l198</t>
  </si>
  <si>
    <t>l199</t>
  </si>
  <si>
    <t>l200</t>
  </si>
  <si>
    <t>l201</t>
  </si>
  <si>
    <t>l202</t>
  </si>
  <si>
    <t>l203</t>
  </si>
  <si>
    <t>l204</t>
  </si>
  <si>
    <t>l205</t>
  </si>
  <si>
    <t>l206</t>
  </si>
  <si>
    <t>l207</t>
  </si>
  <si>
    <t>l208</t>
  </si>
  <si>
    <t>l209</t>
  </si>
  <si>
    <t>l210</t>
  </si>
  <si>
    <t>l211</t>
  </si>
  <si>
    <t>l212</t>
  </si>
  <si>
    <t>l213</t>
  </si>
  <si>
    <t>l214</t>
  </si>
  <si>
    <t>l215</t>
  </si>
  <si>
    <t>l216</t>
  </si>
  <si>
    <t>l217</t>
  </si>
  <si>
    <t>l218</t>
  </si>
  <si>
    <t>l219</t>
  </si>
  <si>
    <t>l220</t>
  </si>
  <si>
    <t>l221</t>
  </si>
  <si>
    <t>l222</t>
  </si>
  <si>
    <t>l223</t>
  </si>
  <si>
    <t>l224</t>
  </si>
  <si>
    <t>l225</t>
  </si>
  <si>
    <t>l226</t>
  </si>
  <si>
    <t>l227</t>
  </si>
  <si>
    <t>l228</t>
  </si>
  <si>
    <t>l229</t>
  </si>
  <si>
    <t>l230</t>
  </si>
  <si>
    <t>l231</t>
  </si>
  <si>
    <t>l232</t>
  </si>
  <si>
    <t>l233</t>
  </si>
  <si>
    <t>l234</t>
  </si>
  <si>
    <t>l235</t>
  </si>
  <si>
    <t>l236</t>
  </si>
  <si>
    <t>l237</t>
  </si>
  <si>
    <t>l238</t>
  </si>
  <si>
    <t>l239</t>
  </si>
  <si>
    <t>l240</t>
  </si>
  <si>
    <t>l241</t>
  </si>
  <si>
    <t>l242</t>
  </si>
  <si>
    <t>l243</t>
  </si>
  <si>
    <t>l244</t>
  </si>
  <si>
    <t>l245</t>
  </si>
  <si>
    <t>l246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</si>
</sst>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43" formatCode="_-* #,##0.00_-;\-* #,##0.00_-;_-* &quot;-&quot;??_-;_-@_-"/>
  </numFmts>
  <fonts count="15"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theme="1"/>
      <name val="Calibri"/>
      <family val="2"/>
      <scheme val="minor"/>
    </font>
    <font>
      <sz val="11"/>
      <color theme="0" tint="-0.499984740745262"/>
      <name val="Calibri"/>
      <family val="2"/>
    </font>
    <font>
      <i/>
      <sz val="9"/>
      <color rgb="FFFF0000"/>
      <name val="Calibri"/>
      <family val="2"/>
    </font>
    <font>
      <sz val="11"/>
      <color rgb="FF9C5700"/>
      <name val="Calibri"/>
      <family val="2"/>
      <scheme val="minor"/>
    </font>
    <font>
      <i/>
      <sz val="10"/>
      <color rgb="FFFF0000"/>
      <name val="Calibri"/>
      <family val="2"/>
    </font>
    <font>
      <i/>
      <sz val="10"/>
      <color rgb="FF0000FF"/>
      <name val="Calibri"/>
      <family val="2"/>
    </font>
    <font>
      <i/>
      <sz val="10"/>
      <color theme="4" tint="0.39997558519241921"/>
      <name val="Calibri"/>
      <family val="2"/>
    </font>
    <font>
      <sz val="8"/>
      <name val="Calibri"/>
      <family val="2"/>
      <scheme val="minor"/>
    </font>
    <font>
      <sz val="9"/>
      <color indexed="81"/>
      <name val="Tahoma"/>
      <charset val="1"/>
    </font>
  </fonts>
  <fills count="7">
    <fill>
      <patternFill patternType="none"/>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2"/>
        <bgColor indexed="64"/>
      </patternFill>
    </fill>
    <fill>
      <patternFill patternType="solid">
        <fgColor theme="4" tint="0.79998168889431442"/>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0" fillId="0" borderId="0"/>
    <xf numFmtId="43" fontId="6" fillId="0" borderId="0"/>
    <xf numFmtId="44" fontId="6" fillId="0" borderId="0"/>
    <xf numFmtId="0" fontId="9" fillId="4" borderId="0"/>
  </cellStyleXfs>
  <cellXfs count="3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left"/>
    </xf>
    <xf numFmtId="0" fontId="5" fillId="0" borderId="0" xfId="0" applyFont="1" applyAlignment="1">
      <alignment horizontal="left" vertical="center"/>
    </xf>
    <xf numFmtId="0" fontId="5" fillId="0" borderId="0" xfId="0" applyFont="1" applyAlignment="1">
      <alignment horizontal="center" vertical="center"/>
    </xf>
    <xf numFmtId="44" fontId="5" fillId="0" borderId="1" xfId="2" applyFont="1" applyBorder="1" applyAlignment="1">
      <alignment horizontal="center" vertical="center"/>
    </xf>
    <xf numFmtId="0" fontId="7" fillId="0" borderId="1" xfId="0" applyFont="1" applyBorder="1" applyAlignment="1">
      <alignment horizontal="left" vertical="center"/>
    </xf>
    <xf numFmtId="0" fontId="3" fillId="3" borderId="1" xfId="0" applyFont="1" applyFill="1" applyBorder="1" applyAlignment="1">
      <alignment horizontal="center" vertical="center"/>
    </xf>
    <xf numFmtId="0" fontId="7" fillId="0" borderId="1" xfId="0" applyFont="1" applyBorder="1" applyAlignment="1">
      <alignment horizontal="left" vertical="center" indent="3"/>
    </xf>
    <xf numFmtId="0" fontId="7" fillId="0" borderId="2" xfId="0" applyFont="1" applyBorder="1" applyAlignment="1">
      <alignment horizontal="left" vertical="center" indent="3"/>
    </xf>
    <xf numFmtId="0" fontId="7" fillId="0" borderId="3" xfId="0" applyFont="1" applyBorder="1" applyAlignment="1">
      <alignment horizontal="left" vertical="center"/>
    </xf>
    <xf numFmtId="0" fontId="8" fillId="0" borderId="0" xfId="0" applyFont="1" applyAlignment="1">
      <alignment horizontal="center" vertical="center"/>
    </xf>
    <xf numFmtId="0" fontId="5" fillId="0" borderId="1" xfId="1" applyNumberFormat="1" applyFont="1" applyBorder="1" applyAlignment="1">
      <alignment horizontal="center" vertical="center"/>
    </xf>
    <xf numFmtId="0" fontId="3" fillId="3" borderId="1" xfId="0" applyFont="1" applyFill="1" applyBorder="1" applyAlignment="1">
      <alignment horizontal="center" vertical="center" wrapText="1"/>
    </xf>
    <xf numFmtId="2" fontId="5" fillId="0" borderId="1" xfId="0" applyNumberFormat="1" applyFont="1" applyBorder="1" applyAlignment="1">
      <alignment horizontal="center" vertical="center"/>
    </xf>
    <xf numFmtId="0" fontId="4" fillId="0" borderId="0" xfId="0" applyFont="1" applyAlignment="1">
      <alignment horizontal="left" vertical="center"/>
    </xf>
    <xf numFmtId="0" fontId="7" fillId="0" borderId="0" xfId="0" applyFont="1" applyAlignment="1">
      <alignment horizontal="left" vertical="center"/>
    </xf>
    <xf numFmtId="2" fontId="9" fillId="4" borderId="1" xfId="3" applyNumberFormat="1" applyBorder="1" applyAlignment="1">
      <alignment horizontal="center" vertical="center"/>
    </xf>
    <xf numFmtId="2" fontId="5" fillId="0" borderId="1" xfId="1" applyNumberFormat="1" applyFont="1" applyBorder="1" applyAlignment="1">
      <alignment horizontal="center" vertical="center"/>
    </xf>
    <xf numFmtId="0" fontId="9" fillId="4" borderId="0" xfId="3" applyAlignment="1">
      <alignment horizontal="left" vertical="center"/>
    </xf>
    <xf numFmtId="0" fontId="5" fillId="5" borderId="1" xfId="0" applyFont="1" applyFill="1" applyBorder="1" applyAlignment="1">
      <alignment horizontal="left" vertical="center"/>
    </xf>
    <xf numFmtId="0" fontId="9" fillId="4" borderId="1" xfId="3" applyBorder="1" applyAlignment="1">
      <alignment horizontal="center" vertical="center"/>
    </xf>
    <xf numFmtId="0" fontId="5" fillId="0" borderId="0" xfId="0" quotePrefix="1" applyFont="1" applyAlignment="1">
      <alignment horizontal="left" vertical="center"/>
    </xf>
    <xf numFmtId="11" fontId="5" fillId="0" borderId="1" xfId="0" applyNumberFormat="1" applyFont="1" applyBorder="1" applyAlignment="1">
      <alignment horizontal="left" vertical="center"/>
    </xf>
    <xf numFmtId="44" fontId="5" fillId="6" borderId="1" xfId="2" applyFont="1" applyFill="1" applyBorder="1" applyAlignment="1">
      <alignment horizontal="center" vertical="center"/>
    </xf>
    <xf numFmtId="2" fontId="5" fillId="6"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14" fontId="5" fillId="0" borderId="0" xfId="0" applyNumberFormat="1" applyFont="1" applyAlignment="1">
      <alignment horizontal="left" vertical="center"/>
    </xf>
    <xf numFmtId="0" fontId="9" fillId="4" borderId="0" xfId="3"/>
  </cellXfs>
  <cellStyles count="4">
    <cellStyle name="Comma" xfId="1" builtinId="3"/>
    <cellStyle name="Currency" xfId="2" builtinId="4"/>
    <cellStyle name="Neutral" xfId="3" builtinId="28"/>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Daniel Lindo" id="{C4357EBF-9297-4DD2-8860-3E8F33823488}"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02" dT="2026-08-30T23:16:33.99" personId="{C4357EBF-9297-4DD2-8860-3E8F33823488}" id="{2699839F-C475-428D-A676-F67D56A900B1}">
    <text xml:space="preserve">Plan_Expansion_Transmision_2025-2039.pdf - pag 316
En el Informe Trimestral de Restricciones de 2019-T2, XM manifestó que, “La
importación del área Suroccidental a través del circuito San Carlos – Virginia
500 kV se limita a 500 MW para evitar sobrecargas en San Marcos 500/230 kV y
Virginia 500/230 kV ante la contingencia N-1 de uno de ellos. Adicionalmente,
se requiere despachar un mínimo número de unidades para el control de
tensión al interior del área.”, con lo cual muestra la necesidad de refuerzos de
transformación en el área Suroccidental.
Así que XM opera ese corredor muy por debajo de su límite térmico, por seguridad. 
</text>
  </threadedComment>
</ThreadedComment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workbookViewId="0">
      <selection activeCell="A6" sqref="A6"/>
    </sheetView>
  </sheetViews>
  <sheetFormatPr defaultRowHeight="15" x14ac:dyDescent="0.25"/>
  <cols>
    <col min="1" max="1" width="70" customWidth="1"/>
    <col min="2" max="2" width="4.28515625" customWidth="1"/>
    <col min="3" max="3" width="26.85546875" bestFit="1" customWidth="1"/>
    <col min="4" max="4" width="72.140625" customWidth="1"/>
    <col min="5" max="5" width="101" bestFit="1" customWidth="1"/>
  </cols>
  <sheetData>
    <row r="1" spans="1:5" ht="18.75" customHeight="1" x14ac:dyDescent="0.3">
      <c r="A1" s="1" t="s">
        <v>4</v>
      </c>
      <c r="C1" s="1" t="s">
        <v>5</v>
      </c>
    </row>
    <row r="2" spans="1:5" x14ac:dyDescent="0.25">
      <c r="A2" s="2" t="s">
        <v>6</v>
      </c>
      <c r="C2" s="2" t="s">
        <v>6</v>
      </c>
    </row>
    <row r="3" spans="1:5" x14ac:dyDescent="0.25">
      <c r="A3" s="2"/>
      <c r="C3" s="12" t="s">
        <v>7</v>
      </c>
      <c r="D3" s="12" t="s">
        <v>8</v>
      </c>
      <c r="E3" s="12" t="s">
        <v>9</v>
      </c>
    </row>
    <row r="4" spans="1:5" x14ac:dyDescent="0.25">
      <c r="A4" s="2" t="s">
        <v>10</v>
      </c>
      <c r="C4" s="11" t="s">
        <v>11</v>
      </c>
      <c r="D4" s="11" t="s">
        <v>12</v>
      </c>
      <c r="E4" s="11" t="s">
        <v>13</v>
      </c>
    </row>
    <row r="5" spans="1:5" x14ac:dyDescent="0.25">
      <c r="A5" s="2" t="s">
        <v>14</v>
      </c>
      <c r="C5" s="13" t="s">
        <v>15</v>
      </c>
      <c r="D5" s="11" t="s">
        <v>16</v>
      </c>
    </row>
    <row r="6" spans="1:5" x14ac:dyDescent="0.25">
      <c r="A6" s="2" t="s">
        <v>17</v>
      </c>
      <c r="C6" s="11" t="s">
        <v>18</v>
      </c>
      <c r="D6" s="11" t="s">
        <v>12</v>
      </c>
    </row>
    <row r="7" spans="1:5" x14ac:dyDescent="0.25">
      <c r="A7" s="2"/>
      <c r="C7" s="13" t="s">
        <v>19</v>
      </c>
      <c r="D7" s="21" t="s">
        <v>20</v>
      </c>
    </row>
    <row r="8" spans="1:5" x14ac:dyDescent="0.25">
      <c r="A8" s="2" t="s">
        <v>21</v>
      </c>
      <c r="C8" s="13" t="s">
        <v>22</v>
      </c>
      <c r="D8" s="21" t="s">
        <v>20</v>
      </c>
    </row>
    <row r="9" spans="1:5" x14ac:dyDescent="0.25">
      <c r="A9" s="2" t="s">
        <v>23</v>
      </c>
      <c r="C9" s="13" t="s">
        <v>24</v>
      </c>
      <c r="D9" s="21" t="s">
        <v>20</v>
      </c>
      <c r="E9" s="11" t="s">
        <v>25</v>
      </c>
    </row>
    <row r="10" spans="1:5" x14ac:dyDescent="0.25">
      <c r="A10" s="2" t="s">
        <v>26</v>
      </c>
      <c r="C10" s="11" t="s">
        <v>27</v>
      </c>
      <c r="D10" s="11" t="s">
        <v>28</v>
      </c>
      <c r="E10" s="11"/>
    </row>
    <row r="11" spans="1:5" x14ac:dyDescent="0.25">
      <c r="A11" s="2" t="s">
        <v>29</v>
      </c>
      <c r="C11" s="13" t="s">
        <v>30</v>
      </c>
      <c r="D11" s="11" t="s">
        <v>31</v>
      </c>
      <c r="E11" s="11" t="s">
        <v>32</v>
      </c>
    </row>
    <row r="12" spans="1:5" x14ac:dyDescent="0.25">
      <c r="A12" s="2" t="s">
        <v>33</v>
      </c>
      <c r="C12" s="13" t="s">
        <v>34</v>
      </c>
      <c r="D12" s="11" t="s">
        <v>31</v>
      </c>
      <c r="E12" s="11"/>
    </row>
    <row r="13" spans="1:5" x14ac:dyDescent="0.25">
      <c r="A13" s="2" t="s">
        <v>35</v>
      </c>
      <c r="C13" s="13" t="s">
        <v>36</v>
      </c>
      <c r="D13" s="11" t="s">
        <v>37</v>
      </c>
      <c r="E13" s="11"/>
    </row>
    <row r="14" spans="1:5" x14ac:dyDescent="0.25">
      <c r="A14" s="2" t="s">
        <v>38</v>
      </c>
      <c r="C14" s="13" t="s">
        <v>39</v>
      </c>
      <c r="D14" s="11" t="s">
        <v>37</v>
      </c>
      <c r="E14" s="11"/>
    </row>
    <row r="15" spans="1:5" x14ac:dyDescent="0.25">
      <c r="A15" s="2" t="s">
        <v>40</v>
      </c>
      <c r="C15" s="13" t="s">
        <v>41</v>
      </c>
      <c r="D15" s="11" t="s">
        <v>42</v>
      </c>
      <c r="E15" s="11"/>
    </row>
    <row r="16" spans="1:5" x14ac:dyDescent="0.25">
      <c r="A16" s="2" t="s">
        <v>43</v>
      </c>
      <c r="C16" s="13" t="s">
        <v>44</v>
      </c>
      <c r="D16" s="11" t="s">
        <v>45</v>
      </c>
      <c r="E16" s="11"/>
    </row>
    <row r="17" spans="1:5" x14ac:dyDescent="0.25">
      <c r="A17" s="2" t="s">
        <v>46</v>
      </c>
      <c r="C17" s="13" t="s">
        <v>47</v>
      </c>
      <c r="D17" s="11" t="s">
        <v>31</v>
      </c>
      <c r="E17" s="11"/>
    </row>
    <row r="18" spans="1:5" x14ac:dyDescent="0.25">
      <c r="A18" s="2" t="s">
        <v>48</v>
      </c>
      <c r="C18" s="13" t="s">
        <v>49</v>
      </c>
      <c r="D18" s="11" t="s">
        <v>31</v>
      </c>
      <c r="E18" s="11"/>
    </row>
    <row r="19" spans="1:5" x14ac:dyDescent="0.25">
      <c r="A19" s="2" t="s">
        <v>50</v>
      </c>
      <c r="C19" s="14" t="s">
        <v>51</v>
      </c>
      <c r="D19" s="11" t="s">
        <v>31</v>
      </c>
      <c r="E19" s="11"/>
    </row>
    <row r="20" spans="1:5" x14ac:dyDescent="0.25">
      <c r="A20" s="2"/>
      <c r="C20" s="14" t="s">
        <v>52</v>
      </c>
      <c r="D20" s="11" t="s">
        <v>53</v>
      </c>
      <c r="E20" s="11" t="s">
        <v>54</v>
      </c>
    </row>
    <row r="21" spans="1:5" x14ac:dyDescent="0.25">
      <c r="A21" s="2" t="s">
        <v>55</v>
      </c>
      <c r="C21" s="14" t="s">
        <v>56</v>
      </c>
      <c r="D21" s="11" t="s">
        <v>31</v>
      </c>
      <c r="E21" s="11"/>
    </row>
    <row r="22" spans="1:5" x14ac:dyDescent="0.25">
      <c r="A22" s="2" t="s">
        <v>472</v>
      </c>
      <c r="C22" s="14" t="s">
        <v>57</v>
      </c>
      <c r="D22" s="15" t="s">
        <v>58</v>
      </c>
      <c r="E22" s="11"/>
    </row>
    <row r="23" spans="1:5" x14ac:dyDescent="0.25">
      <c r="A23" s="2" t="s">
        <v>473</v>
      </c>
      <c r="C23" s="11" t="s">
        <v>59</v>
      </c>
      <c r="D23" s="11" t="s">
        <v>60</v>
      </c>
      <c r="E23" s="11" t="s">
        <v>32</v>
      </c>
    </row>
    <row r="24" spans="1:5" x14ac:dyDescent="0.25">
      <c r="A24" s="2" t="s">
        <v>474</v>
      </c>
      <c r="C24" s="13" t="s">
        <v>30</v>
      </c>
      <c r="D24" s="11" t="s">
        <v>61</v>
      </c>
      <c r="E24" s="11" t="s">
        <v>62</v>
      </c>
    </row>
    <row r="25" spans="1:5" x14ac:dyDescent="0.25">
      <c r="A25" s="2" t="s">
        <v>475</v>
      </c>
      <c r="C25" s="13" t="s">
        <v>63</v>
      </c>
      <c r="D25" s="11" t="s">
        <v>53</v>
      </c>
      <c r="E25" s="11" t="s">
        <v>54</v>
      </c>
    </row>
    <row r="26" spans="1:5" x14ac:dyDescent="0.25">
      <c r="C26" s="13" t="s">
        <v>65</v>
      </c>
      <c r="D26" s="11" t="s">
        <v>66</v>
      </c>
      <c r="E26" s="11"/>
    </row>
    <row r="27" spans="1:5" x14ac:dyDescent="0.25">
      <c r="A27" s="2" t="s">
        <v>64</v>
      </c>
      <c r="C27" s="13" t="s">
        <v>68</v>
      </c>
      <c r="D27" s="15" t="s">
        <v>69</v>
      </c>
      <c r="E27" s="11"/>
    </row>
    <row r="28" spans="1:5" x14ac:dyDescent="0.25">
      <c r="A28" s="2" t="s">
        <v>67</v>
      </c>
      <c r="C28" s="13" t="s">
        <v>70</v>
      </c>
      <c r="D28" s="15" t="s">
        <v>71</v>
      </c>
      <c r="E28" s="11"/>
    </row>
    <row r="29" spans="1:5" x14ac:dyDescent="0.25">
      <c r="C29" s="13" t="s">
        <v>72</v>
      </c>
      <c r="D29" s="11" t="s">
        <v>73</v>
      </c>
      <c r="E29" s="11"/>
    </row>
    <row r="30" spans="1:5" x14ac:dyDescent="0.25">
      <c r="A30" s="6"/>
      <c r="C30" s="13" t="s">
        <v>74</v>
      </c>
      <c r="D30" s="11" t="s">
        <v>75</v>
      </c>
      <c r="E30" s="11" t="s">
        <v>76</v>
      </c>
    </row>
    <row r="31" spans="1:5" x14ac:dyDescent="0.25">
      <c r="C31" s="13" t="s">
        <v>77</v>
      </c>
      <c r="D31" s="11" t="s">
        <v>75</v>
      </c>
      <c r="E31" s="11" t="s">
        <v>76</v>
      </c>
    </row>
    <row r="32" spans="1:5" x14ac:dyDescent="0.25">
      <c r="C32" s="13" t="s">
        <v>78</v>
      </c>
      <c r="D32" s="15" t="s">
        <v>79</v>
      </c>
      <c r="E32" s="11"/>
    </row>
    <row r="33" spans="3:5" x14ac:dyDescent="0.25">
      <c r="C33" s="13" t="s">
        <v>80</v>
      </c>
      <c r="D33" s="11" t="s">
        <v>53</v>
      </c>
      <c r="E33" s="11"/>
    </row>
    <row r="34" spans="3:5" x14ac:dyDescent="0.25">
      <c r="C34" s="13" t="s">
        <v>81</v>
      </c>
      <c r="D34" s="11" t="s">
        <v>42</v>
      </c>
      <c r="E34" s="11"/>
    </row>
    <row r="35" spans="3:5" x14ac:dyDescent="0.25">
      <c r="C35" s="13" t="s">
        <v>82</v>
      </c>
      <c r="D35" s="15" t="s">
        <v>83</v>
      </c>
      <c r="E35" s="11"/>
    </row>
    <row r="36" spans="3:5" x14ac:dyDescent="0.25">
      <c r="C36" s="13" t="s">
        <v>84</v>
      </c>
      <c r="D36" s="11" t="s">
        <v>73</v>
      </c>
      <c r="E36" s="11"/>
    </row>
    <row r="37" spans="3:5" x14ac:dyDescent="0.25">
      <c r="C37" s="11" t="s">
        <v>85</v>
      </c>
      <c r="D37" s="11" t="s">
        <v>86</v>
      </c>
      <c r="E37" s="11" t="s">
        <v>87</v>
      </c>
    </row>
    <row r="38" spans="3:5" x14ac:dyDescent="0.25">
      <c r="C38" s="11" t="s">
        <v>88</v>
      </c>
      <c r="D38" s="11" t="s">
        <v>89</v>
      </c>
      <c r="E38" s="11"/>
    </row>
    <row r="39" spans="3:5" x14ac:dyDescent="0.25">
      <c r="C39" s="13" t="s">
        <v>30</v>
      </c>
      <c r="D39" s="11" t="s">
        <v>66</v>
      </c>
      <c r="E39" s="11"/>
    </row>
    <row r="40" spans="3:5" x14ac:dyDescent="0.25">
      <c r="C40" s="13" t="s">
        <v>90</v>
      </c>
      <c r="D40" s="11" t="s">
        <v>66</v>
      </c>
      <c r="E40" s="11"/>
    </row>
    <row r="41" spans="3:5" x14ac:dyDescent="0.25">
      <c r="C41" s="13" t="s">
        <v>91</v>
      </c>
      <c r="D41" s="11" t="s">
        <v>66</v>
      </c>
      <c r="E41" s="11"/>
    </row>
    <row r="42" spans="3:5" x14ac:dyDescent="0.25">
      <c r="C42" s="11" t="s">
        <v>92</v>
      </c>
      <c r="D42" s="11" t="s">
        <v>93</v>
      </c>
      <c r="E42" s="11"/>
    </row>
    <row r="43" spans="3:5" x14ac:dyDescent="0.25">
      <c r="C43" s="11" t="s">
        <v>94</v>
      </c>
      <c r="D43" s="11"/>
      <c r="E43" s="11"/>
    </row>
    <row r="44" spans="3:5" x14ac:dyDescent="0.25">
      <c r="C44" s="11" t="s">
        <v>95</v>
      </c>
      <c r="D44" s="11" t="s">
        <v>96</v>
      </c>
      <c r="E44" s="11" t="s">
        <v>96</v>
      </c>
    </row>
    <row r="45" spans="3:5" x14ac:dyDescent="0.25">
      <c r="C45" s="11" t="s">
        <v>97</v>
      </c>
      <c r="D45" s="11" t="s">
        <v>96</v>
      </c>
      <c r="E45" s="11" t="s">
        <v>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4"/>
  <sheetViews>
    <sheetView workbookViewId="0">
      <selection activeCell="B22" sqref="B22"/>
    </sheetView>
  </sheetViews>
  <sheetFormatPr defaultRowHeight="15" x14ac:dyDescent="0.25"/>
  <cols>
    <col min="1" max="1" width="44.42578125" bestFit="1" customWidth="1"/>
    <col min="2" max="2" width="37.28515625" bestFit="1" customWidth="1"/>
    <col min="3" max="3" width="68.5703125" customWidth="1"/>
  </cols>
  <sheetData>
    <row r="1" spans="1:3" ht="18.75" customHeight="1" x14ac:dyDescent="0.3">
      <c r="A1" s="1" t="s">
        <v>98</v>
      </c>
    </row>
    <row r="2" spans="1:3" x14ac:dyDescent="0.25">
      <c r="A2" s="2" t="s">
        <v>99</v>
      </c>
    </row>
    <row r="4" spans="1:3" x14ac:dyDescent="0.25">
      <c r="A4" s="3" t="s">
        <v>100</v>
      </c>
      <c r="B4" s="3" t="s">
        <v>101</v>
      </c>
      <c r="C4" s="3" t="s">
        <v>102</v>
      </c>
    </row>
    <row r="5" spans="1:3" x14ac:dyDescent="0.25">
      <c r="A5" s="4"/>
      <c r="B5" s="4"/>
      <c r="C5" s="4"/>
    </row>
    <row r="6" spans="1:3" x14ac:dyDescent="0.25">
      <c r="A6" s="6" t="s">
        <v>103</v>
      </c>
      <c r="B6" s="6">
        <v>100</v>
      </c>
      <c r="C6" s="6" t="s">
        <v>104</v>
      </c>
    </row>
    <row r="7" spans="1:3" x14ac:dyDescent="0.25">
      <c r="A7" s="6" t="s">
        <v>105</v>
      </c>
      <c r="B7" s="6">
        <v>24</v>
      </c>
      <c r="C7" s="6" t="s">
        <v>106</v>
      </c>
    </row>
    <row r="8" spans="1:3" x14ac:dyDescent="0.25">
      <c r="A8" s="6" t="s">
        <v>107</v>
      </c>
      <c r="B8" s="6">
        <v>3</v>
      </c>
      <c r="C8" s="6" t="s">
        <v>108</v>
      </c>
    </row>
    <row r="9" spans="1:3" x14ac:dyDescent="0.25">
      <c r="A9" s="6" t="s">
        <v>109</v>
      </c>
      <c r="B9" s="6">
        <v>4</v>
      </c>
      <c r="C9" s="6" t="s">
        <v>110</v>
      </c>
    </row>
    <row r="10" spans="1:3" x14ac:dyDescent="0.25">
      <c r="A10" s="6" t="s">
        <v>111</v>
      </c>
      <c r="B10" s="28">
        <v>9.9999999999999995E-8</v>
      </c>
      <c r="C10" s="6" t="s">
        <v>112</v>
      </c>
    </row>
    <row r="11" spans="1:3" x14ac:dyDescent="0.25">
      <c r="A11" s="6" t="s">
        <v>113</v>
      </c>
      <c r="B11" s="6">
        <f>60*60*8</f>
        <v>28800</v>
      </c>
      <c r="C11" s="6" t="s">
        <v>114</v>
      </c>
    </row>
    <row r="12" spans="1:3" x14ac:dyDescent="0.25">
      <c r="A12" s="7" t="s">
        <v>115</v>
      </c>
      <c r="B12" s="7">
        <v>15</v>
      </c>
      <c r="C12" s="7" t="s">
        <v>116</v>
      </c>
    </row>
    <row r="13" spans="1:3" x14ac:dyDescent="0.25">
      <c r="A13" s="7" t="s">
        <v>117</v>
      </c>
      <c r="B13" s="7">
        <v>20</v>
      </c>
      <c r="C13" s="7" t="s">
        <v>118</v>
      </c>
    </row>
    <row r="14" spans="1:3" x14ac:dyDescent="0.25">
      <c r="A14" s="8" t="s">
        <v>119</v>
      </c>
      <c r="B14" s="8">
        <v>1</v>
      </c>
      <c r="C14" s="8" t="s">
        <v>120</v>
      </c>
    </row>
    <row r="15" spans="1:3" x14ac:dyDescent="0.25">
      <c r="A15" s="8" t="s">
        <v>121</v>
      </c>
      <c r="B15" s="8">
        <v>0.115</v>
      </c>
      <c r="C15" s="8" t="s">
        <v>122</v>
      </c>
    </row>
    <row r="16" spans="1:3" x14ac:dyDescent="0.25">
      <c r="A16" s="8" t="s">
        <v>123</v>
      </c>
      <c r="B16" s="8">
        <v>135000</v>
      </c>
      <c r="C16" s="8" t="s">
        <v>124</v>
      </c>
    </row>
    <row r="17" spans="1:3" x14ac:dyDescent="0.25">
      <c r="A17" s="8" t="s">
        <v>125</v>
      </c>
      <c r="B17" s="27" t="s">
        <v>476</v>
      </c>
      <c r="C17" s="8" t="s">
        <v>477</v>
      </c>
    </row>
    <row r="18" spans="1:3" x14ac:dyDescent="0.25">
      <c r="A18" s="8" t="s">
        <v>126</v>
      </c>
      <c r="B18" s="8">
        <v>20</v>
      </c>
      <c r="C18" s="8"/>
    </row>
    <row r="19" spans="1:3" x14ac:dyDescent="0.25">
      <c r="A19" s="8" t="s">
        <v>127</v>
      </c>
      <c r="B19" s="8" t="s">
        <v>128</v>
      </c>
      <c r="C19" s="8"/>
    </row>
    <row r="20" spans="1:3" x14ac:dyDescent="0.25">
      <c r="A20" s="24" t="s">
        <v>129</v>
      </c>
      <c r="B20" s="24">
        <v>0.01</v>
      </c>
      <c r="C20" s="24" t="s">
        <v>130</v>
      </c>
    </row>
    <row r="21" spans="1:3" x14ac:dyDescent="0.25">
      <c r="A21" s="24" t="s">
        <v>131</v>
      </c>
      <c r="B21" s="24">
        <v>0.3</v>
      </c>
      <c r="C21" s="24" t="s">
        <v>132</v>
      </c>
    </row>
    <row r="22" spans="1:3" x14ac:dyDescent="0.25">
      <c r="A22" s="24" t="s">
        <v>133</v>
      </c>
      <c r="B22" s="24">
        <v>0.05</v>
      </c>
      <c r="C22" s="24" t="s">
        <v>134</v>
      </c>
    </row>
    <row r="23" spans="1:3" x14ac:dyDescent="0.25">
      <c r="A23" s="8" t="s">
        <v>135</v>
      </c>
      <c r="B23" s="32">
        <v>46211</v>
      </c>
    </row>
    <row r="24" spans="1:3" x14ac:dyDescent="0.25">
      <c r="A24" s="8" t="s">
        <v>136</v>
      </c>
      <c r="B24" s="32">
        <v>46211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5"/>
  <sheetViews>
    <sheetView zoomScaleNormal="100" workbookViewId="0">
      <selection activeCell="A53" sqref="A53"/>
    </sheetView>
  </sheetViews>
  <sheetFormatPr defaultRowHeight="15" x14ac:dyDescent="0.25"/>
  <cols>
    <col min="1" max="1" width="22.140625" customWidth="1"/>
    <col min="2" max="2" width="16" customWidth="1"/>
    <col min="3" max="3" width="28.85546875" bestFit="1" customWidth="1"/>
    <col min="4" max="4" width="22.140625" bestFit="1" customWidth="1"/>
    <col min="5" max="5" width="11.5703125" bestFit="1" customWidth="1"/>
    <col min="6" max="6" width="13.42578125" bestFit="1" customWidth="1"/>
  </cols>
  <sheetData>
    <row r="1" spans="1:6" ht="18.75" customHeight="1" x14ac:dyDescent="0.3">
      <c r="A1" s="1" t="s">
        <v>137</v>
      </c>
    </row>
    <row r="2" spans="1:6" x14ac:dyDescent="0.25">
      <c r="A2" s="2" t="s">
        <v>138</v>
      </c>
    </row>
    <row r="4" spans="1:6" x14ac:dyDescent="0.25">
      <c r="A4" s="3" t="s">
        <v>30</v>
      </c>
      <c r="B4" s="3" t="s">
        <v>90</v>
      </c>
      <c r="C4" s="12" t="s">
        <v>645</v>
      </c>
      <c r="D4" s="12" t="s">
        <v>646</v>
      </c>
      <c r="E4" s="12" t="s">
        <v>650</v>
      </c>
      <c r="F4" s="12" t="s">
        <v>651</v>
      </c>
    </row>
    <row r="5" spans="1:6" x14ac:dyDescent="0.25">
      <c r="A5" s="4"/>
      <c r="B5" s="4" t="s">
        <v>139</v>
      </c>
      <c r="C5" s="4"/>
      <c r="D5" s="4"/>
      <c r="E5" s="4" t="s">
        <v>197</v>
      </c>
      <c r="F5" s="4" t="s">
        <v>197</v>
      </c>
    </row>
    <row r="6" spans="1:6" x14ac:dyDescent="0.25">
      <c r="A6" s="6" t="s">
        <v>561</v>
      </c>
      <c r="B6" s="5" t="s">
        <v>342</v>
      </c>
      <c r="C6" s="6" t="s">
        <v>562</v>
      </c>
      <c r="D6" s="6" t="s">
        <v>563</v>
      </c>
      <c r="E6" s="6">
        <v>3.4516</v>
      </c>
      <c r="F6" s="6">
        <v>-76.531999999999996</v>
      </c>
    </row>
    <row r="7" spans="1:6" x14ac:dyDescent="0.25">
      <c r="A7" s="6" t="s">
        <v>478</v>
      </c>
      <c r="B7" s="5" t="s">
        <v>342</v>
      </c>
      <c r="C7" s="6" t="s">
        <v>478</v>
      </c>
      <c r="D7" s="6" t="s">
        <v>564</v>
      </c>
      <c r="E7" s="6">
        <v>1.9990000000000001</v>
      </c>
      <c r="F7" s="6">
        <v>-75.754999999999995</v>
      </c>
    </row>
    <row r="8" spans="1:6" x14ac:dyDescent="0.25">
      <c r="A8" s="6" t="s">
        <v>372</v>
      </c>
      <c r="B8" s="5" t="s">
        <v>342</v>
      </c>
      <c r="C8" s="6" t="s">
        <v>565</v>
      </c>
      <c r="D8" s="6" t="s">
        <v>563</v>
      </c>
      <c r="E8" s="6">
        <v>3.8772000000000002</v>
      </c>
      <c r="F8" s="6">
        <v>-77.026600000000002</v>
      </c>
    </row>
    <row r="9" spans="1:6" x14ac:dyDescent="0.25">
      <c r="A9" s="6" t="s">
        <v>479</v>
      </c>
      <c r="B9" s="5" t="s">
        <v>342</v>
      </c>
      <c r="C9" s="6" t="s">
        <v>566</v>
      </c>
      <c r="D9" s="6" t="s">
        <v>480</v>
      </c>
      <c r="E9" s="6">
        <v>6.1577000000000002</v>
      </c>
      <c r="F9" s="6">
        <v>-75.6434</v>
      </c>
    </row>
    <row r="10" spans="1:6" x14ac:dyDescent="0.25">
      <c r="A10" s="6" t="s">
        <v>480</v>
      </c>
      <c r="B10" s="5" t="s">
        <v>342</v>
      </c>
      <c r="C10" s="6" t="s">
        <v>350</v>
      </c>
      <c r="D10" s="6" t="s">
        <v>480</v>
      </c>
      <c r="E10" s="6">
        <v>7.1711999999999998</v>
      </c>
      <c r="F10" s="6">
        <v>-75.763999999999996</v>
      </c>
    </row>
    <row r="11" spans="1:6" x14ac:dyDescent="0.25">
      <c r="A11" s="6" t="s">
        <v>481</v>
      </c>
      <c r="B11" s="5" t="s">
        <v>342</v>
      </c>
      <c r="C11" s="6" t="s">
        <v>481</v>
      </c>
      <c r="D11" s="6" t="s">
        <v>567</v>
      </c>
      <c r="E11" s="6">
        <v>4.5350000000000001</v>
      </c>
      <c r="F11" s="6">
        <v>-75.675700000000006</v>
      </c>
    </row>
    <row r="12" spans="1:6" x14ac:dyDescent="0.25">
      <c r="A12" s="6" t="s">
        <v>482</v>
      </c>
      <c r="B12" s="5" t="s">
        <v>342</v>
      </c>
      <c r="C12" s="6" t="s">
        <v>568</v>
      </c>
      <c r="D12" s="6" t="s">
        <v>569</v>
      </c>
      <c r="E12" s="6">
        <v>4.8727</v>
      </c>
      <c r="F12" s="6">
        <v>-74.144800000000004</v>
      </c>
    </row>
    <row r="13" spans="1:6" x14ac:dyDescent="0.25">
      <c r="A13" s="6" t="s">
        <v>483</v>
      </c>
      <c r="B13" s="5" t="s">
        <v>342</v>
      </c>
      <c r="C13" s="6" t="s">
        <v>570</v>
      </c>
      <c r="D13" s="6" t="s">
        <v>569</v>
      </c>
      <c r="E13" s="6">
        <v>4.7058999999999997</v>
      </c>
      <c r="F13" s="6">
        <v>-74.230199999999996</v>
      </c>
    </row>
    <row r="14" spans="1:6" x14ac:dyDescent="0.25">
      <c r="A14" s="6" t="s">
        <v>484</v>
      </c>
      <c r="B14" s="5" t="s">
        <v>342</v>
      </c>
      <c r="C14" s="6" t="s">
        <v>571</v>
      </c>
      <c r="D14" s="6" t="s">
        <v>571</v>
      </c>
      <c r="E14" s="6">
        <v>7.0846999999999998</v>
      </c>
      <c r="F14" s="6">
        <v>-70.759100000000004</v>
      </c>
    </row>
    <row r="15" spans="1:6" x14ac:dyDescent="0.25">
      <c r="A15" s="6" t="s">
        <v>485</v>
      </c>
      <c r="B15" s="5" t="s">
        <v>342</v>
      </c>
      <c r="C15" s="6" t="s">
        <v>572</v>
      </c>
      <c r="D15" s="6" t="s">
        <v>480</v>
      </c>
      <c r="E15" s="6">
        <v>6.4433999999999996</v>
      </c>
      <c r="F15" s="6">
        <v>-75.3292</v>
      </c>
    </row>
    <row r="16" spans="1:6" x14ac:dyDescent="0.25">
      <c r="A16" s="6" t="s">
        <v>486</v>
      </c>
      <c r="B16" s="5" t="s">
        <v>342</v>
      </c>
      <c r="C16" s="6" t="s">
        <v>573</v>
      </c>
      <c r="D16" s="6" t="s">
        <v>574</v>
      </c>
      <c r="E16" s="6">
        <v>7.0541</v>
      </c>
      <c r="F16" s="6">
        <v>-73.7821</v>
      </c>
    </row>
    <row r="17" spans="1:6" x14ac:dyDescent="0.25">
      <c r="A17" s="6" t="s">
        <v>487</v>
      </c>
      <c r="B17" s="5" t="s">
        <v>342</v>
      </c>
      <c r="C17" s="6" t="s">
        <v>575</v>
      </c>
      <c r="D17" s="6" t="s">
        <v>576</v>
      </c>
      <c r="E17" s="6">
        <v>7.8891</v>
      </c>
      <c r="F17" s="6">
        <v>-72.496700000000004</v>
      </c>
    </row>
    <row r="18" spans="1:6" x14ac:dyDescent="0.25">
      <c r="A18" s="6" t="s">
        <v>488</v>
      </c>
      <c r="B18" s="5" t="s">
        <v>342</v>
      </c>
      <c r="C18" s="6" t="s">
        <v>488</v>
      </c>
      <c r="D18" s="6" t="s">
        <v>480</v>
      </c>
      <c r="E18" s="6">
        <v>6.3587999999999996</v>
      </c>
      <c r="F18" s="6">
        <v>-75.589699999999993</v>
      </c>
    </row>
    <row r="19" spans="1:6" x14ac:dyDescent="0.25">
      <c r="A19" s="6" t="s">
        <v>363</v>
      </c>
      <c r="B19" s="5" t="s">
        <v>342</v>
      </c>
      <c r="C19" s="6" t="s">
        <v>577</v>
      </c>
      <c r="D19" s="6" t="s">
        <v>564</v>
      </c>
      <c r="E19" s="6">
        <v>2.6465999999999998</v>
      </c>
      <c r="F19" s="6">
        <v>-75.515900000000002</v>
      </c>
    </row>
    <row r="20" spans="1:6" x14ac:dyDescent="0.25">
      <c r="A20" s="6" t="s">
        <v>489</v>
      </c>
      <c r="B20" s="5" t="s">
        <v>342</v>
      </c>
      <c r="C20" s="6" t="s">
        <v>534</v>
      </c>
      <c r="D20" s="6" t="s">
        <v>578</v>
      </c>
      <c r="E20" s="6">
        <v>10.637</v>
      </c>
      <c r="F20" s="6">
        <v>-74.923000000000002</v>
      </c>
    </row>
    <row r="21" spans="1:6" x14ac:dyDescent="0.25">
      <c r="A21" s="6" t="s">
        <v>490</v>
      </c>
      <c r="B21" s="5" t="s">
        <v>342</v>
      </c>
      <c r="C21" s="6" t="s">
        <v>490</v>
      </c>
      <c r="D21" s="6" t="s">
        <v>574</v>
      </c>
      <c r="E21" s="6">
        <v>7.1558000000000002</v>
      </c>
      <c r="F21" s="6">
        <v>-73.111599999999996</v>
      </c>
    </row>
    <row r="22" spans="1:6" x14ac:dyDescent="0.25">
      <c r="A22" s="6" t="s">
        <v>491</v>
      </c>
      <c r="B22" s="5" t="s">
        <v>342</v>
      </c>
      <c r="C22" s="6" t="s">
        <v>571</v>
      </c>
      <c r="D22" s="6" t="s">
        <v>571</v>
      </c>
      <c r="E22" s="6">
        <v>7.0846999999999998</v>
      </c>
      <c r="F22" s="6">
        <v>-70.759100000000004</v>
      </c>
    </row>
    <row r="23" spans="1:6" x14ac:dyDescent="0.25">
      <c r="A23" s="6" t="s">
        <v>492</v>
      </c>
      <c r="B23" s="5" t="s">
        <v>342</v>
      </c>
      <c r="C23" s="6" t="s">
        <v>579</v>
      </c>
      <c r="D23" s="6" t="s">
        <v>578</v>
      </c>
      <c r="E23" s="6">
        <v>10.968500000000001</v>
      </c>
      <c r="F23" s="6">
        <v>-74.781300000000002</v>
      </c>
    </row>
    <row r="24" spans="1:6" x14ac:dyDescent="0.25">
      <c r="A24" s="6" t="s">
        <v>493</v>
      </c>
      <c r="B24" s="5" t="s">
        <v>342</v>
      </c>
      <c r="C24" s="6" t="s">
        <v>580</v>
      </c>
      <c r="D24" s="6" t="s">
        <v>581</v>
      </c>
      <c r="E24" s="6">
        <v>10.391</v>
      </c>
      <c r="F24" s="6">
        <v>-75.479399999999998</v>
      </c>
    </row>
    <row r="25" spans="1:6" x14ac:dyDescent="0.25">
      <c r="A25" s="6" t="s">
        <v>494</v>
      </c>
      <c r="B25" s="5" t="s">
        <v>342</v>
      </c>
      <c r="C25" s="6" t="s">
        <v>494</v>
      </c>
      <c r="D25" s="6" t="s">
        <v>563</v>
      </c>
      <c r="E25" s="6">
        <v>4.7464000000000004</v>
      </c>
      <c r="F25" s="6">
        <v>-75.911699999999996</v>
      </c>
    </row>
    <row r="26" spans="1:6" x14ac:dyDescent="0.25">
      <c r="A26" s="6" t="s">
        <v>582</v>
      </c>
      <c r="B26" s="5" t="s">
        <v>342</v>
      </c>
      <c r="C26" s="6" t="s">
        <v>583</v>
      </c>
      <c r="D26" s="6" t="s">
        <v>584</v>
      </c>
      <c r="E26" s="6">
        <v>7.98</v>
      </c>
      <c r="F26" s="6">
        <v>-75.42</v>
      </c>
    </row>
    <row r="27" spans="1:6" x14ac:dyDescent="0.25">
      <c r="A27" s="6" t="s">
        <v>495</v>
      </c>
      <c r="B27" s="5" t="s">
        <v>342</v>
      </c>
      <c r="C27" s="6" t="s">
        <v>585</v>
      </c>
      <c r="D27" s="6" t="s">
        <v>584</v>
      </c>
      <c r="E27" s="6">
        <v>9.0533000000000001</v>
      </c>
      <c r="F27" s="6">
        <v>-75.373900000000006</v>
      </c>
    </row>
    <row r="28" spans="1:6" x14ac:dyDescent="0.25">
      <c r="A28" s="6" t="s">
        <v>353</v>
      </c>
      <c r="B28" s="5" t="s">
        <v>342</v>
      </c>
      <c r="C28" s="6" t="s">
        <v>586</v>
      </c>
      <c r="D28" s="6" t="s">
        <v>587</v>
      </c>
      <c r="E28" s="6">
        <v>4.8570000000000002</v>
      </c>
      <c r="F28" s="6">
        <v>-73.263000000000005</v>
      </c>
    </row>
    <row r="29" spans="1:6" x14ac:dyDescent="0.25">
      <c r="A29" s="6" t="s">
        <v>496</v>
      </c>
      <c r="B29" s="5" t="s">
        <v>342</v>
      </c>
      <c r="C29" s="6" t="s">
        <v>588</v>
      </c>
      <c r="D29" s="6" t="s">
        <v>588</v>
      </c>
      <c r="E29" s="6">
        <v>4.7110000000000003</v>
      </c>
      <c r="F29" s="6">
        <v>-74.072100000000006</v>
      </c>
    </row>
    <row r="30" spans="1:6" x14ac:dyDescent="0.25">
      <c r="A30" s="6" t="s">
        <v>497</v>
      </c>
      <c r="B30" s="5" t="s">
        <v>342</v>
      </c>
      <c r="C30" s="6" t="s">
        <v>573</v>
      </c>
      <c r="D30" s="6" t="s">
        <v>574</v>
      </c>
      <c r="E30" s="6">
        <v>7.0541</v>
      </c>
      <c r="F30" s="6">
        <v>-73.7821</v>
      </c>
    </row>
    <row r="31" spans="1:6" x14ac:dyDescent="0.25">
      <c r="A31" s="6" t="s">
        <v>498</v>
      </c>
      <c r="B31" s="5" t="s">
        <v>342</v>
      </c>
      <c r="C31" s="6" t="s">
        <v>589</v>
      </c>
      <c r="D31" s="6" t="s">
        <v>590</v>
      </c>
      <c r="E31" s="6">
        <v>11.3832</v>
      </c>
      <c r="F31" s="6">
        <v>-72.243899999999996</v>
      </c>
    </row>
    <row r="32" spans="1:6" x14ac:dyDescent="0.25">
      <c r="A32" s="6" t="s">
        <v>499</v>
      </c>
      <c r="B32" s="5" t="s">
        <v>342</v>
      </c>
      <c r="C32" s="6" t="s">
        <v>580</v>
      </c>
      <c r="D32" s="6" t="s">
        <v>581</v>
      </c>
      <c r="E32" s="6">
        <v>10.391</v>
      </c>
      <c r="F32" s="6">
        <v>-75.479399999999998</v>
      </c>
    </row>
    <row r="33" spans="1:6" x14ac:dyDescent="0.25">
      <c r="A33" s="6" t="s">
        <v>500</v>
      </c>
      <c r="B33" s="5" t="s">
        <v>342</v>
      </c>
      <c r="C33" s="6" t="s">
        <v>559</v>
      </c>
      <c r="D33" s="6" t="s">
        <v>591</v>
      </c>
      <c r="E33" s="6">
        <v>10.463100000000001</v>
      </c>
      <c r="F33" s="6">
        <v>-73.253200000000007</v>
      </c>
    </row>
    <row r="34" spans="1:6" x14ac:dyDescent="0.25">
      <c r="A34" s="6" t="s">
        <v>501</v>
      </c>
      <c r="B34" s="5" t="s">
        <v>342</v>
      </c>
      <c r="C34" s="6" t="s">
        <v>579</v>
      </c>
      <c r="D34" s="6" t="s">
        <v>578</v>
      </c>
      <c r="E34" s="6">
        <v>10.968500000000001</v>
      </c>
      <c r="F34" s="6">
        <v>-74.781300000000002</v>
      </c>
    </row>
    <row r="35" spans="1:6" x14ac:dyDescent="0.25">
      <c r="A35" s="6" t="s">
        <v>647</v>
      </c>
      <c r="B35" s="5" t="s">
        <v>342</v>
      </c>
      <c r="C35" s="6" t="s">
        <v>592</v>
      </c>
      <c r="D35" s="6" t="s">
        <v>480</v>
      </c>
      <c r="E35" s="6">
        <v>6.2460000000000004</v>
      </c>
      <c r="F35" s="6">
        <v>-75.241</v>
      </c>
    </row>
    <row r="36" spans="1:6" x14ac:dyDescent="0.25">
      <c r="A36" s="6" t="s">
        <v>502</v>
      </c>
      <c r="B36" s="5" t="s">
        <v>342</v>
      </c>
      <c r="C36" s="6" t="s">
        <v>502</v>
      </c>
      <c r="D36" s="6" t="s">
        <v>480</v>
      </c>
      <c r="E36" s="6">
        <v>6.17</v>
      </c>
      <c r="F36" s="6">
        <v>-75.587000000000003</v>
      </c>
    </row>
    <row r="37" spans="1:6" x14ac:dyDescent="0.25">
      <c r="A37" s="6" t="s">
        <v>352</v>
      </c>
      <c r="B37" s="5" t="s">
        <v>342</v>
      </c>
      <c r="C37" s="6" t="s">
        <v>593</v>
      </c>
      <c r="D37" s="6" t="s">
        <v>594</v>
      </c>
      <c r="E37" s="6">
        <v>4.9743000000000004</v>
      </c>
      <c r="F37" s="6">
        <v>-75.659499999999994</v>
      </c>
    </row>
    <row r="38" spans="1:6" x14ac:dyDescent="0.25">
      <c r="A38" s="6" t="s">
        <v>442</v>
      </c>
      <c r="B38" s="5" t="s">
        <v>342</v>
      </c>
      <c r="C38" s="6" t="s">
        <v>595</v>
      </c>
      <c r="D38" s="6" t="s">
        <v>596</v>
      </c>
      <c r="E38" s="6">
        <v>10.521000000000001</v>
      </c>
      <c r="F38" s="6">
        <v>-74.185000000000002</v>
      </c>
    </row>
    <row r="39" spans="1:6" x14ac:dyDescent="0.25">
      <c r="A39" s="6" t="s">
        <v>396</v>
      </c>
      <c r="B39" s="5" t="s">
        <v>342</v>
      </c>
      <c r="C39" s="6" t="s">
        <v>592</v>
      </c>
      <c r="D39" s="6" t="s">
        <v>480</v>
      </c>
      <c r="E39" s="6">
        <v>6.2460000000000004</v>
      </c>
      <c r="F39" s="6">
        <v>-75.241</v>
      </c>
    </row>
    <row r="40" spans="1:6" x14ac:dyDescent="0.25">
      <c r="A40" s="6" t="s">
        <v>503</v>
      </c>
      <c r="B40" s="5" t="s">
        <v>342</v>
      </c>
      <c r="C40" s="6" t="s">
        <v>597</v>
      </c>
      <c r="D40" s="6" t="s">
        <v>590</v>
      </c>
      <c r="E40" s="6">
        <v>11.243</v>
      </c>
      <c r="F40" s="6">
        <v>-72.958799999999997</v>
      </c>
    </row>
    <row r="41" spans="1:6" x14ac:dyDescent="0.25">
      <c r="A41" s="6" t="s">
        <v>361</v>
      </c>
      <c r="B41" s="5" t="s">
        <v>342</v>
      </c>
      <c r="C41" s="6" t="s">
        <v>598</v>
      </c>
      <c r="D41" s="6" t="s">
        <v>480</v>
      </c>
      <c r="E41" s="6">
        <v>6.2939999999999996</v>
      </c>
      <c r="F41" s="6">
        <v>-75.024000000000001</v>
      </c>
    </row>
    <row r="42" spans="1:6" x14ac:dyDescent="0.25">
      <c r="A42" s="6" t="s">
        <v>504</v>
      </c>
      <c r="B42" s="5" t="s">
        <v>342</v>
      </c>
      <c r="C42" s="6" t="s">
        <v>599</v>
      </c>
      <c r="D42" s="6" t="s">
        <v>574</v>
      </c>
      <c r="E42" s="6">
        <v>6.9870000000000001</v>
      </c>
      <c r="F42" s="6">
        <v>-73.049499999999995</v>
      </c>
    </row>
    <row r="43" spans="1:6" x14ac:dyDescent="0.25">
      <c r="A43" s="6" t="s">
        <v>344</v>
      </c>
      <c r="B43" s="5" t="s">
        <v>342</v>
      </c>
      <c r="C43" s="6" t="s">
        <v>600</v>
      </c>
      <c r="D43" s="6" t="s">
        <v>569</v>
      </c>
      <c r="E43" s="6">
        <v>4.7469999999999999</v>
      </c>
      <c r="F43" s="6">
        <v>-73.531000000000006</v>
      </c>
    </row>
    <row r="44" spans="1:6" x14ac:dyDescent="0.25">
      <c r="A44" s="6" t="s">
        <v>505</v>
      </c>
      <c r="B44" s="5" t="s">
        <v>342</v>
      </c>
      <c r="C44" s="6" t="s">
        <v>601</v>
      </c>
      <c r="D44" s="6" t="s">
        <v>480</v>
      </c>
      <c r="E44" s="6">
        <v>6.2576000000000001</v>
      </c>
      <c r="F44" s="6">
        <v>-75.611000000000004</v>
      </c>
    </row>
    <row r="45" spans="1:6" x14ac:dyDescent="0.25">
      <c r="A45" s="6" t="s">
        <v>506</v>
      </c>
      <c r="B45" s="5" t="s">
        <v>342</v>
      </c>
      <c r="C45" s="6" t="s">
        <v>506</v>
      </c>
      <c r="D45" s="6" t="s">
        <v>480</v>
      </c>
      <c r="E45" s="6">
        <v>6.2080000000000002</v>
      </c>
      <c r="F45" s="6">
        <v>-75.734999999999999</v>
      </c>
    </row>
    <row r="46" spans="1:6" x14ac:dyDescent="0.25">
      <c r="A46" s="6" t="s">
        <v>507</v>
      </c>
      <c r="B46" s="5" t="s">
        <v>342</v>
      </c>
      <c r="C46" s="6" t="s">
        <v>602</v>
      </c>
      <c r="D46" s="6" t="s">
        <v>603</v>
      </c>
      <c r="E46" s="6">
        <v>4.4389000000000003</v>
      </c>
      <c r="F46" s="6">
        <v>-75.232200000000006</v>
      </c>
    </row>
    <row r="47" spans="1:6" x14ac:dyDescent="0.25">
      <c r="A47" s="6" t="s">
        <v>384</v>
      </c>
      <c r="B47" s="5" t="s">
        <v>342</v>
      </c>
      <c r="C47" s="6" t="s">
        <v>598</v>
      </c>
      <c r="D47" s="6" t="s">
        <v>480</v>
      </c>
      <c r="E47" s="6">
        <v>6.2939999999999996</v>
      </c>
      <c r="F47" s="6">
        <v>-75.024000000000001</v>
      </c>
    </row>
    <row r="48" spans="1:6" x14ac:dyDescent="0.25">
      <c r="A48" s="6" t="s">
        <v>508</v>
      </c>
      <c r="B48" s="5" t="s">
        <v>342</v>
      </c>
      <c r="C48" s="6" t="s">
        <v>604</v>
      </c>
      <c r="D48" s="6" t="s">
        <v>605</v>
      </c>
      <c r="E48" s="6">
        <v>1.2136</v>
      </c>
      <c r="F48" s="6">
        <v>-77.281099999999995</v>
      </c>
    </row>
    <row r="49" spans="1:6" x14ac:dyDescent="0.25">
      <c r="A49" s="6" t="s">
        <v>509</v>
      </c>
      <c r="B49" s="5" t="s">
        <v>342</v>
      </c>
      <c r="C49" s="6" t="s">
        <v>562</v>
      </c>
      <c r="D49" s="6" t="s">
        <v>563</v>
      </c>
      <c r="E49" s="6">
        <v>3.4516</v>
      </c>
      <c r="F49" s="6">
        <v>-76.531999999999996</v>
      </c>
    </row>
    <row r="50" spans="1:6" x14ac:dyDescent="0.25">
      <c r="A50" s="6" t="s">
        <v>510</v>
      </c>
      <c r="B50" s="5" t="s">
        <v>342</v>
      </c>
      <c r="C50" s="6" t="s">
        <v>606</v>
      </c>
      <c r="D50" s="6" t="s">
        <v>594</v>
      </c>
      <c r="E50" s="6">
        <v>4.9401999999999999</v>
      </c>
      <c r="F50" s="6">
        <v>-75.435400000000001</v>
      </c>
    </row>
    <row r="51" spans="1:6" x14ac:dyDescent="0.25">
      <c r="A51" s="6" t="s">
        <v>392</v>
      </c>
      <c r="B51" s="5" t="s">
        <v>342</v>
      </c>
      <c r="C51" s="6" t="s">
        <v>513</v>
      </c>
      <c r="D51" s="6" t="s">
        <v>569</v>
      </c>
      <c r="E51" s="6">
        <v>4.63</v>
      </c>
      <c r="F51" s="6">
        <v>-74.462999999999994</v>
      </c>
    </row>
    <row r="52" spans="1:6" x14ac:dyDescent="0.25">
      <c r="A52" s="6" t="s">
        <v>511</v>
      </c>
      <c r="B52" s="5" t="s">
        <v>342</v>
      </c>
      <c r="C52" s="6" t="s">
        <v>607</v>
      </c>
      <c r="D52" s="6" t="s">
        <v>608</v>
      </c>
      <c r="E52" s="6">
        <v>4.8338000000000001</v>
      </c>
      <c r="F52" s="6">
        <v>-75.549499999999995</v>
      </c>
    </row>
    <row r="53" spans="1:6" x14ac:dyDescent="0.25">
      <c r="A53" s="6" t="s">
        <v>512</v>
      </c>
      <c r="B53" s="5" t="s">
        <v>342</v>
      </c>
      <c r="C53" s="6" t="s">
        <v>440</v>
      </c>
      <c r="D53" s="6" t="s">
        <v>591</v>
      </c>
      <c r="E53" s="6">
        <v>9.657</v>
      </c>
      <c r="F53" s="6">
        <v>-73.751000000000005</v>
      </c>
    </row>
    <row r="54" spans="1:6" x14ac:dyDescent="0.25">
      <c r="A54" s="6" t="s">
        <v>513</v>
      </c>
      <c r="B54" s="5" t="s">
        <v>342</v>
      </c>
      <c r="C54" s="6" t="s">
        <v>513</v>
      </c>
      <c r="D54" s="6" t="s">
        <v>569</v>
      </c>
      <c r="E54" s="6">
        <v>4.63</v>
      </c>
      <c r="F54" s="6">
        <v>-74.462999999999994</v>
      </c>
    </row>
    <row r="55" spans="1:6" x14ac:dyDescent="0.25">
      <c r="A55" s="6" t="s">
        <v>514</v>
      </c>
      <c r="B55" s="5" t="s">
        <v>342</v>
      </c>
      <c r="C55" s="6" t="s">
        <v>609</v>
      </c>
      <c r="D55" s="6" t="s">
        <v>610</v>
      </c>
      <c r="E55" s="6">
        <v>4.0917000000000003</v>
      </c>
      <c r="F55" s="6">
        <v>-73.492900000000006</v>
      </c>
    </row>
    <row r="56" spans="1:6" x14ac:dyDescent="0.25">
      <c r="A56" s="6" t="s">
        <v>515</v>
      </c>
      <c r="B56" s="5" t="s">
        <v>342</v>
      </c>
      <c r="C56" s="6" t="s">
        <v>611</v>
      </c>
      <c r="D56" s="6" t="s">
        <v>480</v>
      </c>
      <c r="E56" s="6">
        <v>6.1920000000000002</v>
      </c>
      <c r="F56" s="6">
        <v>-74.587000000000003</v>
      </c>
    </row>
    <row r="57" spans="1:6" x14ac:dyDescent="0.25">
      <c r="A57" s="6" t="s">
        <v>379</v>
      </c>
      <c r="B57" s="5" t="s">
        <v>342</v>
      </c>
      <c r="C57" s="6" t="s">
        <v>572</v>
      </c>
      <c r="D57" s="6" t="s">
        <v>480</v>
      </c>
      <c r="E57" s="6">
        <v>6.4433999999999996</v>
      </c>
      <c r="F57" s="6">
        <v>-75.3292</v>
      </c>
    </row>
    <row r="58" spans="1:6" x14ac:dyDescent="0.25">
      <c r="A58" s="6" t="s">
        <v>612</v>
      </c>
      <c r="B58" s="5" t="s">
        <v>342</v>
      </c>
      <c r="C58" s="6" t="s">
        <v>612</v>
      </c>
      <c r="D58" s="6" t="s">
        <v>608</v>
      </c>
      <c r="E58" s="6">
        <v>4.9047000000000001</v>
      </c>
      <c r="F58" s="6">
        <v>-75.852099999999993</v>
      </c>
    </row>
    <row r="59" spans="1:6" x14ac:dyDescent="0.25">
      <c r="A59" s="6" t="s">
        <v>516</v>
      </c>
      <c r="B59" s="5" t="s">
        <v>342</v>
      </c>
      <c r="C59" s="6" t="s">
        <v>490</v>
      </c>
      <c r="D59" s="6" t="s">
        <v>574</v>
      </c>
      <c r="E59" s="6">
        <v>7.1558000000000002</v>
      </c>
      <c r="F59" s="6">
        <v>-73.111599999999996</v>
      </c>
    </row>
    <row r="60" spans="1:6" x14ac:dyDescent="0.25">
      <c r="A60" s="6" t="s">
        <v>517</v>
      </c>
      <c r="B60" s="5" t="s">
        <v>342</v>
      </c>
      <c r="C60" s="6" t="s">
        <v>613</v>
      </c>
      <c r="D60" s="6" t="s">
        <v>480</v>
      </c>
      <c r="E60" s="6">
        <v>6.4909999999999997</v>
      </c>
      <c r="F60" s="6">
        <v>-74.403000000000006</v>
      </c>
    </row>
    <row r="61" spans="1:6" x14ac:dyDescent="0.25">
      <c r="A61" s="6" t="s">
        <v>370</v>
      </c>
      <c r="B61" s="5" t="s">
        <v>342</v>
      </c>
      <c r="C61" s="6" t="s">
        <v>614</v>
      </c>
      <c r="D61" s="6" t="s">
        <v>594</v>
      </c>
      <c r="E61" s="6">
        <v>5.4104999999999999</v>
      </c>
      <c r="F61" s="6">
        <v>-74.721100000000007</v>
      </c>
    </row>
    <row r="62" spans="1:6" x14ac:dyDescent="0.25">
      <c r="A62" s="6" t="s">
        <v>518</v>
      </c>
      <c r="B62" s="5" t="s">
        <v>342</v>
      </c>
      <c r="C62" s="6" t="s">
        <v>601</v>
      </c>
      <c r="D62" s="6" t="s">
        <v>480</v>
      </c>
      <c r="E62" s="6">
        <v>6.2576000000000001</v>
      </c>
      <c r="F62" s="6">
        <v>-75.611000000000004</v>
      </c>
    </row>
    <row r="63" spans="1:6" x14ac:dyDescent="0.25">
      <c r="A63" s="6" t="s">
        <v>519</v>
      </c>
      <c r="B63" s="5" t="s">
        <v>342</v>
      </c>
      <c r="C63" s="6" t="s">
        <v>615</v>
      </c>
      <c r="D63" s="6" t="s">
        <v>616</v>
      </c>
      <c r="E63" s="6">
        <v>1.151</v>
      </c>
      <c r="F63" s="6">
        <v>-76.647000000000006</v>
      </c>
    </row>
    <row r="64" spans="1:6" x14ac:dyDescent="0.25">
      <c r="A64" s="6" t="s">
        <v>649</v>
      </c>
      <c r="B64" s="5" t="s">
        <v>342</v>
      </c>
      <c r="C64" s="6" t="s">
        <v>617</v>
      </c>
      <c r="D64" s="6" t="s">
        <v>584</v>
      </c>
      <c r="E64" s="6">
        <v>8.5846999999999998</v>
      </c>
      <c r="F64" s="6">
        <v>-75.950599999999994</v>
      </c>
    </row>
    <row r="65" spans="1:6" x14ac:dyDescent="0.25">
      <c r="A65" s="6" t="s">
        <v>520</v>
      </c>
      <c r="B65" s="5" t="s">
        <v>342</v>
      </c>
      <c r="C65" s="6" t="s">
        <v>618</v>
      </c>
      <c r="D65" s="6" t="s">
        <v>569</v>
      </c>
      <c r="E65" s="6">
        <v>4.8090000000000002</v>
      </c>
      <c r="F65" s="6">
        <v>-74.097999999999999</v>
      </c>
    </row>
    <row r="66" spans="1:6" x14ac:dyDescent="0.25">
      <c r="A66" s="6" t="s">
        <v>521</v>
      </c>
      <c r="B66" s="5" t="s">
        <v>342</v>
      </c>
      <c r="C66" s="6" t="s">
        <v>579</v>
      </c>
      <c r="D66" s="6" t="s">
        <v>578</v>
      </c>
      <c r="E66" s="6">
        <v>10.968500000000001</v>
      </c>
      <c r="F66" s="6">
        <v>-74.781300000000002</v>
      </c>
    </row>
    <row r="67" spans="1:6" x14ac:dyDescent="0.25">
      <c r="A67" s="6" t="s">
        <v>522</v>
      </c>
      <c r="B67" s="5" t="s">
        <v>342</v>
      </c>
      <c r="C67" s="6" t="s">
        <v>619</v>
      </c>
      <c r="D67" s="6" t="s">
        <v>590</v>
      </c>
      <c r="E67" s="6">
        <v>11.2287</v>
      </c>
      <c r="F67" s="6">
        <v>-72.5321</v>
      </c>
    </row>
    <row r="68" spans="1:6" x14ac:dyDescent="0.25">
      <c r="A68" s="6" t="s">
        <v>523</v>
      </c>
      <c r="B68" s="5" t="s">
        <v>342</v>
      </c>
      <c r="C68" s="6" t="s">
        <v>620</v>
      </c>
      <c r="D68" s="6" t="s">
        <v>569</v>
      </c>
      <c r="E68" s="6">
        <v>4.5819000000000001</v>
      </c>
      <c r="F68" s="6">
        <v>-74.240300000000005</v>
      </c>
    </row>
    <row r="69" spans="1:6" x14ac:dyDescent="0.25">
      <c r="A69" s="6" t="s">
        <v>524</v>
      </c>
      <c r="B69" s="5" t="s">
        <v>342</v>
      </c>
      <c r="C69" s="6" t="s">
        <v>524</v>
      </c>
      <c r="D69" s="6" t="s">
        <v>576</v>
      </c>
      <c r="E69" s="6">
        <v>8.2370000000000001</v>
      </c>
      <c r="F69" s="6">
        <v>-73.356999999999999</v>
      </c>
    </row>
    <row r="70" spans="1:6" x14ac:dyDescent="0.25">
      <c r="A70" s="6" t="s">
        <v>525</v>
      </c>
      <c r="B70" s="5" t="s">
        <v>342</v>
      </c>
      <c r="C70" s="6" t="s">
        <v>621</v>
      </c>
      <c r="D70" s="6" t="s">
        <v>480</v>
      </c>
      <c r="E70" s="6">
        <v>6.5357000000000003</v>
      </c>
      <c r="F70" s="6">
        <v>-75.904300000000006</v>
      </c>
    </row>
    <row r="71" spans="1:6" x14ac:dyDescent="0.25">
      <c r="A71" s="6" t="s">
        <v>526</v>
      </c>
      <c r="B71" s="5" t="s">
        <v>342</v>
      </c>
      <c r="C71" s="6" t="s">
        <v>622</v>
      </c>
      <c r="D71" s="6" t="s">
        <v>480</v>
      </c>
      <c r="E71" s="6">
        <v>6.1509999999999998</v>
      </c>
      <c r="F71" s="6">
        <v>-75.375</v>
      </c>
    </row>
    <row r="72" spans="1:6" x14ac:dyDescent="0.25">
      <c r="A72" s="6" t="s">
        <v>527</v>
      </c>
      <c r="B72" s="5" t="s">
        <v>342</v>
      </c>
      <c r="C72" s="6" t="s">
        <v>623</v>
      </c>
      <c r="D72" s="6" t="s">
        <v>624</v>
      </c>
      <c r="E72" s="6">
        <v>3.133</v>
      </c>
      <c r="F72" s="6">
        <v>-76.391999999999996</v>
      </c>
    </row>
    <row r="73" spans="1:6" x14ac:dyDescent="0.25">
      <c r="A73" s="6" t="s">
        <v>528</v>
      </c>
      <c r="B73" s="5" t="s">
        <v>342</v>
      </c>
      <c r="C73" s="6" t="s">
        <v>528</v>
      </c>
      <c r="D73" s="6" t="s">
        <v>587</v>
      </c>
      <c r="E73" s="6">
        <v>5.78</v>
      </c>
      <c r="F73" s="6">
        <v>-73.117000000000004</v>
      </c>
    </row>
    <row r="74" spans="1:6" x14ac:dyDescent="0.25">
      <c r="A74" s="6" t="s">
        <v>529</v>
      </c>
      <c r="B74" s="5" t="s">
        <v>342</v>
      </c>
      <c r="C74" s="6" t="s">
        <v>625</v>
      </c>
      <c r="D74" s="6" t="s">
        <v>574</v>
      </c>
      <c r="E74" s="6">
        <v>7.0682</v>
      </c>
      <c r="F74" s="6">
        <v>-73.169799999999995</v>
      </c>
    </row>
    <row r="75" spans="1:6" x14ac:dyDescent="0.25">
      <c r="A75" s="6" t="s">
        <v>530</v>
      </c>
      <c r="B75" s="5" t="s">
        <v>342</v>
      </c>
      <c r="C75" s="6" t="s">
        <v>562</v>
      </c>
      <c r="D75" s="6" t="s">
        <v>563</v>
      </c>
      <c r="E75" s="6">
        <v>3.4516</v>
      </c>
      <c r="F75" s="6">
        <v>-76.531999999999996</v>
      </c>
    </row>
    <row r="76" spans="1:6" x14ac:dyDescent="0.25">
      <c r="A76" s="6" t="s">
        <v>394</v>
      </c>
      <c r="B76" s="5" t="s">
        <v>342</v>
      </c>
      <c r="C76" s="6" t="s">
        <v>513</v>
      </c>
      <c r="D76" s="6" t="s">
        <v>569</v>
      </c>
      <c r="E76" s="6">
        <v>4.63</v>
      </c>
      <c r="F76" s="6">
        <v>-74.462999999999994</v>
      </c>
    </row>
    <row r="77" spans="1:6" x14ac:dyDescent="0.25">
      <c r="A77" s="6" t="s">
        <v>381</v>
      </c>
      <c r="B77" s="5" t="s">
        <v>342</v>
      </c>
      <c r="C77" s="6" t="s">
        <v>348</v>
      </c>
      <c r="D77" s="6" t="s">
        <v>480</v>
      </c>
      <c r="E77" s="6">
        <v>6.1870000000000003</v>
      </c>
      <c r="F77" s="6">
        <v>-74.992999999999995</v>
      </c>
    </row>
    <row r="78" spans="1:6" x14ac:dyDescent="0.25">
      <c r="A78" s="6" t="s">
        <v>365</v>
      </c>
      <c r="B78" s="5" t="s">
        <v>342</v>
      </c>
      <c r="C78" s="6" t="s">
        <v>626</v>
      </c>
      <c r="D78" s="6" t="s">
        <v>480</v>
      </c>
      <c r="E78" s="6">
        <v>6.9778000000000002</v>
      </c>
      <c r="F78" s="6">
        <v>-74.981200000000001</v>
      </c>
    </row>
    <row r="79" spans="1:6" x14ac:dyDescent="0.25">
      <c r="A79" s="6" t="s">
        <v>358</v>
      </c>
      <c r="B79" s="5" t="s">
        <v>342</v>
      </c>
      <c r="C79" s="6" t="s">
        <v>627</v>
      </c>
      <c r="D79" s="6" t="s">
        <v>480</v>
      </c>
      <c r="E79" s="6">
        <v>7.1931000000000003</v>
      </c>
      <c r="F79" s="6">
        <v>-75.108500000000006</v>
      </c>
    </row>
    <row r="80" spans="1:6" x14ac:dyDescent="0.25">
      <c r="A80" s="6" t="s">
        <v>531</v>
      </c>
      <c r="B80" s="5" t="s">
        <v>342</v>
      </c>
      <c r="C80" s="6" t="s">
        <v>628</v>
      </c>
      <c r="D80" s="6" t="s">
        <v>574</v>
      </c>
      <c r="E80" s="6">
        <v>6.3140000000000001</v>
      </c>
      <c r="F80" s="6">
        <v>-73.95</v>
      </c>
    </row>
    <row r="81" spans="1:6" x14ac:dyDescent="0.25">
      <c r="A81" s="6" t="s">
        <v>629</v>
      </c>
      <c r="B81" s="5" t="s">
        <v>342</v>
      </c>
      <c r="C81" s="6" t="s">
        <v>614</v>
      </c>
      <c r="D81" s="6" t="s">
        <v>594</v>
      </c>
      <c r="E81" s="6">
        <v>5.4104999999999999</v>
      </c>
      <c r="F81" s="6">
        <v>-74.721100000000007</v>
      </c>
    </row>
    <row r="82" spans="1:6" x14ac:dyDescent="0.25">
      <c r="A82" s="6" t="s">
        <v>532</v>
      </c>
      <c r="B82" s="5" t="s">
        <v>342</v>
      </c>
      <c r="C82" s="6" t="s">
        <v>615</v>
      </c>
      <c r="D82" s="6" t="s">
        <v>616</v>
      </c>
      <c r="E82" s="6">
        <v>1.151</v>
      </c>
      <c r="F82" s="6">
        <v>-76.647000000000006</v>
      </c>
    </row>
    <row r="83" spans="1:6" x14ac:dyDescent="0.25">
      <c r="A83" s="6" t="s">
        <v>533</v>
      </c>
      <c r="B83" s="5" t="s">
        <v>342</v>
      </c>
      <c r="C83" s="6" t="s">
        <v>630</v>
      </c>
      <c r="D83" s="6" t="s">
        <v>596</v>
      </c>
      <c r="E83" s="6">
        <v>11.007</v>
      </c>
      <c r="F83" s="6">
        <v>-74.247</v>
      </c>
    </row>
    <row r="84" spans="1:6" x14ac:dyDescent="0.25">
      <c r="A84" s="6" t="s">
        <v>534</v>
      </c>
      <c r="B84" s="5" t="s">
        <v>342</v>
      </c>
      <c r="C84" s="6" t="s">
        <v>534</v>
      </c>
      <c r="D84" s="6" t="s">
        <v>578</v>
      </c>
      <c r="E84" s="6">
        <v>10.637</v>
      </c>
      <c r="F84" s="6">
        <v>-74.923000000000002</v>
      </c>
    </row>
    <row r="85" spans="1:6" x14ac:dyDescent="0.25">
      <c r="A85" s="6" t="s">
        <v>535</v>
      </c>
      <c r="B85" s="5" t="s">
        <v>342</v>
      </c>
      <c r="C85" s="6" t="s">
        <v>631</v>
      </c>
      <c r="D85" s="6" t="s">
        <v>584</v>
      </c>
      <c r="E85" s="6">
        <v>8.9459999999999997</v>
      </c>
      <c r="F85" s="6">
        <v>-75.444999999999993</v>
      </c>
    </row>
    <row r="86" spans="1:6" x14ac:dyDescent="0.25">
      <c r="A86" s="6" t="s">
        <v>376</v>
      </c>
      <c r="B86" s="5" t="s">
        <v>342</v>
      </c>
      <c r="C86" s="6" t="s">
        <v>632</v>
      </c>
      <c r="D86" s="6" t="s">
        <v>624</v>
      </c>
      <c r="E86" s="6">
        <v>2.9540000000000002</v>
      </c>
      <c r="F86" s="6">
        <v>-76.697000000000003</v>
      </c>
    </row>
    <row r="87" spans="1:6" x14ac:dyDescent="0.25">
      <c r="A87" s="6" t="s">
        <v>536</v>
      </c>
      <c r="B87" s="5" t="s">
        <v>342</v>
      </c>
      <c r="C87" s="6" t="s">
        <v>553</v>
      </c>
      <c r="D87" s="6" t="s">
        <v>576</v>
      </c>
      <c r="E87" s="6">
        <v>7.3090000000000002</v>
      </c>
      <c r="F87" s="6">
        <v>-72.483000000000004</v>
      </c>
    </row>
    <row r="88" spans="1:6" x14ac:dyDescent="0.25">
      <c r="A88" s="6" t="s">
        <v>537</v>
      </c>
      <c r="B88" s="5" t="s">
        <v>342</v>
      </c>
      <c r="C88" s="6" t="s">
        <v>633</v>
      </c>
      <c r="D88" s="6" t="s">
        <v>587</v>
      </c>
      <c r="E88" s="6">
        <v>5.77</v>
      </c>
      <c r="F88" s="6">
        <v>-72.94</v>
      </c>
    </row>
    <row r="89" spans="1:6" x14ac:dyDescent="0.25">
      <c r="A89" s="6" t="s">
        <v>538</v>
      </c>
      <c r="B89" s="5" t="s">
        <v>342</v>
      </c>
      <c r="C89" s="6" t="s">
        <v>634</v>
      </c>
      <c r="D89" s="6" t="s">
        <v>624</v>
      </c>
      <c r="E89" s="6">
        <v>2.4447999999999999</v>
      </c>
      <c r="F89" s="6">
        <v>-76.614699999999999</v>
      </c>
    </row>
    <row r="90" spans="1:6" x14ac:dyDescent="0.25">
      <c r="A90" s="6" t="s">
        <v>348</v>
      </c>
      <c r="B90" s="5" t="s">
        <v>140</v>
      </c>
      <c r="C90" s="6" t="s">
        <v>348</v>
      </c>
      <c r="D90" s="6" t="s">
        <v>480</v>
      </c>
      <c r="E90" s="6">
        <v>6.1870000000000003</v>
      </c>
      <c r="F90" s="6">
        <v>-74.992999999999995</v>
      </c>
    </row>
    <row r="91" spans="1:6" x14ac:dyDescent="0.25">
      <c r="A91" s="6" t="s">
        <v>539</v>
      </c>
      <c r="B91" s="5" t="s">
        <v>342</v>
      </c>
      <c r="C91" s="6" t="s">
        <v>635</v>
      </c>
      <c r="D91" s="6" t="s">
        <v>603</v>
      </c>
      <c r="E91" s="6">
        <v>5.1989000000000001</v>
      </c>
      <c r="F91" s="6">
        <v>-74.891000000000005</v>
      </c>
    </row>
    <row r="92" spans="1:6" x14ac:dyDescent="0.25">
      <c r="A92" s="6" t="s">
        <v>648</v>
      </c>
      <c r="B92" s="5" t="s">
        <v>342</v>
      </c>
      <c r="C92" s="6" t="s">
        <v>636</v>
      </c>
      <c r="D92" s="6" t="s">
        <v>590</v>
      </c>
      <c r="E92" s="6">
        <v>10.771000000000001</v>
      </c>
      <c r="F92" s="6">
        <v>-73.003</v>
      </c>
    </row>
    <row r="93" spans="1:6" x14ac:dyDescent="0.25">
      <c r="A93" s="6" t="s">
        <v>540</v>
      </c>
      <c r="B93" s="5" t="s">
        <v>342</v>
      </c>
      <c r="C93" s="6" t="s">
        <v>560</v>
      </c>
      <c r="D93" s="6" t="s">
        <v>563</v>
      </c>
      <c r="E93" s="6">
        <v>3.5823</v>
      </c>
      <c r="F93" s="6">
        <v>-76.491500000000002</v>
      </c>
    </row>
    <row r="94" spans="1:6" x14ac:dyDescent="0.25">
      <c r="A94" s="6" t="s">
        <v>541</v>
      </c>
      <c r="B94" s="5" t="s">
        <v>342</v>
      </c>
      <c r="C94" s="6" t="s">
        <v>620</v>
      </c>
      <c r="D94" s="6" t="s">
        <v>569</v>
      </c>
      <c r="E94" s="6">
        <v>4.5819000000000001</v>
      </c>
      <c r="F94" s="6">
        <v>-74.240300000000005</v>
      </c>
    </row>
    <row r="95" spans="1:6" x14ac:dyDescent="0.25">
      <c r="A95" s="6" t="s">
        <v>542</v>
      </c>
      <c r="B95" s="5" t="s">
        <v>342</v>
      </c>
      <c r="C95" s="6" t="s">
        <v>575</v>
      </c>
      <c r="D95" s="6" t="s">
        <v>576</v>
      </c>
      <c r="E95" s="6">
        <v>7.8891</v>
      </c>
      <c r="F95" s="6">
        <v>-72.496700000000004</v>
      </c>
    </row>
    <row r="96" spans="1:6" x14ac:dyDescent="0.25">
      <c r="A96" s="6" t="s">
        <v>543</v>
      </c>
      <c r="B96" s="5" t="s">
        <v>342</v>
      </c>
      <c r="C96" s="6" t="s">
        <v>543</v>
      </c>
      <c r="D96" s="6" t="s">
        <v>596</v>
      </c>
      <c r="E96" s="6">
        <v>11.2408</v>
      </c>
      <c r="F96" s="6">
        <v>-74.198999999999998</v>
      </c>
    </row>
    <row r="97" spans="1:6" x14ac:dyDescent="0.25">
      <c r="A97" s="6" t="s">
        <v>544</v>
      </c>
      <c r="B97" s="5" t="s">
        <v>342</v>
      </c>
      <c r="C97" s="6" t="s">
        <v>528</v>
      </c>
      <c r="D97" s="6" t="s">
        <v>587</v>
      </c>
      <c r="E97" s="6">
        <v>5.78</v>
      </c>
      <c r="F97" s="6">
        <v>-73.117000000000004</v>
      </c>
    </row>
    <row r="98" spans="1:6" x14ac:dyDescent="0.25">
      <c r="A98" s="6" t="s">
        <v>356</v>
      </c>
      <c r="B98" s="5" t="s">
        <v>342</v>
      </c>
      <c r="C98" s="6" t="s">
        <v>637</v>
      </c>
      <c r="D98" s="6" t="s">
        <v>574</v>
      </c>
      <c r="E98" s="6">
        <v>7.0332999999999997</v>
      </c>
      <c r="F98" s="6">
        <v>-73.378699999999995</v>
      </c>
    </row>
    <row r="99" spans="1:6" x14ac:dyDescent="0.25">
      <c r="A99" s="6" t="s">
        <v>545</v>
      </c>
      <c r="B99" s="5" t="s">
        <v>342</v>
      </c>
      <c r="C99" s="6" t="s">
        <v>609</v>
      </c>
      <c r="D99" s="6" t="s">
        <v>610</v>
      </c>
      <c r="E99" s="6">
        <v>4.0917000000000003</v>
      </c>
      <c r="F99" s="6">
        <v>-73.492900000000006</v>
      </c>
    </row>
    <row r="100" spans="1:6" x14ac:dyDescent="0.25">
      <c r="A100" s="6" t="s">
        <v>546</v>
      </c>
      <c r="B100" s="5" t="s">
        <v>342</v>
      </c>
      <c r="C100" s="6" t="s">
        <v>638</v>
      </c>
      <c r="D100" s="6" t="s">
        <v>576</v>
      </c>
      <c r="E100" s="6">
        <v>7.8780000000000001</v>
      </c>
      <c r="F100" s="6">
        <v>-72.626000000000005</v>
      </c>
    </row>
    <row r="101" spans="1:6" x14ac:dyDescent="0.25">
      <c r="A101" s="6" t="s">
        <v>547</v>
      </c>
      <c r="B101" s="5" t="s">
        <v>342</v>
      </c>
      <c r="C101" s="6" t="s">
        <v>639</v>
      </c>
      <c r="D101" s="6" t="s">
        <v>578</v>
      </c>
      <c r="E101" s="6">
        <v>10.9184</v>
      </c>
      <c r="F101" s="6">
        <v>-74.764600000000002</v>
      </c>
    </row>
    <row r="102" spans="1:6" x14ac:dyDescent="0.25">
      <c r="A102" s="6" t="s">
        <v>548</v>
      </c>
      <c r="B102" s="5" t="s">
        <v>342</v>
      </c>
      <c r="C102" s="6" t="s">
        <v>580</v>
      </c>
      <c r="D102" s="6" t="s">
        <v>581</v>
      </c>
      <c r="E102" s="6">
        <v>10.391</v>
      </c>
      <c r="F102" s="6">
        <v>-75.479399999999998</v>
      </c>
    </row>
    <row r="103" spans="1:6" x14ac:dyDescent="0.25">
      <c r="A103" s="6" t="s">
        <v>549</v>
      </c>
      <c r="B103" s="5" t="s">
        <v>342</v>
      </c>
      <c r="C103" s="6" t="s">
        <v>543</v>
      </c>
      <c r="D103" s="6" t="s">
        <v>596</v>
      </c>
      <c r="E103" s="6">
        <v>11.2408</v>
      </c>
      <c r="F103" s="6">
        <v>-74.198999999999998</v>
      </c>
    </row>
    <row r="104" spans="1:6" x14ac:dyDescent="0.25">
      <c r="A104" s="6" t="s">
        <v>550</v>
      </c>
      <c r="B104" s="5" t="s">
        <v>342</v>
      </c>
      <c r="C104" s="6" t="s">
        <v>579</v>
      </c>
      <c r="D104" s="6" t="s">
        <v>578</v>
      </c>
      <c r="E104" s="6">
        <v>10.968500000000001</v>
      </c>
      <c r="F104" s="6">
        <v>-74.781300000000002</v>
      </c>
    </row>
    <row r="105" spans="1:6" x14ac:dyDescent="0.25">
      <c r="A105" s="6" t="s">
        <v>551</v>
      </c>
      <c r="B105" s="5" t="s">
        <v>342</v>
      </c>
      <c r="C105" s="6" t="s">
        <v>580</v>
      </c>
      <c r="D105" s="6" t="s">
        <v>581</v>
      </c>
      <c r="E105" s="6">
        <v>10.391</v>
      </c>
      <c r="F105" s="6">
        <v>-75.479399999999998</v>
      </c>
    </row>
    <row r="106" spans="1:6" x14ac:dyDescent="0.25">
      <c r="A106" s="6" t="s">
        <v>552</v>
      </c>
      <c r="B106" s="5" t="s">
        <v>342</v>
      </c>
      <c r="C106" s="6" t="s">
        <v>552</v>
      </c>
      <c r="D106" s="6" t="s">
        <v>564</v>
      </c>
      <c r="E106" s="6">
        <v>2.5268999999999999</v>
      </c>
      <c r="F106" s="6">
        <v>-75.682599999999994</v>
      </c>
    </row>
    <row r="107" spans="1:6" x14ac:dyDescent="0.25">
      <c r="A107" s="6" t="s">
        <v>553</v>
      </c>
      <c r="B107" s="5" t="s">
        <v>342</v>
      </c>
      <c r="C107" s="6" t="s">
        <v>553</v>
      </c>
      <c r="D107" s="6" t="s">
        <v>576</v>
      </c>
      <c r="E107" s="6">
        <v>7.3090000000000002</v>
      </c>
      <c r="F107" s="6">
        <v>-72.483000000000004</v>
      </c>
    </row>
    <row r="108" spans="1:6" x14ac:dyDescent="0.25">
      <c r="A108" s="6" t="s">
        <v>554</v>
      </c>
      <c r="B108" s="5" t="s">
        <v>342</v>
      </c>
      <c r="C108" s="6" t="s">
        <v>640</v>
      </c>
      <c r="D108" s="6" t="s">
        <v>641</v>
      </c>
      <c r="E108" s="6">
        <v>9.4510000000000005</v>
      </c>
      <c r="F108" s="6">
        <v>-75.438999999999993</v>
      </c>
    </row>
    <row r="109" spans="1:6" x14ac:dyDescent="0.25">
      <c r="A109" s="6" t="s">
        <v>555</v>
      </c>
      <c r="B109" s="5" t="s">
        <v>342</v>
      </c>
      <c r="C109" s="6" t="s">
        <v>588</v>
      </c>
      <c r="D109" s="6" t="s">
        <v>588</v>
      </c>
      <c r="E109" s="6">
        <v>4.7110000000000003</v>
      </c>
      <c r="F109" s="6">
        <v>-74.072100000000006</v>
      </c>
    </row>
    <row r="110" spans="1:6" x14ac:dyDescent="0.25">
      <c r="A110" s="6" t="s">
        <v>556</v>
      </c>
      <c r="B110" s="5" t="s">
        <v>342</v>
      </c>
      <c r="C110" s="6" t="s">
        <v>642</v>
      </c>
      <c r="D110" s="6" t="s">
        <v>603</v>
      </c>
      <c r="E110" s="6">
        <v>3.7229999999999999</v>
      </c>
      <c r="F110" s="6">
        <v>-75.483000000000004</v>
      </c>
    </row>
    <row r="111" spans="1:6" x14ac:dyDescent="0.25">
      <c r="A111" s="6" t="s">
        <v>557</v>
      </c>
      <c r="B111" s="5" t="s">
        <v>342</v>
      </c>
      <c r="C111" s="6" t="s">
        <v>588</v>
      </c>
      <c r="D111" s="6" t="s">
        <v>588</v>
      </c>
      <c r="E111" s="6">
        <v>4.7110000000000003</v>
      </c>
      <c r="F111" s="6">
        <v>-74.072100000000006</v>
      </c>
    </row>
    <row r="112" spans="1:6" x14ac:dyDescent="0.25">
      <c r="A112" s="6" t="s">
        <v>558</v>
      </c>
      <c r="B112" s="5" t="s">
        <v>342</v>
      </c>
      <c r="C112" s="6" t="s">
        <v>643</v>
      </c>
      <c r="D112" s="6" t="s">
        <v>480</v>
      </c>
      <c r="E112" s="6">
        <v>8.0925999999999991</v>
      </c>
      <c r="F112" s="6">
        <v>-76.728200000000001</v>
      </c>
    </row>
    <row r="113" spans="1:6" x14ac:dyDescent="0.25">
      <c r="A113" s="6" t="s">
        <v>374</v>
      </c>
      <c r="B113" s="5" t="s">
        <v>342</v>
      </c>
      <c r="C113" s="6" t="s">
        <v>644</v>
      </c>
      <c r="D113" s="6" t="s">
        <v>584</v>
      </c>
      <c r="E113" s="6">
        <v>8.1736000000000004</v>
      </c>
      <c r="F113" s="6">
        <v>-76.058999999999997</v>
      </c>
    </row>
    <row r="114" spans="1:6" x14ac:dyDescent="0.25">
      <c r="A114" s="6" t="s">
        <v>559</v>
      </c>
      <c r="B114" s="5" t="s">
        <v>342</v>
      </c>
      <c r="C114" s="6" t="s">
        <v>559</v>
      </c>
      <c r="D114" s="6" t="s">
        <v>591</v>
      </c>
      <c r="E114" s="6">
        <v>10.463100000000001</v>
      </c>
      <c r="F114" s="6">
        <v>-73.253200000000007</v>
      </c>
    </row>
    <row r="115" spans="1:6" x14ac:dyDescent="0.25">
      <c r="A115" s="6" t="s">
        <v>560</v>
      </c>
      <c r="B115" s="5" t="s">
        <v>342</v>
      </c>
      <c r="C115" s="6" t="s">
        <v>560</v>
      </c>
      <c r="D115" s="6" t="s">
        <v>563</v>
      </c>
      <c r="E115" s="6">
        <v>3.5823</v>
      </c>
      <c r="F115" s="6">
        <v>-76.491500000000002</v>
      </c>
    </row>
  </sheetData>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1"/>
  <sheetViews>
    <sheetView tabSelected="1" workbookViewId="0">
      <selection activeCell="F16" sqref="F16"/>
    </sheetView>
  </sheetViews>
  <sheetFormatPr defaultRowHeight="15" x14ac:dyDescent="0.25"/>
  <cols>
    <col min="1" max="1" width="8.140625" customWidth="1"/>
    <col min="2" max="2" width="22" bestFit="1" customWidth="1"/>
    <col min="3" max="3" width="22.28515625" bestFit="1" customWidth="1"/>
    <col min="4" max="6" width="12" bestFit="1" customWidth="1"/>
  </cols>
  <sheetData>
    <row r="1" spans="1:6" ht="18.75" customHeight="1" x14ac:dyDescent="0.3">
      <c r="A1" s="1" t="s">
        <v>141</v>
      </c>
    </row>
    <row r="2" spans="1:6" x14ac:dyDescent="0.25">
      <c r="A2" s="2" t="s">
        <v>142</v>
      </c>
    </row>
    <row r="4" spans="1:6" x14ac:dyDescent="0.25">
      <c r="A4" s="3" t="s">
        <v>30</v>
      </c>
      <c r="B4" s="3" t="s">
        <v>143</v>
      </c>
      <c r="C4" s="3" t="s">
        <v>144</v>
      </c>
      <c r="D4" s="3" t="s">
        <v>145</v>
      </c>
      <c r="E4" s="3" t="s">
        <v>146</v>
      </c>
      <c r="F4" s="3" t="s">
        <v>91</v>
      </c>
    </row>
    <row r="5" spans="1:6" x14ac:dyDescent="0.25">
      <c r="A5" s="4"/>
      <c r="B5" s="4" t="s">
        <v>147</v>
      </c>
      <c r="C5" s="4" t="s">
        <v>147</v>
      </c>
      <c r="D5" s="4" t="s">
        <v>148</v>
      </c>
      <c r="E5" s="4" t="s">
        <v>148</v>
      </c>
      <c r="F5" s="4" t="s">
        <v>3</v>
      </c>
    </row>
    <row r="6" spans="1:6" x14ac:dyDescent="0.25">
      <c r="A6" s="5" t="s">
        <v>149</v>
      </c>
      <c r="B6" s="6" t="s">
        <v>372</v>
      </c>
      <c r="C6" s="6" t="s">
        <v>530</v>
      </c>
      <c r="D6" s="5">
        <v>6.6546748582230614E-3</v>
      </c>
      <c r="E6" s="5">
        <v>4.9466756143667294E-2</v>
      </c>
      <c r="F6" s="5">
        <v>422.273986885292</v>
      </c>
    </row>
    <row r="7" spans="1:6" x14ac:dyDescent="0.25">
      <c r="A7" s="5" t="s">
        <v>150</v>
      </c>
      <c r="B7" s="6" t="s">
        <v>372</v>
      </c>
      <c r="C7" s="6" t="s">
        <v>560</v>
      </c>
      <c r="D7" s="5">
        <v>6.7484896030245746E-3</v>
      </c>
      <c r="E7" s="5">
        <v>4.9988429111531195E-2</v>
      </c>
      <c r="F7" s="5">
        <v>398.37168574084177</v>
      </c>
    </row>
    <row r="8" spans="1:6" x14ac:dyDescent="0.25">
      <c r="A8" s="5" t="s">
        <v>151</v>
      </c>
      <c r="B8" s="6" t="s">
        <v>479</v>
      </c>
      <c r="C8" s="6" t="s">
        <v>506</v>
      </c>
      <c r="D8" s="5">
        <v>2.0549432892249526E-3</v>
      </c>
      <c r="E8" s="5">
        <v>1.4859782608695653E-2</v>
      </c>
      <c r="F8" s="5">
        <v>398.37168574084177</v>
      </c>
    </row>
    <row r="9" spans="1:6" x14ac:dyDescent="0.25">
      <c r="A9" s="5" t="s">
        <v>152</v>
      </c>
      <c r="B9" s="6" t="s">
        <v>479</v>
      </c>
      <c r="C9" s="6" t="s">
        <v>505</v>
      </c>
      <c r="D9" s="5">
        <v>2.6981818181818183E-3</v>
      </c>
      <c r="E9" s="5">
        <v>2.4741818181818181E-2</v>
      </c>
      <c r="F9" s="5">
        <v>381.05117766515298</v>
      </c>
    </row>
    <row r="10" spans="1:6" x14ac:dyDescent="0.25">
      <c r="A10" s="5" t="s">
        <v>153</v>
      </c>
      <c r="B10" s="6" t="s">
        <v>479</v>
      </c>
      <c r="C10" s="6" t="s">
        <v>506</v>
      </c>
      <c r="D10" s="5">
        <v>1.7932741020793952E-3</v>
      </c>
      <c r="E10" s="5">
        <v>1.6682274102079394E-2</v>
      </c>
      <c r="F10" s="5">
        <v>320.68920702137763</v>
      </c>
    </row>
    <row r="11" spans="1:6" x14ac:dyDescent="0.25">
      <c r="A11" s="5" t="s">
        <v>154</v>
      </c>
      <c r="B11" s="6" t="s">
        <v>479</v>
      </c>
      <c r="C11" s="6" t="s">
        <v>518</v>
      </c>
      <c r="D11" s="5">
        <v>2.4173553719008269E-3</v>
      </c>
      <c r="E11" s="5">
        <v>2.0301652892561986E-2</v>
      </c>
      <c r="F11" s="5">
        <v>296.07676504582389</v>
      </c>
    </row>
    <row r="12" spans="1:6" x14ac:dyDescent="0.25">
      <c r="A12" s="5" t="s">
        <v>155</v>
      </c>
      <c r="B12" s="6" t="s">
        <v>479</v>
      </c>
      <c r="C12" s="6" t="s">
        <v>348</v>
      </c>
      <c r="D12" s="5">
        <v>1.0845640831758034E-2</v>
      </c>
      <c r="E12" s="5">
        <v>0.1011315538752363</v>
      </c>
      <c r="F12" s="5">
        <v>386.81890685435735</v>
      </c>
    </row>
    <row r="13" spans="1:6" x14ac:dyDescent="0.25">
      <c r="A13" s="5" t="s">
        <v>156</v>
      </c>
      <c r="B13" s="6" t="s">
        <v>479</v>
      </c>
      <c r="C13" s="6" t="s">
        <v>348</v>
      </c>
      <c r="D13" s="5">
        <v>1.0845640831758034E-2</v>
      </c>
      <c r="E13" s="5">
        <v>0.1011315538752363</v>
      </c>
      <c r="F13" s="5">
        <v>386.81890685435735</v>
      </c>
    </row>
    <row r="14" spans="1:6" x14ac:dyDescent="0.25">
      <c r="A14" s="5" t="s">
        <v>157</v>
      </c>
      <c r="B14" s="6" t="s">
        <v>479</v>
      </c>
      <c r="C14" s="6" t="s">
        <v>352</v>
      </c>
      <c r="D14" s="5">
        <v>1.2655260869565218E-2</v>
      </c>
      <c r="E14" s="5">
        <v>0.11864613043478263</v>
      </c>
      <c r="F14" s="5">
        <v>398.37168574084177</v>
      </c>
    </row>
    <row r="15" spans="1:6" x14ac:dyDescent="0.25">
      <c r="A15" s="5" t="s">
        <v>158</v>
      </c>
      <c r="B15" s="6" t="s">
        <v>479</v>
      </c>
      <c r="C15" s="6" t="s">
        <v>352</v>
      </c>
      <c r="D15" s="5">
        <v>1.2655260869565218E-2</v>
      </c>
      <c r="E15" s="5">
        <v>0.11864613043478263</v>
      </c>
      <c r="F15" s="5">
        <v>398.37168574084177</v>
      </c>
    </row>
    <row r="16" spans="1:6" x14ac:dyDescent="0.25">
      <c r="A16" s="5" t="s">
        <v>159</v>
      </c>
      <c r="B16" s="6" t="s">
        <v>482</v>
      </c>
      <c r="C16" s="6" t="s">
        <v>531</v>
      </c>
      <c r="D16" s="5">
        <v>1.8431712000000001E-3</v>
      </c>
      <c r="E16" s="5">
        <v>2.6072207999999999E-2</v>
      </c>
      <c r="F16" s="5">
        <v>1649.7783942093556</v>
      </c>
    </row>
    <row r="17" spans="1:6" x14ac:dyDescent="0.25">
      <c r="A17" s="5" t="s">
        <v>160</v>
      </c>
      <c r="B17" s="6" t="s">
        <v>482</v>
      </c>
      <c r="C17" s="6" t="s">
        <v>523</v>
      </c>
      <c r="D17" s="5">
        <v>5.3244000000000002E-4</v>
      </c>
      <c r="E17" s="5">
        <v>6.4443599999999988E-3</v>
      </c>
      <c r="F17" s="5">
        <v>2165.0635094610966</v>
      </c>
    </row>
    <row r="18" spans="1:6" x14ac:dyDescent="0.25">
      <c r="A18" s="5" t="s">
        <v>161</v>
      </c>
      <c r="B18" s="6" t="s">
        <v>482</v>
      </c>
      <c r="C18" s="6" t="s">
        <v>520</v>
      </c>
      <c r="D18" s="5">
        <v>4.9232892249527406E-4</v>
      </c>
      <c r="E18" s="5">
        <v>3.8096143667296781E-3</v>
      </c>
      <c r="F18" s="5">
        <v>593.1754400681134</v>
      </c>
    </row>
    <row r="19" spans="1:6" x14ac:dyDescent="0.25">
      <c r="A19" s="5" t="s">
        <v>162</v>
      </c>
      <c r="B19" s="6" t="s">
        <v>482</v>
      </c>
      <c r="C19" s="6" t="s">
        <v>520</v>
      </c>
      <c r="D19" s="5">
        <v>5.1396975425330822E-4</v>
      </c>
      <c r="E19" s="5">
        <v>3.9770699432892251E-3</v>
      </c>
      <c r="F19" s="5">
        <v>593.1754400681134</v>
      </c>
    </row>
    <row r="20" spans="1:6" x14ac:dyDescent="0.25">
      <c r="A20" s="5" t="s">
        <v>163</v>
      </c>
      <c r="B20" s="6" t="s">
        <v>482</v>
      </c>
      <c r="C20" s="6" t="s">
        <v>555</v>
      </c>
      <c r="D20" s="5">
        <v>1.8113724007561437E-3</v>
      </c>
      <c r="E20" s="5">
        <v>1.4434608695652173E-2</v>
      </c>
      <c r="F20" s="5">
        <v>593.1754400681134</v>
      </c>
    </row>
    <row r="21" spans="1:6" x14ac:dyDescent="0.25">
      <c r="A21" s="5" t="s">
        <v>164</v>
      </c>
      <c r="B21" s="6" t="s">
        <v>482</v>
      </c>
      <c r="C21" s="6" t="s">
        <v>555</v>
      </c>
      <c r="D21" s="5">
        <v>1.7995274102079394E-3</v>
      </c>
      <c r="E21" s="5">
        <v>1.4340217391304349E-2</v>
      </c>
      <c r="F21" s="5">
        <v>593.1754400681134</v>
      </c>
    </row>
    <row r="22" spans="1:6" x14ac:dyDescent="0.25">
      <c r="A22" s="5" t="s">
        <v>165</v>
      </c>
      <c r="B22" s="6" t="s">
        <v>483</v>
      </c>
      <c r="C22" s="6" t="s">
        <v>513</v>
      </c>
      <c r="D22" s="5">
        <v>2.5887637051039696E-3</v>
      </c>
      <c r="E22" s="5">
        <v>2.6096408317580339E-2</v>
      </c>
      <c r="F22" s="5">
        <v>418.68864171362469</v>
      </c>
    </row>
    <row r="23" spans="1:6" x14ac:dyDescent="0.25">
      <c r="A23" s="5" t="s">
        <v>166</v>
      </c>
      <c r="B23" s="6" t="s">
        <v>483</v>
      </c>
      <c r="C23" s="6" t="s">
        <v>520</v>
      </c>
      <c r="D23" s="5">
        <v>1.3768620037807183E-3</v>
      </c>
      <c r="E23" s="5">
        <v>1.3195803402646502E-2</v>
      </c>
      <c r="F23" s="5">
        <v>438.20885431492599</v>
      </c>
    </row>
    <row r="24" spans="1:6" x14ac:dyDescent="0.25">
      <c r="A24" s="5" t="s">
        <v>167</v>
      </c>
      <c r="B24" s="6" t="s">
        <v>484</v>
      </c>
      <c r="C24" s="6" t="s">
        <v>536</v>
      </c>
      <c r="D24" s="5">
        <v>6.6105103969754256E-3</v>
      </c>
      <c r="E24" s="5">
        <v>5.1335500945179587E-2</v>
      </c>
      <c r="F24" s="5">
        <v>318.69734859267345</v>
      </c>
    </row>
    <row r="25" spans="1:6" x14ac:dyDescent="0.25">
      <c r="A25" s="5" t="s">
        <v>168</v>
      </c>
      <c r="B25" s="6" t="s">
        <v>484</v>
      </c>
      <c r="C25" s="6" t="s">
        <v>491</v>
      </c>
      <c r="D25" s="5">
        <v>1.1162982986767486E-2</v>
      </c>
      <c r="E25" s="5">
        <v>8.6705160680529289E-2</v>
      </c>
      <c r="F25" s="5">
        <v>318.69734859267345</v>
      </c>
    </row>
    <row r="26" spans="1:6" x14ac:dyDescent="0.25">
      <c r="A26" s="5" t="s">
        <v>169</v>
      </c>
      <c r="B26" s="6" t="s">
        <v>485</v>
      </c>
      <c r="C26" s="6" t="s">
        <v>518</v>
      </c>
      <c r="D26" s="5">
        <v>6.4301652892561996E-3</v>
      </c>
      <c r="E26" s="5">
        <v>5.3639669421487603E-2</v>
      </c>
      <c r="F26" s="5">
        <v>296.07676504582389</v>
      </c>
    </row>
    <row r="27" spans="1:6" x14ac:dyDescent="0.25">
      <c r="A27" s="5" t="s">
        <v>170</v>
      </c>
      <c r="B27" s="6" t="s">
        <v>485</v>
      </c>
      <c r="C27" s="6" t="s">
        <v>379</v>
      </c>
      <c r="D27" s="5">
        <v>1.4589876033057852E-3</v>
      </c>
      <c r="E27" s="5">
        <v>1.4392148760330578E-2</v>
      </c>
      <c r="F27" s="5">
        <v>306.74619802044816</v>
      </c>
    </row>
    <row r="28" spans="1:6" x14ac:dyDescent="0.25">
      <c r="A28" s="5" t="s">
        <v>171</v>
      </c>
      <c r="B28" s="6" t="s">
        <v>485</v>
      </c>
      <c r="C28" s="6" t="s">
        <v>365</v>
      </c>
      <c r="D28" s="5">
        <v>6.0280991735537194E-3</v>
      </c>
      <c r="E28" s="5">
        <v>5.2702809917355375E-2</v>
      </c>
      <c r="F28" s="5">
        <v>348.66182756361502</v>
      </c>
    </row>
    <row r="29" spans="1:6" x14ac:dyDescent="0.25">
      <c r="A29" s="5" t="s">
        <v>172</v>
      </c>
      <c r="B29" s="6" t="s">
        <v>485</v>
      </c>
      <c r="C29" s="6" t="s">
        <v>361</v>
      </c>
      <c r="D29" s="5">
        <v>4.423760330578513E-3</v>
      </c>
      <c r="E29" s="5">
        <v>3.6902479338842976E-2</v>
      </c>
      <c r="F29" s="5">
        <v>296.07676504582389</v>
      </c>
    </row>
    <row r="30" spans="1:6" x14ac:dyDescent="0.25">
      <c r="A30" s="5" t="s">
        <v>173</v>
      </c>
      <c r="B30" s="6" t="s">
        <v>485</v>
      </c>
      <c r="C30" s="6" t="s">
        <v>396</v>
      </c>
      <c r="D30" s="5">
        <v>6.2041425619834712E-3</v>
      </c>
      <c r="E30" s="5">
        <v>5.1754214876033051E-2</v>
      </c>
      <c r="F30" s="5">
        <v>296.07676504582389</v>
      </c>
    </row>
    <row r="31" spans="1:6" x14ac:dyDescent="0.25">
      <c r="A31" s="5" t="s">
        <v>174</v>
      </c>
      <c r="B31" s="6" t="s">
        <v>485</v>
      </c>
      <c r="C31" s="6" t="s">
        <v>647</v>
      </c>
      <c r="D31" s="5">
        <v>5.1027892561983472E-3</v>
      </c>
      <c r="E31" s="5">
        <v>4.4325309917355372E-2</v>
      </c>
      <c r="F31" s="5">
        <v>348.66182756361502</v>
      </c>
    </row>
    <row r="32" spans="1:6" x14ac:dyDescent="0.25">
      <c r="A32" s="5" t="s">
        <v>652</v>
      </c>
      <c r="B32" s="6" t="s">
        <v>487</v>
      </c>
      <c r="C32" s="6" t="s">
        <v>546</v>
      </c>
      <c r="D32" s="5">
        <v>1.6467958412098298E-3</v>
      </c>
      <c r="E32" s="5">
        <v>1.2126200378071834E-2</v>
      </c>
      <c r="F32" s="5">
        <v>324.27455219304522</v>
      </c>
    </row>
    <row r="33" spans="1:6" x14ac:dyDescent="0.25">
      <c r="A33" s="5" t="s">
        <v>653</v>
      </c>
      <c r="B33" s="6" t="s">
        <v>487</v>
      </c>
      <c r="C33" s="6" t="s">
        <v>542</v>
      </c>
      <c r="D33" s="5">
        <v>1.16E-3</v>
      </c>
      <c r="E33" s="5">
        <v>9.0104347826086961E-3</v>
      </c>
      <c r="F33" s="5">
        <v>318.69734859267345</v>
      </c>
    </row>
    <row r="34" spans="1:6" x14ac:dyDescent="0.25">
      <c r="A34" s="5" t="s">
        <v>654</v>
      </c>
      <c r="B34" s="6" t="s">
        <v>488</v>
      </c>
      <c r="C34" s="6" t="s">
        <v>379</v>
      </c>
      <c r="D34" s="5">
        <v>1.9338842975206612E-3</v>
      </c>
      <c r="E34" s="5">
        <v>1.6241322314049587E-2</v>
      </c>
      <c r="F34" s="5">
        <v>348.66182756361502</v>
      </c>
    </row>
    <row r="35" spans="1:6" x14ac:dyDescent="0.25">
      <c r="A35" s="5" t="s">
        <v>655</v>
      </c>
      <c r="B35" s="6" t="s">
        <v>488</v>
      </c>
      <c r="C35" s="6" t="s">
        <v>647</v>
      </c>
      <c r="D35" s="5">
        <v>8.2431818181818196E-3</v>
      </c>
      <c r="E35" s="5">
        <v>6.8975000000000009E-2</v>
      </c>
      <c r="F35" s="5">
        <v>348.66182756361502</v>
      </c>
    </row>
    <row r="36" spans="1:6" x14ac:dyDescent="0.25">
      <c r="A36" s="5" t="s">
        <v>656</v>
      </c>
      <c r="B36" s="6" t="s">
        <v>488</v>
      </c>
      <c r="C36" s="6" t="s">
        <v>505</v>
      </c>
      <c r="D36" s="5">
        <v>2.5021694214876033E-3</v>
      </c>
      <c r="E36" s="5">
        <v>2.3558161157024794E-2</v>
      </c>
      <c r="F36" s="5">
        <v>381.05117766515298</v>
      </c>
    </row>
    <row r="37" spans="1:6" x14ac:dyDescent="0.25">
      <c r="A37" s="5" t="s">
        <v>657</v>
      </c>
      <c r="B37" s="6" t="s">
        <v>363</v>
      </c>
      <c r="C37" s="6" t="s">
        <v>552</v>
      </c>
      <c r="D37" s="5">
        <v>4.5874215500945181E-3</v>
      </c>
      <c r="E37" s="5">
        <v>2.4220775047258978E-2</v>
      </c>
      <c r="F37" s="5">
        <v>414.30655317047547</v>
      </c>
    </row>
    <row r="38" spans="1:6" x14ac:dyDescent="0.25">
      <c r="A38" s="5" t="s">
        <v>658</v>
      </c>
      <c r="B38" s="6" t="s">
        <v>363</v>
      </c>
      <c r="C38" s="6" t="s">
        <v>538</v>
      </c>
      <c r="D38" s="5">
        <v>8.9804914933837438E-3</v>
      </c>
      <c r="E38" s="5">
        <v>0.12746855198487714</v>
      </c>
      <c r="F38" s="5">
        <v>318.69734859267345</v>
      </c>
    </row>
    <row r="39" spans="1:6" x14ac:dyDescent="0.25">
      <c r="A39" s="5" t="s">
        <v>659</v>
      </c>
      <c r="B39" s="6" t="s">
        <v>363</v>
      </c>
      <c r="C39" s="6" t="s">
        <v>538</v>
      </c>
      <c r="D39" s="5">
        <v>8.9804914933837438E-3</v>
      </c>
      <c r="E39" s="5">
        <v>0.12746855198487714</v>
      </c>
      <c r="F39" s="5">
        <v>318.69734859267345</v>
      </c>
    </row>
    <row r="40" spans="1:6" x14ac:dyDescent="0.25">
      <c r="A40" s="5" t="s">
        <v>660</v>
      </c>
      <c r="B40" s="6" t="s">
        <v>363</v>
      </c>
      <c r="C40" s="6" t="s">
        <v>507</v>
      </c>
      <c r="D40" s="5">
        <v>2.4705625708884685E-2</v>
      </c>
      <c r="E40" s="5">
        <v>0.18805891115311907</v>
      </c>
      <c r="F40" s="5">
        <v>356.54265873805338</v>
      </c>
    </row>
    <row r="41" spans="1:6" x14ac:dyDescent="0.25">
      <c r="A41" s="5" t="s">
        <v>661</v>
      </c>
      <c r="B41" s="6" t="s">
        <v>363</v>
      </c>
      <c r="C41" s="6" t="s">
        <v>556</v>
      </c>
      <c r="D41" s="5">
        <v>2.0022741020793954E-2</v>
      </c>
      <c r="E41" s="5">
        <v>0.14882574669187146</v>
      </c>
      <c r="F41" s="5">
        <v>356.54265873805338</v>
      </c>
    </row>
    <row r="42" spans="1:6" x14ac:dyDescent="0.25">
      <c r="A42" s="5" t="s">
        <v>662</v>
      </c>
      <c r="B42" s="6" t="s">
        <v>489</v>
      </c>
      <c r="C42" s="6" t="s">
        <v>534</v>
      </c>
      <c r="D42" s="5">
        <v>1.289868388429752E-2</v>
      </c>
      <c r="E42" s="5">
        <v>7.1643305785123956E-2</v>
      </c>
      <c r="F42" s="5">
        <v>240.06224192904637</v>
      </c>
    </row>
    <row r="43" spans="1:6" x14ac:dyDescent="0.25">
      <c r="A43" s="5" t="s">
        <v>663</v>
      </c>
      <c r="B43" s="6" t="s">
        <v>489</v>
      </c>
      <c r="C43" s="6" t="s">
        <v>499</v>
      </c>
      <c r="D43" s="5">
        <v>1.7504338842975206E-3</v>
      </c>
      <c r="E43" s="5">
        <v>1.3717685950413222E-2</v>
      </c>
      <c r="F43" s="5">
        <v>304.84094213212239</v>
      </c>
    </row>
    <row r="44" spans="1:6" x14ac:dyDescent="0.25">
      <c r="A44" s="5" t="s">
        <v>664</v>
      </c>
      <c r="B44" s="6" t="s">
        <v>489</v>
      </c>
      <c r="C44" s="6" t="s">
        <v>534</v>
      </c>
      <c r="D44" s="5">
        <v>8.2277479338842968E-3</v>
      </c>
      <c r="E44" s="5">
        <v>6.503838842975207E-2</v>
      </c>
      <c r="F44" s="5">
        <v>353.99654405092713</v>
      </c>
    </row>
    <row r="45" spans="1:6" x14ac:dyDescent="0.25">
      <c r="A45" s="5" t="s">
        <v>665</v>
      </c>
      <c r="B45" s="6" t="s">
        <v>490</v>
      </c>
      <c r="C45" s="6" t="s">
        <v>356</v>
      </c>
      <c r="D45" s="5">
        <v>6.880120604914935E-3</v>
      </c>
      <c r="E45" s="5">
        <v>4.2182612098298683E-2</v>
      </c>
      <c r="F45" s="5">
        <v>358.53451716675761</v>
      </c>
    </row>
    <row r="46" spans="1:6" x14ac:dyDescent="0.25">
      <c r="A46" s="5" t="s">
        <v>666</v>
      </c>
      <c r="B46" s="6" t="s">
        <v>490</v>
      </c>
      <c r="C46" s="6" t="s">
        <v>504</v>
      </c>
      <c r="D46" s="5">
        <v>1.634506616257089E-3</v>
      </c>
      <c r="E46" s="5">
        <v>1.1727699432892248E-2</v>
      </c>
      <c r="F46" s="5">
        <v>333.43710096508454</v>
      </c>
    </row>
    <row r="47" spans="1:6" x14ac:dyDescent="0.25">
      <c r="A47" s="5" t="s">
        <v>667</v>
      </c>
      <c r="B47" s="6" t="s">
        <v>490</v>
      </c>
      <c r="C47" s="6" t="s">
        <v>516</v>
      </c>
      <c r="D47" s="5">
        <v>3.493119092627599E-3</v>
      </c>
      <c r="E47" s="5">
        <v>2.1831994328922494E-2</v>
      </c>
      <c r="F47" s="5">
        <v>358.53451716675761</v>
      </c>
    </row>
    <row r="48" spans="1:6" x14ac:dyDescent="0.25">
      <c r="A48" s="5" t="s">
        <v>668</v>
      </c>
      <c r="B48" s="6" t="s">
        <v>493</v>
      </c>
      <c r="C48" s="6" t="s">
        <v>489</v>
      </c>
      <c r="D48" s="5">
        <v>2.0909090909090908E-3</v>
      </c>
      <c r="E48" s="5">
        <v>1.2128099173553718E-2</v>
      </c>
      <c r="F48" s="5">
        <v>381.05117766515298</v>
      </c>
    </row>
    <row r="49" spans="1:6" x14ac:dyDescent="0.25">
      <c r="A49" s="5" t="s">
        <v>669</v>
      </c>
      <c r="B49" s="6" t="s">
        <v>493</v>
      </c>
      <c r="C49" s="6" t="s">
        <v>548</v>
      </c>
      <c r="D49" s="5">
        <v>5.3077685950413231E-4</v>
      </c>
      <c r="E49" s="5">
        <v>2.9591404958677686E-3</v>
      </c>
      <c r="F49" s="5">
        <v>299.88727682247537</v>
      </c>
    </row>
    <row r="50" spans="1:6" x14ac:dyDescent="0.25">
      <c r="A50" s="5" t="s">
        <v>670</v>
      </c>
      <c r="B50" s="6" t="s">
        <v>493</v>
      </c>
      <c r="C50" s="6" t="s">
        <v>548</v>
      </c>
      <c r="D50" s="5">
        <v>5.3077685950413231E-4</v>
      </c>
      <c r="E50" s="5">
        <v>2.9591404958677686E-3</v>
      </c>
      <c r="F50" s="5">
        <v>299.88727682247537</v>
      </c>
    </row>
    <row r="51" spans="1:6" x14ac:dyDescent="0.25">
      <c r="A51" s="5" t="s">
        <v>671</v>
      </c>
      <c r="B51" s="6" t="s">
        <v>493</v>
      </c>
      <c r="C51" s="6" t="s">
        <v>489</v>
      </c>
      <c r="D51" s="5">
        <v>2.38202479338843E-3</v>
      </c>
      <c r="E51" s="5">
        <v>1.8564669421487604E-2</v>
      </c>
      <c r="F51" s="5">
        <v>353.99654405092713</v>
      </c>
    </row>
    <row r="52" spans="1:6" x14ac:dyDescent="0.25">
      <c r="A52" s="5" t="s">
        <v>672</v>
      </c>
      <c r="B52" s="6" t="s">
        <v>494</v>
      </c>
      <c r="C52" s="6" t="s">
        <v>612</v>
      </c>
      <c r="D52" s="5">
        <v>1.8478922495274103E-3</v>
      </c>
      <c r="E52" s="5">
        <v>1.6405434782608697E-2</v>
      </c>
      <c r="F52" s="5">
        <v>391.99773876898831</v>
      </c>
    </row>
    <row r="53" spans="1:6" x14ac:dyDescent="0.25">
      <c r="A53" s="5" t="s">
        <v>673</v>
      </c>
      <c r="B53" s="6" t="s">
        <v>494</v>
      </c>
      <c r="C53" s="6" t="s">
        <v>612</v>
      </c>
      <c r="D53" s="5">
        <v>1.8332778827977315E-3</v>
      </c>
      <c r="E53" s="5">
        <v>1.6197240075614364E-2</v>
      </c>
      <c r="F53" s="5">
        <v>391.99773876898831</v>
      </c>
    </row>
    <row r="54" spans="1:6" x14ac:dyDescent="0.25">
      <c r="A54" s="5" t="s">
        <v>674</v>
      </c>
      <c r="B54" s="6" t="s">
        <v>494</v>
      </c>
      <c r="C54" s="6" t="s">
        <v>540</v>
      </c>
      <c r="D54" s="5">
        <v>1.5448589792060492E-2</v>
      </c>
      <c r="E54" s="5">
        <v>0.13723451039697543</v>
      </c>
      <c r="F54" s="5">
        <v>391.99773876898831</v>
      </c>
    </row>
    <row r="55" spans="1:6" x14ac:dyDescent="0.25">
      <c r="A55" s="5" t="s">
        <v>675</v>
      </c>
      <c r="B55" s="6" t="s">
        <v>494</v>
      </c>
      <c r="C55" s="6" t="s">
        <v>540</v>
      </c>
      <c r="D55" s="5">
        <v>1.5628640831758037E-2</v>
      </c>
      <c r="E55" s="5">
        <v>0.13869366540642722</v>
      </c>
      <c r="F55" s="5">
        <v>391.99773876898831</v>
      </c>
    </row>
    <row r="56" spans="1:6" x14ac:dyDescent="0.25">
      <c r="A56" s="5" t="s">
        <v>676</v>
      </c>
      <c r="B56" s="6" t="s">
        <v>582</v>
      </c>
      <c r="C56" s="6" t="s">
        <v>358</v>
      </c>
      <c r="D56" s="5">
        <v>1.4844920000000002E-3</v>
      </c>
      <c r="E56" s="5">
        <v>1.8697800000000001E-2</v>
      </c>
      <c r="F56" s="5">
        <v>1649.7783942093556</v>
      </c>
    </row>
    <row r="57" spans="1:6" x14ac:dyDescent="0.25">
      <c r="A57" s="5" t="s">
        <v>677</v>
      </c>
      <c r="B57" s="6" t="s">
        <v>582</v>
      </c>
      <c r="C57" s="6" t="s">
        <v>495</v>
      </c>
      <c r="D57" s="5">
        <v>1.5320120000000001E-3</v>
      </c>
      <c r="E57" s="5">
        <v>1.6988432000000001E-2</v>
      </c>
      <c r="F57" s="5">
        <v>2078.4609690826528</v>
      </c>
    </row>
    <row r="58" spans="1:6" x14ac:dyDescent="0.25">
      <c r="A58" s="5" t="s">
        <v>678</v>
      </c>
      <c r="B58" s="6" t="s">
        <v>582</v>
      </c>
      <c r="C58" s="6" t="s">
        <v>480</v>
      </c>
      <c r="D58" s="5">
        <v>1.0985856E-3</v>
      </c>
      <c r="E58" s="5">
        <v>1.4349148800000001E-2</v>
      </c>
      <c r="F58" s="5">
        <v>2078.4609690826528</v>
      </c>
    </row>
    <row r="59" spans="1:6" x14ac:dyDescent="0.25">
      <c r="A59" s="5" t="s">
        <v>679</v>
      </c>
      <c r="B59" s="6" t="s">
        <v>582</v>
      </c>
      <c r="C59" s="6" t="s">
        <v>480</v>
      </c>
      <c r="D59" s="5">
        <v>1.0988784000000001E-3</v>
      </c>
      <c r="E59" s="5">
        <v>1.4357476800000001E-2</v>
      </c>
      <c r="F59" s="5">
        <v>2078.4609690826528</v>
      </c>
    </row>
    <row r="60" spans="1:6" x14ac:dyDescent="0.25">
      <c r="A60" s="5" t="s">
        <v>680</v>
      </c>
      <c r="B60" s="6" t="s">
        <v>582</v>
      </c>
      <c r="C60" s="6" t="s">
        <v>535</v>
      </c>
      <c r="D60" s="5">
        <v>7.0240799999999996E-4</v>
      </c>
      <c r="E60" s="5">
        <v>1.0979079999999999E-2</v>
      </c>
      <c r="F60" s="5">
        <v>2078.4609690826528</v>
      </c>
    </row>
    <row r="61" spans="1:6" x14ac:dyDescent="0.25">
      <c r="A61" s="5" t="s">
        <v>681</v>
      </c>
      <c r="B61" s="6" t="s">
        <v>582</v>
      </c>
      <c r="C61" s="6" t="s">
        <v>495</v>
      </c>
      <c r="D61" s="5">
        <v>1.2115015999999998E-3</v>
      </c>
      <c r="E61" s="5">
        <v>1.71091536E-2</v>
      </c>
      <c r="F61" s="5">
        <v>2165.0635094610966</v>
      </c>
    </row>
    <row r="62" spans="1:6" x14ac:dyDescent="0.25">
      <c r="A62" s="5" t="s">
        <v>682</v>
      </c>
      <c r="B62" s="6" t="s">
        <v>582</v>
      </c>
      <c r="C62" s="6" t="s">
        <v>531</v>
      </c>
      <c r="D62" s="5">
        <v>2.4226747999999999E-3</v>
      </c>
      <c r="E62" s="5">
        <v>3.1651706799999998E-2</v>
      </c>
      <c r="F62" s="5">
        <v>2165.0635094610966</v>
      </c>
    </row>
    <row r="63" spans="1:6" x14ac:dyDescent="0.25">
      <c r="A63" s="5" t="s">
        <v>683</v>
      </c>
      <c r="B63" s="6" t="s">
        <v>495</v>
      </c>
      <c r="C63" s="6" t="s">
        <v>500</v>
      </c>
      <c r="D63" s="5">
        <v>2.6140867999999997E-3</v>
      </c>
      <c r="E63" s="5">
        <v>2.8987524800000001E-2</v>
      </c>
      <c r="F63" s="5">
        <v>2078.4609690826528</v>
      </c>
    </row>
    <row r="64" spans="1:6" x14ac:dyDescent="0.25">
      <c r="A64" s="5" t="s">
        <v>684</v>
      </c>
      <c r="B64" s="6" t="s">
        <v>495</v>
      </c>
      <c r="C64" s="6" t="s">
        <v>534</v>
      </c>
      <c r="D64" s="5">
        <v>2.2785983999999999E-3</v>
      </c>
      <c r="E64" s="5">
        <v>2.4436507200000002E-2</v>
      </c>
      <c r="F64" s="5">
        <v>2165.0635094610966</v>
      </c>
    </row>
    <row r="65" spans="1:6" x14ac:dyDescent="0.25">
      <c r="A65" s="5" t="s">
        <v>685</v>
      </c>
      <c r="B65" s="6" t="s">
        <v>495</v>
      </c>
      <c r="C65" s="6" t="s">
        <v>534</v>
      </c>
      <c r="D65" s="5">
        <v>1.7186559999999996E-3</v>
      </c>
      <c r="E65" s="5">
        <v>2.4135263999999997E-2</v>
      </c>
      <c r="F65" s="5">
        <v>2056.8103339880417</v>
      </c>
    </row>
    <row r="66" spans="1:6" x14ac:dyDescent="0.25">
      <c r="A66" s="5" t="s">
        <v>686</v>
      </c>
      <c r="B66" s="6" t="s">
        <v>495</v>
      </c>
      <c r="C66" s="6" t="s">
        <v>535</v>
      </c>
      <c r="D66" s="5">
        <v>4.7064000000000003E-4</v>
      </c>
      <c r="E66" s="5">
        <v>7.3563999999999991E-3</v>
      </c>
      <c r="F66" s="5">
        <v>2078.4609690826528</v>
      </c>
    </row>
    <row r="67" spans="1:6" x14ac:dyDescent="0.25">
      <c r="A67" s="5" t="s">
        <v>687</v>
      </c>
      <c r="B67" s="6" t="s">
        <v>495</v>
      </c>
      <c r="C67" s="6" t="s">
        <v>554</v>
      </c>
      <c r="D67" s="5">
        <v>4.6996446124763702E-3</v>
      </c>
      <c r="E67" s="5">
        <v>2.88471606805293E-2</v>
      </c>
      <c r="F67" s="5">
        <v>398.37168574084177</v>
      </c>
    </row>
    <row r="68" spans="1:6" x14ac:dyDescent="0.25">
      <c r="A68" s="5" t="s">
        <v>688</v>
      </c>
      <c r="B68" s="6" t="s">
        <v>495</v>
      </c>
      <c r="C68" s="6" t="s">
        <v>649</v>
      </c>
      <c r="D68" s="5">
        <v>6.9327788279773149E-3</v>
      </c>
      <c r="E68" s="5">
        <v>4.5434461247637045E-2</v>
      </c>
      <c r="F68" s="5">
        <v>398.37168574084177</v>
      </c>
    </row>
    <row r="69" spans="1:6" x14ac:dyDescent="0.25">
      <c r="A69" s="5" t="s">
        <v>689</v>
      </c>
      <c r="B69" s="6" t="s">
        <v>353</v>
      </c>
      <c r="C69" s="6" t="s">
        <v>344</v>
      </c>
      <c r="D69" s="5">
        <v>2.2396105860113418E-3</v>
      </c>
      <c r="E69" s="5">
        <v>2.1424604914933837E-2</v>
      </c>
      <c r="F69" s="5">
        <v>406.7374911413994</v>
      </c>
    </row>
    <row r="70" spans="1:6" x14ac:dyDescent="0.25">
      <c r="A70" s="5" t="s">
        <v>690</v>
      </c>
      <c r="B70" s="6" t="s">
        <v>353</v>
      </c>
      <c r="C70" s="6" t="s">
        <v>344</v>
      </c>
      <c r="D70" s="5">
        <v>2.2346862003780723E-3</v>
      </c>
      <c r="E70" s="5">
        <v>2.1377497164461249E-2</v>
      </c>
      <c r="F70" s="5">
        <v>406.7374911413994</v>
      </c>
    </row>
    <row r="71" spans="1:6" x14ac:dyDescent="0.25">
      <c r="A71" s="5" t="s">
        <v>691</v>
      </c>
      <c r="B71" s="6" t="s">
        <v>353</v>
      </c>
      <c r="C71" s="6" t="s">
        <v>555</v>
      </c>
      <c r="D71" s="5">
        <v>9.4286200378071849E-3</v>
      </c>
      <c r="E71" s="5">
        <v>9.7241149338374286E-2</v>
      </c>
      <c r="F71" s="5">
        <v>382.43681831120813</v>
      </c>
    </row>
    <row r="72" spans="1:6" x14ac:dyDescent="0.25">
      <c r="A72" s="5" t="s">
        <v>692</v>
      </c>
      <c r="B72" s="6" t="s">
        <v>353</v>
      </c>
      <c r="C72" s="6" t="s">
        <v>555</v>
      </c>
      <c r="D72" s="5">
        <v>9.411200378071834E-3</v>
      </c>
      <c r="E72" s="5">
        <v>9.7061493383742925E-2</v>
      </c>
      <c r="F72" s="5">
        <v>382.43681831120813</v>
      </c>
    </row>
    <row r="73" spans="1:6" x14ac:dyDescent="0.25">
      <c r="A73" s="5" t="s">
        <v>693</v>
      </c>
      <c r="B73" s="6" t="s">
        <v>353</v>
      </c>
      <c r="C73" s="6" t="s">
        <v>544</v>
      </c>
      <c r="D73" s="5">
        <v>1.0879183364839319E-2</v>
      </c>
      <c r="E73" s="5">
        <v>0.10633524385633271</v>
      </c>
      <c r="F73" s="5">
        <v>382.43681831120813</v>
      </c>
    </row>
    <row r="74" spans="1:6" x14ac:dyDescent="0.25">
      <c r="A74" s="5" t="s">
        <v>694</v>
      </c>
      <c r="B74" s="6" t="s">
        <v>353</v>
      </c>
      <c r="C74" s="6" t="s">
        <v>544</v>
      </c>
      <c r="D74" s="5">
        <v>1.0879183364839319E-2</v>
      </c>
      <c r="E74" s="5">
        <v>0.10633524385633271</v>
      </c>
      <c r="F74" s="5">
        <v>382.43681831120813</v>
      </c>
    </row>
    <row r="75" spans="1:6" x14ac:dyDescent="0.25">
      <c r="A75" s="5" t="s">
        <v>695</v>
      </c>
      <c r="B75" s="6" t="s">
        <v>496</v>
      </c>
      <c r="C75" s="6" t="s">
        <v>344</v>
      </c>
      <c r="D75" s="5">
        <v>7.5842041587901709E-3</v>
      </c>
      <c r="E75" s="5">
        <v>8.231031379962192E-2</v>
      </c>
      <c r="F75" s="5">
        <v>382.43681831120813</v>
      </c>
    </row>
    <row r="76" spans="1:6" x14ac:dyDescent="0.25">
      <c r="A76" s="5" t="s">
        <v>696</v>
      </c>
      <c r="B76" s="6" t="s">
        <v>496</v>
      </c>
      <c r="C76" s="6" t="s">
        <v>344</v>
      </c>
      <c r="D76" s="5">
        <v>7.600207939508506E-3</v>
      </c>
      <c r="E76" s="5">
        <v>8.2771663516068045E-2</v>
      </c>
      <c r="F76" s="5">
        <v>382.43681831120813</v>
      </c>
    </row>
    <row r="77" spans="1:6" x14ac:dyDescent="0.25">
      <c r="A77" s="5" t="s">
        <v>697</v>
      </c>
      <c r="B77" s="6" t="s">
        <v>496</v>
      </c>
      <c r="C77" s="6" t="s">
        <v>523</v>
      </c>
      <c r="D77" s="5">
        <v>3.8481209829867675E-3</v>
      </c>
      <c r="E77" s="5">
        <v>4.1561451795841205E-2</v>
      </c>
      <c r="F77" s="5">
        <v>382.43681831120813</v>
      </c>
    </row>
    <row r="78" spans="1:6" x14ac:dyDescent="0.25">
      <c r="A78" s="5" t="s">
        <v>698</v>
      </c>
      <c r="B78" s="6" t="s">
        <v>496</v>
      </c>
      <c r="C78" s="6" t="s">
        <v>557</v>
      </c>
      <c r="D78" s="5">
        <v>2.4961361058601136E-3</v>
      </c>
      <c r="E78" s="5">
        <v>2.7002120982986766E-2</v>
      </c>
      <c r="F78" s="5">
        <v>382.43681831120813</v>
      </c>
    </row>
    <row r="79" spans="1:6" x14ac:dyDescent="0.25">
      <c r="A79" s="5" t="s">
        <v>699</v>
      </c>
      <c r="B79" s="6" t="s">
        <v>497</v>
      </c>
      <c r="C79" s="6" t="s">
        <v>486</v>
      </c>
      <c r="D79" s="5">
        <v>1.493164461247637E-3</v>
      </c>
      <c r="E79" s="5">
        <v>1.1021368620037808E-2</v>
      </c>
      <c r="F79" s="5">
        <v>322.28269376434099</v>
      </c>
    </row>
    <row r="80" spans="1:6" x14ac:dyDescent="0.25">
      <c r="A80" s="5" t="s">
        <v>700</v>
      </c>
      <c r="B80" s="6" t="s">
        <v>497</v>
      </c>
      <c r="C80" s="6" t="s">
        <v>504</v>
      </c>
      <c r="D80" s="5">
        <v>9.4519848771266544E-3</v>
      </c>
      <c r="E80" s="5">
        <v>8.5463947069943286E-2</v>
      </c>
      <c r="F80" s="5">
        <v>322.28269376434099</v>
      </c>
    </row>
    <row r="81" spans="1:6" x14ac:dyDescent="0.25">
      <c r="A81" s="5" t="s">
        <v>701</v>
      </c>
      <c r="B81" s="6" t="s">
        <v>497</v>
      </c>
      <c r="C81" s="6" t="s">
        <v>531</v>
      </c>
      <c r="D81" s="5">
        <v>1.4872967863894138E-2</v>
      </c>
      <c r="E81" s="5">
        <v>0.11634669187145556</v>
      </c>
      <c r="F81" s="5">
        <v>322.68106545008186</v>
      </c>
    </row>
    <row r="82" spans="1:6" x14ac:dyDescent="0.25">
      <c r="A82" s="5" t="s">
        <v>702</v>
      </c>
      <c r="B82" s="6" t="s">
        <v>497</v>
      </c>
      <c r="C82" s="6" t="s">
        <v>531</v>
      </c>
      <c r="D82" s="5">
        <v>1.3944931947069944E-2</v>
      </c>
      <c r="E82" s="5">
        <v>0.10287024763705103</v>
      </c>
      <c r="F82" s="5">
        <v>322.28269376434099</v>
      </c>
    </row>
    <row r="83" spans="1:6" x14ac:dyDescent="0.25">
      <c r="A83" s="5" t="s">
        <v>703</v>
      </c>
      <c r="B83" s="6" t="s">
        <v>498</v>
      </c>
      <c r="C83" s="6" t="s">
        <v>503</v>
      </c>
      <c r="D83" s="5">
        <v>1.7689803719008267E-2</v>
      </c>
      <c r="E83" s="5">
        <v>9.6850196280991743E-2</v>
      </c>
      <c r="F83" s="5">
        <v>240.06224192904637</v>
      </c>
    </row>
    <row r="84" spans="1:6" x14ac:dyDescent="0.25">
      <c r="A84" s="5" t="s">
        <v>704</v>
      </c>
      <c r="B84" s="6" t="s">
        <v>498</v>
      </c>
      <c r="C84" s="6" t="s">
        <v>503</v>
      </c>
      <c r="D84" s="5">
        <v>1.7689803719008267E-2</v>
      </c>
      <c r="E84" s="5">
        <v>9.6850196280991743E-2</v>
      </c>
      <c r="F84" s="5">
        <v>240.06224192904637</v>
      </c>
    </row>
    <row r="85" spans="1:6" x14ac:dyDescent="0.25">
      <c r="A85" s="5" t="s">
        <v>705</v>
      </c>
      <c r="B85" s="6" t="s">
        <v>498</v>
      </c>
      <c r="C85" s="6" t="s">
        <v>648</v>
      </c>
      <c r="D85" s="5">
        <v>9.7930785123966947E-3</v>
      </c>
      <c r="E85" s="5">
        <v>7.3411818181818189E-2</v>
      </c>
      <c r="F85" s="5">
        <v>227.86860424376147</v>
      </c>
    </row>
    <row r="86" spans="1:6" x14ac:dyDescent="0.25">
      <c r="A86" s="5" t="s">
        <v>706</v>
      </c>
      <c r="B86" s="6" t="s">
        <v>500</v>
      </c>
      <c r="C86" s="6" t="s">
        <v>512</v>
      </c>
      <c r="D86" s="5">
        <v>4.6719999999999997E-4</v>
      </c>
      <c r="E86" s="5">
        <v>1.03952E-2</v>
      </c>
      <c r="F86" s="5">
        <v>1649.7783942093556</v>
      </c>
    </row>
    <row r="87" spans="1:6" x14ac:dyDescent="0.25">
      <c r="A87" s="5" t="s">
        <v>707</v>
      </c>
      <c r="B87" s="6" t="s">
        <v>500</v>
      </c>
      <c r="C87" s="6" t="s">
        <v>489</v>
      </c>
      <c r="D87" s="5">
        <v>1.5801264E-3</v>
      </c>
      <c r="E87" s="5">
        <v>2.2281782400000002E-2</v>
      </c>
      <c r="F87" s="5">
        <v>1649.7783942093556</v>
      </c>
    </row>
    <row r="88" spans="1:6" x14ac:dyDescent="0.25">
      <c r="A88" s="5" t="s">
        <v>708</v>
      </c>
      <c r="B88" s="6" t="s">
        <v>500</v>
      </c>
      <c r="C88" s="6" t="s">
        <v>522</v>
      </c>
      <c r="D88" s="5">
        <v>1.8249211199999997E-3</v>
      </c>
      <c r="E88" s="5">
        <v>2.7024549599999999E-2</v>
      </c>
      <c r="F88" s="5">
        <v>2078.4609690826528</v>
      </c>
    </row>
    <row r="89" spans="1:6" x14ac:dyDescent="0.25">
      <c r="A89" s="5" t="s">
        <v>709</v>
      </c>
      <c r="B89" s="6" t="s">
        <v>500</v>
      </c>
      <c r="C89" s="6" t="s">
        <v>522</v>
      </c>
      <c r="D89" s="5">
        <v>1.8249211199999997E-3</v>
      </c>
      <c r="E89" s="5">
        <v>2.7024549599999999E-2</v>
      </c>
      <c r="F89" s="5">
        <v>2078.4609690826528</v>
      </c>
    </row>
    <row r="90" spans="1:6" x14ac:dyDescent="0.25">
      <c r="A90" s="5" t="s">
        <v>710</v>
      </c>
      <c r="B90" s="6" t="s">
        <v>500</v>
      </c>
      <c r="C90" s="6" t="s">
        <v>442</v>
      </c>
      <c r="D90" s="5">
        <v>9.1571838842975199E-3</v>
      </c>
      <c r="E90" s="5">
        <v>5.2646150826446282E-2</v>
      </c>
      <c r="F90" s="5">
        <v>227.86860424376147</v>
      </c>
    </row>
    <row r="91" spans="1:6" x14ac:dyDescent="0.25">
      <c r="A91" s="5" t="s">
        <v>711</v>
      </c>
      <c r="B91" s="6" t="s">
        <v>500</v>
      </c>
      <c r="C91" s="6" t="s">
        <v>559</v>
      </c>
      <c r="D91" s="5">
        <v>1.682801652892562E-2</v>
      </c>
      <c r="E91" s="5">
        <v>9.6747024793388439E-2</v>
      </c>
      <c r="F91" s="5">
        <v>227.86860424376147</v>
      </c>
    </row>
    <row r="92" spans="1:6" x14ac:dyDescent="0.25">
      <c r="A92" s="5" t="s">
        <v>712</v>
      </c>
      <c r="B92" s="6" t="s">
        <v>500</v>
      </c>
      <c r="C92" s="6" t="s">
        <v>442</v>
      </c>
      <c r="D92" s="5">
        <v>6.0720340909090915E-3</v>
      </c>
      <c r="E92" s="5">
        <v>3.7833443181818187E-2</v>
      </c>
      <c r="F92" s="5">
        <v>381.05117766515298</v>
      </c>
    </row>
    <row r="93" spans="1:6" x14ac:dyDescent="0.25">
      <c r="A93" s="5" t="s">
        <v>713</v>
      </c>
      <c r="B93" s="6" t="s">
        <v>500</v>
      </c>
      <c r="C93" s="6" t="s">
        <v>559</v>
      </c>
      <c r="D93" s="5">
        <v>1.4498946280991735E-2</v>
      </c>
      <c r="E93" s="5">
        <v>9.8712004132231398E-2</v>
      </c>
      <c r="F93" s="5">
        <v>224.05809246710996</v>
      </c>
    </row>
    <row r="94" spans="1:6" x14ac:dyDescent="0.25">
      <c r="A94" s="5" t="s">
        <v>714</v>
      </c>
      <c r="B94" s="6" t="s">
        <v>647</v>
      </c>
      <c r="C94" s="6" t="s">
        <v>365</v>
      </c>
      <c r="D94" s="5">
        <v>1.2251239669421486E-3</v>
      </c>
      <c r="E94" s="5">
        <v>1.1073409090909092E-2</v>
      </c>
      <c r="F94" s="5">
        <v>348.66182756361502</v>
      </c>
    </row>
    <row r="95" spans="1:6" x14ac:dyDescent="0.25">
      <c r="A95" s="5" t="s">
        <v>715</v>
      </c>
      <c r="B95" s="6" t="s">
        <v>647</v>
      </c>
      <c r="C95" s="6" t="s">
        <v>396</v>
      </c>
      <c r="D95" s="5">
        <v>1.0636363636363636E-3</v>
      </c>
      <c r="E95" s="5">
        <v>8.9327272727272745E-3</v>
      </c>
      <c r="F95" s="5">
        <v>296.07676504582389</v>
      </c>
    </row>
    <row r="96" spans="1:6" x14ac:dyDescent="0.25">
      <c r="A96" s="5" t="s">
        <v>716</v>
      </c>
      <c r="B96" s="6" t="s">
        <v>502</v>
      </c>
      <c r="C96" s="6" t="s">
        <v>525</v>
      </c>
      <c r="D96" s="5">
        <v>2.9109318181818182E-3</v>
      </c>
      <c r="E96" s="5">
        <v>2.8714818181818182E-2</v>
      </c>
      <c r="F96" s="5">
        <v>306.74619802044816</v>
      </c>
    </row>
    <row r="97" spans="1:6" x14ac:dyDescent="0.25">
      <c r="A97" s="5" t="s">
        <v>717</v>
      </c>
      <c r="B97" s="6" t="s">
        <v>502</v>
      </c>
      <c r="C97" s="6" t="s">
        <v>361</v>
      </c>
      <c r="D97" s="5">
        <v>7.5876446280991744E-3</v>
      </c>
      <c r="E97" s="5">
        <v>6.3139111570247944E-2</v>
      </c>
      <c r="F97" s="5">
        <v>296.07676504582389</v>
      </c>
    </row>
    <row r="98" spans="1:6" x14ac:dyDescent="0.25">
      <c r="A98" s="5" t="s">
        <v>718</v>
      </c>
      <c r="B98" s="6" t="s">
        <v>502</v>
      </c>
      <c r="C98" s="6" t="s">
        <v>526</v>
      </c>
      <c r="D98" s="5">
        <v>3.1745454545454546E-3</v>
      </c>
      <c r="E98" s="5">
        <v>2.6416363636363637E-2</v>
      </c>
      <c r="F98" s="5">
        <v>296.07676504582389</v>
      </c>
    </row>
    <row r="99" spans="1:6" x14ac:dyDescent="0.25">
      <c r="A99" s="5" t="s">
        <v>719</v>
      </c>
      <c r="B99" s="6" t="s">
        <v>352</v>
      </c>
      <c r="C99" s="6" t="s">
        <v>510</v>
      </c>
      <c r="D99" s="5">
        <v>3.2132741020793952E-3</v>
      </c>
      <c r="E99" s="5">
        <v>2.9299595463137998E-2</v>
      </c>
      <c r="F99" s="5">
        <v>318.69734859267345</v>
      </c>
    </row>
    <row r="100" spans="1:6" x14ac:dyDescent="0.25">
      <c r="A100" s="5" t="s">
        <v>720</v>
      </c>
      <c r="B100" s="6" t="s">
        <v>352</v>
      </c>
      <c r="C100" s="6" t="s">
        <v>510</v>
      </c>
      <c r="D100" s="5">
        <v>3.3201852551984876E-3</v>
      </c>
      <c r="E100" s="5">
        <v>2.7743444234404536E-2</v>
      </c>
      <c r="F100" s="5">
        <v>356.94103042379425</v>
      </c>
    </row>
    <row r="101" spans="1:6" x14ac:dyDescent="0.25">
      <c r="A101" s="5" t="s">
        <v>721</v>
      </c>
      <c r="B101" s="6" t="s">
        <v>352</v>
      </c>
      <c r="C101" s="6" t="s">
        <v>612</v>
      </c>
      <c r="D101" s="5">
        <v>2.5112381852551986E-3</v>
      </c>
      <c r="E101" s="5">
        <v>2.2294565217391305E-2</v>
      </c>
      <c r="F101" s="5">
        <v>392.39611045472913</v>
      </c>
    </row>
    <row r="102" spans="1:6" x14ac:dyDescent="0.25">
      <c r="A102" s="5" t="s">
        <v>722</v>
      </c>
      <c r="B102" s="6" t="s">
        <v>352</v>
      </c>
      <c r="C102" s="6" t="s">
        <v>560</v>
      </c>
      <c r="D102" s="5">
        <v>2.0076657844990548E-2</v>
      </c>
      <c r="E102" s="5">
        <v>0.1694954404536862</v>
      </c>
      <c r="F102" s="5">
        <v>398.37168574084177</v>
      </c>
    </row>
    <row r="103" spans="1:6" x14ac:dyDescent="0.25">
      <c r="A103" s="5" t="s">
        <v>723</v>
      </c>
      <c r="B103" s="6" t="s">
        <v>352</v>
      </c>
      <c r="C103" s="6" t="s">
        <v>348</v>
      </c>
      <c r="D103" s="5">
        <v>2.0103542533081283E-2</v>
      </c>
      <c r="E103" s="5">
        <v>0.18262249149338375</v>
      </c>
      <c r="F103" s="5">
        <v>386.42053516861648</v>
      </c>
    </row>
    <row r="104" spans="1:6" x14ac:dyDescent="0.25">
      <c r="A104" s="5" t="s">
        <v>724</v>
      </c>
      <c r="B104" s="6" t="s">
        <v>352</v>
      </c>
      <c r="C104" s="6" t="s">
        <v>348</v>
      </c>
      <c r="D104" s="5">
        <v>2.0103542533081283E-2</v>
      </c>
      <c r="E104" s="5">
        <v>0.18262249149338375</v>
      </c>
      <c r="F104" s="5">
        <v>386.42053516861648</v>
      </c>
    </row>
    <row r="105" spans="1:6" x14ac:dyDescent="0.25">
      <c r="A105" s="5" t="s">
        <v>725</v>
      </c>
      <c r="B105" s="6" t="s">
        <v>352</v>
      </c>
      <c r="C105" s="6" t="s">
        <v>612</v>
      </c>
      <c r="D105" s="5">
        <v>2.5112381852551986E-3</v>
      </c>
      <c r="E105" s="5">
        <v>2.2294565217391305E-2</v>
      </c>
      <c r="F105" s="5">
        <v>392.39611045472913</v>
      </c>
    </row>
    <row r="106" spans="1:6" x14ac:dyDescent="0.25">
      <c r="A106" s="5" t="s">
        <v>726</v>
      </c>
      <c r="B106" s="6" t="s">
        <v>352</v>
      </c>
      <c r="C106" s="6" t="s">
        <v>511</v>
      </c>
      <c r="D106" s="5">
        <v>2.1674858223062377E-3</v>
      </c>
      <c r="E106" s="5">
        <v>1.9523886578449903E-2</v>
      </c>
      <c r="F106" s="5">
        <v>416.56930434548343</v>
      </c>
    </row>
    <row r="107" spans="1:6" x14ac:dyDescent="0.25">
      <c r="A107" s="5" t="s">
        <v>727</v>
      </c>
      <c r="B107" s="6" t="s">
        <v>352</v>
      </c>
      <c r="C107" s="6" t="s">
        <v>511</v>
      </c>
      <c r="D107" s="5">
        <v>2.1932892249527411E-3</v>
      </c>
      <c r="E107" s="5">
        <v>1.9756313799621929E-2</v>
      </c>
      <c r="F107" s="5">
        <v>398.37168574084177</v>
      </c>
    </row>
    <row r="108" spans="1:6" x14ac:dyDescent="0.25">
      <c r="A108" s="5" t="s">
        <v>728</v>
      </c>
      <c r="B108" s="6" t="s">
        <v>352</v>
      </c>
      <c r="C108" s="6" t="s">
        <v>560</v>
      </c>
      <c r="D108" s="5">
        <v>2.008182797731569E-2</v>
      </c>
      <c r="E108" s="5">
        <v>0.1695390888468809</v>
      </c>
      <c r="F108" s="5">
        <v>398.37168574084177</v>
      </c>
    </row>
    <row r="109" spans="1:6" x14ac:dyDescent="0.25">
      <c r="A109" s="5" t="s">
        <v>729</v>
      </c>
      <c r="B109" s="6" t="s">
        <v>442</v>
      </c>
      <c r="C109" s="6" t="s">
        <v>534</v>
      </c>
      <c r="D109" s="5">
        <v>1.6874049586776858E-2</v>
      </c>
      <c r="E109" s="5">
        <v>9.3409917355371908E-2</v>
      </c>
      <c r="F109" s="5">
        <v>370.00069351286356</v>
      </c>
    </row>
    <row r="110" spans="1:6" x14ac:dyDescent="0.25">
      <c r="A110" s="5" t="s">
        <v>730</v>
      </c>
      <c r="B110" s="6" t="s">
        <v>442</v>
      </c>
      <c r="C110" s="6" t="s">
        <v>534</v>
      </c>
      <c r="D110" s="5">
        <v>1.6883305785123971E-2</v>
      </c>
      <c r="E110" s="5">
        <v>9.3461157024793393E-2</v>
      </c>
      <c r="F110" s="5">
        <v>323.13139866004974</v>
      </c>
    </row>
    <row r="111" spans="1:6" x14ac:dyDescent="0.25">
      <c r="A111" s="5" t="s">
        <v>731</v>
      </c>
      <c r="B111" s="6" t="s">
        <v>442</v>
      </c>
      <c r="C111" s="6" t="s">
        <v>534</v>
      </c>
      <c r="D111" s="5">
        <v>1.7328409090909092E-2</v>
      </c>
      <c r="E111" s="5">
        <v>9.9623863636363635E-2</v>
      </c>
      <c r="F111" s="5">
        <v>249.96957254834035</v>
      </c>
    </row>
    <row r="112" spans="1:6" x14ac:dyDescent="0.25">
      <c r="A112" s="5" t="s">
        <v>732</v>
      </c>
      <c r="B112" s="6" t="s">
        <v>442</v>
      </c>
      <c r="C112" s="6" t="s">
        <v>533</v>
      </c>
      <c r="D112" s="5">
        <v>9.5649586776859492E-3</v>
      </c>
      <c r="E112" s="5">
        <v>6.3051173553719017E-2</v>
      </c>
      <c r="F112" s="5">
        <v>249.96957254834035</v>
      </c>
    </row>
    <row r="113" spans="1:6" x14ac:dyDescent="0.25">
      <c r="A113" s="5" t="s">
        <v>733</v>
      </c>
      <c r="B113" s="6" t="s">
        <v>442</v>
      </c>
      <c r="C113" s="6" t="s">
        <v>533</v>
      </c>
      <c r="D113" s="5">
        <v>9.5649586776859492E-3</v>
      </c>
      <c r="E113" s="5">
        <v>6.3051173553719017E-2</v>
      </c>
      <c r="F113" s="5">
        <v>249.96957254834035</v>
      </c>
    </row>
    <row r="114" spans="1:6" x14ac:dyDescent="0.25">
      <c r="A114" s="5" t="s">
        <v>734</v>
      </c>
      <c r="B114" s="6" t="s">
        <v>396</v>
      </c>
      <c r="C114" s="6" t="s">
        <v>525</v>
      </c>
      <c r="D114" s="5">
        <v>8.9756198347107439E-3</v>
      </c>
      <c r="E114" s="5">
        <v>8.123355371900827E-2</v>
      </c>
      <c r="F114" s="5">
        <v>296.07676504582389</v>
      </c>
    </row>
    <row r="115" spans="1:6" x14ac:dyDescent="0.25">
      <c r="A115" s="5" t="s">
        <v>735</v>
      </c>
      <c r="B115" s="6" t="s">
        <v>396</v>
      </c>
      <c r="C115" s="6" t="s">
        <v>365</v>
      </c>
      <c r="D115" s="5">
        <v>2.2971074380165289E-4</v>
      </c>
      <c r="E115" s="5">
        <v>2.0817272727272729E-3</v>
      </c>
      <c r="F115" s="5">
        <v>348.66182756361502</v>
      </c>
    </row>
    <row r="116" spans="1:6" x14ac:dyDescent="0.25">
      <c r="A116" s="5" t="s">
        <v>736</v>
      </c>
      <c r="B116" s="6" t="s">
        <v>503</v>
      </c>
      <c r="C116" s="6" t="s">
        <v>543</v>
      </c>
      <c r="D116" s="5">
        <v>1.6959601239669421E-2</v>
      </c>
      <c r="E116" s="5">
        <v>9.3306167355371894E-2</v>
      </c>
      <c r="F116" s="5">
        <v>249.96957254834035</v>
      </c>
    </row>
    <row r="117" spans="1:6" x14ac:dyDescent="0.25">
      <c r="A117" s="5" t="s">
        <v>737</v>
      </c>
      <c r="B117" s="6" t="s">
        <v>503</v>
      </c>
      <c r="C117" s="6" t="s">
        <v>549</v>
      </c>
      <c r="D117" s="5">
        <v>1.4941355371900824E-2</v>
      </c>
      <c r="E117" s="5">
        <v>8.2294183884297517E-2</v>
      </c>
      <c r="F117" s="5">
        <v>249.96957254834035</v>
      </c>
    </row>
    <row r="118" spans="1:6" x14ac:dyDescent="0.25">
      <c r="A118" s="5" t="s">
        <v>738</v>
      </c>
      <c r="B118" s="6" t="s">
        <v>361</v>
      </c>
      <c r="C118" s="6" t="s">
        <v>381</v>
      </c>
      <c r="D118" s="5">
        <v>2.5575619834710748E-3</v>
      </c>
      <c r="E118" s="5">
        <v>2.1334876033057851E-2</v>
      </c>
      <c r="F118" s="5">
        <v>296.07676504582389</v>
      </c>
    </row>
    <row r="119" spans="1:6" x14ac:dyDescent="0.25">
      <c r="A119" s="5" t="s">
        <v>739</v>
      </c>
      <c r="B119" s="6" t="s">
        <v>361</v>
      </c>
      <c r="C119" s="6" t="s">
        <v>348</v>
      </c>
      <c r="D119" s="5">
        <v>2.9075803402646505E-3</v>
      </c>
      <c r="E119" s="5">
        <v>3.2794801512287336E-2</v>
      </c>
      <c r="F119" s="5">
        <v>459.7209253449314</v>
      </c>
    </row>
    <row r="120" spans="1:6" x14ac:dyDescent="0.25">
      <c r="A120" s="5" t="s">
        <v>740</v>
      </c>
      <c r="B120" s="6" t="s">
        <v>361</v>
      </c>
      <c r="C120" s="6" t="s">
        <v>348</v>
      </c>
      <c r="D120" s="5">
        <v>2.9092060491493384E-3</v>
      </c>
      <c r="E120" s="5">
        <v>3.2819903591682423E-2</v>
      </c>
      <c r="F120" s="5">
        <v>459.7209253449314</v>
      </c>
    </row>
    <row r="121" spans="1:6" x14ac:dyDescent="0.25">
      <c r="A121" s="5" t="s">
        <v>741</v>
      </c>
      <c r="B121" s="6" t="s">
        <v>361</v>
      </c>
      <c r="C121" s="6" t="s">
        <v>526</v>
      </c>
      <c r="D121" s="5">
        <v>4.5573966942148757E-3</v>
      </c>
      <c r="E121" s="5">
        <v>3.7923491735537183E-2</v>
      </c>
      <c r="F121" s="5">
        <v>296.07676504582389</v>
      </c>
    </row>
    <row r="122" spans="1:6" x14ac:dyDescent="0.25">
      <c r="A122" s="5" t="s">
        <v>742</v>
      </c>
      <c r="B122" s="6" t="s">
        <v>361</v>
      </c>
      <c r="C122" s="6" t="s">
        <v>518</v>
      </c>
      <c r="D122" s="5">
        <v>6.2367768595041322E-3</v>
      </c>
      <c r="E122" s="5">
        <v>5.2026446280991741E-2</v>
      </c>
      <c r="F122" s="5">
        <v>296.07676504582389</v>
      </c>
    </row>
    <row r="123" spans="1:6" x14ac:dyDescent="0.25">
      <c r="A123" s="5" t="s">
        <v>743</v>
      </c>
      <c r="B123" s="6" t="s">
        <v>361</v>
      </c>
      <c r="C123" s="6" t="s">
        <v>384</v>
      </c>
      <c r="D123" s="5">
        <v>1.4441965973534972E-3</v>
      </c>
      <c r="E123" s="5">
        <v>1.2941081285444234E-2</v>
      </c>
      <c r="F123" s="5">
        <v>407.53423451288114</v>
      </c>
    </row>
    <row r="124" spans="1:6" x14ac:dyDescent="0.25">
      <c r="A124" s="5" t="s">
        <v>744</v>
      </c>
      <c r="B124" s="6" t="s">
        <v>361</v>
      </c>
      <c r="C124" s="6" t="s">
        <v>384</v>
      </c>
      <c r="D124" s="5">
        <v>2.1752457466918712E-3</v>
      </c>
      <c r="E124" s="5">
        <v>1.7800349716446125E-2</v>
      </c>
      <c r="F124" s="5">
        <v>374.07101291065038</v>
      </c>
    </row>
    <row r="125" spans="1:6" x14ac:dyDescent="0.25">
      <c r="A125" s="5" t="s">
        <v>745</v>
      </c>
      <c r="B125" s="6" t="s">
        <v>344</v>
      </c>
      <c r="C125" s="6" t="s">
        <v>545</v>
      </c>
      <c r="D125" s="5">
        <v>5.9150472589792058E-3</v>
      </c>
      <c r="E125" s="5">
        <v>7.1339054820415873E-2</v>
      </c>
      <c r="F125" s="5">
        <v>573.65522746681211</v>
      </c>
    </row>
    <row r="126" spans="1:6" x14ac:dyDescent="0.25">
      <c r="A126" s="5" t="s">
        <v>746</v>
      </c>
      <c r="B126" s="6" t="s">
        <v>344</v>
      </c>
      <c r="C126" s="6" t="s">
        <v>523</v>
      </c>
      <c r="D126" s="5">
        <v>9.1050586011342163E-3</v>
      </c>
      <c r="E126" s="5">
        <v>0.10525786011342156</v>
      </c>
      <c r="F126" s="5">
        <v>576.84220095273884</v>
      </c>
    </row>
    <row r="127" spans="1:6" x14ac:dyDescent="0.25">
      <c r="A127" s="5" t="s">
        <v>747</v>
      </c>
      <c r="B127" s="6" t="s">
        <v>344</v>
      </c>
      <c r="C127" s="6" t="s">
        <v>514</v>
      </c>
      <c r="D127" s="5">
        <v>5.3064234404536859E-3</v>
      </c>
      <c r="E127" s="5">
        <v>6.1545310018903586E-2</v>
      </c>
      <c r="F127" s="5">
        <v>573.65522746681211</v>
      </c>
    </row>
    <row r="128" spans="1:6" x14ac:dyDescent="0.25">
      <c r="A128" s="5" t="s">
        <v>748</v>
      </c>
      <c r="B128" s="6" t="s">
        <v>344</v>
      </c>
      <c r="C128" s="6" t="s">
        <v>555</v>
      </c>
      <c r="D128" s="5">
        <v>5.153338374291115E-3</v>
      </c>
      <c r="E128" s="5">
        <v>7.4061724007561433E-2</v>
      </c>
      <c r="F128" s="5">
        <v>497.96460717605225</v>
      </c>
    </row>
    <row r="129" spans="1:6" x14ac:dyDescent="0.25">
      <c r="A129" s="5" t="s">
        <v>749</v>
      </c>
      <c r="B129" s="6" t="s">
        <v>344</v>
      </c>
      <c r="C129" s="6" t="s">
        <v>555</v>
      </c>
      <c r="D129" s="5">
        <v>5.1495841209829862E-3</v>
      </c>
      <c r="E129" s="5">
        <v>7.4007769376181476E-2</v>
      </c>
      <c r="F129" s="5">
        <v>497.96460717605225</v>
      </c>
    </row>
    <row r="130" spans="1:6" x14ac:dyDescent="0.25">
      <c r="A130" s="5" t="s">
        <v>750</v>
      </c>
      <c r="B130" s="6" t="s">
        <v>384</v>
      </c>
      <c r="C130" s="6" t="s">
        <v>517</v>
      </c>
      <c r="D130" s="5">
        <v>8.1279773156899809E-3</v>
      </c>
      <c r="E130" s="5">
        <v>6.8838724007561428E-2</v>
      </c>
      <c r="F130" s="5">
        <v>305.94945464896648</v>
      </c>
    </row>
    <row r="131" spans="1:6" x14ac:dyDescent="0.25">
      <c r="A131" s="5" t="s">
        <v>751</v>
      </c>
      <c r="B131" s="6" t="s">
        <v>508</v>
      </c>
      <c r="C131" s="6" t="s">
        <v>519</v>
      </c>
      <c r="D131" s="5">
        <v>1.2446155009451794E-2</v>
      </c>
      <c r="E131" s="5">
        <v>7.3440839319470694E-2</v>
      </c>
      <c r="F131" s="5">
        <v>274.87646316118082</v>
      </c>
    </row>
    <row r="132" spans="1:6" x14ac:dyDescent="0.25">
      <c r="A132" s="5" t="s">
        <v>752</v>
      </c>
      <c r="B132" s="6" t="s">
        <v>508</v>
      </c>
      <c r="C132" s="6" t="s">
        <v>552</v>
      </c>
      <c r="D132" s="5">
        <v>2.531721739130435E-2</v>
      </c>
      <c r="E132" s="5">
        <v>0.18134886956521737</v>
      </c>
      <c r="F132" s="5">
        <v>414.30655317047547</v>
      </c>
    </row>
    <row r="133" spans="1:6" x14ac:dyDescent="0.25">
      <c r="A133" s="5" t="s">
        <v>753</v>
      </c>
      <c r="B133" s="6" t="s">
        <v>508</v>
      </c>
      <c r="C133" s="6" t="s">
        <v>538</v>
      </c>
      <c r="D133" s="5">
        <v>2.1227920604914935E-2</v>
      </c>
      <c r="E133" s="5">
        <v>0.17114564272211721</v>
      </c>
      <c r="F133" s="5">
        <v>318.69734859267345</v>
      </c>
    </row>
    <row r="134" spans="1:6" x14ac:dyDescent="0.25">
      <c r="A134" s="5" t="s">
        <v>754</v>
      </c>
      <c r="B134" s="6" t="s">
        <v>508</v>
      </c>
      <c r="C134" s="6" t="s">
        <v>538</v>
      </c>
      <c r="D134" s="5">
        <v>2.1227920604914935E-2</v>
      </c>
      <c r="E134" s="5">
        <v>0.17114564272211721</v>
      </c>
      <c r="F134" s="5">
        <v>318.69734859267345</v>
      </c>
    </row>
    <row r="135" spans="1:6" x14ac:dyDescent="0.25">
      <c r="A135" s="5" t="s">
        <v>755</v>
      </c>
      <c r="B135" s="6" t="s">
        <v>509</v>
      </c>
      <c r="C135" s="6" t="s">
        <v>376</v>
      </c>
      <c r="D135" s="5">
        <v>7.6187863894139878E-3</v>
      </c>
      <c r="E135" s="5">
        <v>5.8462769376181473E-2</v>
      </c>
      <c r="F135" s="5">
        <v>440.59908442937098</v>
      </c>
    </row>
    <row r="136" spans="1:6" x14ac:dyDescent="0.25">
      <c r="A136" s="5" t="s">
        <v>756</v>
      </c>
      <c r="B136" s="6" t="s">
        <v>509</v>
      </c>
      <c r="C136" s="6" t="s">
        <v>527</v>
      </c>
      <c r="D136" s="5">
        <v>3.6653478260869564E-3</v>
      </c>
      <c r="E136" s="5">
        <v>3.1777434782608693E-2</v>
      </c>
      <c r="F136" s="5">
        <v>399.56680079806426</v>
      </c>
    </row>
    <row r="137" spans="1:6" x14ac:dyDescent="0.25">
      <c r="A137" s="5" t="s">
        <v>757</v>
      </c>
      <c r="B137" s="6" t="s">
        <v>509</v>
      </c>
      <c r="C137" s="6" t="s">
        <v>540</v>
      </c>
      <c r="D137" s="5">
        <v>2.1982797731568996E-3</v>
      </c>
      <c r="E137" s="5">
        <v>1.9817637051039699E-2</v>
      </c>
      <c r="F137" s="5">
        <v>391.99773876898831</v>
      </c>
    </row>
    <row r="138" spans="1:6" x14ac:dyDescent="0.25">
      <c r="A138" s="5" t="s">
        <v>758</v>
      </c>
      <c r="B138" s="6" t="s">
        <v>510</v>
      </c>
      <c r="C138" s="6" t="s">
        <v>539</v>
      </c>
      <c r="D138" s="5">
        <v>6.2047599243856329E-3</v>
      </c>
      <c r="E138" s="5">
        <v>6.1025931947069949E-2</v>
      </c>
      <c r="F138" s="5">
        <v>318.69734859267345</v>
      </c>
    </row>
    <row r="139" spans="1:6" x14ac:dyDescent="0.25">
      <c r="A139" s="5" t="s">
        <v>759</v>
      </c>
      <c r="B139" s="6" t="s">
        <v>510</v>
      </c>
      <c r="C139" s="6" t="s">
        <v>539</v>
      </c>
      <c r="D139" s="5">
        <v>6.4788657844990537E-3</v>
      </c>
      <c r="E139" s="5">
        <v>5.7711742911153115E-2</v>
      </c>
      <c r="F139" s="5">
        <v>356.94103042379425</v>
      </c>
    </row>
    <row r="140" spans="1:6" x14ac:dyDescent="0.25">
      <c r="A140" s="5" t="s">
        <v>760</v>
      </c>
      <c r="B140" s="6" t="s">
        <v>392</v>
      </c>
      <c r="C140" s="6" t="s">
        <v>513</v>
      </c>
      <c r="D140" s="5">
        <v>3.9620982986767481E-4</v>
      </c>
      <c r="E140" s="5">
        <v>4.2746143667296791E-3</v>
      </c>
      <c r="F140" s="5">
        <v>446.17628802974275</v>
      </c>
    </row>
    <row r="141" spans="1:6" x14ac:dyDescent="0.25">
      <c r="A141" s="5" t="s">
        <v>761</v>
      </c>
      <c r="B141" s="6" t="s">
        <v>392</v>
      </c>
      <c r="C141" s="6" t="s">
        <v>513</v>
      </c>
      <c r="D141" s="5">
        <v>3.9620982986767481E-4</v>
      </c>
      <c r="E141" s="5">
        <v>4.2746143667296791E-3</v>
      </c>
      <c r="F141" s="5">
        <v>446.17628802974275</v>
      </c>
    </row>
    <row r="142" spans="1:6" x14ac:dyDescent="0.25">
      <c r="A142" s="5" t="s">
        <v>762</v>
      </c>
      <c r="B142" s="6" t="s">
        <v>392</v>
      </c>
      <c r="C142" s="6" t="s">
        <v>394</v>
      </c>
      <c r="D142" s="5">
        <v>6.4268431001890348E-4</v>
      </c>
      <c r="E142" s="5">
        <v>6.9337693761814742E-3</v>
      </c>
      <c r="F142" s="5">
        <v>382.43681831120813</v>
      </c>
    </row>
    <row r="143" spans="1:6" x14ac:dyDescent="0.25">
      <c r="A143" s="5" t="s">
        <v>763</v>
      </c>
      <c r="B143" s="6" t="s">
        <v>392</v>
      </c>
      <c r="C143" s="6" t="s">
        <v>394</v>
      </c>
      <c r="D143" s="5">
        <v>6.4436672967863897E-4</v>
      </c>
      <c r="E143" s="5">
        <v>6.9519206049149344E-3</v>
      </c>
      <c r="F143" s="5">
        <v>382.43681831120813</v>
      </c>
    </row>
    <row r="144" spans="1:6" x14ac:dyDescent="0.25">
      <c r="A144" s="5" t="s">
        <v>764</v>
      </c>
      <c r="B144" s="6" t="s">
        <v>511</v>
      </c>
      <c r="C144" s="6" t="s">
        <v>481</v>
      </c>
      <c r="D144" s="5">
        <v>3.8896502835538758E-3</v>
      </c>
      <c r="E144" s="5">
        <v>2.6546313799621926E-2</v>
      </c>
      <c r="F144" s="5">
        <v>398.37168574084177</v>
      </c>
    </row>
    <row r="145" spans="1:6" x14ac:dyDescent="0.25">
      <c r="A145" s="5" t="s">
        <v>765</v>
      </c>
      <c r="B145" s="6" t="s">
        <v>513</v>
      </c>
      <c r="C145" s="6" t="s">
        <v>520</v>
      </c>
      <c r="D145" s="5">
        <v>3.8508998109640837E-3</v>
      </c>
      <c r="E145" s="5">
        <v>3.8030483931947072E-2</v>
      </c>
      <c r="F145" s="5">
        <v>398.37168574084177</v>
      </c>
    </row>
    <row r="146" spans="1:6" x14ac:dyDescent="0.25">
      <c r="A146" s="5" t="s">
        <v>766</v>
      </c>
      <c r="B146" s="6" t="s">
        <v>513</v>
      </c>
      <c r="C146" s="6" t="s">
        <v>507</v>
      </c>
      <c r="D146" s="5">
        <v>8.7774385633270328E-3</v>
      </c>
      <c r="E146" s="5">
        <v>7.9193824196597359E-2</v>
      </c>
      <c r="F146" s="5">
        <v>384.82704842565312</v>
      </c>
    </row>
    <row r="147" spans="1:6" x14ac:dyDescent="0.25">
      <c r="A147" s="5" t="s">
        <v>767</v>
      </c>
      <c r="B147" s="6" t="s">
        <v>513</v>
      </c>
      <c r="C147" s="6" t="s">
        <v>507</v>
      </c>
      <c r="D147" s="5">
        <v>8.7642911153119098E-3</v>
      </c>
      <c r="E147" s="5">
        <v>7.9075202268430997E-2</v>
      </c>
      <c r="F147" s="5">
        <v>384.82704842565312</v>
      </c>
    </row>
    <row r="148" spans="1:6" x14ac:dyDescent="0.25">
      <c r="A148" s="5" t="s">
        <v>768</v>
      </c>
      <c r="B148" s="6" t="s">
        <v>513</v>
      </c>
      <c r="C148" s="6" t="s">
        <v>539</v>
      </c>
      <c r="D148" s="5">
        <v>8.0118714555765594E-3</v>
      </c>
      <c r="E148" s="5">
        <v>7.2033875236294898E-2</v>
      </c>
      <c r="F148" s="5">
        <v>379.24984482528134</v>
      </c>
    </row>
    <row r="149" spans="1:6" x14ac:dyDescent="0.25">
      <c r="A149" s="5" t="s">
        <v>769</v>
      </c>
      <c r="B149" s="6" t="s">
        <v>513</v>
      </c>
      <c r="C149" s="6" t="s">
        <v>539</v>
      </c>
      <c r="D149" s="5">
        <v>8.0118714555765594E-3</v>
      </c>
      <c r="E149" s="5">
        <v>7.2033875236294898E-2</v>
      </c>
      <c r="F149" s="5">
        <v>379.24984482528134</v>
      </c>
    </row>
    <row r="150" spans="1:6" x14ac:dyDescent="0.25">
      <c r="A150" s="5" t="s">
        <v>770</v>
      </c>
      <c r="B150" s="6" t="s">
        <v>514</v>
      </c>
      <c r="C150" s="6" t="s">
        <v>545</v>
      </c>
      <c r="D150" s="5">
        <v>2.8310964083175807E-3</v>
      </c>
      <c r="E150" s="5">
        <v>3.1303837429111532E-2</v>
      </c>
      <c r="F150" s="5">
        <v>573.65522746681211</v>
      </c>
    </row>
    <row r="151" spans="1:6" x14ac:dyDescent="0.25">
      <c r="A151" s="5" t="s">
        <v>771</v>
      </c>
      <c r="B151" s="6" t="s">
        <v>379</v>
      </c>
      <c r="C151" s="6" t="s">
        <v>525</v>
      </c>
      <c r="D151" s="5">
        <v>2.3202933884297521E-3</v>
      </c>
      <c r="E151" s="5">
        <v>2.2888479338842974E-2</v>
      </c>
      <c r="F151" s="5">
        <v>306.74619802044816</v>
      </c>
    </row>
    <row r="152" spans="1:6" x14ac:dyDescent="0.25">
      <c r="A152" s="5" t="s">
        <v>772</v>
      </c>
      <c r="B152" s="6" t="s">
        <v>612</v>
      </c>
      <c r="C152" s="6" t="s">
        <v>481</v>
      </c>
      <c r="D152" s="5">
        <v>7.4695500945179578E-3</v>
      </c>
      <c r="E152" s="5">
        <v>5.1021449905482033E-2</v>
      </c>
      <c r="F152" s="5">
        <v>398.37168574084177</v>
      </c>
    </row>
    <row r="153" spans="1:6" x14ac:dyDescent="0.25">
      <c r="A153" s="5" t="s">
        <v>773</v>
      </c>
      <c r="B153" s="6" t="s">
        <v>516</v>
      </c>
      <c r="C153" s="6" t="s">
        <v>504</v>
      </c>
      <c r="D153" s="5">
        <v>3.5574669187145558E-3</v>
      </c>
      <c r="E153" s="5">
        <v>2.7962268431001889E-2</v>
      </c>
      <c r="F153" s="5">
        <v>333.03872927934373</v>
      </c>
    </row>
    <row r="154" spans="1:6" x14ac:dyDescent="0.25">
      <c r="A154" s="5" t="s">
        <v>774</v>
      </c>
      <c r="B154" s="6" t="s">
        <v>516</v>
      </c>
      <c r="C154" s="6" t="s">
        <v>546</v>
      </c>
      <c r="D154" s="5">
        <v>1.3003758034026465E-2</v>
      </c>
      <c r="E154" s="5">
        <v>0.10186277126654064</v>
      </c>
      <c r="F154" s="5">
        <v>326.66478230749021</v>
      </c>
    </row>
    <row r="155" spans="1:6" x14ac:dyDescent="0.25">
      <c r="A155" s="5" t="s">
        <v>775</v>
      </c>
      <c r="B155" s="6" t="s">
        <v>516</v>
      </c>
      <c r="C155" s="6" t="s">
        <v>553</v>
      </c>
      <c r="D155" s="5">
        <v>8.0801701323251433E-3</v>
      </c>
      <c r="E155" s="5">
        <v>7.7527580340264649E-2</v>
      </c>
      <c r="F155" s="5">
        <v>318.69734859267345</v>
      </c>
    </row>
    <row r="156" spans="1:6" x14ac:dyDescent="0.25">
      <c r="A156" s="5" t="s">
        <v>776</v>
      </c>
      <c r="B156" s="6" t="s">
        <v>517</v>
      </c>
      <c r="C156" s="6" t="s">
        <v>531</v>
      </c>
      <c r="D156" s="5">
        <v>1.1030378071833651E-3</v>
      </c>
      <c r="E156" s="5">
        <v>8.1926616257088844E-3</v>
      </c>
      <c r="F156" s="5">
        <v>305.94945464896648</v>
      </c>
    </row>
    <row r="157" spans="1:6" x14ac:dyDescent="0.25">
      <c r="A157" s="5" t="s">
        <v>777</v>
      </c>
      <c r="B157" s="6" t="s">
        <v>506</v>
      </c>
      <c r="C157" s="6" t="s">
        <v>480</v>
      </c>
      <c r="D157" s="5">
        <v>1.0871328E-3</v>
      </c>
      <c r="E157" s="5">
        <v>1.4123959199999999E-2</v>
      </c>
      <c r="F157" s="5">
        <v>2078.4609690826528</v>
      </c>
    </row>
    <row r="158" spans="1:6" x14ac:dyDescent="0.25">
      <c r="A158" s="5" t="s">
        <v>778</v>
      </c>
      <c r="B158" s="6" t="s">
        <v>519</v>
      </c>
      <c r="C158" s="6" t="s">
        <v>532</v>
      </c>
      <c r="D158" s="5">
        <v>1.1930812854442344E-4</v>
      </c>
      <c r="E158" s="5">
        <v>9.1038941398865786E-4</v>
      </c>
      <c r="F158" s="5">
        <v>414.30655317047547</v>
      </c>
    </row>
    <row r="159" spans="1:6" x14ac:dyDescent="0.25">
      <c r="A159" s="5" t="s">
        <v>779</v>
      </c>
      <c r="B159" s="6" t="s">
        <v>520</v>
      </c>
      <c r="C159" s="6" t="s">
        <v>629</v>
      </c>
      <c r="D159" s="5">
        <v>1.0125221172022685E-2</v>
      </c>
      <c r="E159" s="5">
        <v>8.8973926275992432E-2</v>
      </c>
      <c r="F159" s="5">
        <v>386.42053516861648</v>
      </c>
    </row>
    <row r="160" spans="1:6" x14ac:dyDescent="0.25">
      <c r="A160" s="5" t="s">
        <v>780</v>
      </c>
      <c r="B160" s="6" t="s">
        <v>520</v>
      </c>
      <c r="C160" s="6" t="s">
        <v>629</v>
      </c>
      <c r="D160" s="5">
        <v>1.0116340264650284E-2</v>
      </c>
      <c r="E160" s="5">
        <v>8.8895886578449893E-2</v>
      </c>
      <c r="F160" s="5">
        <v>386.42053516861648</v>
      </c>
    </row>
    <row r="161" spans="1:6" x14ac:dyDescent="0.25">
      <c r="A161" s="5" t="s">
        <v>781</v>
      </c>
      <c r="B161" s="6" t="s">
        <v>521</v>
      </c>
      <c r="C161" s="6" t="s">
        <v>492</v>
      </c>
      <c r="D161" s="5">
        <v>2.2717809917355372E-3</v>
      </c>
      <c r="E161" s="5">
        <v>1.3766652892561985E-2</v>
      </c>
      <c r="F161" s="5">
        <v>319.70193806106334</v>
      </c>
    </row>
    <row r="162" spans="1:6" x14ac:dyDescent="0.25">
      <c r="A162" s="5" t="s">
        <v>782</v>
      </c>
      <c r="B162" s="6" t="s">
        <v>521</v>
      </c>
      <c r="C162" s="6" t="s">
        <v>550</v>
      </c>
      <c r="D162" s="5">
        <v>1.3530991735537191E-3</v>
      </c>
      <c r="E162" s="5">
        <v>7.1217355371900829E-3</v>
      </c>
      <c r="F162" s="5">
        <v>320.08298923872849</v>
      </c>
    </row>
    <row r="163" spans="1:6" x14ac:dyDescent="0.25">
      <c r="A163" s="5" t="s">
        <v>783</v>
      </c>
      <c r="B163" s="6" t="s">
        <v>521</v>
      </c>
      <c r="C163" s="6" t="s">
        <v>550</v>
      </c>
      <c r="D163" s="5">
        <v>1.3530991735537191E-3</v>
      </c>
      <c r="E163" s="5">
        <v>7.1217355371900829E-3</v>
      </c>
      <c r="F163" s="5">
        <v>320.08298923872849</v>
      </c>
    </row>
    <row r="164" spans="1:6" x14ac:dyDescent="0.25">
      <c r="A164" s="5" t="s">
        <v>784</v>
      </c>
      <c r="B164" s="6" t="s">
        <v>524</v>
      </c>
      <c r="C164" s="6" t="s">
        <v>512</v>
      </c>
      <c r="D164" s="5">
        <v>1.0752000000000001E-3</v>
      </c>
      <c r="E164" s="5">
        <v>2.3923199999999999E-2</v>
      </c>
      <c r="F164" s="5">
        <v>1649.7783942093556</v>
      </c>
    </row>
    <row r="165" spans="1:6" x14ac:dyDescent="0.25">
      <c r="A165" s="5" t="s">
        <v>785</v>
      </c>
      <c r="B165" s="6" t="s">
        <v>524</v>
      </c>
      <c r="C165" s="6" t="s">
        <v>356</v>
      </c>
      <c r="D165" s="5">
        <v>1.7811647999999999E-3</v>
      </c>
      <c r="E165" s="5">
        <v>2.1609720000000002E-2</v>
      </c>
      <c r="F165" s="5">
        <v>1649.7783942093556</v>
      </c>
    </row>
    <row r="166" spans="1:6" x14ac:dyDescent="0.25">
      <c r="A166" s="5" t="s">
        <v>786</v>
      </c>
      <c r="B166" s="6" t="s">
        <v>524</v>
      </c>
      <c r="C166" s="6" t="s">
        <v>542</v>
      </c>
      <c r="D166" s="5">
        <v>1.4746463137996218E-2</v>
      </c>
      <c r="E166" s="5">
        <v>0.11694606238185255</v>
      </c>
      <c r="F166" s="5">
        <v>348.57522502323656</v>
      </c>
    </row>
    <row r="167" spans="1:6" x14ac:dyDescent="0.25">
      <c r="A167" s="5" t="s">
        <v>787</v>
      </c>
      <c r="B167" s="6" t="s">
        <v>524</v>
      </c>
      <c r="C167" s="6" t="s">
        <v>516</v>
      </c>
      <c r="D167" s="5">
        <v>1.9677336483931943E-2</v>
      </c>
      <c r="E167" s="5">
        <v>0.15660006616257086</v>
      </c>
      <c r="F167" s="5">
        <v>353.35568525212665</v>
      </c>
    </row>
    <row r="168" spans="1:6" x14ac:dyDescent="0.25">
      <c r="A168" s="5" t="s">
        <v>788</v>
      </c>
      <c r="B168" s="6" t="s">
        <v>525</v>
      </c>
      <c r="C168" s="6" t="s">
        <v>506</v>
      </c>
      <c r="D168" s="5">
        <v>2.821739130434783E-3</v>
      </c>
      <c r="E168" s="5">
        <v>2.6837192816635165E-2</v>
      </c>
      <c r="F168" s="5">
        <v>320.68920702137763</v>
      </c>
    </row>
    <row r="169" spans="1:6" x14ac:dyDescent="0.25">
      <c r="A169" s="5" t="s">
        <v>789</v>
      </c>
      <c r="B169" s="6" t="s">
        <v>526</v>
      </c>
      <c r="C169" s="6" t="s">
        <v>381</v>
      </c>
      <c r="D169" s="5">
        <v>6.6175103305785125E-3</v>
      </c>
      <c r="E169" s="5">
        <v>5.5202479338842973E-2</v>
      </c>
      <c r="F169" s="5">
        <v>296.07676504582389</v>
      </c>
    </row>
    <row r="170" spans="1:6" x14ac:dyDescent="0.25">
      <c r="A170" s="5" t="s">
        <v>790</v>
      </c>
      <c r="B170" s="6" t="s">
        <v>528</v>
      </c>
      <c r="C170" s="6" t="s">
        <v>544</v>
      </c>
      <c r="D170" s="5">
        <v>4.169659735349717E-4</v>
      </c>
      <c r="E170" s="5">
        <v>4.6513780718336496E-3</v>
      </c>
      <c r="F170" s="5">
        <v>492.78577526142129</v>
      </c>
    </row>
    <row r="171" spans="1:6" x14ac:dyDescent="0.25">
      <c r="A171" s="5" t="s">
        <v>791</v>
      </c>
      <c r="B171" s="6" t="s">
        <v>528</v>
      </c>
      <c r="C171" s="6" t="s">
        <v>544</v>
      </c>
      <c r="D171" s="5">
        <v>4.169659735349717E-4</v>
      </c>
      <c r="E171" s="5">
        <v>4.6513780718336496E-3</v>
      </c>
      <c r="F171" s="5">
        <v>492.78577526142129</v>
      </c>
    </row>
    <row r="172" spans="1:6" x14ac:dyDescent="0.25">
      <c r="A172" s="5" t="s">
        <v>792</v>
      </c>
      <c r="B172" s="6" t="s">
        <v>529</v>
      </c>
      <c r="C172" s="6" t="s">
        <v>504</v>
      </c>
      <c r="D172" s="5">
        <v>4.1413232514177691E-3</v>
      </c>
      <c r="E172" s="5">
        <v>3.8785085066162572E-2</v>
      </c>
      <c r="F172" s="5">
        <v>405.14400439843604</v>
      </c>
    </row>
    <row r="173" spans="1:6" x14ac:dyDescent="0.25">
      <c r="A173" s="5" t="s">
        <v>793</v>
      </c>
      <c r="B173" s="6" t="s">
        <v>529</v>
      </c>
      <c r="C173" s="6" t="s">
        <v>504</v>
      </c>
      <c r="D173" s="5">
        <v>4.1413232514177691E-3</v>
      </c>
      <c r="E173" s="5">
        <v>3.8785085066162572E-2</v>
      </c>
      <c r="F173" s="5">
        <v>405.14400439843604</v>
      </c>
    </row>
    <row r="174" spans="1:6" x14ac:dyDescent="0.25">
      <c r="A174" s="5" t="s">
        <v>794</v>
      </c>
      <c r="B174" s="6" t="s">
        <v>529</v>
      </c>
      <c r="C174" s="6" t="s">
        <v>356</v>
      </c>
      <c r="D174" s="5">
        <v>3.7723156899810966E-3</v>
      </c>
      <c r="E174" s="5">
        <v>3.5419064272211725E-2</v>
      </c>
      <c r="F174" s="5">
        <v>405.14400439843604</v>
      </c>
    </row>
    <row r="175" spans="1:6" x14ac:dyDescent="0.25">
      <c r="A175" s="5" t="s">
        <v>795</v>
      </c>
      <c r="B175" s="6" t="s">
        <v>529</v>
      </c>
      <c r="C175" s="6" t="s">
        <v>356</v>
      </c>
      <c r="D175" s="5">
        <v>3.7723156899810966E-3</v>
      </c>
      <c r="E175" s="5">
        <v>3.5419064272211725E-2</v>
      </c>
      <c r="F175" s="5">
        <v>405.14400439843604</v>
      </c>
    </row>
    <row r="176" spans="1:6" x14ac:dyDescent="0.25">
      <c r="A176" s="5" t="s">
        <v>796</v>
      </c>
      <c r="B176" s="6" t="s">
        <v>530</v>
      </c>
      <c r="C176" s="6" t="s">
        <v>560</v>
      </c>
      <c r="D176" s="5">
        <v>3.399550094517958E-3</v>
      </c>
      <c r="E176" s="5">
        <v>2.5264956521739129E-2</v>
      </c>
      <c r="F176" s="5">
        <v>398.37168574084177</v>
      </c>
    </row>
    <row r="177" spans="1:6" x14ac:dyDescent="0.25">
      <c r="A177" s="5" t="s">
        <v>797</v>
      </c>
      <c r="B177" s="6" t="s">
        <v>530</v>
      </c>
      <c r="C177" s="6" t="s">
        <v>376</v>
      </c>
      <c r="D177" s="5">
        <v>5.9694801512287328E-3</v>
      </c>
      <c r="E177" s="5">
        <v>4.5744079395085062E-2</v>
      </c>
      <c r="F177" s="5">
        <v>440.59908442937098</v>
      </c>
    </row>
    <row r="178" spans="1:6" x14ac:dyDescent="0.25">
      <c r="A178" s="5" t="s">
        <v>798</v>
      </c>
      <c r="B178" s="6" t="s">
        <v>394</v>
      </c>
      <c r="C178" s="6" t="s">
        <v>523</v>
      </c>
      <c r="D178" s="5">
        <v>1.2773875236294896E-3</v>
      </c>
      <c r="E178" s="5">
        <v>1.3833459357277882E-2</v>
      </c>
      <c r="F178" s="5">
        <v>382.43681831120813</v>
      </c>
    </row>
    <row r="179" spans="1:6" x14ac:dyDescent="0.25">
      <c r="A179" s="5" t="s">
        <v>799</v>
      </c>
      <c r="B179" s="6" t="s">
        <v>394</v>
      </c>
      <c r="C179" s="6" t="s">
        <v>523</v>
      </c>
      <c r="D179" s="5">
        <v>1.2773875236294896E-3</v>
      </c>
      <c r="E179" s="5">
        <v>1.3833459357277882E-2</v>
      </c>
      <c r="F179" s="5">
        <v>382.43681831120813</v>
      </c>
    </row>
    <row r="180" spans="1:6" x14ac:dyDescent="0.25">
      <c r="A180" s="5" t="s">
        <v>800</v>
      </c>
      <c r="B180" s="6" t="s">
        <v>381</v>
      </c>
      <c r="C180" s="6" t="s">
        <v>531</v>
      </c>
      <c r="D180" s="5">
        <v>1.0986272211720226E-2</v>
      </c>
      <c r="E180" s="5">
        <v>9.416241209829869E-2</v>
      </c>
      <c r="F180" s="5">
        <v>391.20099539750663</v>
      </c>
    </row>
    <row r="181" spans="1:6" x14ac:dyDescent="0.25">
      <c r="A181" s="5" t="s">
        <v>801</v>
      </c>
      <c r="B181" s="6" t="s">
        <v>358</v>
      </c>
      <c r="C181" s="6" t="s">
        <v>480</v>
      </c>
      <c r="D181" s="5">
        <v>1.1009279999999999E-3</v>
      </c>
      <c r="E181" s="5">
        <v>1.4524128000000002E-2</v>
      </c>
      <c r="F181" s="5">
        <v>2078.4609690826528</v>
      </c>
    </row>
    <row r="182" spans="1:6" x14ac:dyDescent="0.25">
      <c r="A182" s="5" t="s">
        <v>802</v>
      </c>
      <c r="B182" s="6" t="s">
        <v>358</v>
      </c>
      <c r="C182" s="6" t="s">
        <v>356</v>
      </c>
      <c r="D182" s="5">
        <v>2.2629120000000002E-3</v>
      </c>
      <c r="E182" s="5">
        <v>2.9889296000000003E-2</v>
      </c>
      <c r="F182" s="5">
        <v>2078.4609690826528</v>
      </c>
    </row>
    <row r="183" spans="1:6" x14ac:dyDescent="0.25">
      <c r="A183" s="5" t="s">
        <v>803</v>
      </c>
      <c r="B183" s="6" t="s">
        <v>531</v>
      </c>
      <c r="C183" s="6" t="s">
        <v>504</v>
      </c>
      <c r="D183" s="5">
        <v>1.6724194706994329E-2</v>
      </c>
      <c r="E183" s="5">
        <v>0.14679099810964083</v>
      </c>
      <c r="F183" s="5">
        <v>390.00588034028408</v>
      </c>
    </row>
    <row r="184" spans="1:6" x14ac:dyDescent="0.25">
      <c r="A184" s="5" t="s">
        <v>804</v>
      </c>
      <c r="B184" s="6" t="s">
        <v>531</v>
      </c>
      <c r="C184" s="6" t="s">
        <v>515</v>
      </c>
      <c r="D184" s="5">
        <v>7.842593572778828E-3</v>
      </c>
      <c r="E184" s="5">
        <v>6.1644593572778822E-2</v>
      </c>
      <c r="F184" s="5">
        <v>323.07943713582267</v>
      </c>
    </row>
    <row r="185" spans="1:6" x14ac:dyDescent="0.25">
      <c r="A185" s="5" t="s">
        <v>805</v>
      </c>
      <c r="B185" s="6" t="s">
        <v>531</v>
      </c>
      <c r="C185" s="6" t="s">
        <v>356</v>
      </c>
      <c r="D185" s="5">
        <v>1.5140772E-3</v>
      </c>
      <c r="E185" s="5">
        <v>1.7962708000000001E-2</v>
      </c>
      <c r="F185" s="5">
        <v>1649.7783942093556</v>
      </c>
    </row>
    <row r="186" spans="1:6" x14ac:dyDescent="0.25">
      <c r="A186" s="5" t="s">
        <v>806</v>
      </c>
      <c r="B186" s="6" t="s">
        <v>629</v>
      </c>
      <c r="C186" s="6" t="s">
        <v>370</v>
      </c>
      <c r="D186" s="5">
        <v>2.643147448015123E-3</v>
      </c>
      <c r="E186" s="5">
        <v>2.3471928166351609E-2</v>
      </c>
      <c r="F186" s="5">
        <v>393.59122551195168</v>
      </c>
    </row>
    <row r="187" spans="1:6" x14ac:dyDescent="0.25">
      <c r="A187" s="5" t="s">
        <v>807</v>
      </c>
      <c r="B187" s="6" t="s">
        <v>629</v>
      </c>
      <c r="C187" s="6" t="s">
        <v>370</v>
      </c>
      <c r="D187" s="5">
        <v>2.643147448015123E-3</v>
      </c>
      <c r="E187" s="5">
        <v>2.3471928166351609E-2</v>
      </c>
      <c r="F187" s="5">
        <v>393.59122551195168</v>
      </c>
    </row>
    <row r="188" spans="1:6" x14ac:dyDescent="0.25">
      <c r="A188" s="5" t="s">
        <v>808</v>
      </c>
      <c r="B188" s="6" t="s">
        <v>629</v>
      </c>
      <c r="C188" s="6" t="s">
        <v>515</v>
      </c>
      <c r="D188" s="5">
        <v>1.0331886578449904E-2</v>
      </c>
      <c r="E188" s="5">
        <v>9.1600531190926288E-2</v>
      </c>
      <c r="F188" s="5">
        <v>391.99773876898831</v>
      </c>
    </row>
    <row r="189" spans="1:6" x14ac:dyDescent="0.25">
      <c r="A189" s="5" t="s">
        <v>809</v>
      </c>
      <c r="B189" s="6" t="s">
        <v>629</v>
      </c>
      <c r="C189" s="6" t="s">
        <v>515</v>
      </c>
      <c r="D189" s="5">
        <v>1.0331886578449904E-2</v>
      </c>
      <c r="E189" s="5">
        <v>9.1600531190926288E-2</v>
      </c>
      <c r="F189" s="5">
        <v>391.99773876898831</v>
      </c>
    </row>
    <row r="190" spans="1:6" x14ac:dyDescent="0.25">
      <c r="A190" s="5" t="s">
        <v>810</v>
      </c>
      <c r="B190" s="6" t="s">
        <v>534</v>
      </c>
      <c r="C190" s="6" t="s">
        <v>521</v>
      </c>
      <c r="D190" s="5">
        <v>5.7935909090909088E-3</v>
      </c>
      <c r="E190" s="5">
        <v>4.3438499999999998E-2</v>
      </c>
      <c r="F190" s="5">
        <v>370.00069351286356</v>
      </c>
    </row>
    <row r="191" spans="1:6" x14ac:dyDescent="0.25">
      <c r="A191" s="5" t="s">
        <v>811</v>
      </c>
      <c r="B191" s="6" t="s">
        <v>534</v>
      </c>
      <c r="C191" s="6" t="s">
        <v>521</v>
      </c>
      <c r="D191" s="5">
        <v>7.6526942148760326E-3</v>
      </c>
      <c r="E191" s="5">
        <v>4.6159404958677687E-2</v>
      </c>
      <c r="F191" s="5">
        <v>320.08298923872849</v>
      </c>
    </row>
    <row r="192" spans="1:6" x14ac:dyDescent="0.25">
      <c r="A192" s="5" t="s">
        <v>812</v>
      </c>
      <c r="B192" s="6" t="s">
        <v>534</v>
      </c>
      <c r="C192" s="6" t="s">
        <v>521</v>
      </c>
      <c r="D192" s="5">
        <v>5.7935909090909088E-3</v>
      </c>
      <c r="E192" s="5">
        <v>4.3438499999999998E-2</v>
      </c>
      <c r="F192" s="5">
        <v>370.00069351286356</v>
      </c>
    </row>
    <row r="193" spans="1:6" x14ac:dyDescent="0.25">
      <c r="A193" s="5" t="s">
        <v>813</v>
      </c>
      <c r="B193" s="6" t="s">
        <v>534</v>
      </c>
      <c r="C193" s="6" t="s">
        <v>551</v>
      </c>
      <c r="D193" s="5">
        <v>1.2896838842975208E-2</v>
      </c>
      <c r="E193" s="5">
        <v>7.1633057851239676E-2</v>
      </c>
      <c r="F193" s="5">
        <v>240.06224192904637</v>
      </c>
    </row>
    <row r="194" spans="1:6" x14ac:dyDescent="0.25">
      <c r="A194" s="5" t="s">
        <v>814</v>
      </c>
      <c r="B194" s="6" t="s">
        <v>534</v>
      </c>
      <c r="C194" s="6" t="s">
        <v>492</v>
      </c>
      <c r="D194" s="5">
        <v>3.636051652892562E-3</v>
      </c>
      <c r="E194" s="5">
        <v>2.2892731404958681E-2</v>
      </c>
      <c r="F194" s="5">
        <v>381.05117766515298</v>
      </c>
    </row>
    <row r="195" spans="1:6" x14ac:dyDescent="0.25">
      <c r="A195" s="5" t="s">
        <v>815</v>
      </c>
      <c r="B195" s="6" t="s">
        <v>534</v>
      </c>
      <c r="C195" s="6" t="s">
        <v>547</v>
      </c>
      <c r="D195" s="5">
        <v>7.1204008264462819E-3</v>
      </c>
      <c r="E195" s="5">
        <v>3.9372561983471076E-2</v>
      </c>
      <c r="F195" s="5">
        <v>240.06224192904637</v>
      </c>
    </row>
    <row r="196" spans="1:6" x14ac:dyDescent="0.25">
      <c r="A196" s="5" t="s">
        <v>816</v>
      </c>
      <c r="B196" s="6" t="s">
        <v>534</v>
      </c>
      <c r="C196" s="6" t="s">
        <v>547</v>
      </c>
      <c r="D196" s="5">
        <v>6.4988636363636351E-3</v>
      </c>
      <c r="E196" s="5">
        <v>3.923181818181818E-2</v>
      </c>
      <c r="F196" s="5">
        <v>320.08298923872849</v>
      </c>
    </row>
    <row r="197" spans="1:6" x14ac:dyDescent="0.25">
      <c r="A197" s="5" t="s">
        <v>817</v>
      </c>
      <c r="B197" s="6" t="s">
        <v>534</v>
      </c>
      <c r="C197" s="6" t="s">
        <v>547</v>
      </c>
      <c r="D197" s="5">
        <v>7.1204008264462819E-3</v>
      </c>
      <c r="E197" s="5">
        <v>3.9372561983471076E-2</v>
      </c>
      <c r="F197" s="5">
        <v>240.06224192904637</v>
      </c>
    </row>
    <row r="198" spans="1:6" x14ac:dyDescent="0.25">
      <c r="A198" s="5" t="s">
        <v>818</v>
      </c>
      <c r="B198" s="6" t="s">
        <v>536</v>
      </c>
      <c r="C198" s="6" t="s">
        <v>553</v>
      </c>
      <c r="D198" s="5">
        <v>5.761546313799621E-3</v>
      </c>
      <c r="E198" s="5">
        <v>4.4487247637051038E-2</v>
      </c>
      <c r="F198" s="5">
        <v>345.7866232230507</v>
      </c>
    </row>
    <row r="199" spans="1:6" x14ac:dyDescent="0.25">
      <c r="A199" s="5" t="s">
        <v>819</v>
      </c>
      <c r="B199" s="6" t="s">
        <v>538</v>
      </c>
      <c r="C199" s="6" t="s">
        <v>561</v>
      </c>
      <c r="D199" s="5">
        <v>8.957102079395084E-3</v>
      </c>
      <c r="E199" s="5">
        <v>8.9571020793950851E-2</v>
      </c>
      <c r="F199" s="5">
        <v>399.56680079806426</v>
      </c>
    </row>
    <row r="200" spans="1:6" x14ac:dyDescent="0.25">
      <c r="A200" s="5" t="s">
        <v>820</v>
      </c>
      <c r="B200" s="6" t="s">
        <v>538</v>
      </c>
      <c r="C200" s="6" t="s">
        <v>527</v>
      </c>
      <c r="D200" s="5">
        <v>1.2599820415879016E-2</v>
      </c>
      <c r="E200" s="5">
        <v>0.10619530056710776</v>
      </c>
      <c r="F200" s="5">
        <v>318.69734859267345</v>
      </c>
    </row>
    <row r="201" spans="1:6" x14ac:dyDescent="0.25">
      <c r="A201" s="5" t="s">
        <v>821</v>
      </c>
      <c r="B201" s="6" t="s">
        <v>348</v>
      </c>
      <c r="C201" s="6" t="s">
        <v>358</v>
      </c>
      <c r="D201" s="5">
        <v>1.1158056000000001E-3</v>
      </c>
      <c r="E201" s="5">
        <v>1.4032746E-2</v>
      </c>
      <c r="F201" s="5">
        <v>1649.7783942093556</v>
      </c>
    </row>
    <row r="202" spans="1:6" x14ac:dyDescent="0.25">
      <c r="A202" s="5" t="s">
        <v>822</v>
      </c>
      <c r="B202" s="6" t="s">
        <v>348</v>
      </c>
      <c r="C202" s="6" t="s">
        <v>612</v>
      </c>
      <c r="D202" s="5">
        <v>1.7565192000000001E-3</v>
      </c>
      <c r="E202" s="5">
        <v>2.6772067999999996E-2</v>
      </c>
      <c r="F202" s="33">
        <v>500</v>
      </c>
    </row>
    <row r="203" spans="1:6" x14ac:dyDescent="0.25">
      <c r="A203" s="5" t="s">
        <v>823</v>
      </c>
      <c r="B203" s="6" t="s">
        <v>348</v>
      </c>
      <c r="C203" s="6" t="s">
        <v>629</v>
      </c>
      <c r="D203" s="5">
        <v>9.8818676748582239E-3</v>
      </c>
      <c r="E203" s="5">
        <v>7.9625049149338378E-2</v>
      </c>
      <c r="F203" s="5">
        <v>385.62379179713486</v>
      </c>
    </row>
    <row r="204" spans="1:6" x14ac:dyDescent="0.25">
      <c r="A204" s="5" t="s">
        <v>824</v>
      </c>
      <c r="B204" s="6" t="s">
        <v>348</v>
      </c>
      <c r="C204" s="6" t="s">
        <v>629</v>
      </c>
      <c r="D204" s="5">
        <v>9.8818676748582239E-3</v>
      </c>
      <c r="E204" s="5">
        <v>8.2838383742911151E-2</v>
      </c>
      <c r="F204" s="5">
        <v>385.62379179713486</v>
      </c>
    </row>
    <row r="205" spans="1:6" x14ac:dyDescent="0.25">
      <c r="A205" s="5" t="s">
        <v>825</v>
      </c>
      <c r="B205" s="6" t="s">
        <v>348</v>
      </c>
      <c r="C205" s="6" t="s">
        <v>515</v>
      </c>
      <c r="D205" s="5">
        <v>4.4613913043478268E-3</v>
      </c>
      <c r="E205" s="5">
        <v>2.9272888468809072E-2</v>
      </c>
      <c r="F205" s="5">
        <v>323.47780882156349</v>
      </c>
    </row>
    <row r="206" spans="1:6" x14ac:dyDescent="0.25">
      <c r="A206" s="5" t="s">
        <v>826</v>
      </c>
      <c r="B206" s="6" t="s">
        <v>348</v>
      </c>
      <c r="C206" s="6" t="s">
        <v>531</v>
      </c>
      <c r="D206" s="5">
        <v>8.4623360000000004E-4</v>
      </c>
      <c r="E206" s="5">
        <v>1.07365888E-2</v>
      </c>
      <c r="F206" s="5">
        <v>2165.0635094610966</v>
      </c>
    </row>
    <row r="207" spans="1:6" x14ac:dyDescent="0.25">
      <c r="A207" s="5" t="s">
        <v>827</v>
      </c>
      <c r="B207" s="6" t="s">
        <v>539</v>
      </c>
      <c r="C207" s="6" t="s">
        <v>370</v>
      </c>
      <c r="D207" s="5">
        <v>6.0395311909262747E-3</v>
      </c>
      <c r="E207" s="5">
        <v>5.3534226843100191E-2</v>
      </c>
      <c r="F207" s="5">
        <v>396.77819899787841</v>
      </c>
    </row>
    <row r="208" spans="1:6" x14ac:dyDescent="0.25">
      <c r="A208" s="5" t="s">
        <v>828</v>
      </c>
      <c r="B208" s="6" t="s">
        <v>539</v>
      </c>
      <c r="C208" s="6" t="s">
        <v>370</v>
      </c>
      <c r="D208" s="5">
        <v>6.0395311909262747E-3</v>
      </c>
      <c r="E208" s="5">
        <v>5.3534226843100191E-2</v>
      </c>
      <c r="F208" s="5">
        <v>396.77819899787841</v>
      </c>
    </row>
    <row r="209" spans="1:6" x14ac:dyDescent="0.25">
      <c r="A209" s="5" t="s">
        <v>829</v>
      </c>
      <c r="B209" s="6" t="s">
        <v>540</v>
      </c>
      <c r="C209" s="6" t="s">
        <v>612</v>
      </c>
      <c r="D209" s="5">
        <v>1.4323392E-3</v>
      </c>
      <c r="E209" s="5">
        <v>2.1054060000000003E-2</v>
      </c>
      <c r="F209" s="5">
        <v>1732.0508075688772</v>
      </c>
    </row>
    <row r="210" spans="1:6" x14ac:dyDescent="0.25">
      <c r="A210" s="5" t="s">
        <v>830</v>
      </c>
      <c r="B210" s="6" t="s">
        <v>540</v>
      </c>
      <c r="C210" s="6" t="s">
        <v>560</v>
      </c>
      <c r="D210" s="5">
        <v>6.6215500945179578E-4</v>
      </c>
      <c r="E210" s="5">
        <v>5.7486011342155006E-3</v>
      </c>
      <c r="F210" s="5">
        <v>392.79448214047</v>
      </c>
    </row>
    <row r="211" spans="1:6" x14ac:dyDescent="0.25">
      <c r="A211" s="5" t="s">
        <v>831</v>
      </c>
      <c r="B211" s="6" t="s">
        <v>541</v>
      </c>
      <c r="C211" s="6" t="s">
        <v>557</v>
      </c>
      <c r="D211" s="5">
        <v>1.2556219281663517E-3</v>
      </c>
      <c r="E211" s="5">
        <v>1.3582775047258982E-2</v>
      </c>
      <c r="F211" s="5">
        <v>382.43681831120813</v>
      </c>
    </row>
    <row r="212" spans="1:6" x14ac:dyDescent="0.25">
      <c r="A212" s="5" t="s">
        <v>832</v>
      </c>
      <c r="B212" s="6" t="s">
        <v>541</v>
      </c>
      <c r="C212" s="6" t="s">
        <v>523</v>
      </c>
      <c r="D212" s="5">
        <v>2.4462003780718333E-3</v>
      </c>
      <c r="E212" s="5">
        <v>2.6452321361058601E-2</v>
      </c>
      <c r="F212" s="5">
        <v>382.43681831120813</v>
      </c>
    </row>
    <row r="213" spans="1:6" x14ac:dyDescent="0.25">
      <c r="A213" s="5" t="s">
        <v>833</v>
      </c>
      <c r="B213" s="6" t="s">
        <v>542</v>
      </c>
      <c r="C213" s="6" t="s">
        <v>546</v>
      </c>
      <c r="D213" s="5">
        <v>2.3605860113421551E-3</v>
      </c>
      <c r="E213" s="5">
        <v>1.7530718336483932E-2</v>
      </c>
      <c r="F213" s="5">
        <v>342.59964973712391</v>
      </c>
    </row>
    <row r="214" spans="1:6" x14ac:dyDescent="0.25">
      <c r="A214" s="5" t="s">
        <v>834</v>
      </c>
      <c r="B214" s="6" t="s">
        <v>543</v>
      </c>
      <c r="C214" s="6" t="s">
        <v>533</v>
      </c>
      <c r="D214" s="5">
        <v>3.4078636363636364E-3</v>
      </c>
      <c r="E214" s="5">
        <v>2.2551086776859505E-2</v>
      </c>
      <c r="F214" s="5">
        <v>249.96957254834035</v>
      </c>
    </row>
    <row r="215" spans="1:6" x14ac:dyDescent="0.25">
      <c r="A215" s="5" t="s">
        <v>835</v>
      </c>
      <c r="B215" s="6" t="s">
        <v>543</v>
      </c>
      <c r="C215" s="6" t="s">
        <v>533</v>
      </c>
      <c r="D215" s="5">
        <v>3.409386363636364E-3</v>
      </c>
      <c r="E215" s="5">
        <v>2.2561163223140498E-2</v>
      </c>
      <c r="F215" s="5">
        <v>249.96957254834035</v>
      </c>
    </row>
    <row r="216" spans="1:6" x14ac:dyDescent="0.25">
      <c r="A216" s="5" t="s">
        <v>836</v>
      </c>
      <c r="B216" s="6" t="s">
        <v>543</v>
      </c>
      <c r="C216" s="6" t="s">
        <v>549</v>
      </c>
      <c r="D216" s="5">
        <v>2.1185371900826447E-3</v>
      </c>
      <c r="E216" s="5">
        <v>1.1784512396694214E-2</v>
      </c>
      <c r="F216" s="5">
        <v>249.96957254834035</v>
      </c>
    </row>
    <row r="217" spans="1:6" x14ac:dyDescent="0.25">
      <c r="A217" s="5" t="s">
        <v>837</v>
      </c>
      <c r="B217" s="6" t="s">
        <v>544</v>
      </c>
      <c r="C217" s="6" t="s">
        <v>537</v>
      </c>
      <c r="D217" s="5">
        <v>3.0657844990548207E-3</v>
      </c>
      <c r="E217" s="5">
        <v>2.1148128544423439E-2</v>
      </c>
      <c r="F217" s="5">
        <v>398.37168574084177</v>
      </c>
    </row>
    <row r="218" spans="1:6" x14ac:dyDescent="0.25">
      <c r="A218" s="5" t="s">
        <v>838</v>
      </c>
      <c r="B218" s="6" t="s">
        <v>544</v>
      </c>
      <c r="C218" s="6" t="s">
        <v>537</v>
      </c>
      <c r="D218" s="5">
        <v>3.0657844990548207E-3</v>
      </c>
      <c r="E218" s="5">
        <v>2.1148128544423439E-2</v>
      </c>
      <c r="F218" s="5">
        <v>398.37168574084177</v>
      </c>
    </row>
    <row r="219" spans="1:6" x14ac:dyDescent="0.25">
      <c r="A219" s="5" t="s">
        <v>839</v>
      </c>
      <c r="B219" s="6" t="s">
        <v>544</v>
      </c>
      <c r="C219" s="6" t="s">
        <v>504</v>
      </c>
      <c r="D219" s="5">
        <v>1.8386540642722118E-2</v>
      </c>
      <c r="E219" s="5">
        <v>0.13797969754253309</v>
      </c>
      <c r="F219" s="5">
        <v>330.64849916489862</v>
      </c>
    </row>
    <row r="220" spans="1:6" x14ac:dyDescent="0.25">
      <c r="A220" s="5" t="s">
        <v>840</v>
      </c>
      <c r="B220" s="6" t="s">
        <v>544</v>
      </c>
      <c r="C220" s="6" t="s">
        <v>504</v>
      </c>
      <c r="D220" s="5">
        <v>1.4704207939508506E-2</v>
      </c>
      <c r="E220" s="5">
        <v>0.13908830623818524</v>
      </c>
      <c r="F220" s="5">
        <v>398.77005742658264</v>
      </c>
    </row>
    <row r="221" spans="1:6" x14ac:dyDescent="0.25">
      <c r="A221" s="5" t="s">
        <v>841</v>
      </c>
      <c r="B221" s="6" t="s">
        <v>356</v>
      </c>
      <c r="C221" s="6" t="s">
        <v>486</v>
      </c>
      <c r="D221" s="5">
        <v>8.204117580340264E-3</v>
      </c>
      <c r="E221" s="5">
        <v>5.0300151606805295E-2</v>
      </c>
      <c r="F221" s="5">
        <v>358.53451716675761</v>
      </c>
    </row>
    <row r="222" spans="1:6" x14ac:dyDescent="0.25">
      <c r="A222" s="5" t="s">
        <v>842</v>
      </c>
      <c r="B222" s="6" t="s">
        <v>546</v>
      </c>
      <c r="C222" s="6" t="s">
        <v>504</v>
      </c>
      <c r="D222" s="5">
        <v>1.3052519848771267E-2</v>
      </c>
      <c r="E222" s="5">
        <v>0.11699014555765595</v>
      </c>
      <c r="F222" s="5">
        <v>393.19285382621081</v>
      </c>
    </row>
    <row r="223" spans="1:6" x14ac:dyDescent="0.25">
      <c r="A223" s="5" t="s">
        <v>843</v>
      </c>
      <c r="B223" s="6" t="s">
        <v>547</v>
      </c>
      <c r="C223" s="6" t="s">
        <v>492</v>
      </c>
      <c r="D223" s="5">
        <v>1.6676528925619837E-3</v>
      </c>
      <c r="E223" s="5">
        <v>1.0127429752066116E-2</v>
      </c>
      <c r="F223" s="5">
        <v>319.70193806106334</v>
      </c>
    </row>
    <row r="224" spans="1:6" x14ac:dyDescent="0.25">
      <c r="A224" s="5" t="s">
        <v>844</v>
      </c>
      <c r="B224" s="6" t="s">
        <v>549</v>
      </c>
      <c r="C224" s="6" t="s">
        <v>533</v>
      </c>
      <c r="D224" s="5">
        <v>3.9485520661157025E-3</v>
      </c>
      <c r="E224" s="5">
        <v>2.5139570247933885E-2</v>
      </c>
      <c r="F224" s="5">
        <v>381.05117766515298</v>
      </c>
    </row>
    <row r="225" spans="1:6" x14ac:dyDescent="0.25">
      <c r="A225" s="5" t="s">
        <v>845</v>
      </c>
      <c r="B225" s="6" t="s">
        <v>550</v>
      </c>
      <c r="C225" s="6" t="s">
        <v>492</v>
      </c>
      <c r="D225" s="5">
        <v>3.8570247933884293E-3</v>
      </c>
      <c r="E225" s="5">
        <v>2.5040991735537189E-2</v>
      </c>
      <c r="F225" s="5">
        <v>381.05117766515298</v>
      </c>
    </row>
    <row r="226" spans="1:6" x14ac:dyDescent="0.25">
      <c r="A226" s="5" t="s">
        <v>846</v>
      </c>
      <c r="B226" s="6" t="s">
        <v>551</v>
      </c>
      <c r="C226" s="6" t="s">
        <v>548</v>
      </c>
      <c r="D226" s="5">
        <v>5.7758677685950418E-4</v>
      </c>
      <c r="E226" s="5">
        <v>3.1941322314049587E-3</v>
      </c>
      <c r="F226" s="5">
        <v>299.88727682247537</v>
      </c>
    </row>
    <row r="227" spans="1:6" x14ac:dyDescent="0.25">
      <c r="A227" s="5" t="s">
        <v>847</v>
      </c>
      <c r="B227" s="6" t="s">
        <v>551</v>
      </c>
      <c r="C227" s="6" t="s">
        <v>548</v>
      </c>
      <c r="D227" s="5">
        <v>5.7758677685950418E-4</v>
      </c>
      <c r="E227" s="5">
        <v>3.1941322314049587E-3</v>
      </c>
      <c r="F227" s="5">
        <v>299.88727682247537</v>
      </c>
    </row>
    <row r="228" spans="1:6" x14ac:dyDescent="0.25">
      <c r="A228" s="5" t="s">
        <v>848</v>
      </c>
      <c r="B228" s="6" t="s">
        <v>551</v>
      </c>
      <c r="C228" s="6" t="s">
        <v>499</v>
      </c>
      <c r="D228" s="5">
        <v>3.1953264462809918E-3</v>
      </c>
      <c r="E228" s="5">
        <v>2.3991487603305786E-2</v>
      </c>
      <c r="F228" s="5">
        <v>240.06224192904637</v>
      </c>
    </row>
    <row r="229" spans="1:6" x14ac:dyDescent="0.25">
      <c r="A229" s="5" t="s">
        <v>849</v>
      </c>
      <c r="B229" s="6" t="s">
        <v>557</v>
      </c>
      <c r="C229" s="6" t="s">
        <v>514</v>
      </c>
      <c r="D229" s="5">
        <v>4.8313705103969753E-3</v>
      </c>
      <c r="E229" s="5">
        <v>5.5539508506616257E-2</v>
      </c>
      <c r="F229" s="5">
        <v>382.43681831120813</v>
      </c>
    </row>
    <row r="230" spans="1:6" x14ac:dyDescent="0.25">
      <c r="A230" s="5" t="s">
        <v>850</v>
      </c>
      <c r="B230" s="6" t="s">
        <v>557</v>
      </c>
      <c r="C230" s="6" t="s">
        <v>514</v>
      </c>
      <c r="D230" s="5">
        <v>4.8384612476370511E-3</v>
      </c>
      <c r="E230" s="5">
        <v>5.5621020793950857E-2</v>
      </c>
      <c r="F230" s="5">
        <v>382.43681831120813</v>
      </c>
    </row>
    <row r="231" spans="1:6" x14ac:dyDescent="0.25">
      <c r="A231" s="5" t="s">
        <v>851</v>
      </c>
      <c r="B231" s="6" t="s">
        <v>558</v>
      </c>
      <c r="C231" s="6" t="s">
        <v>374</v>
      </c>
      <c r="D231" s="5">
        <v>5.9333988657844991E-3</v>
      </c>
      <c r="E231" s="5">
        <v>5.0008695652173904E-2</v>
      </c>
      <c r="F231" s="5">
        <v>318.69734859267345</v>
      </c>
    </row>
    <row r="232" spans="1:6" x14ac:dyDescent="0.25">
      <c r="A232" s="5" t="s">
        <v>852</v>
      </c>
      <c r="B232" s="6" t="s">
        <v>558</v>
      </c>
      <c r="C232" s="6" t="s">
        <v>649</v>
      </c>
      <c r="D232" s="5">
        <v>1.3931190926275993E-2</v>
      </c>
      <c r="E232" s="5">
        <v>9.1299054820415879E-2</v>
      </c>
      <c r="F232" s="5">
        <v>398.37168574084177</v>
      </c>
    </row>
    <row r="233" spans="1:6" x14ac:dyDescent="0.25">
      <c r="A233" s="5" t="s">
        <v>853</v>
      </c>
      <c r="B233" s="6" t="s">
        <v>374</v>
      </c>
      <c r="C233" s="6" t="s">
        <v>582</v>
      </c>
      <c r="D233" s="5">
        <v>9.8205179584120988E-3</v>
      </c>
      <c r="E233" s="5">
        <v>8.2770652173913037E-2</v>
      </c>
      <c r="F233" s="5">
        <v>318.69734859267345</v>
      </c>
    </row>
    <row r="234" spans="1:6" x14ac:dyDescent="0.25">
      <c r="A234" s="5" t="s">
        <v>854</v>
      </c>
      <c r="B234" s="6" t="s">
        <v>374</v>
      </c>
      <c r="C234" s="6" t="s">
        <v>582</v>
      </c>
      <c r="D234" s="5">
        <v>9.8240000000000011E-3</v>
      </c>
      <c r="E234" s="5">
        <v>8.2799999999999985E-2</v>
      </c>
      <c r="F234" s="5">
        <v>318.69734859267345</v>
      </c>
    </row>
    <row r="235" spans="1:6" x14ac:dyDescent="0.25">
      <c r="A235" s="5" t="s">
        <v>855</v>
      </c>
      <c r="B235" s="6" t="s">
        <v>560</v>
      </c>
      <c r="C235" s="6" t="s">
        <v>561</v>
      </c>
      <c r="D235" s="5">
        <v>2.1752202268431001E-3</v>
      </c>
      <c r="E235" s="5">
        <v>2.1752202268431001E-2</v>
      </c>
      <c r="F235" s="5">
        <v>399.56680079806426</v>
      </c>
    </row>
    <row r="236" spans="1:6" x14ac:dyDescent="0.25">
      <c r="A236" s="5" t="s">
        <v>856</v>
      </c>
      <c r="B236" s="6" t="s">
        <v>561</v>
      </c>
      <c r="C236" s="6" t="s">
        <v>552</v>
      </c>
      <c r="D236" s="5">
        <v>1.9015270321361057E-2</v>
      </c>
      <c r="E236" s="5">
        <v>0.18810315311909262</v>
      </c>
      <c r="F236" s="5">
        <v>414.30655317047547</v>
      </c>
    </row>
    <row r="237" spans="1:6" x14ac:dyDescent="0.25">
      <c r="A237" s="5" t="s">
        <v>857</v>
      </c>
      <c r="B237" s="6" t="s">
        <v>561</v>
      </c>
      <c r="C237" s="6" t="s">
        <v>552</v>
      </c>
      <c r="D237" s="5">
        <v>1.9015270321361057E-2</v>
      </c>
      <c r="E237" s="5">
        <v>0.18810315311909262</v>
      </c>
      <c r="F237" s="5">
        <v>414.30655317047547</v>
      </c>
    </row>
    <row r="238" spans="1:6" x14ac:dyDescent="0.25">
      <c r="A238" s="5" t="s">
        <v>858</v>
      </c>
      <c r="B238" s="6" t="s">
        <v>507</v>
      </c>
      <c r="C238" s="6" t="s">
        <v>556</v>
      </c>
      <c r="D238" s="5">
        <v>1.2788279773156901E-2</v>
      </c>
      <c r="E238" s="5">
        <v>9.5718336483931937E-2</v>
      </c>
      <c r="F238" s="5">
        <v>356.54265873805338</v>
      </c>
    </row>
    <row r="239" spans="1:6" x14ac:dyDescent="0.25">
      <c r="A239" s="5" t="s">
        <v>859</v>
      </c>
      <c r="B239" s="6" t="s">
        <v>523</v>
      </c>
      <c r="C239" s="6" t="s">
        <v>612</v>
      </c>
      <c r="D239" s="5">
        <v>2.0812007999999999E-3</v>
      </c>
      <c r="E239" s="5">
        <v>3.0514775200000004E-2</v>
      </c>
      <c r="F239" s="5">
        <v>2078.4609690826528</v>
      </c>
    </row>
    <row r="240" spans="1:6" x14ac:dyDescent="0.25">
      <c r="A240" s="5" t="s">
        <v>860</v>
      </c>
      <c r="B240" s="6" t="s">
        <v>506</v>
      </c>
      <c r="C240" s="6" t="s">
        <v>612</v>
      </c>
      <c r="D240" s="5">
        <v>1.8563479999999999E-3</v>
      </c>
      <c r="E240" s="5">
        <v>2.3132952000000002E-2</v>
      </c>
      <c r="F240" s="5">
        <v>2078.4609690826528</v>
      </c>
    </row>
    <row r="241" spans="1:6" x14ac:dyDescent="0.25">
      <c r="A241" s="5" t="s">
        <v>861</v>
      </c>
      <c r="B241" s="6" t="s">
        <v>501</v>
      </c>
      <c r="C241" s="6" t="s">
        <v>550</v>
      </c>
      <c r="D241" s="5">
        <v>1.4851859504132234E-3</v>
      </c>
      <c r="E241" s="5">
        <v>2.2715599173553716E-3</v>
      </c>
      <c r="F241" s="5">
        <v>382.95643355347875</v>
      </c>
    </row>
    <row r="242" spans="1:6" x14ac:dyDescent="0.25">
      <c r="A242" s="5" t="s">
        <v>862</v>
      </c>
      <c r="B242" s="6" t="s">
        <v>501</v>
      </c>
      <c r="C242" s="6" t="s">
        <v>547</v>
      </c>
      <c r="D242" s="5">
        <v>1.3430454545454546E-3</v>
      </c>
      <c r="E242" s="5">
        <v>2.0526363636363637E-3</v>
      </c>
      <c r="F242" s="5">
        <v>382.95643355347875</v>
      </c>
    </row>
    <row r="243" spans="1:6" x14ac:dyDescent="0.25">
      <c r="A243" s="5" t="s">
        <v>863</v>
      </c>
      <c r="B243" s="6" t="s">
        <v>648</v>
      </c>
      <c r="C243" s="6" t="s">
        <v>559</v>
      </c>
      <c r="D243" s="5">
        <v>7.0748925619834712E-3</v>
      </c>
      <c r="E243" s="5">
        <v>5.3146933884297524E-2</v>
      </c>
      <c r="F243" s="5">
        <v>227.86860424376147</v>
      </c>
    </row>
    <row r="244" spans="1:6" x14ac:dyDescent="0.25">
      <c r="A244" s="5" t="s">
        <v>864</v>
      </c>
      <c r="B244" s="6" t="s">
        <v>489</v>
      </c>
      <c r="C244" s="6" t="s">
        <v>554</v>
      </c>
      <c r="D244" s="5">
        <v>1.4415661157024792E-2</v>
      </c>
      <c r="E244" s="5">
        <v>8.854997107438016E-2</v>
      </c>
      <c r="F244" s="5">
        <v>381.05117766515298</v>
      </c>
    </row>
    <row r="245" spans="1:6" x14ac:dyDescent="0.25">
      <c r="A245" s="5" t="s">
        <v>865</v>
      </c>
      <c r="B245" s="6" t="s">
        <v>489</v>
      </c>
      <c r="C245" s="6" t="s">
        <v>534</v>
      </c>
      <c r="D245" s="5">
        <v>6.3627536000000003E-4</v>
      </c>
      <c r="E245" s="5">
        <v>8.4739099199999997E-3</v>
      </c>
      <c r="F245" s="5">
        <v>2078.4609690826528</v>
      </c>
    </row>
    <row r="246" spans="1:6" x14ac:dyDescent="0.25">
      <c r="A246" s="5" t="s">
        <v>866</v>
      </c>
      <c r="B246" s="6" t="s">
        <v>478</v>
      </c>
      <c r="C246" s="6" t="s">
        <v>552</v>
      </c>
      <c r="D246" s="5">
        <v>4.7257277882797729E-3</v>
      </c>
      <c r="E246" s="5">
        <v>3.5109432892249527E-2</v>
      </c>
      <c r="F246" s="5">
        <v>414.30655317047547</v>
      </c>
    </row>
    <row r="247" spans="1:6" x14ac:dyDescent="0.25">
      <c r="A247" s="5" t="s">
        <v>867</v>
      </c>
      <c r="B247" s="6" t="s">
        <v>478</v>
      </c>
      <c r="C247" s="6" t="s">
        <v>532</v>
      </c>
      <c r="D247" s="5">
        <v>1.2867470699432894E-2</v>
      </c>
      <c r="E247" s="5">
        <v>9.8186177693761825E-2</v>
      </c>
      <c r="F247" s="5">
        <v>414.30655317047547</v>
      </c>
    </row>
    <row r="248" spans="1:6" x14ac:dyDescent="0.25">
      <c r="A248" s="5" t="s">
        <v>868</v>
      </c>
      <c r="B248" s="6" t="s">
        <v>478</v>
      </c>
      <c r="C248" s="6" t="s">
        <v>363</v>
      </c>
      <c r="D248" s="5">
        <v>7.4627637051039699E-3</v>
      </c>
      <c r="E248" s="5">
        <v>5.5986340264650283E-2</v>
      </c>
      <c r="F248" s="5">
        <v>414.30655317047547</v>
      </c>
    </row>
    <row r="249" spans="1:6" x14ac:dyDescent="0.25">
      <c r="A249" s="5" t="s">
        <v>869</v>
      </c>
      <c r="B249" s="6" t="s">
        <v>561</v>
      </c>
      <c r="C249" s="6" t="s">
        <v>509</v>
      </c>
      <c r="D249" s="5">
        <v>9.8923327032136117E-4</v>
      </c>
      <c r="E249" s="5">
        <v>7.9779504725897912E-3</v>
      </c>
      <c r="F249" s="5">
        <v>440.59908442937098</v>
      </c>
    </row>
    <row r="250" spans="1:6" x14ac:dyDescent="0.25">
      <c r="A250" s="5" t="s">
        <v>870</v>
      </c>
      <c r="B250" s="6" t="s">
        <v>561</v>
      </c>
      <c r="C250" s="6" t="s">
        <v>530</v>
      </c>
      <c r="D250" s="5">
        <v>1.7863672967863894E-3</v>
      </c>
      <c r="E250" s="5">
        <v>1.4549010396975426E-2</v>
      </c>
      <c r="F250" s="5">
        <v>440.59908442937098</v>
      </c>
    </row>
    <row r="251" spans="1:6" x14ac:dyDescent="0.25">
      <c r="A251" s="5" t="s">
        <v>871</v>
      </c>
      <c r="B251" s="6" t="s">
        <v>561</v>
      </c>
      <c r="C251" s="6" t="s">
        <v>540</v>
      </c>
      <c r="D251" s="5">
        <v>3.3380159999999999E-4</v>
      </c>
      <c r="E251" s="5">
        <v>4.6185480000000001E-3</v>
      </c>
      <c r="F251" s="5">
        <v>2078.4609690826528</v>
      </c>
    </row>
  </sheetData>
  <phoneticPr fontId="13" type="noConversion"/>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customHeight="1" x14ac:dyDescent="0.3">
      <c r="A1" s="1" t="s">
        <v>175</v>
      </c>
    </row>
    <row r="2" spans="1:7" x14ac:dyDescent="0.25">
      <c r="A2" s="2" t="s">
        <v>176</v>
      </c>
    </row>
    <row r="4" spans="1:7" x14ac:dyDescent="0.25">
      <c r="A4" s="3" t="s">
        <v>30</v>
      </c>
      <c r="B4" s="3" t="s">
        <v>143</v>
      </c>
      <c r="C4" s="3" t="s">
        <v>144</v>
      </c>
      <c r="D4" s="3" t="s">
        <v>145</v>
      </c>
      <c r="E4" s="3" t="s">
        <v>146</v>
      </c>
      <c r="F4" s="3" t="s">
        <v>91</v>
      </c>
      <c r="G4" s="3" t="s">
        <v>81</v>
      </c>
    </row>
    <row r="5" spans="1:7" x14ac:dyDescent="0.25">
      <c r="A5" s="4"/>
      <c r="B5" s="4" t="s">
        <v>147</v>
      </c>
      <c r="C5" s="4" t="s">
        <v>147</v>
      </c>
      <c r="D5" s="4" t="s">
        <v>148</v>
      </c>
      <c r="E5" s="4" t="s">
        <v>148</v>
      </c>
      <c r="F5" s="4" t="s">
        <v>3</v>
      </c>
      <c r="G5" s="4" t="s">
        <v>177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U81"/>
  <sheetViews>
    <sheetView zoomScaleNormal="100" workbookViewId="0">
      <selection activeCell="B6" sqref="B6:B81"/>
    </sheetView>
  </sheetViews>
  <sheetFormatPr defaultRowHeight="15" x14ac:dyDescent="0.25"/>
  <cols>
    <col min="1" max="1" width="18.7109375" customWidth="1"/>
    <col min="2" max="2" width="22.28515625" bestFit="1" customWidth="1"/>
    <col min="3" max="3" width="5.5703125" bestFit="1" customWidth="1"/>
    <col min="4" max="4" width="5.85546875" bestFit="1" customWidth="1"/>
    <col min="5" max="5" width="15.28515625" bestFit="1" customWidth="1"/>
    <col min="6" max="6" width="10.7109375" bestFit="1" customWidth="1"/>
    <col min="7" max="7" width="14.85546875" bestFit="1" customWidth="1"/>
    <col min="8" max="8" width="10.28515625" bestFit="1" customWidth="1"/>
    <col min="9" max="9" width="7" bestFit="1" customWidth="1"/>
    <col min="10" max="10" width="9.42578125" bestFit="1" customWidth="1"/>
    <col min="11" max="11" width="6.5703125" bestFit="1" customWidth="1"/>
    <col min="12" max="12" width="6.140625" bestFit="1" customWidth="1"/>
    <col min="13" max="13" width="7.7109375" bestFit="1" customWidth="1"/>
    <col min="14" max="14" width="8" bestFit="1" customWidth="1"/>
    <col min="15" max="15" width="13" customWidth="1"/>
    <col min="16" max="16" width="13.28515625" customWidth="1"/>
    <col min="17" max="17" width="12" bestFit="1" customWidth="1"/>
    <col min="18" max="18" width="7.5703125" bestFit="1" customWidth="1"/>
    <col min="19" max="19" width="13.28515625" customWidth="1"/>
    <col min="20" max="20" width="21.7109375" bestFit="1" customWidth="1"/>
    <col min="21" max="21" width="6.85546875" bestFit="1" customWidth="1"/>
    <col min="22" max="22" width="9.7109375" bestFit="1" customWidth="1"/>
  </cols>
  <sheetData>
    <row r="1" spans="1:21" ht="18.75" customHeight="1" x14ac:dyDescent="0.3">
      <c r="A1" s="1" t="s">
        <v>178</v>
      </c>
    </row>
    <row r="2" spans="1:21" x14ac:dyDescent="0.25">
      <c r="A2" s="2" t="s">
        <v>179</v>
      </c>
    </row>
    <row r="4" spans="1:21" ht="45" customHeight="1" x14ac:dyDescent="0.25">
      <c r="A4" s="3" t="s">
        <v>30</v>
      </c>
      <c r="B4" s="3" t="s">
        <v>147</v>
      </c>
      <c r="C4" s="3" t="s">
        <v>63</v>
      </c>
      <c r="D4" s="3" t="s">
        <v>65</v>
      </c>
      <c r="E4" s="18" t="s">
        <v>180</v>
      </c>
      <c r="F4" s="3" t="s">
        <v>36</v>
      </c>
      <c r="G4" s="18" t="s">
        <v>181</v>
      </c>
      <c r="H4" s="3" t="s">
        <v>39</v>
      </c>
      <c r="I4" s="3" t="s">
        <v>182</v>
      </c>
      <c r="J4" s="3" t="s">
        <v>183</v>
      </c>
      <c r="K4" s="3" t="s">
        <v>184</v>
      </c>
      <c r="L4" s="3" t="s">
        <v>44</v>
      </c>
      <c r="M4" s="3" t="s">
        <v>47</v>
      </c>
      <c r="N4" s="3" t="s">
        <v>49</v>
      </c>
      <c r="O4" s="18" t="s">
        <v>185</v>
      </c>
      <c r="P4" s="18" t="s">
        <v>186</v>
      </c>
      <c r="Q4" s="3" t="s">
        <v>51</v>
      </c>
      <c r="R4" s="3" t="s">
        <v>52</v>
      </c>
      <c r="S4" s="12" t="s">
        <v>56</v>
      </c>
      <c r="T4" s="12" t="s">
        <v>187</v>
      </c>
      <c r="U4" s="12" t="s">
        <v>188</v>
      </c>
    </row>
    <row r="5" spans="1:21" x14ac:dyDescent="0.25">
      <c r="A5" s="4"/>
      <c r="B5" s="4"/>
      <c r="C5" s="4" t="s">
        <v>3</v>
      </c>
      <c r="D5" s="4" t="s">
        <v>3</v>
      </c>
      <c r="E5" s="4" t="s">
        <v>191</v>
      </c>
      <c r="F5" s="4" t="s">
        <v>192</v>
      </c>
      <c r="G5" s="4" t="s">
        <v>191</v>
      </c>
      <c r="H5" s="4" t="s">
        <v>192</v>
      </c>
      <c r="I5" s="4" t="s">
        <v>193</v>
      </c>
      <c r="J5" s="4" t="s">
        <v>194</v>
      </c>
      <c r="K5" s="4" t="s">
        <v>195</v>
      </c>
      <c r="L5" s="4"/>
      <c r="M5" s="4" t="s">
        <v>196</v>
      </c>
      <c r="N5" s="4" t="s">
        <v>196</v>
      </c>
      <c r="O5" s="4" t="s">
        <v>3</v>
      </c>
      <c r="P5" s="4" t="s">
        <v>196</v>
      </c>
      <c r="Q5" s="4" t="s">
        <v>177</v>
      </c>
      <c r="R5" s="4" t="s">
        <v>177</v>
      </c>
      <c r="S5" s="4"/>
    </row>
    <row r="6" spans="1:21" x14ac:dyDescent="0.25">
      <c r="A6" s="6" t="s">
        <v>198</v>
      </c>
      <c r="B6" s="5" t="s">
        <v>531</v>
      </c>
      <c r="C6" s="5">
        <v>30</v>
      </c>
      <c r="D6" s="5">
        <v>97</v>
      </c>
      <c r="E6" s="5">
        <v>5</v>
      </c>
      <c r="F6" s="5">
        <v>300</v>
      </c>
      <c r="G6" s="5">
        <v>4.99</v>
      </c>
      <c r="H6" s="5">
        <v>299.39999999999998</v>
      </c>
      <c r="I6" s="10">
        <v>0</v>
      </c>
      <c r="J6" s="29">
        <v>279.62676521491937</v>
      </c>
      <c r="K6" s="10">
        <v>0</v>
      </c>
      <c r="L6" s="31">
        <v>0</v>
      </c>
      <c r="M6" s="5">
        <v>1</v>
      </c>
      <c r="N6" s="5">
        <v>0</v>
      </c>
      <c r="O6" s="5">
        <v>5</v>
      </c>
      <c r="P6" s="5">
        <v>0</v>
      </c>
      <c r="Q6" s="29">
        <v>0</v>
      </c>
      <c r="R6" s="10">
        <v>0</v>
      </c>
      <c r="S6" s="6" t="s">
        <v>199</v>
      </c>
      <c r="T6" s="6" t="s">
        <v>200</v>
      </c>
      <c r="U6" s="6" t="s">
        <v>201</v>
      </c>
    </row>
    <row r="7" spans="1:21" x14ac:dyDescent="0.25">
      <c r="A7" s="6" t="s">
        <v>202</v>
      </c>
      <c r="B7" s="5" t="s">
        <v>531</v>
      </c>
      <c r="C7" s="5">
        <v>40</v>
      </c>
      <c r="D7" s="5">
        <v>80</v>
      </c>
      <c r="E7" s="5">
        <v>5</v>
      </c>
      <c r="F7" s="5">
        <v>300</v>
      </c>
      <c r="G7" s="5">
        <v>5.07</v>
      </c>
      <c r="H7" s="5">
        <v>304.2</v>
      </c>
      <c r="I7" s="10">
        <v>0</v>
      </c>
      <c r="J7" s="29">
        <v>279.62676521491937</v>
      </c>
      <c r="K7" s="10">
        <v>0</v>
      </c>
      <c r="L7" s="31">
        <v>0</v>
      </c>
      <c r="M7" s="5">
        <v>6</v>
      </c>
      <c r="N7" s="5">
        <v>6</v>
      </c>
      <c r="O7" s="5">
        <v>5</v>
      </c>
      <c r="P7" s="5">
        <v>2</v>
      </c>
      <c r="Q7" s="29">
        <v>2796.267652149194</v>
      </c>
      <c r="R7" s="10">
        <v>0</v>
      </c>
      <c r="S7" s="6" t="s">
        <v>203</v>
      </c>
      <c r="T7" s="6" t="s">
        <v>200</v>
      </c>
      <c r="U7" s="6" t="s">
        <v>201</v>
      </c>
    </row>
    <row r="8" spans="1:21" x14ac:dyDescent="0.25">
      <c r="A8" s="6" t="s">
        <v>204</v>
      </c>
      <c r="B8" s="5" t="s">
        <v>531</v>
      </c>
      <c r="C8" s="5">
        <v>30</v>
      </c>
      <c r="D8" s="5">
        <v>77</v>
      </c>
      <c r="E8" s="5">
        <v>3.88</v>
      </c>
      <c r="F8" s="5">
        <v>232.8</v>
      </c>
      <c r="G8" s="5">
        <v>3.11</v>
      </c>
      <c r="H8" s="5">
        <v>186.6</v>
      </c>
      <c r="I8" s="10">
        <v>0</v>
      </c>
      <c r="J8" s="29">
        <v>279.62676521491937</v>
      </c>
      <c r="K8" s="10">
        <v>0</v>
      </c>
      <c r="L8" s="31">
        <v>0</v>
      </c>
      <c r="M8" s="5">
        <v>10</v>
      </c>
      <c r="N8" s="5">
        <v>8</v>
      </c>
      <c r="O8" s="5">
        <v>5</v>
      </c>
      <c r="P8" s="5">
        <v>4</v>
      </c>
      <c r="Q8" s="29">
        <v>5592.5353042983879</v>
      </c>
      <c r="R8" s="10">
        <v>0</v>
      </c>
      <c r="S8" s="6" t="s">
        <v>203</v>
      </c>
      <c r="T8" s="6" t="s">
        <v>200</v>
      </c>
      <c r="U8" s="6" t="s">
        <v>201</v>
      </c>
    </row>
    <row r="9" spans="1:21" x14ac:dyDescent="0.25">
      <c r="A9" s="6" t="s">
        <v>205</v>
      </c>
      <c r="B9" s="5" t="s">
        <v>515</v>
      </c>
      <c r="C9" s="5">
        <v>89</v>
      </c>
      <c r="D9" s="5">
        <v>110</v>
      </c>
      <c r="E9" s="5">
        <v>42.41</v>
      </c>
      <c r="F9" s="5">
        <v>2544.6</v>
      </c>
      <c r="G9" s="5">
        <v>41.41</v>
      </c>
      <c r="H9" s="5">
        <v>2484.6</v>
      </c>
      <c r="I9" s="10">
        <v>0</v>
      </c>
      <c r="J9" s="29">
        <v>387.15751277141868</v>
      </c>
      <c r="K9" s="10">
        <v>0</v>
      </c>
      <c r="L9" s="31">
        <v>0</v>
      </c>
      <c r="M9" s="5">
        <v>8</v>
      </c>
      <c r="N9" s="5">
        <v>1</v>
      </c>
      <c r="O9" s="5">
        <v>12</v>
      </c>
      <c r="P9" s="5">
        <v>2</v>
      </c>
      <c r="Q9" s="29">
        <v>9291.7803065140506</v>
      </c>
      <c r="R9" s="10">
        <v>0</v>
      </c>
      <c r="S9" s="6" t="s">
        <v>203</v>
      </c>
      <c r="T9" s="6" t="s">
        <v>206</v>
      </c>
      <c r="U9" s="6" t="s">
        <v>207</v>
      </c>
    </row>
    <row r="10" spans="1:21" x14ac:dyDescent="0.25">
      <c r="A10" s="6" t="s">
        <v>208</v>
      </c>
      <c r="B10" s="5" t="s">
        <v>515</v>
      </c>
      <c r="C10" s="5">
        <v>89</v>
      </c>
      <c r="D10" s="5">
        <v>110</v>
      </c>
      <c r="E10" s="5">
        <v>2.5</v>
      </c>
      <c r="F10" s="5">
        <v>150</v>
      </c>
      <c r="G10" s="5">
        <v>49.25</v>
      </c>
      <c r="H10" s="5">
        <v>2955</v>
      </c>
      <c r="I10" s="10">
        <v>0</v>
      </c>
      <c r="J10" s="29">
        <v>387.15751277141868</v>
      </c>
      <c r="K10" s="10">
        <v>0</v>
      </c>
      <c r="L10" s="31">
        <v>0</v>
      </c>
      <c r="M10" s="5">
        <v>8</v>
      </c>
      <c r="N10" s="5">
        <v>1</v>
      </c>
      <c r="O10" s="5">
        <v>12</v>
      </c>
      <c r="P10" s="5">
        <v>2</v>
      </c>
      <c r="Q10" s="29">
        <v>9291.7803065140506</v>
      </c>
      <c r="R10" s="10">
        <v>0</v>
      </c>
      <c r="S10" s="6" t="s">
        <v>203</v>
      </c>
      <c r="T10" s="6" t="s">
        <v>206</v>
      </c>
      <c r="U10" s="6" t="s">
        <v>207</v>
      </c>
    </row>
    <row r="11" spans="1:21" x14ac:dyDescent="0.25">
      <c r="A11" s="6" t="s">
        <v>209</v>
      </c>
      <c r="B11" s="5" t="s">
        <v>515</v>
      </c>
      <c r="C11" s="5">
        <v>42</v>
      </c>
      <c r="D11" s="5">
        <v>132</v>
      </c>
      <c r="E11" s="5">
        <v>5</v>
      </c>
      <c r="F11" s="5">
        <v>300</v>
      </c>
      <c r="G11" s="5">
        <v>12.7</v>
      </c>
      <c r="H11" s="5">
        <v>762</v>
      </c>
      <c r="I11" s="10">
        <v>0</v>
      </c>
      <c r="J11" s="29">
        <v>387.15751277141868</v>
      </c>
      <c r="K11" s="10">
        <v>0</v>
      </c>
      <c r="L11" s="31">
        <v>0</v>
      </c>
      <c r="M11" s="5">
        <v>8</v>
      </c>
      <c r="N11" s="5">
        <v>1</v>
      </c>
      <c r="O11" s="5">
        <v>12</v>
      </c>
      <c r="P11" s="5">
        <v>2</v>
      </c>
      <c r="Q11" s="29">
        <v>9291.7803065140506</v>
      </c>
      <c r="R11" s="10">
        <v>0</v>
      </c>
      <c r="S11" s="6" t="s">
        <v>203</v>
      </c>
      <c r="T11" s="6" t="s">
        <v>206</v>
      </c>
      <c r="U11" s="6" t="s">
        <v>207</v>
      </c>
    </row>
    <row r="12" spans="1:21" x14ac:dyDescent="0.25">
      <c r="A12" s="6" t="s">
        <v>210</v>
      </c>
      <c r="B12" s="5" t="s">
        <v>547</v>
      </c>
      <c r="C12" s="5">
        <v>33</v>
      </c>
      <c r="D12" s="5">
        <v>60</v>
      </c>
      <c r="E12" s="5">
        <v>0.94</v>
      </c>
      <c r="F12" s="5">
        <v>56.4</v>
      </c>
      <c r="G12" s="5">
        <v>0.94</v>
      </c>
      <c r="H12" s="5">
        <v>56.4</v>
      </c>
      <c r="I12" s="10">
        <v>0</v>
      </c>
      <c r="J12" s="29">
        <v>305.81256323001929</v>
      </c>
      <c r="K12" s="10">
        <v>0</v>
      </c>
      <c r="L12" s="31">
        <v>0</v>
      </c>
      <c r="M12" s="5">
        <v>48</v>
      </c>
      <c r="N12" s="5">
        <v>24</v>
      </c>
      <c r="O12" s="5">
        <v>5</v>
      </c>
      <c r="P12" s="5">
        <v>8</v>
      </c>
      <c r="Q12" s="29">
        <v>12232.50252920077</v>
      </c>
      <c r="R12" s="10">
        <v>0</v>
      </c>
      <c r="S12" s="6" t="s">
        <v>199</v>
      </c>
      <c r="T12" s="6" t="s">
        <v>210</v>
      </c>
      <c r="U12" s="6" t="s">
        <v>211</v>
      </c>
    </row>
    <row r="13" spans="1:21" x14ac:dyDescent="0.25">
      <c r="A13" s="6" t="s">
        <v>212</v>
      </c>
      <c r="B13" s="5" t="s">
        <v>547</v>
      </c>
      <c r="C13" s="5">
        <v>33</v>
      </c>
      <c r="D13" s="5">
        <v>60</v>
      </c>
      <c r="E13" s="5">
        <v>1.05</v>
      </c>
      <c r="F13" s="5">
        <v>63</v>
      </c>
      <c r="G13" s="5">
        <v>0.96</v>
      </c>
      <c r="H13" s="5">
        <v>57.599999999999987</v>
      </c>
      <c r="I13" s="10">
        <v>0</v>
      </c>
      <c r="J13" s="29">
        <v>292.11056578848348</v>
      </c>
      <c r="K13" s="10">
        <v>0</v>
      </c>
      <c r="L13" s="31">
        <v>0</v>
      </c>
      <c r="M13" s="5">
        <v>48</v>
      </c>
      <c r="N13" s="5">
        <v>24</v>
      </c>
      <c r="O13" s="5">
        <v>5</v>
      </c>
      <c r="P13" s="5">
        <v>8</v>
      </c>
      <c r="Q13" s="29">
        <v>11684.422631539341</v>
      </c>
      <c r="R13" s="10">
        <v>0</v>
      </c>
      <c r="S13" s="6" t="s">
        <v>199</v>
      </c>
      <c r="T13" s="6" t="s">
        <v>212</v>
      </c>
      <c r="U13" s="6" t="s">
        <v>213</v>
      </c>
    </row>
    <row r="14" spans="1:21" x14ac:dyDescent="0.25">
      <c r="A14" s="6" t="s">
        <v>214</v>
      </c>
      <c r="B14" s="5" t="s">
        <v>550</v>
      </c>
      <c r="C14" s="5">
        <v>45</v>
      </c>
      <c r="D14" s="5">
        <v>119</v>
      </c>
      <c r="E14" s="5">
        <v>2</v>
      </c>
      <c r="F14" s="5">
        <v>120</v>
      </c>
      <c r="G14" s="5">
        <v>0.5</v>
      </c>
      <c r="H14" s="5">
        <v>30</v>
      </c>
      <c r="I14" s="10">
        <v>0</v>
      </c>
      <c r="J14" s="29">
        <v>295.6946453405572</v>
      </c>
      <c r="K14" s="10">
        <v>0</v>
      </c>
      <c r="L14" s="31">
        <v>1</v>
      </c>
      <c r="M14" s="5">
        <v>8</v>
      </c>
      <c r="N14" s="5">
        <v>4</v>
      </c>
      <c r="O14" s="5">
        <v>5</v>
      </c>
      <c r="P14" s="5">
        <v>0.75</v>
      </c>
      <c r="Q14" s="29">
        <v>1108.85492002709</v>
      </c>
      <c r="R14" s="10">
        <v>0</v>
      </c>
      <c r="S14" s="6" t="s">
        <v>199</v>
      </c>
      <c r="T14" s="6" t="s">
        <v>215</v>
      </c>
      <c r="U14" s="6" t="s">
        <v>216</v>
      </c>
    </row>
    <row r="15" spans="1:21" x14ac:dyDescent="0.25">
      <c r="A15" s="6" t="s">
        <v>217</v>
      </c>
      <c r="B15" s="5" t="s">
        <v>550</v>
      </c>
      <c r="C15" s="5">
        <v>20</v>
      </c>
      <c r="D15" s="5">
        <v>46</v>
      </c>
      <c r="E15" s="5">
        <v>1.5</v>
      </c>
      <c r="F15" s="5">
        <v>90</v>
      </c>
      <c r="G15" s="5">
        <v>0.1</v>
      </c>
      <c r="H15" s="5">
        <v>6</v>
      </c>
      <c r="I15" s="10">
        <v>0</v>
      </c>
      <c r="J15" s="29">
        <v>295.6946453405572</v>
      </c>
      <c r="K15" s="10">
        <v>0</v>
      </c>
      <c r="L15" s="31">
        <v>1</v>
      </c>
      <c r="M15" s="5">
        <v>8</v>
      </c>
      <c r="N15" s="5">
        <v>4</v>
      </c>
      <c r="O15" s="5">
        <v>10</v>
      </c>
      <c r="P15" s="5">
        <v>0.75</v>
      </c>
      <c r="Q15" s="29">
        <v>2217.709840054179</v>
      </c>
      <c r="R15" s="10">
        <v>0</v>
      </c>
      <c r="S15" s="6" t="s">
        <v>199</v>
      </c>
      <c r="T15" s="6" t="s">
        <v>215</v>
      </c>
      <c r="U15" s="6" t="s">
        <v>216</v>
      </c>
    </row>
    <row r="16" spans="1:21" x14ac:dyDescent="0.25">
      <c r="A16" s="6" t="s">
        <v>218</v>
      </c>
      <c r="B16" s="5" t="s">
        <v>550</v>
      </c>
      <c r="C16" s="5">
        <v>80</v>
      </c>
      <c r="D16" s="5">
        <v>120</v>
      </c>
      <c r="E16" s="5">
        <v>2</v>
      </c>
      <c r="F16" s="5">
        <v>120</v>
      </c>
      <c r="G16" s="5">
        <v>0.4</v>
      </c>
      <c r="H16" s="5">
        <v>24</v>
      </c>
      <c r="I16" s="10">
        <v>0</v>
      </c>
      <c r="J16" s="29">
        <v>309.62963582295868</v>
      </c>
      <c r="K16" s="10">
        <v>0</v>
      </c>
      <c r="L16" s="31">
        <v>1</v>
      </c>
      <c r="M16" s="5">
        <v>16</v>
      </c>
      <c r="N16" s="5">
        <v>4</v>
      </c>
      <c r="O16" s="5">
        <v>5</v>
      </c>
      <c r="P16" s="5">
        <v>0.75</v>
      </c>
      <c r="Q16" s="29">
        <v>1161.1111343360949</v>
      </c>
      <c r="R16" s="10">
        <v>0</v>
      </c>
      <c r="S16" s="6" t="s">
        <v>199</v>
      </c>
      <c r="T16" s="6" t="s">
        <v>219</v>
      </c>
      <c r="U16" s="6" t="s">
        <v>220</v>
      </c>
    </row>
    <row r="17" spans="1:21" x14ac:dyDescent="0.25">
      <c r="A17" s="6" t="s">
        <v>221</v>
      </c>
      <c r="B17" s="5" t="s">
        <v>550</v>
      </c>
      <c r="C17" s="5">
        <v>60</v>
      </c>
      <c r="D17" s="5">
        <v>169</v>
      </c>
      <c r="E17" s="5">
        <v>2</v>
      </c>
      <c r="F17" s="5">
        <v>120</v>
      </c>
      <c r="G17" s="5">
        <v>0.77</v>
      </c>
      <c r="H17" s="5">
        <v>46.2</v>
      </c>
      <c r="I17" s="10">
        <v>0</v>
      </c>
      <c r="J17" s="29">
        <v>309.62963582295868</v>
      </c>
      <c r="K17" s="10">
        <v>0</v>
      </c>
      <c r="L17" s="31">
        <v>1</v>
      </c>
      <c r="M17" s="5">
        <v>16</v>
      </c>
      <c r="N17" s="5">
        <v>4</v>
      </c>
      <c r="O17" s="5">
        <v>5</v>
      </c>
      <c r="P17" s="5">
        <v>0.75</v>
      </c>
      <c r="Q17" s="29">
        <v>1161.1111343360949</v>
      </c>
      <c r="R17" s="10">
        <v>0</v>
      </c>
      <c r="S17" s="6" t="s">
        <v>199</v>
      </c>
      <c r="T17" s="6" t="s">
        <v>219</v>
      </c>
      <c r="U17" s="6" t="s">
        <v>220</v>
      </c>
    </row>
    <row r="18" spans="1:21" x14ac:dyDescent="0.25">
      <c r="A18" s="6" t="s">
        <v>222</v>
      </c>
      <c r="B18" s="5" t="s">
        <v>550</v>
      </c>
      <c r="C18" s="5">
        <v>40</v>
      </c>
      <c r="D18" s="5">
        <v>164</v>
      </c>
      <c r="E18" s="5">
        <v>0</v>
      </c>
      <c r="F18" s="5">
        <v>0</v>
      </c>
      <c r="G18" s="5">
        <v>0</v>
      </c>
      <c r="H18" s="5">
        <v>0</v>
      </c>
      <c r="I18" s="10">
        <v>0</v>
      </c>
      <c r="J18" s="29">
        <v>309.62963582295868</v>
      </c>
      <c r="K18" s="10">
        <v>0</v>
      </c>
      <c r="L18" s="31">
        <v>1</v>
      </c>
      <c r="M18" s="5">
        <v>16</v>
      </c>
      <c r="N18" s="5">
        <v>4</v>
      </c>
      <c r="O18" s="5">
        <v>5</v>
      </c>
      <c r="P18" s="5">
        <v>0.75</v>
      </c>
      <c r="Q18" s="29">
        <v>1161.1111343360949</v>
      </c>
      <c r="R18" s="10">
        <v>0</v>
      </c>
      <c r="S18" s="6" t="s">
        <v>199</v>
      </c>
      <c r="T18" s="6" t="s">
        <v>219</v>
      </c>
      <c r="U18" s="6" t="s">
        <v>220</v>
      </c>
    </row>
    <row r="19" spans="1:21" x14ac:dyDescent="0.25">
      <c r="A19" s="6" t="s">
        <v>223</v>
      </c>
      <c r="B19" s="5" t="s">
        <v>547</v>
      </c>
      <c r="C19" s="5">
        <v>50</v>
      </c>
      <c r="D19" s="5">
        <v>97</v>
      </c>
      <c r="E19" s="5">
        <v>4.17</v>
      </c>
      <c r="F19" s="5">
        <v>250.2</v>
      </c>
      <c r="G19" s="5">
        <v>4.07</v>
      </c>
      <c r="H19" s="5">
        <v>244.2</v>
      </c>
      <c r="I19" s="10">
        <v>0</v>
      </c>
      <c r="J19" s="29">
        <v>209.04492362231721</v>
      </c>
      <c r="K19" s="10">
        <v>0</v>
      </c>
      <c r="L19" s="31">
        <v>1</v>
      </c>
      <c r="M19" s="5">
        <v>8</v>
      </c>
      <c r="N19" s="5">
        <v>8</v>
      </c>
      <c r="O19" s="5">
        <v>10</v>
      </c>
      <c r="P19" s="5">
        <v>1</v>
      </c>
      <c r="Q19" s="29">
        <v>2090.4492362231722</v>
      </c>
      <c r="R19" s="10">
        <v>0</v>
      </c>
      <c r="S19" s="6" t="s">
        <v>199</v>
      </c>
      <c r="T19" s="6" t="s">
        <v>224</v>
      </c>
      <c r="U19" s="6" t="s">
        <v>225</v>
      </c>
    </row>
    <row r="20" spans="1:21" x14ac:dyDescent="0.25">
      <c r="A20" s="6" t="s">
        <v>226</v>
      </c>
      <c r="B20" s="5" t="s">
        <v>547</v>
      </c>
      <c r="C20" s="5">
        <v>50</v>
      </c>
      <c r="D20" s="5">
        <v>97</v>
      </c>
      <c r="E20" s="5">
        <v>4.18</v>
      </c>
      <c r="F20" s="5">
        <v>250.8</v>
      </c>
      <c r="G20" s="5">
        <v>4.07</v>
      </c>
      <c r="H20" s="5">
        <v>244.2</v>
      </c>
      <c r="I20" s="10">
        <v>0</v>
      </c>
      <c r="J20" s="29">
        <v>209.04492362231721</v>
      </c>
      <c r="K20" s="10">
        <v>0</v>
      </c>
      <c r="L20" s="31">
        <v>1</v>
      </c>
      <c r="M20" s="5">
        <v>8</v>
      </c>
      <c r="N20" s="5">
        <v>8</v>
      </c>
      <c r="O20" s="5">
        <v>10</v>
      </c>
      <c r="P20" s="5">
        <v>1</v>
      </c>
      <c r="Q20" s="29">
        <v>2090.4492362231722</v>
      </c>
      <c r="R20" s="10">
        <v>0</v>
      </c>
      <c r="S20" s="6" t="s">
        <v>199</v>
      </c>
      <c r="T20" s="6" t="s">
        <v>224</v>
      </c>
      <c r="U20" s="6" t="s">
        <v>225</v>
      </c>
    </row>
    <row r="21" spans="1:21" x14ac:dyDescent="0.25">
      <c r="A21" s="6" t="s">
        <v>227</v>
      </c>
      <c r="B21" s="5" t="s">
        <v>547</v>
      </c>
      <c r="C21" s="5">
        <v>50</v>
      </c>
      <c r="D21" s="5">
        <v>97</v>
      </c>
      <c r="E21" s="5">
        <v>4.16</v>
      </c>
      <c r="F21" s="5">
        <v>249.6</v>
      </c>
      <c r="G21" s="5">
        <v>4.1900000000000004</v>
      </c>
      <c r="H21" s="5">
        <v>251.4</v>
      </c>
      <c r="I21" s="10">
        <v>0</v>
      </c>
      <c r="J21" s="29">
        <v>209.04492362231721</v>
      </c>
      <c r="K21" s="10">
        <v>0</v>
      </c>
      <c r="L21" s="31">
        <v>1</v>
      </c>
      <c r="M21" s="5">
        <v>8</v>
      </c>
      <c r="N21" s="5">
        <v>8</v>
      </c>
      <c r="O21" s="5">
        <v>10</v>
      </c>
      <c r="P21" s="5">
        <v>1</v>
      </c>
      <c r="Q21" s="29">
        <v>2090.4492362231722</v>
      </c>
      <c r="R21" s="10">
        <v>0</v>
      </c>
      <c r="S21" s="6" t="s">
        <v>199</v>
      </c>
      <c r="T21" s="6" t="s">
        <v>224</v>
      </c>
      <c r="U21" s="6" t="s">
        <v>225</v>
      </c>
    </row>
    <row r="22" spans="1:21" x14ac:dyDescent="0.25">
      <c r="A22" s="6" t="s">
        <v>228</v>
      </c>
      <c r="B22" s="5" t="s">
        <v>547</v>
      </c>
      <c r="C22" s="5">
        <v>82.5</v>
      </c>
      <c r="D22" s="5">
        <v>166</v>
      </c>
      <c r="E22" s="5">
        <v>1.90625</v>
      </c>
      <c r="F22" s="5">
        <v>114.375</v>
      </c>
      <c r="G22" s="5">
        <v>1</v>
      </c>
      <c r="H22" s="5">
        <v>60</v>
      </c>
      <c r="I22" s="10">
        <v>0</v>
      </c>
      <c r="J22" s="29">
        <v>209.04492362231721</v>
      </c>
      <c r="K22" s="10">
        <v>0</v>
      </c>
      <c r="L22" s="31">
        <v>1</v>
      </c>
      <c r="M22" s="5">
        <v>72</v>
      </c>
      <c r="N22" s="5">
        <v>72</v>
      </c>
      <c r="O22" s="5">
        <v>3</v>
      </c>
      <c r="P22" s="5">
        <v>6</v>
      </c>
      <c r="Q22" s="29">
        <v>3762.8086252017092</v>
      </c>
      <c r="R22" s="10">
        <v>0</v>
      </c>
      <c r="S22" s="6" t="s">
        <v>199</v>
      </c>
      <c r="T22" s="6" t="s">
        <v>224</v>
      </c>
      <c r="U22" s="6" t="s">
        <v>225</v>
      </c>
    </row>
    <row r="23" spans="1:21" x14ac:dyDescent="0.25">
      <c r="A23" s="6" t="s">
        <v>229</v>
      </c>
      <c r="B23" s="5" t="s">
        <v>547</v>
      </c>
      <c r="C23" s="5">
        <v>50</v>
      </c>
      <c r="D23" s="5">
        <v>97</v>
      </c>
      <c r="E23" s="5">
        <v>4.17</v>
      </c>
      <c r="F23" s="5">
        <v>250.2</v>
      </c>
      <c r="G23" s="5">
        <v>4.26</v>
      </c>
      <c r="H23" s="5">
        <v>255.6</v>
      </c>
      <c r="I23" s="10">
        <v>0</v>
      </c>
      <c r="J23" s="29">
        <v>209.04492362231721</v>
      </c>
      <c r="K23" s="10">
        <v>0</v>
      </c>
      <c r="L23" s="31">
        <v>1</v>
      </c>
      <c r="M23" s="5">
        <v>8</v>
      </c>
      <c r="N23" s="5">
        <v>8</v>
      </c>
      <c r="O23" s="5">
        <v>10</v>
      </c>
      <c r="P23" s="5">
        <v>1</v>
      </c>
      <c r="Q23" s="29">
        <v>2090.4492362231722</v>
      </c>
      <c r="R23" s="10">
        <v>0</v>
      </c>
      <c r="S23" s="6" t="s">
        <v>199</v>
      </c>
      <c r="T23" s="6" t="s">
        <v>224</v>
      </c>
      <c r="U23" s="6" t="s">
        <v>225</v>
      </c>
    </row>
    <row r="24" spans="1:21" x14ac:dyDescent="0.25">
      <c r="A24" s="6" t="s">
        <v>230</v>
      </c>
      <c r="B24" s="5" t="s">
        <v>547</v>
      </c>
      <c r="C24" s="5">
        <v>50</v>
      </c>
      <c r="D24" s="5">
        <v>97</v>
      </c>
      <c r="E24" s="9">
        <v>4.32</v>
      </c>
      <c r="F24" s="5">
        <v>259.2</v>
      </c>
      <c r="G24" s="9">
        <v>4.53</v>
      </c>
      <c r="H24" s="5">
        <v>271.8</v>
      </c>
      <c r="I24" s="10">
        <v>0</v>
      </c>
      <c r="J24" s="29">
        <v>209.04492362231721</v>
      </c>
      <c r="K24" s="10">
        <v>0</v>
      </c>
      <c r="L24" s="31">
        <v>1</v>
      </c>
      <c r="M24" s="5">
        <v>8</v>
      </c>
      <c r="N24" s="5">
        <v>8</v>
      </c>
      <c r="O24" s="9">
        <v>10</v>
      </c>
      <c r="P24" s="9">
        <v>1</v>
      </c>
      <c r="Q24" s="29">
        <v>2090.4492362231722</v>
      </c>
      <c r="R24" s="10">
        <v>0</v>
      </c>
      <c r="S24" s="6" t="s">
        <v>199</v>
      </c>
      <c r="T24" s="6" t="s">
        <v>224</v>
      </c>
      <c r="U24" s="6" t="s">
        <v>225</v>
      </c>
    </row>
    <row r="25" spans="1:21" x14ac:dyDescent="0.25">
      <c r="A25" s="6" t="s">
        <v>231</v>
      </c>
      <c r="B25" s="5" t="s">
        <v>547</v>
      </c>
      <c r="C25" s="5">
        <v>82.5</v>
      </c>
      <c r="D25" s="5">
        <v>166</v>
      </c>
      <c r="E25" s="9">
        <v>1.90625</v>
      </c>
      <c r="F25" s="5">
        <v>114.375</v>
      </c>
      <c r="G25" s="9">
        <v>1.01</v>
      </c>
      <c r="H25" s="5">
        <v>60.6</v>
      </c>
      <c r="I25" s="10">
        <v>0</v>
      </c>
      <c r="J25" s="29">
        <v>209.04492362231721</v>
      </c>
      <c r="K25" s="10">
        <v>0</v>
      </c>
      <c r="L25" s="31">
        <v>1</v>
      </c>
      <c r="M25" s="5">
        <v>72</v>
      </c>
      <c r="N25" s="5">
        <v>72</v>
      </c>
      <c r="O25" s="9">
        <v>3</v>
      </c>
      <c r="P25" s="9">
        <v>6</v>
      </c>
      <c r="Q25" s="29">
        <v>3762.8086252017092</v>
      </c>
      <c r="R25" s="10">
        <v>0</v>
      </c>
      <c r="S25" s="6" t="s">
        <v>199</v>
      </c>
      <c r="T25" s="6" t="s">
        <v>224</v>
      </c>
      <c r="U25" s="6" t="s">
        <v>225</v>
      </c>
    </row>
    <row r="26" spans="1:21" x14ac:dyDescent="0.25">
      <c r="A26" s="6" t="s">
        <v>232</v>
      </c>
      <c r="B26" s="5" t="s">
        <v>482</v>
      </c>
      <c r="C26" s="5">
        <v>17</v>
      </c>
      <c r="D26" s="5">
        <v>36</v>
      </c>
      <c r="E26" s="9">
        <v>0.68</v>
      </c>
      <c r="F26" s="5">
        <v>40.799999999999997</v>
      </c>
      <c r="G26" s="9">
        <v>0.71</v>
      </c>
      <c r="H26" s="5">
        <v>42.599999999999987</v>
      </c>
      <c r="I26" s="10">
        <v>0</v>
      </c>
      <c r="J26" s="29">
        <v>90.782561195510695</v>
      </c>
      <c r="K26" s="10">
        <v>0</v>
      </c>
      <c r="L26" s="31">
        <v>1</v>
      </c>
      <c r="M26" s="5">
        <v>72</v>
      </c>
      <c r="N26" s="5">
        <v>9</v>
      </c>
      <c r="O26" s="9">
        <v>2</v>
      </c>
      <c r="P26" s="9">
        <v>13</v>
      </c>
      <c r="Q26" s="29">
        <v>2360.3465910832779</v>
      </c>
      <c r="R26" s="10">
        <v>0</v>
      </c>
      <c r="S26" s="6" t="s">
        <v>233</v>
      </c>
      <c r="T26" s="6" t="s">
        <v>232</v>
      </c>
      <c r="U26" s="6" t="s">
        <v>234</v>
      </c>
    </row>
    <row r="27" spans="1:21" x14ac:dyDescent="0.25">
      <c r="A27" s="6" t="s">
        <v>235</v>
      </c>
      <c r="B27" s="5" t="s">
        <v>482</v>
      </c>
      <c r="C27" s="5">
        <v>25</v>
      </c>
      <c r="D27" s="5">
        <v>63</v>
      </c>
      <c r="E27" s="9">
        <v>0.98</v>
      </c>
      <c r="F27" s="5">
        <v>58.8</v>
      </c>
      <c r="G27" s="9">
        <v>0.91</v>
      </c>
      <c r="H27" s="5">
        <v>54.6</v>
      </c>
      <c r="I27" s="10">
        <v>0</v>
      </c>
      <c r="J27" s="29">
        <v>83.874429013764981</v>
      </c>
      <c r="K27" s="10">
        <v>0</v>
      </c>
      <c r="L27" s="31">
        <v>1</v>
      </c>
      <c r="M27" s="5">
        <v>72</v>
      </c>
      <c r="N27" s="5">
        <v>9</v>
      </c>
      <c r="O27" s="9">
        <v>2</v>
      </c>
      <c r="P27" s="9">
        <v>13</v>
      </c>
      <c r="Q27" s="29">
        <v>2180.7351543578889</v>
      </c>
      <c r="R27" s="10">
        <v>0</v>
      </c>
      <c r="S27" s="6" t="s">
        <v>233</v>
      </c>
      <c r="T27" s="6" t="s">
        <v>235</v>
      </c>
      <c r="U27" s="6" t="s">
        <v>236</v>
      </c>
    </row>
    <row r="28" spans="1:21" x14ac:dyDescent="0.25">
      <c r="A28" s="6" t="s">
        <v>237</v>
      </c>
      <c r="B28" s="5" t="s">
        <v>482</v>
      </c>
      <c r="C28" s="5">
        <v>25</v>
      </c>
      <c r="D28" s="5">
        <v>64</v>
      </c>
      <c r="E28" s="9">
        <v>0.93</v>
      </c>
      <c r="F28" s="5">
        <v>55.8</v>
      </c>
      <c r="G28" s="9">
        <v>0.93</v>
      </c>
      <c r="H28" s="5">
        <v>55.8</v>
      </c>
      <c r="I28" s="10">
        <v>0</v>
      </c>
      <c r="J28" s="29">
        <v>87.057459539755129</v>
      </c>
      <c r="K28" s="10">
        <v>0</v>
      </c>
      <c r="L28" s="31">
        <v>1</v>
      </c>
      <c r="M28" s="5">
        <v>72</v>
      </c>
      <c r="N28" s="5">
        <v>9</v>
      </c>
      <c r="O28" s="9">
        <v>2</v>
      </c>
      <c r="P28" s="9">
        <v>13</v>
      </c>
      <c r="Q28" s="29">
        <v>2263.4939480336329</v>
      </c>
      <c r="R28" s="10">
        <v>0</v>
      </c>
      <c r="S28" s="6" t="s">
        <v>233</v>
      </c>
      <c r="T28" s="6" t="s">
        <v>237</v>
      </c>
      <c r="U28" s="6" t="s">
        <v>238</v>
      </c>
    </row>
    <row r="29" spans="1:21" x14ac:dyDescent="0.25">
      <c r="A29" s="6" t="s">
        <v>239</v>
      </c>
      <c r="B29" s="5" t="s">
        <v>482</v>
      </c>
      <c r="C29" s="5">
        <v>25</v>
      </c>
      <c r="D29" s="5">
        <v>63</v>
      </c>
      <c r="E29" s="9">
        <v>0.95</v>
      </c>
      <c r="F29" s="5">
        <v>57</v>
      </c>
      <c r="G29" s="9">
        <v>0.94</v>
      </c>
      <c r="H29" s="5">
        <v>56.4</v>
      </c>
      <c r="I29" s="10">
        <v>0</v>
      </c>
      <c r="J29" s="29">
        <v>81.96728621634351</v>
      </c>
      <c r="K29" s="10">
        <v>0</v>
      </c>
      <c r="L29" s="31">
        <v>0</v>
      </c>
      <c r="M29" s="5">
        <v>72</v>
      </c>
      <c r="N29" s="5">
        <v>9</v>
      </c>
      <c r="O29" s="9">
        <v>2</v>
      </c>
      <c r="P29" s="9">
        <v>13</v>
      </c>
      <c r="Q29" s="29">
        <v>2131.1494416249311</v>
      </c>
      <c r="R29" s="10">
        <v>0</v>
      </c>
      <c r="S29" s="6" t="s">
        <v>233</v>
      </c>
      <c r="T29" s="6" t="s">
        <v>239</v>
      </c>
      <c r="U29" s="6" t="s">
        <v>240</v>
      </c>
    </row>
    <row r="30" spans="1:21" x14ac:dyDescent="0.25">
      <c r="A30" s="6" t="s">
        <v>241</v>
      </c>
      <c r="B30" s="5" t="s">
        <v>493</v>
      </c>
      <c r="C30" s="5">
        <v>30</v>
      </c>
      <c r="D30" s="5">
        <v>52</v>
      </c>
      <c r="E30" s="9">
        <v>0.73</v>
      </c>
      <c r="F30" s="5">
        <v>43.8</v>
      </c>
      <c r="G30" s="9">
        <v>0.73</v>
      </c>
      <c r="H30" s="5">
        <v>43.8</v>
      </c>
      <c r="I30" s="10">
        <v>0</v>
      </c>
      <c r="J30" s="29">
        <v>390.1415516333202</v>
      </c>
      <c r="K30" s="10">
        <v>0</v>
      </c>
      <c r="L30" s="31">
        <v>0</v>
      </c>
      <c r="M30" s="5">
        <v>48</v>
      </c>
      <c r="N30" s="5">
        <v>18</v>
      </c>
      <c r="O30" s="9">
        <v>5</v>
      </c>
      <c r="P30" s="9">
        <v>16</v>
      </c>
      <c r="Q30" s="29">
        <v>31211.32413066562</v>
      </c>
      <c r="R30" s="10">
        <v>0</v>
      </c>
      <c r="S30" s="6" t="s">
        <v>242</v>
      </c>
      <c r="T30" s="6" t="s">
        <v>241</v>
      </c>
      <c r="U30" s="6" t="s">
        <v>243</v>
      </c>
    </row>
    <row r="31" spans="1:21" x14ac:dyDescent="0.25">
      <c r="A31" s="6" t="s">
        <v>244</v>
      </c>
      <c r="B31" s="5" t="s">
        <v>493</v>
      </c>
      <c r="C31" s="5">
        <v>30</v>
      </c>
      <c r="D31" s="5">
        <v>60</v>
      </c>
      <c r="E31" s="9">
        <v>0.75</v>
      </c>
      <c r="F31" s="5">
        <v>45</v>
      </c>
      <c r="G31" s="9">
        <v>0.75</v>
      </c>
      <c r="H31" s="5">
        <v>45</v>
      </c>
      <c r="I31" s="10">
        <v>0</v>
      </c>
      <c r="J31" s="29">
        <v>389.67974604873342</v>
      </c>
      <c r="K31" s="10">
        <v>0</v>
      </c>
      <c r="L31" s="31">
        <v>0</v>
      </c>
      <c r="M31" s="5">
        <v>72</v>
      </c>
      <c r="N31" s="5">
        <v>16</v>
      </c>
      <c r="O31" s="9">
        <v>5</v>
      </c>
      <c r="P31" s="9">
        <v>16</v>
      </c>
      <c r="Q31" s="29">
        <v>31174.379683898671</v>
      </c>
      <c r="R31" s="10">
        <v>0</v>
      </c>
      <c r="S31" s="6" t="s">
        <v>199</v>
      </c>
      <c r="T31" s="6" t="s">
        <v>244</v>
      </c>
      <c r="U31" s="6" t="s">
        <v>245</v>
      </c>
    </row>
    <row r="32" spans="1:21" x14ac:dyDescent="0.25">
      <c r="A32" s="6" t="s">
        <v>246</v>
      </c>
      <c r="B32" s="5" t="s">
        <v>493</v>
      </c>
      <c r="C32" s="5">
        <v>30</v>
      </c>
      <c r="D32" s="5">
        <v>66</v>
      </c>
      <c r="E32" s="5">
        <v>0</v>
      </c>
      <c r="F32" s="5">
        <v>0</v>
      </c>
      <c r="G32" s="5">
        <v>0</v>
      </c>
      <c r="H32" s="5">
        <v>0</v>
      </c>
      <c r="I32" s="10">
        <v>0</v>
      </c>
      <c r="J32" s="29">
        <v>407.835923848064</v>
      </c>
      <c r="K32" s="10">
        <v>0</v>
      </c>
      <c r="L32" s="31">
        <v>0</v>
      </c>
      <c r="M32" s="5">
        <v>72</v>
      </c>
      <c r="N32" s="5">
        <v>16</v>
      </c>
      <c r="O32" s="9">
        <v>5</v>
      </c>
      <c r="P32" s="9">
        <v>16</v>
      </c>
      <c r="Q32" s="29">
        <v>32626.873907845122</v>
      </c>
      <c r="R32" s="10">
        <v>0</v>
      </c>
      <c r="S32" s="6" t="s">
        <v>199</v>
      </c>
      <c r="T32" s="6" t="s">
        <v>246</v>
      </c>
      <c r="U32" s="6" t="s">
        <v>247</v>
      </c>
    </row>
    <row r="33" spans="1:21" x14ac:dyDescent="0.25">
      <c r="A33" s="6" t="s">
        <v>248</v>
      </c>
      <c r="B33" s="5" t="s">
        <v>493</v>
      </c>
      <c r="C33" s="5">
        <v>42</v>
      </c>
      <c r="D33" s="5">
        <v>45</v>
      </c>
      <c r="E33" s="9">
        <v>2.86</v>
      </c>
      <c r="F33" s="5">
        <v>171.6</v>
      </c>
      <c r="G33" s="9">
        <v>2.69</v>
      </c>
      <c r="H33" s="5">
        <v>161.4</v>
      </c>
      <c r="I33" s="10">
        <v>0</v>
      </c>
      <c r="J33" s="29">
        <v>251.26125598856211</v>
      </c>
      <c r="K33" s="10">
        <v>0</v>
      </c>
      <c r="L33" s="31">
        <v>0</v>
      </c>
      <c r="M33" s="5">
        <v>4</v>
      </c>
      <c r="N33" s="5">
        <v>4</v>
      </c>
      <c r="O33" s="9">
        <v>5</v>
      </c>
      <c r="P33" s="9">
        <v>1</v>
      </c>
      <c r="Q33" s="29">
        <v>1256.306279942811</v>
      </c>
      <c r="R33" s="10">
        <v>0</v>
      </c>
      <c r="S33" s="6" t="s">
        <v>199</v>
      </c>
      <c r="T33" s="6" t="s">
        <v>248</v>
      </c>
      <c r="U33" s="6" t="s">
        <v>249</v>
      </c>
    </row>
    <row r="34" spans="1:21" x14ac:dyDescent="0.25">
      <c r="A34" s="6" t="s">
        <v>250</v>
      </c>
      <c r="B34" s="5" t="s">
        <v>493</v>
      </c>
      <c r="C34" s="5">
        <v>42</v>
      </c>
      <c r="D34" s="5">
        <v>45</v>
      </c>
      <c r="E34" s="9">
        <v>2.89</v>
      </c>
      <c r="F34" s="5">
        <v>173.4</v>
      </c>
      <c r="G34" s="9">
        <v>3.26</v>
      </c>
      <c r="H34" s="5">
        <v>195.6</v>
      </c>
      <c r="I34" s="10">
        <v>0</v>
      </c>
      <c r="J34" s="29">
        <v>251.26125598856211</v>
      </c>
      <c r="K34" s="10">
        <v>0</v>
      </c>
      <c r="L34" s="31">
        <v>0</v>
      </c>
      <c r="M34" s="5">
        <v>4</v>
      </c>
      <c r="N34" s="5">
        <v>4</v>
      </c>
      <c r="O34" s="9">
        <v>5</v>
      </c>
      <c r="P34" s="9">
        <v>1</v>
      </c>
      <c r="Q34" s="29">
        <v>1256.306279942811</v>
      </c>
      <c r="R34" s="10">
        <v>0</v>
      </c>
      <c r="S34" s="6" t="s">
        <v>199</v>
      </c>
      <c r="T34" s="6" t="s">
        <v>250</v>
      </c>
      <c r="U34" s="6" t="s">
        <v>251</v>
      </c>
    </row>
    <row r="35" spans="1:21" x14ac:dyDescent="0.25">
      <c r="A35" s="6" t="s">
        <v>252</v>
      </c>
      <c r="B35" s="5" t="s">
        <v>548</v>
      </c>
      <c r="C35" s="5">
        <v>125</v>
      </c>
      <c r="D35" s="5">
        <v>179</v>
      </c>
      <c r="E35" s="9">
        <v>5</v>
      </c>
      <c r="F35" s="5">
        <v>300</v>
      </c>
      <c r="G35" s="9">
        <v>5.0999999999999996</v>
      </c>
      <c r="H35" s="5">
        <v>306</v>
      </c>
      <c r="I35" s="10">
        <v>0</v>
      </c>
      <c r="J35" s="29">
        <v>183.3465715742916</v>
      </c>
      <c r="K35" s="10">
        <v>0</v>
      </c>
      <c r="L35" s="31">
        <v>1</v>
      </c>
      <c r="M35" s="5">
        <v>36</v>
      </c>
      <c r="N35" s="5">
        <v>15</v>
      </c>
      <c r="O35" s="9">
        <v>5</v>
      </c>
      <c r="P35" s="9">
        <v>3</v>
      </c>
      <c r="Q35" s="29">
        <v>2750.1985736143738</v>
      </c>
      <c r="R35" s="10">
        <v>0</v>
      </c>
      <c r="S35" s="6" t="s">
        <v>199</v>
      </c>
      <c r="T35" s="6" t="s">
        <v>253</v>
      </c>
      <c r="U35" s="6" t="s">
        <v>254</v>
      </c>
    </row>
    <row r="36" spans="1:21" x14ac:dyDescent="0.25">
      <c r="A36" s="6" t="s">
        <v>255</v>
      </c>
      <c r="B36" s="5" t="s">
        <v>548</v>
      </c>
      <c r="C36" s="5">
        <v>125</v>
      </c>
      <c r="D36" s="5">
        <v>179</v>
      </c>
      <c r="E36" s="9">
        <v>5</v>
      </c>
      <c r="F36" s="5">
        <v>300</v>
      </c>
      <c r="G36" s="9">
        <v>5.0999999999999996</v>
      </c>
      <c r="H36" s="5">
        <v>306</v>
      </c>
      <c r="I36" s="10">
        <v>0</v>
      </c>
      <c r="J36" s="29">
        <v>183.3465715742916</v>
      </c>
      <c r="K36" s="10">
        <v>0</v>
      </c>
      <c r="L36" s="31">
        <v>1</v>
      </c>
      <c r="M36" s="5">
        <v>36</v>
      </c>
      <c r="N36" s="5">
        <v>15</v>
      </c>
      <c r="O36" s="9">
        <v>5</v>
      </c>
      <c r="P36" s="9">
        <v>3</v>
      </c>
      <c r="Q36" s="29">
        <v>2750.1985736143738</v>
      </c>
      <c r="R36" s="10">
        <v>0</v>
      </c>
      <c r="S36" s="6" t="s">
        <v>199</v>
      </c>
      <c r="T36" s="6" t="s">
        <v>253</v>
      </c>
      <c r="U36" s="6" t="s">
        <v>254</v>
      </c>
    </row>
    <row r="37" spans="1:21" x14ac:dyDescent="0.25">
      <c r="A37" s="6" t="s">
        <v>256</v>
      </c>
      <c r="B37" s="5" t="s">
        <v>548</v>
      </c>
      <c r="C37" s="5">
        <v>51</v>
      </c>
      <c r="D37" s="5">
        <v>197</v>
      </c>
      <c r="E37" s="9">
        <v>2.5</v>
      </c>
      <c r="F37" s="5">
        <v>150</v>
      </c>
      <c r="G37" s="9">
        <v>7.7</v>
      </c>
      <c r="H37" s="5">
        <v>462</v>
      </c>
      <c r="I37" s="10">
        <v>0</v>
      </c>
      <c r="J37" s="29">
        <v>183.3465715742916</v>
      </c>
      <c r="K37" s="10">
        <v>0</v>
      </c>
      <c r="L37" s="31">
        <v>1</v>
      </c>
      <c r="M37" s="5">
        <v>36</v>
      </c>
      <c r="N37" s="5">
        <v>15</v>
      </c>
      <c r="O37" s="9">
        <v>11.3</v>
      </c>
      <c r="P37" s="9">
        <v>3</v>
      </c>
      <c r="Q37" s="29">
        <v>6215.4487763684874</v>
      </c>
      <c r="R37" s="10">
        <v>0</v>
      </c>
      <c r="S37" s="6" t="s">
        <v>199</v>
      </c>
      <c r="T37" s="6" t="s">
        <v>253</v>
      </c>
      <c r="U37" s="6" t="s">
        <v>254</v>
      </c>
    </row>
    <row r="38" spans="1:21" x14ac:dyDescent="0.25">
      <c r="A38" s="6" t="s">
        <v>257</v>
      </c>
      <c r="B38" s="5" t="s">
        <v>489</v>
      </c>
      <c r="C38" s="5">
        <v>38</v>
      </c>
      <c r="D38" s="5">
        <v>50</v>
      </c>
      <c r="E38" s="9">
        <v>3.07</v>
      </c>
      <c r="F38" s="5">
        <v>184.2</v>
      </c>
      <c r="G38" s="9">
        <v>3.08</v>
      </c>
      <c r="H38" s="5">
        <v>184.8</v>
      </c>
      <c r="I38" s="10">
        <v>0</v>
      </c>
      <c r="J38" s="29">
        <v>245.25583249026641</v>
      </c>
      <c r="K38" s="10">
        <v>0</v>
      </c>
      <c r="L38" s="31">
        <v>0</v>
      </c>
      <c r="M38" s="5">
        <v>4</v>
      </c>
      <c r="N38" s="5">
        <v>1</v>
      </c>
      <c r="O38" s="9">
        <v>5</v>
      </c>
      <c r="P38" s="9">
        <v>2</v>
      </c>
      <c r="Q38" s="29">
        <v>2452.558324902664</v>
      </c>
      <c r="R38" s="10">
        <v>0</v>
      </c>
      <c r="S38" s="6" t="s">
        <v>258</v>
      </c>
      <c r="T38" s="6" t="s">
        <v>259</v>
      </c>
      <c r="U38" s="6" t="s">
        <v>260</v>
      </c>
    </row>
    <row r="39" spans="1:21" x14ac:dyDescent="0.25">
      <c r="A39" s="6" t="s">
        <v>261</v>
      </c>
      <c r="B39" s="5" t="s">
        <v>528</v>
      </c>
      <c r="C39" s="5">
        <v>18</v>
      </c>
      <c r="D39" s="5">
        <v>36</v>
      </c>
      <c r="E39" s="9">
        <v>0.25</v>
      </c>
      <c r="F39" s="5">
        <v>15</v>
      </c>
      <c r="G39" s="9">
        <v>0.48</v>
      </c>
      <c r="H39" s="5">
        <v>28.8</v>
      </c>
      <c r="I39" s="10">
        <v>0</v>
      </c>
      <c r="J39" s="29">
        <v>79.841921467967637</v>
      </c>
      <c r="K39" s="10">
        <v>0</v>
      </c>
      <c r="L39" s="31">
        <v>1</v>
      </c>
      <c r="M39" s="5">
        <v>24</v>
      </c>
      <c r="N39" s="5">
        <v>18</v>
      </c>
      <c r="O39" s="9">
        <v>3</v>
      </c>
      <c r="P39" s="9">
        <v>10</v>
      </c>
      <c r="Q39" s="29">
        <v>2395.2576440390289</v>
      </c>
      <c r="R39" s="10">
        <v>0</v>
      </c>
      <c r="S39" s="6" t="s">
        <v>233</v>
      </c>
      <c r="T39" s="6" t="s">
        <v>261</v>
      </c>
      <c r="U39" s="6" t="s">
        <v>262</v>
      </c>
    </row>
    <row r="40" spans="1:21" x14ac:dyDescent="0.25">
      <c r="A40" s="6" t="s">
        <v>263</v>
      </c>
      <c r="B40" s="5" t="s">
        <v>528</v>
      </c>
      <c r="C40" s="5">
        <v>35</v>
      </c>
      <c r="D40" s="5">
        <v>72</v>
      </c>
      <c r="E40" s="9">
        <v>0.49</v>
      </c>
      <c r="F40" s="5">
        <v>29.4</v>
      </c>
      <c r="G40" s="9">
        <v>0.97</v>
      </c>
      <c r="H40" s="5">
        <v>58.2</v>
      </c>
      <c r="I40" s="10">
        <v>0</v>
      </c>
      <c r="J40" s="29">
        <v>73.231719382735662</v>
      </c>
      <c r="K40" s="10">
        <v>0</v>
      </c>
      <c r="L40" s="31">
        <v>1</v>
      </c>
      <c r="M40" s="5">
        <v>24</v>
      </c>
      <c r="N40" s="5">
        <v>18</v>
      </c>
      <c r="O40" s="9">
        <v>4</v>
      </c>
      <c r="P40" s="9">
        <v>10</v>
      </c>
      <c r="Q40" s="29">
        <v>2929.268775309426</v>
      </c>
      <c r="R40" s="10">
        <v>0</v>
      </c>
      <c r="S40" s="6" t="s">
        <v>233</v>
      </c>
      <c r="T40" s="6" t="s">
        <v>263</v>
      </c>
      <c r="U40" s="6" t="s">
        <v>264</v>
      </c>
    </row>
    <row r="41" spans="1:21" x14ac:dyDescent="0.25">
      <c r="A41" s="6" t="s">
        <v>265</v>
      </c>
      <c r="B41" s="5" t="s">
        <v>528</v>
      </c>
      <c r="C41" s="5">
        <v>35</v>
      </c>
      <c r="D41" s="5">
        <v>70</v>
      </c>
      <c r="E41" s="9">
        <v>0.49</v>
      </c>
      <c r="F41" s="5">
        <v>29.4</v>
      </c>
      <c r="G41" s="9">
        <v>0.97</v>
      </c>
      <c r="H41" s="5">
        <v>58.2</v>
      </c>
      <c r="I41" s="10">
        <v>0</v>
      </c>
      <c r="J41" s="29">
        <v>76.331697365450694</v>
      </c>
      <c r="K41" s="10">
        <v>0</v>
      </c>
      <c r="L41" s="31">
        <v>1</v>
      </c>
      <c r="M41" s="5">
        <v>24</v>
      </c>
      <c r="N41" s="5">
        <v>18</v>
      </c>
      <c r="O41" s="9">
        <v>4</v>
      </c>
      <c r="P41" s="9">
        <v>10</v>
      </c>
      <c r="Q41" s="29">
        <v>3053.2678946180281</v>
      </c>
      <c r="R41" s="10">
        <v>0</v>
      </c>
      <c r="S41" s="6" t="s">
        <v>233</v>
      </c>
      <c r="T41" s="6" t="s">
        <v>265</v>
      </c>
      <c r="U41" s="6" t="s">
        <v>266</v>
      </c>
    </row>
    <row r="42" spans="1:21" x14ac:dyDescent="0.25">
      <c r="A42" s="6" t="s">
        <v>267</v>
      </c>
      <c r="B42" s="5" t="s">
        <v>528</v>
      </c>
      <c r="C42" s="5">
        <v>60</v>
      </c>
      <c r="D42" s="5">
        <v>165</v>
      </c>
      <c r="E42" s="9">
        <v>0.5</v>
      </c>
      <c r="F42" s="5">
        <v>30</v>
      </c>
      <c r="G42" s="9">
        <v>0.7</v>
      </c>
      <c r="H42" s="5">
        <v>42</v>
      </c>
      <c r="I42" s="10">
        <v>0</v>
      </c>
      <c r="J42" s="29">
        <v>66.597827813683594</v>
      </c>
      <c r="K42" s="10">
        <v>0</v>
      </c>
      <c r="L42" s="31">
        <v>1</v>
      </c>
      <c r="M42" s="5">
        <v>24</v>
      </c>
      <c r="N42" s="5">
        <v>1</v>
      </c>
      <c r="O42" s="9">
        <v>8</v>
      </c>
      <c r="P42" s="9">
        <v>9</v>
      </c>
      <c r="Q42" s="29">
        <v>4795.0436025852187</v>
      </c>
      <c r="R42" s="10">
        <v>0</v>
      </c>
      <c r="S42" s="6" t="s">
        <v>233</v>
      </c>
      <c r="T42" s="6" t="s">
        <v>267</v>
      </c>
      <c r="U42" s="6" t="s">
        <v>268</v>
      </c>
    </row>
    <row r="43" spans="1:21" x14ac:dyDescent="0.25">
      <c r="A43" s="6" t="s">
        <v>269</v>
      </c>
      <c r="B43" s="5" t="s">
        <v>537</v>
      </c>
      <c r="C43" s="5">
        <v>6</v>
      </c>
      <c r="D43" s="5">
        <v>8</v>
      </c>
      <c r="E43" s="9">
        <v>5</v>
      </c>
      <c r="F43" s="5">
        <v>300</v>
      </c>
      <c r="G43" s="9">
        <v>5</v>
      </c>
      <c r="H43" s="5">
        <v>300</v>
      </c>
      <c r="I43" s="10">
        <v>0</v>
      </c>
      <c r="J43" s="29">
        <v>23.43865399139932</v>
      </c>
      <c r="K43" s="10">
        <v>0</v>
      </c>
      <c r="L43" s="31">
        <v>1</v>
      </c>
      <c r="M43" s="5">
        <v>12</v>
      </c>
      <c r="N43" s="5">
        <v>2</v>
      </c>
      <c r="O43" s="9">
        <v>3</v>
      </c>
      <c r="P43" s="9">
        <v>0</v>
      </c>
      <c r="Q43" s="29">
        <v>0</v>
      </c>
      <c r="R43" s="10">
        <v>0</v>
      </c>
      <c r="S43" s="6" t="s">
        <v>199</v>
      </c>
      <c r="T43" s="6" t="s">
        <v>269</v>
      </c>
      <c r="U43" s="6" t="s">
        <v>270</v>
      </c>
    </row>
    <row r="44" spans="1:21" x14ac:dyDescent="0.25">
      <c r="A44" s="6" t="s">
        <v>271</v>
      </c>
      <c r="B44" s="5" t="s">
        <v>537</v>
      </c>
      <c r="C44" s="5">
        <v>22</v>
      </c>
      <c r="D44" s="5">
        <v>28</v>
      </c>
      <c r="E44" s="9">
        <v>7.5</v>
      </c>
      <c r="F44" s="5">
        <v>450</v>
      </c>
      <c r="G44" s="9">
        <v>7.5</v>
      </c>
      <c r="H44" s="5">
        <v>450</v>
      </c>
      <c r="I44" s="10">
        <v>0</v>
      </c>
      <c r="J44" s="29">
        <v>23.438659565395518</v>
      </c>
      <c r="K44" s="10">
        <v>0</v>
      </c>
      <c r="L44" s="31">
        <v>1</v>
      </c>
      <c r="M44" s="5">
        <v>12</v>
      </c>
      <c r="N44" s="5">
        <v>2</v>
      </c>
      <c r="O44" s="9">
        <v>2.8</v>
      </c>
      <c r="P44" s="9">
        <v>0</v>
      </c>
      <c r="Q44" s="29">
        <v>0</v>
      </c>
      <c r="R44" s="10">
        <v>0</v>
      </c>
      <c r="S44" s="6" t="s">
        <v>199</v>
      </c>
      <c r="T44" s="6" t="s">
        <v>271</v>
      </c>
      <c r="U44" s="6" t="s">
        <v>272</v>
      </c>
    </row>
    <row r="45" spans="1:21" x14ac:dyDescent="0.25">
      <c r="A45" s="6" t="s">
        <v>273</v>
      </c>
      <c r="B45" s="5" t="s">
        <v>537</v>
      </c>
      <c r="C45" s="5">
        <v>30</v>
      </c>
      <c r="D45" s="5">
        <v>50</v>
      </c>
      <c r="E45" s="9">
        <v>11.82</v>
      </c>
      <c r="F45" s="5">
        <v>709.2</v>
      </c>
      <c r="G45" s="9">
        <v>11.85</v>
      </c>
      <c r="H45" s="5">
        <v>711</v>
      </c>
      <c r="I45" s="10">
        <v>0</v>
      </c>
      <c r="J45" s="29">
        <v>23.438656778397419</v>
      </c>
      <c r="K45" s="10">
        <v>0</v>
      </c>
      <c r="L45" s="31">
        <v>0</v>
      </c>
      <c r="M45" s="5">
        <v>12</v>
      </c>
      <c r="N45" s="5">
        <v>2</v>
      </c>
      <c r="O45" s="9">
        <v>2</v>
      </c>
      <c r="P45" s="9">
        <v>0</v>
      </c>
      <c r="Q45" s="29">
        <v>0</v>
      </c>
      <c r="R45" s="10">
        <v>0</v>
      </c>
      <c r="S45" s="6" t="s">
        <v>199</v>
      </c>
      <c r="T45" s="6" t="s">
        <v>273</v>
      </c>
      <c r="U45" s="6" t="s">
        <v>274</v>
      </c>
    </row>
    <row r="46" spans="1:21" x14ac:dyDescent="0.25">
      <c r="A46" s="6" t="s">
        <v>275</v>
      </c>
      <c r="B46" s="5" t="s">
        <v>537</v>
      </c>
      <c r="C46" s="5">
        <v>30</v>
      </c>
      <c r="D46" s="5">
        <v>50</v>
      </c>
      <c r="E46" s="9">
        <v>10.130000000000001</v>
      </c>
      <c r="F46" s="5">
        <v>607.80000000000007</v>
      </c>
      <c r="G46" s="9">
        <v>10.42</v>
      </c>
      <c r="H46" s="5">
        <v>625.20000000000005</v>
      </c>
      <c r="I46" s="10">
        <v>0</v>
      </c>
      <c r="J46" s="29">
        <v>23.438665139391709</v>
      </c>
      <c r="K46" s="10">
        <v>0</v>
      </c>
      <c r="L46" s="31">
        <v>0</v>
      </c>
      <c r="M46" s="5">
        <v>12</v>
      </c>
      <c r="N46" s="5">
        <v>2</v>
      </c>
      <c r="O46" s="9">
        <v>2</v>
      </c>
      <c r="P46" s="9">
        <v>0</v>
      </c>
      <c r="Q46" s="29">
        <v>0</v>
      </c>
      <c r="R46" s="10">
        <v>0</v>
      </c>
      <c r="S46" s="6" t="s">
        <v>199</v>
      </c>
      <c r="T46" s="6" t="s">
        <v>275</v>
      </c>
      <c r="U46" s="6" t="s">
        <v>276</v>
      </c>
    </row>
    <row r="47" spans="1:21" x14ac:dyDescent="0.25">
      <c r="A47" s="6" t="s">
        <v>277</v>
      </c>
      <c r="B47" s="5" t="s">
        <v>537</v>
      </c>
      <c r="C47" s="5">
        <v>30</v>
      </c>
      <c r="D47" s="5">
        <v>50</v>
      </c>
      <c r="E47" s="9">
        <v>8.34</v>
      </c>
      <c r="F47" s="5">
        <v>500.4</v>
      </c>
      <c r="G47" s="9">
        <v>8.34</v>
      </c>
      <c r="H47" s="5">
        <v>500.4</v>
      </c>
      <c r="I47" s="10">
        <v>0</v>
      </c>
      <c r="J47" s="29">
        <v>23.43866235239361</v>
      </c>
      <c r="K47" s="10">
        <v>0</v>
      </c>
      <c r="L47" s="31">
        <v>0</v>
      </c>
      <c r="M47" s="5">
        <v>12</v>
      </c>
      <c r="N47" s="5">
        <v>2</v>
      </c>
      <c r="O47" s="9">
        <v>2</v>
      </c>
      <c r="P47" s="9">
        <v>0</v>
      </c>
      <c r="Q47" s="29">
        <v>0</v>
      </c>
      <c r="R47" s="10">
        <v>0</v>
      </c>
      <c r="S47" s="6" t="s">
        <v>199</v>
      </c>
      <c r="T47" s="6" t="s">
        <v>277</v>
      </c>
      <c r="U47" s="6" t="s">
        <v>278</v>
      </c>
    </row>
    <row r="48" spans="1:21" x14ac:dyDescent="0.25">
      <c r="A48" s="6" t="s">
        <v>279</v>
      </c>
      <c r="B48" s="5" t="s">
        <v>537</v>
      </c>
      <c r="C48" s="5">
        <v>17</v>
      </c>
      <c r="D48" s="5">
        <v>25</v>
      </c>
      <c r="E48" s="9">
        <v>0.22</v>
      </c>
      <c r="F48" s="5">
        <v>13.2</v>
      </c>
      <c r="G48" s="9">
        <v>0.3</v>
      </c>
      <c r="H48" s="5">
        <v>18</v>
      </c>
      <c r="I48" s="10">
        <v>0</v>
      </c>
      <c r="J48" s="29">
        <v>66.115955842802151</v>
      </c>
      <c r="K48" s="10">
        <v>0</v>
      </c>
      <c r="L48" s="31">
        <v>1</v>
      </c>
      <c r="M48" s="5">
        <v>24</v>
      </c>
      <c r="N48" s="5">
        <v>12</v>
      </c>
      <c r="O48" s="9">
        <v>4</v>
      </c>
      <c r="P48" s="9">
        <v>9</v>
      </c>
      <c r="Q48" s="29">
        <v>2380.1744103408769</v>
      </c>
      <c r="R48" s="10">
        <v>0</v>
      </c>
      <c r="S48" s="6" t="s">
        <v>280</v>
      </c>
      <c r="T48" s="6" t="s">
        <v>281</v>
      </c>
      <c r="U48" s="6" t="s">
        <v>282</v>
      </c>
    </row>
    <row r="49" spans="1:21" x14ac:dyDescent="0.25">
      <c r="A49" s="6" t="s">
        <v>283</v>
      </c>
      <c r="B49" s="5" t="s">
        <v>582</v>
      </c>
      <c r="C49" s="5">
        <v>90</v>
      </c>
      <c r="D49" s="5">
        <v>164</v>
      </c>
      <c r="E49" s="9">
        <v>1</v>
      </c>
      <c r="F49" s="5">
        <v>60</v>
      </c>
      <c r="G49" s="9">
        <v>0.56999999999999995</v>
      </c>
      <c r="H49" s="5">
        <v>34.200000000000003</v>
      </c>
      <c r="I49" s="10">
        <v>0</v>
      </c>
      <c r="J49" s="29">
        <v>70.928544155804332</v>
      </c>
      <c r="K49" s="10">
        <v>0</v>
      </c>
      <c r="L49" s="31">
        <v>1</v>
      </c>
      <c r="M49" s="5">
        <v>72</v>
      </c>
      <c r="N49" s="5">
        <v>72</v>
      </c>
      <c r="O49" s="9">
        <v>5.5</v>
      </c>
      <c r="P49" s="9">
        <v>10</v>
      </c>
      <c r="Q49" s="29">
        <v>3901.0699285692381</v>
      </c>
      <c r="R49" s="10">
        <v>0</v>
      </c>
      <c r="S49" s="6" t="s">
        <v>233</v>
      </c>
      <c r="T49" s="6" t="s">
        <v>283</v>
      </c>
      <c r="U49" s="6" t="s">
        <v>284</v>
      </c>
    </row>
    <row r="50" spans="1:21" x14ac:dyDescent="0.25">
      <c r="A50" s="6" t="s">
        <v>285</v>
      </c>
      <c r="B50" s="5" t="s">
        <v>582</v>
      </c>
      <c r="C50" s="5">
        <v>130</v>
      </c>
      <c r="D50" s="5">
        <v>270</v>
      </c>
      <c r="E50" s="9">
        <v>1</v>
      </c>
      <c r="F50" s="5">
        <v>60</v>
      </c>
      <c r="G50" s="9">
        <v>0.81</v>
      </c>
      <c r="H50" s="5">
        <v>48.6</v>
      </c>
      <c r="I50" s="10">
        <v>0</v>
      </c>
      <c r="J50" s="29">
        <v>72.276615135071864</v>
      </c>
      <c r="K50" s="10">
        <v>0</v>
      </c>
      <c r="L50" s="31">
        <v>1</v>
      </c>
      <c r="M50" s="5">
        <v>72</v>
      </c>
      <c r="N50" s="5">
        <v>72</v>
      </c>
      <c r="O50" s="9">
        <v>9</v>
      </c>
      <c r="P50" s="9">
        <v>10</v>
      </c>
      <c r="Q50" s="29">
        <v>6504.8953621564679</v>
      </c>
      <c r="R50" s="10">
        <v>0</v>
      </c>
      <c r="S50" s="6" t="s">
        <v>233</v>
      </c>
      <c r="T50" s="6" t="s">
        <v>285</v>
      </c>
      <c r="U50" s="6" t="s">
        <v>286</v>
      </c>
    </row>
    <row r="51" spans="1:21" x14ac:dyDescent="0.25">
      <c r="A51" s="6" t="s">
        <v>287</v>
      </c>
      <c r="B51" s="5" t="s">
        <v>535</v>
      </c>
      <c r="C51" s="5">
        <v>8</v>
      </c>
      <c r="D51" s="5">
        <v>19</v>
      </c>
      <c r="E51" s="9">
        <v>2.13</v>
      </c>
      <c r="F51" s="5">
        <v>127.8</v>
      </c>
      <c r="G51" s="9">
        <v>2.65</v>
      </c>
      <c r="H51" s="5">
        <v>159</v>
      </c>
      <c r="I51" s="10">
        <v>0</v>
      </c>
      <c r="J51" s="29">
        <v>323.35978194526888</v>
      </c>
      <c r="K51" s="10">
        <v>0</v>
      </c>
      <c r="L51" s="31">
        <v>0</v>
      </c>
      <c r="M51" s="5">
        <v>3</v>
      </c>
      <c r="N51" s="5">
        <v>1</v>
      </c>
      <c r="O51" s="9">
        <v>1.8</v>
      </c>
      <c r="P51" s="9">
        <v>6</v>
      </c>
      <c r="Q51" s="29">
        <v>3492.2856450089048</v>
      </c>
      <c r="R51" s="10">
        <v>0</v>
      </c>
      <c r="S51" s="6" t="s">
        <v>199</v>
      </c>
      <c r="T51" s="6" t="s">
        <v>288</v>
      </c>
      <c r="U51" s="6" t="s">
        <v>289</v>
      </c>
    </row>
    <row r="52" spans="1:21" x14ac:dyDescent="0.25">
      <c r="A52" s="6" t="s">
        <v>290</v>
      </c>
      <c r="B52" s="5" t="s">
        <v>535</v>
      </c>
      <c r="C52" s="5">
        <v>8</v>
      </c>
      <c r="D52" s="5">
        <v>19</v>
      </c>
      <c r="E52" s="9">
        <v>2.2200000000000002</v>
      </c>
      <c r="F52" s="5">
        <v>133.19999999999999</v>
      </c>
      <c r="G52" s="9">
        <v>2.68</v>
      </c>
      <c r="H52" s="5">
        <v>160.80000000000001</v>
      </c>
      <c r="I52" s="10">
        <v>0</v>
      </c>
      <c r="J52" s="29">
        <v>323.35978194526888</v>
      </c>
      <c r="K52" s="10">
        <v>0</v>
      </c>
      <c r="L52" s="31">
        <v>0</v>
      </c>
      <c r="M52" s="5">
        <v>3</v>
      </c>
      <c r="N52" s="5">
        <v>1</v>
      </c>
      <c r="O52" s="9">
        <v>1.8</v>
      </c>
      <c r="P52" s="9">
        <v>6</v>
      </c>
      <c r="Q52" s="29">
        <v>3492.2856450089048</v>
      </c>
      <c r="R52" s="10">
        <v>0</v>
      </c>
      <c r="S52" s="6" t="s">
        <v>199</v>
      </c>
      <c r="T52" s="6" t="s">
        <v>288</v>
      </c>
      <c r="U52" s="6" t="s">
        <v>289</v>
      </c>
    </row>
    <row r="53" spans="1:21" x14ac:dyDescent="0.25">
      <c r="A53" s="6" t="s">
        <v>291</v>
      </c>
      <c r="B53" s="5" t="s">
        <v>535</v>
      </c>
      <c r="C53" s="5">
        <v>8</v>
      </c>
      <c r="D53" s="5">
        <v>19</v>
      </c>
      <c r="E53" s="9">
        <v>2.2200000000000002</v>
      </c>
      <c r="F53" s="5">
        <v>133.19999999999999</v>
      </c>
      <c r="G53" s="9">
        <v>2.68</v>
      </c>
      <c r="H53" s="5">
        <v>160.80000000000001</v>
      </c>
      <c r="I53" s="10">
        <v>0</v>
      </c>
      <c r="J53" s="29">
        <v>323.35978194526888</v>
      </c>
      <c r="K53" s="10">
        <v>0</v>
      </c>
      <c r="L53" s="31">
        <v>0</v>
      </c>
      <c r="M53" s="5">
        <v>3</v>
      </c>
      <c r="N53" s="5">
        <v>1</v>
      </c>
      <c r="O53" s="9">
        <v>1.8</v>
      </c>
      <c r="P53" s="9">
        <v>6</v>
      </c>
      <c r="Q53" s="29">
        <v>3492.2856450089048</v>
      </c>
      <c r="R53" s="10">
        <v>0</v>
      </c>
      <c r="S53" s="6" t="s">
        <v>199</v>
      </c>
      <c r="T53" s="6" t="s">
        <v>288</v>
      </c>
      <c r="U53" s="6" t="s">
        <v>289</v>
      </c>
    </row>
    <row r="54" spans="1:21" x14ac:dyDescent="0.25">
      <c r="A54" s="6" t="s">
        <v>292</v>
      </c>
      <c r="B54" s="5" t="s">
        <v>535</v>
      </c>
      <c r="C54" s="5">
        <v>8</v>
      </c>
      <c r="D54" s="5">
        <v>19</v>
      </c>
      <c r="E54" s="9">
        <v>2.13</v>
      </c>
      <c r="F54" s="5">
        <v>127.8</v>
      </c>
      <c r="G54" s="9">
        <v>2.68</v>
      </c>
      <c r="H54" s="5">
        <v>160.80000000000001</v>
      </c>
      <c r="I54" s="10">
        <v>0</v>
      </c>
      <c r="J54" s="29">
        <v>323.35978194526888</v>
      </c>
      <c r="K54" s="10">
        <v>0</v>
      </c>
      <c r="L54" s="31">
        <v>0</v>
      </c>
      <c r="M54" s="5">
        <v>3</v>
      </c>
      <c r="N54" s="5">
        <v>1</v>
      </c>
      <c r="O54" s="9">
        <v>1.8</v>
      </c>
      <c r="P54" s="9">
        <v>6</v>
      </c>
      <c r="Q54" s="29">
        <v>3492.2856450089048</v>
      </c>
      <c r="R54" s="10">
        <v>0</v>
      </c>
      <c r="S54" s="6" t="s">
        <v>199</v>
      </c>
      <c r="T54" s="6" t="s">
        <v>288</v>
      </c>
      <c r="U54" s="6" t="s">
        <v>289</v>
      </c>
    </row>
    <row r="55" spans="1:21" x14ac:dyDescent="0.25">
      <c r="A55" s="6" t="s">
        <v>293</v>
      </c>
      <c r="B55" s="5" t="s">
        <v>535</v>
      </c>
      <c r="C55" s="5">
        <v>8</v>
      </c>
      <c r="D55" s="5">
        <v>19</v>
      </c>
      <c r="E55" s="9">
        <v>2.08</v>
      </c>
      <c r="F55" s="5">
        <v>124.8</v>
      </c>
      <c r="G55" s="9">
        <v>2.65</v>
      </c>
      <c r="H55" s="5">
        <v>159</v>
      </c>
      <c r="I55" s="10">
        <v>0</v>
      </c>
      <c r="J55" s="29">
        <v>323.35978194526888</v>
      </c>
      <c r="K55" s="10">
        <v>0</v>
      </c>
      <c r="L55" s="31">
        <v>0</v>
      </c>
      <c r="M55" s="5">
        <v>3</v>
      </c>
      <c r="N55" s="5">
        <v>1</v>
      </c>
      <c r="O55" s="9">
        <v>1.8</v>
      </c>
      <c r="P55" s="9">
        <v>6</v>
      </c>
      <c r="Q55" s="29">
        <v>3492.2856450089048</v>
      </c>
      <c r="R55" s="10">
        <v>0</v>
      </c>
      <c r="S55" s="6" t="s">
        <v>199</v>
      </c>
      <c r="T55" s="6" t="s">
        <v>288</v>
      </c>
      <c r="U55" s="6" t="s">
        <v>289</v>
      </c>
    </row>
    <row r="56" spans="1:21" x14ac:dyDescent="0.25">
      <c r="A56" s="6" t="s">
        <v>294</v>
      </c>
      <c r="B56" s="5" t="s">
        <v>535</v>
      </c>
      <c r="C56" s="5">
        <v>8</v>
      </c>
      <c r="D56" s="5">
        <v>19</v>
      </c>
      <c r="E56" s="9">
        <v>2.16</v>
      </c>
      <c r="F56" s="5">
        <v>129.6</v>
      </c>
      <c r="G56" s="9">
        <v>2.71</v>
      </c>
      <c r="H56" s="5">
        <v>162.6</v>
      </c>
      <c r="I56" s="10">
        <v>0</v>
      </c>
      <c r="J56" s="29">
        <v>323.35978194526888</v>
      </c>
      <c r="K56" s="10">
        <v>0</v>
      </c>
      <c r="L56" s="31">
        <v>0</v>
      </c>
      <c r="M56" s="5">
        <v>3</v>
      </c>
      <c r="N56" s="5">
        <v>1</v>
      </c>
      <c r="O56" s="9">
        <v>1.8</v>
      </c>
      <c r="P56" s="9">
        <v>6</v>
      </c>
      <c r="Q56" s="29">
        <v>3492.2856450089048</v>
      </c>
      <c r="R56" s="10">
        <v>0</v>
      </c>
      <c r="S56" s="6" t="s">
        <v>199</v>
      </c>
      <c r="T56" s="6" t="s">
        <v>288</v>
      </c>
      <c r="U56" s="6" t="s">
        <v>289</v>
      </c>
    </row>
    <row r="57" spans="1:21" x14ac:dyDescent="0.25">
      <c r="A57" s="6" t="s">
        <v>295</v>
      </c>
      <c r="B57" s="5" t="s">
        <v>535</v>
      </c>
      <c r="C57" s="5">
        <v>8</v>
      </c>
      <c r="D57" s="5">
        <v>19</v>
      </c>
      <c r="E57" s="9">
        <v>2.04</v>
      </c>
      <c r="F57" s="5">
        <v>122.4</v>
      </c>
      <c r="G57" s="9">
        <v>2.68</v>
      </c>
      <c r="H57" s="5">
        <v>160.80000000000001</v>
      </c>
      <c r="I57" s="10">
        <v>0</v>
      </c>
      <c r="J57" s="29">
        <v>323.35978194526888</v>
      </c>
      <c r="K57" s="10">
        <v>0</v>
      </c>
      <c r="L57" s="31">
        <v>0</v>
      </c>
      <c r="M57" s="5">
        <v>3</v>
      </c>
      <c r="N57" s="5">
        <v>1</v>
      </c>
      <c r="O57" s="9">
        <v>1.8</v>
      </c>
      <c r="P57" s="9">
        <v>6</v>
      </c>
      <c r="Q57" s="29">
        <v>3492.2856450089048</v>
      </c>
      <c r="R57" s="10">
        <v>0</v>
      </c>
      <c r="S57" s="6" t="s">
        <v>199</v>
      </c>
      <c r="T57" s="6" t="s">
        <v>288</v>
      </c>
      <c r="U57" s="6" t="s">
        <v>289</v>
      </c>
    </row>
    <row r="58" spans="1:21" x14ac:dyDescent="0.25">
      <c r="A58" s="6" t="s">
        <v>296</v>
      </c>
      <c r="B58" s="5" t="s">
        <v>535</v>
      </c>
      <c r="C58" s="5">
        <v>8</v>
      </c>
      <c r="D58" s="5">
        <v>19</v>
      </c>
      <c r="E58" s="9">
        <v>2.11</v>
      </c>
      <c r="F58" s="5">
        <v>126.6</v>
      </c>
      <c r="G58" s="9">
        <v>2.77</v>
      </c>
      <c r="H58" s="5">
        <v>166.2</v>
      </c>
      <c r="I58" s="10">
        <v>0</v>
      </c>
      <c r="J58" s="29">
        <v>323.35978194526888</v>
      </c>
      <c r="K58" s="10">
        <v>0</v>
      </c>
      <c r="L58" s="31">
        <v>0</v>
      </c>
      <c r="M58" s="5">
        <v>3</v>
      </c>
      <c r="N58" s="5">
        <v>1</v>
      </c>
      <c r="O58" s="9">
        <v>1.8</v>
      </c>
      <c r="P58" s="9">
        <v>6</v>
      </c>
      <c r="Q58" s="29">
        <v>3492.2856450089048</v>
      </c>
      <c r="R58" s="10">
        <v>0</v>
      </c>
      <c r="S58" s="6" t="s">
        <v>199</v>
      </c>
      <c r="T58" s="6" t="s">
        <v>288</v>
      </c>
      <c r="U58" s="6" t="s">
        <v>289</v>
      </c>
    </row>
    <row r="59" spans="1:21" x14ac:dyDescent="0.25">
      <c r="A59" s="6" t="s">
        <v>297</v>
      </c>
      <c r="B59" s="5" t="s">
        <v>535</v>
      </c>
      <c r="C59" s="5">
        <v>8</v>
      </c>
      <c r="D59" s="5">
        <v>19</v>
      </c>
      <c r="E59" s="9">
        <v>2.1</v>
      </c>
      <c r="F59" s="5">
        <v>126</v>
      </c>
      <c r="G59" s="9">
        <v>2.58</v>
      </c>
      <c r="H59" s="5">
        <v>154.80000000000001</v>
      </c>
      <c r="I59" s="10">
        <v>0</v>
      </c>
      <c r="J59" s="29">
        <v>323.35978194526888</v>
      </c>
      <c r="K59" s="10">
        <v>0</v>
      </c>
      <c r="L59" s="31">
        <v>0</v>
      </c>
      <c r="M59" s="5">
        <v>3</v>
      </c>
      <c r="N59" s="5">
        <v>1</v>
      </c>
      <c r="O59" s="9">
        <v>1.8</v>
      </c>
      <c r="P59" s="9">
        <v>6</v>
      </c>
      <c r="Q59" s="29">
        <v>3492.2856450089048</v>
      </c>
      <c r="R59" s="10">
        <v>0</v>
      </c>
      <c r="S59" s="6" t="s">
        <v>199</v>
      </c>
      <c r="T59" s="6" t="s">
        <v>288</v>
      </c>
      <c r="U59" s="6" t="s">
        <v>289</v>
      </c>
    </row>
    <row r="60" spans="1:21" x14ac:dyDescent="0.25">
      <c r="A60" s="6" t="s">
        <v>298</v>
      </c>
      <c r="B60" s="5" t="s">
        <v>535</v>
      </c>
      <c r="C60" s="5">
        <v>8</v>
      </c>
      <c r="D60" s="5">
        <v>19</v>
      </c>
      <c r="E60" s="9">
        <v>2.09</v>
      </c>
      <c r="F60" s="5">
        <v>125.4</v>
      </c>
      <c r="G60" s="9">
        <v>2.68</v>
      </c>
      <c r="H60" s="5">
        <v>160.80000000000001</v>
      </c>
      <c r="I60" s="10">
        <v>0</v>
      </c>
      <c r="J60" s="29">
        <v>323.35978194526888</v>
      </c>
      <c r="K60" s="10">
        <v>0</v>
      </c>
      <c r="L60" s="31">
        <v>0</v>
      </c>
      <c r="M60" s="5">
        <v>3</v>
      </c>
      <c r="N60" s="5">
        <v>1</v>
      </c>
      <c r="O60" s="9">
        <v>1.8</v>
      </c>
      <c r="P60" s="9">
        <v>6</v>
      </c>
      <c r="Q60" s="29">
        <v>3492.2856450089048</v>
      </c>
      <c r="R60" s="10">
        <v>0</v>
      </c>
      <c r="S60" s="6" t="s">
        <v>199</v>
      </c>
      <c r="T60" s="6" t="s">
        <v>288</v>
      </c>
      <c r="U60" s="6" t="s">
        <v>289</v>
      </c>
    </row>
    <row r="61" spans="1:21" x14ac:dyDescent="0.25">
      <c r="A61" s="6" t="s">
        <v>299</v>
      </c>
      <c r="B61" s="5" t="s">
        <v>535</v>
      </c>
      <c r="C61" s="5">
        <v>8</v>
      </c>
      <c r="D61" s="5">
        <v>19</v>
      </c>
      <c r="E61" s="9">
        <v>2.12</v>
      </c>
      <c r="F61" s="5">
        <v>127.2</v>
      </c>
      <c r="G61" s="9">
        <v>2.69</v>
      </c>
      <c r="H61" s="5">
        <v>161.4</v>
      </c>
      <c r="I61" s="10">
        <v>0</v>
      </c>
      <c r="J61" s="29">
        <v>323.35978194526888</v>
      </c>
      <c r="K61" s="10">
        <v>0</v>
      </c>
      <c r="L61" s="31">
        <v>0</v>
      </c>
      <c r="M61" s="5">
        <v>3</v>
      </c>
      <c r="N61" s="5">
        <v>1</v>
      </c>
      <c r="O61" s="9">
        <v>1.8</v>
      </c>
      <c r="P61" s="9">
        <v>6</v>
      </c>
      <c r="Q61" s="29">
        <v>3492.2856450089048</v>
      </c>
      <c r="R61" s="10">
        <v>0</v>
      </c>
      <c r="S61" s="6" t="s">
        <v>199</v>
      </c>
      <c r="T61" s="6" t="s">
        <v>288</v>
      </c>
      <c r="U61" s="6" t="s">
        <v>289</v>
      </c>
    </row>
    <row r="62" spans="1:21" x14ac:dyDescent="0.25">
      <c r="A62" s="6" t="s">
        <v>300</v>
      </c>
      <c r="B62" s="5" t="s">
        <v>629</v>
      </c>
      <c r="C62" s="5">
        <v>10</v>
      </c>
      <c r="D62" s="5">
        <v>47</v>
      </c>
      <c r="E62" s="9">
        <v>5.94</v>
      </c>
      <c r="F62" s="5">
        <v>356.4</v>
      </c>
      <c r="G62" s="9">
        <v>5.8</v>
      </c>
      <c r="H62" s="5">
        <v>348</v>
      </c>
      <c r="I62" s="10">
        <v>0</v>
      </c>
      <c r="J62" s="29">
        <v>751.15451396146693</v>
      </c>
      <c r="K62" s="10">
        <v>0</v>
      </c>
      <c r="L62" s="31">
        <v>0</v>
      </c>
      <c r="M62" s="5">
        <v>1</v>
      </c>
      <c r="N62" s="5">
        <v>1</v>
      </c>
      <c r="O62" s="9">
        <v>1.5</v>
      </c>
      <c r="P62" s="9">
        <v>0.25</v>
      </c>
      <c r="Q62" s="29">
        <v>281.68294273555011</v>
      </c>
      <c r="R62" s="10">
        <v>0</v>
      </c>
      <c r="S62" s="6" t="s">
        <v>203</v>
      </c>
      <c r="T62" s="6" t="s">
        <v>300</v>
      </c>
      <c r="U62" s="6" t="s">
        <v>301</v>
      </c>
    </row>
    <row r="63" spans="1:21" x14ac:dyDescent="0.25">
      <c r="A63" s="6" t="s">
        <v>302</v>
      </c>
      <c r="B63" s="5" t="s">
        <v>503</v>
      </c>
      <c r="C63" s="5">
        <v>72</v>
      </c>
      <c r="D63" s="5">
        <v>145</v>
      </c>
      <c r="E63" s="9">
        <v>2.23</v>
      </c>
      <c r="F63" s="5">
        <v>133.80000000000001</v>
      </c>
      <c r="G63" s="9">
        <v>2.82</v>
      </c>
      <c r="H63" s="5">
        <v>169.2</v>
      </c>
      <c r="I63" s="10">
        <v>0</v>
      </c>
      <c r="J63" s="29">
        <v>173.77379051250111</v>
      </c>
      <c r="K63" s="10">
        <v>0</v>
      </c>
      <c r="L63" s="31">
        <v>1</v>
      </c>
      <c r="M63" s="5">
        <v>24</v>
      </c>
      <c r="N63" s="5">
        <v>24</v>
      </c>
      <c r="O63" s="9">
        <v>10</v>
      </c>
      <c r="P63" s="9">
        <v>12</v>
      </c>
      <c r="Q63" s="29">
        <v>20852.854861500131</v>
      </c>
      <c r="R63" s="10">
        <v>0</v>
      </c>
      <c r="S63" s="6" t="s">
        <v>303</v>
      </c>
      <c r="T63" s="6" t="s">
        <v>302</v>
      </c>
      <c r="U63" s="6" t="s">
        <v>304</v>
      </c>
    </row>
    <row r="64" spans="1:21" x14ac:dyDescent="0.25">
      <c r="A64" s="6" t="s">
        <v>305</v>
      </c>
      <c r="B64" s="5" t="s">
        <v>503</v>
      </c>
      <c r="C64" s="5">
        <v>72</v>
      </c>
      <c r="D64" s="5">
        <v>130</v>
      </c>
      <c r="E64" s="9">
        <v>1.05</v>
      </c>
      <c r="F64" s="5">
        <v>63</v>
      </c>
      <c r="G64" s="9">
        <v>1.44</v>
      </c>
      <c r="H64" s="5">
        <v>86.399999999999991</v>
      </c>
      <c r="I64" s="10">
        <v>0</v>
      </c>
      <c r="J64" s="29">
        <v>208.64053019851789</v>
      </c>
      <c r="K64" s="10">
        <v>0</v>
      </c>
      <c r="L64" s="31">
        <v>1</v>
      </c>
      <c r="M64" s="5">
        <v>24</v>
      </c>
      <c r="N64" s="5">
        <v>24</v>
      </c>
      <c r="O64" s="9">
        <v>10</v>
      </c>
      <c r="P64" s="9">
        <v>12</v>
      </c>
      <c r="Q64" s="29">
        <v>25036.863623822141</v>
      </c>
      <c r="R64" s="10">
        <v>0</v>
      </c>
      <c r="S64" s="6" t="s">
        <v>303</v>
      </c>
      <c r="T64" s="6" t="s">
        <v>305</v>
      </c>
      <c r="U64" s="6" t="s">
        <v>306</v>
      </c>
    </row>
    <row r="65" spans="1:21" x14ac:dyDescent="0.25">
      <c r="A65" s="6" t="s">
        <v>307</v>
      </c>
      <c r="B65" s="5" t="s">
        <v>549</v>
      </c>
      <c r="C65" s="5">
        <v>5.2</v>
      </c>
      <c r="D65" s="5">
        <v>9</v>
      </c>
      <c r="E65" s="9">
        <v>0.06</v>
      </c>
      <c r="F65" s="5">
        <v>3.6</v>
      </c>
      <c r="G65" s="9">
        <v>0.06</v>
      </c>
      <c r="H65" s="5">
        <v>3.6</v>
      </c>
      <c r="I65" s="10">
        <v>0</v>
      </c>
      <c r="J65" s="29">
        <v>316.32428395051397</v>
      </c>
      <c r="K65" s="10">
        <v>0</v>
      </c>
      <c r="L65" s="31">
        <v>1</v>
      </c>
      <c r="M65" s="5">
        <v>4</v>
      </c>
      <c r="N65" s="5">
        <v>1</v>
      </c>
      <c r="O65" s="9">
        <v>2</v>
      </c>
      <c r="P65" s="9">
        <v>3</v>
      </c>
      <c r="Q65" s="29">
        <v>1897.9457037030841</v>
      </c>
      <c r="R65" s="10">
        <v>0</v>
      </c>
      <c r="S65" s="6" t="s">
        <v>203</v>
      </c>
      <c r="T65" s="6" t="s">
        <v>308</v>
      </c>
      <c r="U65" s="6" t="s">
        <v>309</v>
      </c>
    </row>
    <row r="66" spans="1:21" x14ac:dyDescent="0.25">
      <c r="A66" s="6" t="s">
        <v>310</v>
      </c>
      <c r="B66" s="5" t="s">
        <v>549</v>
      </c>
      <c r="C66" s="5">
        <v>5.2</v>
      </c>
      <c r="D66" s="5">
        <v>9</v>
      </c>
      <c r="E66" s="9">
        <v>0.06</v>
      </c>
      <c r="F66" s="5">
        <v>3.6</v>
      </c>
      <c r="G66" s="9">
        <v>0.06</v>
      </c>
      <c r="H66" s="5">
        <v>3.6</v>
      </c>
      <c r="I66" s="10">
        <v>0</v>
      </c>
      <c r="J66" s="29">
        <v>316.32428395051397</v>
      </c>
      <c r="K66" s="10">
        <v>0</v>
      </c>
      <c r="L66" s="31">
        <v>1</v>
      </c>
      <c r="M66" s="5">
        <v>4</v>
      </c>
      <c r="N66" s="5">
        <v>1</v>
      </c>
      <c r="O66" s="9">
        <v>2</v>
      </c>
      <c r="P66" s="9">
        <v>3</v>
      </c>
      <c r="Q66" s="29">
        <v>1897.9457037030841</v>
      </c>
      <c r="R66" s="10">
        <v>0</v>
      </c>
      <c r="S66" s="6" t="s">
        <v>203</v>
      </c>
      <c r="T66" s="6" t="s">
        <v>308</v>
      </c>
      <c r="U66" s="6" t="s">
        <v>309</v>
      </c>
    </row>
    <row r="67" spans="1:21" x14ac:dyDescent="0.25">
      <c r="A67" s="6" t="s">
        <v>311</v>
      </c>
      <c r="B67" s="5" t="s">
        <v>549</v>
      </c>
      <c r="C67" s="5">
        <v>5.2</v>
      </c>
      <c r="D67" s="5">
        <v>9</v>
      </c>
      <c r="E67" s="9">
        <v>0.06</v>
      </c>
      <c r="F67" s="5">
        <v>3.6</v>
      </c>
      <c r="G67" s="9">
        <v>0.06</v>
      </c>
      <c r="H67" s="5">
        <v>3.6</v>
      </c>
      <c r="I67" s="10">
        <v>0</v>
      </c>
      <c r="J67" s="29">
        <v>316.32428395051397</v>
      </c>
      <c r="K67" s="10">
        <v>0</v>
      </c>
      <c r="L67" s="31">
        <v>1</v>
      </c>
      <c r="M67" s="5">
        <v>4</v>
      </c>
      <c r="N67" s="5">
        <v>1</v>
      </c>
      <c r="O67" s="9">
        <v>2</v>
      </c>
      <c r="P67" s="9">
        <v>3</v>
      </c>
      <c r="Q67" s="29">
        <v>1897.9457037030841</v>
      </c>
      <c r="R67" s="10">
        <v>0</v>
      </c>
      <c r="S67" s="6" t="s">
        <v>203</v>
      </c>
      <c r="T67" s="6" t="s">
        <v>308</v>
      </c>
      <c r="U67" s="6" t="s">
        <v>309</v>
      </c>
    </row>
    <row r="68" spans="1:21" x14ac:dyDescent="0.25">
      <c r="A68" s="6" t="s">
        <v>312</v>
      </c>
      <c r="B68" s="5" t="s">
        <v>549</v>
      </c>
      <c r="C68" s="5">
        <v>5.2</v>
      </c>
      <c r="D68" s="5">
        <v>9</v>
      </c>
      <c r="E68" s="9">
        <v>0.06</v>
      </c>
      <c r="F68" s="5">
        <v>3.6</v>
      </c>
      <c r="G68" s="9">
        <v>0.06</v>
      </c>
      <c r="H68" s="5">
        <v>3.6</v>
      </c>
      <c r="I68" s="10">
        <v>0</v>
      </c>
      <c r="J68" s="29">
        <v>316.32428395051397</v>
      </c>
      <c r="K68" s="10">
        <v>0</v>
      </c>
      <c r="L68" s="31">
        <v>1</v>
      </c>
      <c r="M68" s="5">
        <v>4</v>
      </c>
      <c r="N68" s="5">
        <v>1</v>
      </c>
      <c r="O68" s="9">
        <v>2</v>
      </c>
      <c r="P68" s="9">
        <v>3</v>
      </c>
      <c r="Q68" s="29">
        <v>1897.9457037030841</v>
      </c>
      <c r="R68" s="10">
        <v>0</v>
      </c>
      <c r="S68" s="6" t="s">
        <v>203</v>
      </c>
      <c r="T68" s="6" t="s">
        <v>308</v>
      </c>
      <c r="U68" s="6" t="s">
        <v>309</v>
      </c>
    </row>
    <row r="69" spans="1:21" x14ac:dyDescent="0.25">
      <c r="A69" s="6" t="s">
        <v>313</v>
      </c>
      <c r="B69" s="5" t="s">
        <v>549</v>
      </c>
      <c r="C69" s="5">
        <v>5.2</v>
      </c>
      <c r="D69" s="5">
        <v>9</v>
      </c>
      <c r="E69" s="5">
        <v>0</v>
      </c>
      <c r="F69" s="5">
        <v>0</v>
      </c>
      <c r="G69" s="5">
        <v>0</v>
      </c>
      <c r="H69" s="5">
        <v>0</v>
      </c>
      <c r="I69" s="10">
        <v>0</v>
      </c>
      <c r="J69" s="29">
        <v>316.32428395051397</v>
      </c>
      <c r="K69" s="10">
        <v>0</v>
      </c>
      <c r="L69" s="31">
        <v>1</v>
      </c>
      <c r="M69" s="5">
        <v>4</v>
      </c>
      <c r="N69" s="5">
        <v>1</v>
      </c>
      <c r="O69" s="9">
        <v>2</v>
      </c>
      <c r="P69" s="9">
        <v>3</v>
      </c>
      <c r="Q69" s="29">
        <v>1897.9457037030841</v>
      </c>
      <c r="R69" s="10">
        <v>0</v>
      </c>
      <c r="S69" s="6" t="s">
        <v>203</v>
      </c>
      <c r="T69" s="6" t="s">
        <v>308</v>
      </c>
      <c r="U69" s="6" t="s">
        <v>309</v>
      </c>
    </row>
    <row r="70" spans="1:21" x14ac:dyDescent="0.25">
      <c r="A70" s="6" t="s">
        <v>314</v>
      </c>
      <c r="B70" s="5" t="s">
        <v>549</v>
      </c>
      <c r="C70" s="5">
        <v>5.2</v>
      </c>
      <c r="D70" s="5">
        <v>9</v>
      </c>
      <c r="E70" s="9">
        <v>0.06</v>
      </c>
      <c r="F70" s="5">
        <v>3.6</v>
      </c>
      <c r="G70" s="9">
        <v>0.06</v>
      </c>
      <c r="H70" s="5">
        <v>3.6</v>
      </c>
      <c r="I70" s="10">
        <v>0</v>
      </c>
      <c r="J70" s="29">
        <v>316.32428395051397</v>
      </c>
      <c r="K70" s="10">
        <v>0</v>
      </c>
      <c r="L70" s="31">
        <v>1</v>
      </c>
      <c r="M70" s="5">
        <v>4</v>
      </c>
      <c r="N70" s="5">
        <v>1</v>
      </c>
      <c r="O70" s="9">
        <v>2</v>
      </c>
      <c r="P70" s="9">
        <v>3</v>
      </c>
      <c r="Q70" s="29">
        <v>1897.9457037030841</v>
      </c>
      <c r="R70" s="10">
        <v>0</v>
      </c>
      <c r="S70" s="6" t="s">
        <v>203</v>
      </c>
      <c r="T70" s="6" t="s">
        <v>308</v>
      </c>
      <c r="U70" s="6" t="s">
        <v>309</v>
      </c>
    </row>
    <row r="71" spans="1:21" x14ac:dyDescent="0.25">
      <c r="A71" s="6" t="s">
        <v>315</v>
      </c>
      <c r="B71" s="5" t="s">
        <v>549</v>
      </c>
      <c r="C71" s="5">
        <v>5.2</v>
      </c>
      <c r="D71" s="5">
        <v>9</v>
      </c>
      <c r="E71" s="9">
        <v>0.06</v>
      </c>
      <c r="F71" s="5">
        <v>3.6</v>
      </c>
      <c r="G71" s="9">
        <v>0.06</v>
      </c>
      <c r="H71" s="5">
        <v>3.6</v>
      </c>
      <c r="I71" s="10">
        <v>0</v>
      </c>
      <c r="J71" s="29">
        <v>316.32428395051397</v>
      </c>
      <c r="K71" s="10">
        <v>0</v>
      </c>
      <c r="L71" s="31">
        <v>1</v>
      </c>
      <c r="M71" s="5">
        <v>4</v>
      </c>
      <c r="N71" s="5">
        <v>1</v>
      </c>
      <c r="O71" s="9">
        <v>2</v>
      </c>
      <c r="P71" s="9">
        <v>3</v>
      </c>
      <c r="Q71" s="29">
        <v>1897.9457037030841</v>
      </c>
      <c r="R71" s="10">
        <v>0</v>
      </c>
      <c r="S71" s="6" t="s">
        <v>203</v>
      </c>
      <c r="T71" s="6" t="s">
        <v>308</v>
      </c>
      <c r="U71" s="6" t="s">
        <v>309</v>
      </c>
    </row>
    <row r="72" spans="1:21" x14ac:dyDescent="0.25">
      <c r="A72" s="6" t="s">
        <v>316</v>
      </c>
      <c r="B72" s="5" t="s">
        <v>549</v>
      </c>
      <c r="C72" s="5">
        <v>5.2</v>
      </c>
      <c r="D72" s="5">
        <v>9</v>
      </c>
      <c r="E72" s="5">
        <v>0</v>
      </c>
      <c r="F72" s="5">
        <v>0</v>
      </c>
      <c r="G72" s="5">
        <v>0</v>
      </c>
      <c r="H72" s="5">
        <v>0</v>
      </c>
      <c r="I72" s="10">
        <v>0</v>
      </c>
      <c r="J72" s="29">
        <v>316.32428395051397</v>
      </c>
      <c r="K72" s="10">
        <v>0</v>
      </c>
      <c r="L72" s="31">
        <v>1</v>
      </c>
      <c r="M72" s="5">
        <v>4</v>
      </c>
      <c r="N72" s="5">
        <v>1</v>
      </c>
      <c r="O72" s="9">
        <v>2</v>
      </c>
      <c r="P72" s="9">
        <v>3</v>
      </c>
      <c r="Q72" s="29">
        <v>1897.9457037030841</v>
      </c>
      <c r="R72" s="10">
        <v>0</v>
      </c>
      <c r="S72" s="6" t="s">
        <v>203</v>
      </c>
      <c r="T72" s="6" t="s">
        <v>308</v>
      </c>
      <c r="U72" s="6" t="s">
        <v>309</v>
      </c>
    </row>
    <row r="73" spans="1:21" x14ac:dyDescent="0.25">
      <c r="A73" s="6" t="s">
        <v>317</v>
      </c>
      <c r="B73" s="5" t="s">
        <v>549</v>
      </c>
      <c r="C73" s="5">
        <v>5.2</v>
      </c>
      <c r="D73" s="5">
        <v>9</v>
      </c>
      <c r="E73" s="5">
        <v>0</v>
      </c>
      <c r="F73" s="5">
        <v>0</v>
      </c>
      <c r="G73" s="5">
        <v>0</v>
      </c>
      <c r="H73" s="5">
        <v>0</v>
      </c>
      <c r="I73" s="10">
        <v>0</v>
      </c>
      <c r="J73" s="29">
        <v>316.32428395051397</v>
      </c>
      <c r="K73" s="10">
        <v>0</v>
      </c>
      <c r="L73" s="31">
        <v>1</v>
      </c>
      <c r="M73" s="5">
        <v>4</v>
      </c>
      <c r="N73" s="5">
        <v>1</v>
      </c>
      <c r="O73" s="9">
        <v>2</v>
      </c>
      <c r="P73" s="9">
        <v>3</v>
      </c>
      <c r="Q73" s="29">
        <v>1897.9457037030841</v>
      </c>
      <c r="R73" s="10">
        <v>0</v>
      </c>
      <c r="S73" s="6" t="s">
        <v>203</v>
      </c>
      <c r="T73" s="6" t="s">
        <v>308</v>
      </c>
      <c r="U73" s="6" t="s">
        <v>309</v>
      </c>
    </row>
    <row r="74" spans="1:21" x14ac:dyDescent="0.25">
      <c r="A74" s="6" t="s">
        <v>318</v>
      </c>
      <c r="B74" s="5" t="s">
        <v>549</v>
      </c>
      <c r="C74" s="5">
        <v>5.2</v>
      </c>
      <c r="D74" s="5">
        <v>9</v>
      </c>
      <c r="E74" s="5">
        <v>0</v>
      </c>
      <c r="F74" s="5">
        <v>0</v>
      </c>
      <c r="G74" s="5">
        <v>0</v>
      </c>
      <c r="H74" s="5">
        <v>0</v>
      </c>
      <c r="I74" s="10">
        <v>0</v>
      </c>
      <c r="J74" s="29">
        <v>316.32428395051397</v>
      </c>
      <c r="K74" s="10">
        <v>0</v>
      </c>
      <c r="L74" s="31">
        <v>1</v>
      </c>
      <c r="M74" s="5">
        <v>4</v>
      </c>
      <c r="N74" s="5">
        <v>1</v>
      </c>
      <c r="O74" s="9">
        <v>2</v>
      </c>
      <c r="P74" s="9">
        <v>3</v>
      </c>
      <c r="Q74" s="29">
        <v>1897.9457037030841</v>
      </c>
      <c r="R74" s="10">
        <v>0</v>
      </c>
      <c r="S74" s="6" t="s">
        <v>203</v>
      </c>
      <c r="T74" s="6" t="s">
        <v>308</v>
      </c>
      <c r="U74" s="6" t="s">
        <v>309</v>
      </c>
    </row>
    <row r="75" spans="1:21" x14ac:dyDescent="0.25">
      <c r="A75" s="6" t="s">
        <v>319</v>
      </c>
      <c r="B75" s="5" t="s">
        <v>546</v>
      </c>
      <c r="C75" s="5">
        <v>68</v>
      </c>
      <c r="D75" s="5">
        <v>165</v>
      </c>
      <c r="E75" s="9">
        <v>4</v>
      </c>
      <c r="F75" s="5">
        <v>240</v>
      </c>
      <c r="G75" s="9">
        <v>4</v>
      </c>
      <c r="H75" s="5">
        <v>240</v>
      </c>
      <c r="I75" s="10">
        <v>0</v>
      </c>
      <c r="J75" s="29">
        <v>66.464330604862198</v>
      </c>
      <c r="K75" s="10">
        <v>0</v>
      </c>
      <c r="L75" s="31">
        <v>1</v>
      </c>
      <c r="M75" s="5">
        <v>72</v>
      </c>
      <c r="N75" s="5">
        <v>3</v>
      </c>
      <c r="O75" s="9">
        <v>8</v>
      </c>
      <c r="P75" s="9">
        <v>12</v>
      </c>
      <c r="Q75" s="29">
        <v>6380.575738066771</v>
      </c>
      <c r="R75" s="10">
        <v>0</v>
      </c>
      <c r="S75" s="6" t="s">
        <v>233</v>
      </c>
      <c r="T75" s="6" t="s">
        <v>319</v>
      </c>
      <c r="U75" s="6" t="s">
        <v>320</v>
      </c>
    </row>
    <row r="76" spans="1:21" x14ac:dyDescent="0.25">
      <c r="A76" s="6" t="s">
        <v>321</v>
      </c>
      <c r="B76" s="5" t="s">
        <v>546</v>
      </c>
      <c r="C76" s="5">
        <v>66</v>
      </c>
      <c r="D76" s="5">
        <v>170</v>
      </c>
      <c r="E76" s="9">
        <v>1.57</v>
      </c>
      <c r="F76" s="5">
        <v>94.2</v>
      </c>
      <c r="G76" s="9">
        <v>1.57</v>
      </c>
      <c r="H76" s="5">
        <v>94.2</v>
      </c>
      <c r="I76" s="10">
        <v>0</v>
      </c>
      <c r="J76" s="29">
        <v>61.169034221549623</v>
      </c>
      <c r="K76" s="10">
        <v>0</v>
      </c>
      <c r="L76" s="31">
        <v>1</v>
      </c>
      <c r="M76" s="5">
        <v>72</v>
      </c>
      <c r="N76" s="5">
        <v>8</v>
      </c>
      <c r="O76" s="9">
        <v>9</v>
      </c>
      <c r="P76" s="9">
        <v>10</v>
      </c>
      <c r="Q76" s="29">
        <v>5505.2130799394663</v>
      </c>
      <c r="R76" s="10">
        <v>0</v>
      </c>
      <c r="S76" s="6" t="s">
        <v>233</v>
      </c>
      <c r="T76" s="6" t="s">
        <v>321</v>
      </c>
      <c r="U76" s="6" t="s">
        <v>322</v>
      </c>
    </row>
    <row r="77" spans="1:21" x14ac:dyDescent="0.25">
      <c r="A77" s="6" t="s">
        <v>323</v>
      </c>
      <c r="B77" s="5" t="s">
        <v>497</v>
      </c>
      <c r="C77" s="5">
        <v>90</v>
      </c>
      <c r="D77" s="5">
        <v>164</v>
      </c>
      <c r="E77" s="9">
        <v>6.02</v>
      </c>
      <c r="F77" s="5">
        <v>361.2</v>
      </c>
      <c r="G77" s="9">
        <v>6.01</v>
      </c>
      <c r="H77" s="5">
        <v>360.6</v>
      </c>
      <c r="I77" s="10">
        <v>0</v>
      </c>
      <c r="J77" s="29">
        <v>344.99134637091038</v>
      </c>
      <c r="K77" s="10">
        <v>0</v>
      </c>
      <c r="L77" s="31">
        <v>0</v>
      </c>
      <c r="M77" s="5">
        <v>6</v>
      </c>
      <c r="N77" s="5">
        <v>2</v>
      </c>
      <c r="O77" s="9">
        <v>4.5</v>
      </c>
      <c r="P77" s="9">
        <v>0.4</v>
      </c>
      <c r="Q77" s="29">
        <v>620.98442346763875</v>
      </c>
      <c r="R77" s="10">
        <v>0</v>
      </c>
      <c r="S77" s="6" t="s">
        <v>199</v>
      </c>
      <c r="T77" s="6" t="s">
        <v>323</v>
      </c>
      <c r="U77" s="6" t="s">
        <v>324</v>
      </c>
    </row>
    <row r="78" spans="1:21" x14ac:dyDescent="0.25">
      <c r="A78" s="6" t="s">
        <v>325</v>
      </c>
      <c r="B78" s="5" t="s">
        <v>540</v>
      </c>
      <c r="C78" s="5">
        <v>80</v>
      </c>
      <c r="D78" s="5">
        <v>153</v>
      </c>
      <c r="E78" s="5">
        <v>0</v>
      </c>
      <c r="F78" s="5">
        <v>0</v>
      </c>
      <c r="G78" s="5">
        <v>0</v>
      </c>
      <c r="H78" s="5">
        <v>0</v>
      </c>
      <c r="I78" s="10">
        <v>0</v>
      </c>
      <c r="J78" s="29">
        <v>427.43994715851608</v>
      </c>
      <c r="K78" s="10">
        <v>0</v>
      </c>
      <c r="L78" s="31">
        <v>0</v>
      </c>
      <c r="M78" s="5">
        <v>2</v>
      </c>
      <c r="N78" s="5">
        <v>4</v>
      </c>
      <c r="O78" s="9">
        <v>4</v>
      </c>
      <c r="P78" s="9">
        <v>5</v>
      </c>
      <c r="Q78" s="29">
        <v>8548.7989431703209</v>
      </c>
      <c r="R78" s="10">
        <v>0</v>
      </c>
      <c r="S78" s="6" t="s">
        <v>199</v>
      </c>
      <c r="T78" s="6" t="s">
        <v>326</v>
      </c>
      <c r="U78" s="6" t="s">
        <v>327</v>
      </c>
    </row>
    <row r="79" spans="1:21" x14ac:dyDescent="0.25">
      <c r="A79" s="6" t="s">
        <v>328</v>
      </c>
      <c r="B79" s="5" t="s">
        <v>540</v>
      </c>
      <c r="C79" s="5">
        <v>20</v>
      </c>
      <c r="D79" s="5">
        <v>76</v>
      </c>
      <c r="E79" s="5">
        <v>0</v>
      </c>
      <c r="F79" s="5">
        <v>0</v>
      </c>
      <c r="G79" s="5">
        <v>0</v>
      </c>
      <c r="H79" s="5">
        <v>0</v>
      </c>
      <c r="I79" s="10">
        <v>0</v>
      </c>
      <c r="J79" s="29">
        <v>427.43994715851608</v>
      </c>
      <c r="K79" s="10">
        <v>0</v>
      </c>
      <c r="L79" s="31">
        <v>0</v>
      </c>
      <c r="M79" s="5">
        <v>2</v>
      </c>
      <c r="N79" s="5">
        <v>4</v>
      </c>
      <c r="O79" s="9">
        <v>4</v>
      </c>
      <c r="P79" s="9">
        <v>5</v>
      </c>
      <c r="Q79" s="29">
        <v>8548.7989431703209</v>
      </c>
      <c r="R79" s="10">
        <v>0</v>
      </c>
      <c r="S79" s="6" t="s">
        <v>199</v>
      </c>
      <c r="T79" s="6" t="s">
        <v>326</v>
      </c>
      <c r="U79" s="6" t="s">
        <v>327</v>
      </c>
    </row>
    <row r="80" spans="1:21" x14ac:dyDescent="0.25">
      <c r="A80" s="6" t="s">
        <v>329</v>
      </c>
      <c r="B80" s="5" t="s">
        <v>540</v>
      </c>
      <c r="C80" s="5">
        <v>65</v>
      </c>
      <c r="D80" s="5">
        <v>160</v>
      </c>
      <c r="E80" s="9">
        <v>1</v>
      </c>
      <c r="F80" s="5">
        <v>60</v>
      </c>
      <c r="G80" s="9">
        <v>4</v>
      </c>
      <c r="H80" s="5">
        <v>240</v>
      </c>
      <c r="I80" s="10">
        <v>0</v>
      </c>
      <c r="J80" s="29">
        <v>444.30295784107977</v>
      </c>
      <c r="K80" s="10">
        <v>0</v>
      </c>
      <c r="L80" s="31">
        <v>0</v>
      </c>
      <c r="M80" s="5">
        <v>10</v>
      </c>
      <c r="N80" s="5">
        <v>4</v>
      </c>
      <c r="O80" s="9">
        <v>4</v>
      </c>
      <c r="P80" s="9">
        <v>0.75</v>
      </c>
      <c r="Q80" s="29">
        <v>1332.908873523239</v>
      </c>
      <c r="R80" s="10">
        <v>0</v>
      </c>
      <c r="S80" s="6" t="s">
        <v>199</v>
      </c>
      <c r="T80" s="6" t="s">
        <v>330</v>
      </c>
      <c r="U80" s="6" t="s">
        <v>331</v>
      </c>
    </row>
    <row r="81" spans="1:21" x14ac:dyDescent="0.25">
      <c r="A81" s="6" t="s">
        <v>332</v>
      </c>
      <c r="B81" s="5" t="s">
        <v>540</v>
      </c>
      <c r="C81" s="5">
        <v>35</v>
      </c>
      <c r="D81" s="5">
        <v>74</v>
      </c>
      <c r="E81" s="9">
        <v>1</v>
      </c>
      <c r="F81" s="5">
        <v>60</v>
      </c>
      <c r="G81" s="9">
        <v>4</v>
      </c>
      <c r="H81" s="5">
        <v>240</v>
      </c>
      <c r="I81" s="10">
        <v>0</v>
      </c>
      <c r="J81" s="29">
        <v>444.30295784107977</v>
      </c>
      <c r="K81" s="10">
        <v>0</v>
      </c>
      <c r="L81" s="31">
        <v>0</v>
      </c>
      <c r="M81" s="5">
        <v>10</v>
      </c>
      <c r="N81" s="5">
        <v>4</v>
      </c>
      <c r="O81" s="9">
        <v>10</v>
      </c>
      <c r="P81" s="9">
        <v>0.75</v>
      </c>
      <c r="Q81" s="29">
        <v>3332.2721838080979</v>
      </c>
      <c r="R81" s="10">
        <v>0</v>
      </c>
      <c r="S81" s="6" t="s">
        <v>203</v>
      </c>
      <c r="T81" s="6" t="s">
        <v>330</v>
      </c>
      <c r="U81" s="6" t="s">
        <v>331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79998168889431442"/>
  </sheetPr>
  <dimension ref="A1:Q40"/>
  <sheetViews>
    <sheetView topLeftCell="A5" workbookViewId="0">
      <selection activeCell="B26" sqref="B26"/>
    </sheetView>
  </sheetViews>
  <sheetFormatPr defaultRowHeight="15" x14ac:dyDescent="0.25"/>
  <cols>
    <col min="1" max="1" width="24" customWidth="1"/>
    <col min="2" max="2" width="22" bestFit="1" customWidth="1"/>
    <col min="3" max="3" width="5.5703125" bestFit="1" customWidth="1"/>
    <col min="4" max="4" width="7.5703125" bestFit="1" customWidth="1"/>
    <col min="5" max="5" width="5.5703125" bestFit="1" customWidth="1"/>
    <col min="6" max="6" width="12" bestFit="1" customWidth="1"/>
    <col min="7" max="7" width="10.140625" bestFit="1" customWidth="1"/>
    <col min="8" max="9" width="7.5703125" bestFit="1" customWidth="1"/>
    <col min="10" max="10" width="9.140625" customWidth="1"/>
    <col min="11" max="11" width="7.5703125" bestFit="1" customWidth="1"/>
    <col min="12" max="13" width="7" bestFit="1" customWidth="1"/>
    <col min="14" max="14" width="14.7109375" bestFit="1" customWidth="1"/>
    <col min="15" max="15" width="19.5703125" bestFit="1" customWidth="1"/>
    <col min="16" max="16" width="23.85546875" customWidth="1"/>
    <col min="17" max="17" width="6.85546875" bestFit="1" customWidth="1"/>
  </cols>
  <sheetData>
    <row r="1" spans="1:17" ht="18.75" customHeight="1" x14ac:dyDescent="0.3">
      <c r="A1" s="1" t="s">
        <v>333</v>
      </c>
    </row>
    <row r="2" spans="1:17" x14ac:dyDescent="0.25">
      <c r="A2" s="2" t="s">
        <v>334</v>
      </c>
    </row>
    <row r="4" spans="1:17" x14ac:dyDescent="0.25">
      <c r="A4" s="3" t="s">
        <v>30</v>
      </c>
      <c r="B4" s="3" t="s">
        <v>147</v>
      </c>
      <c r="C4" s="3" t="s">
        <v>63</v>
      </c>
      <c r="D4" s="3" t="s">
        <v>65</v>
      </c>
      <c r="E4" s="3" t="s">
        <v>68</v>
      </c>
      <c r="F4" s="3" t="s">
        <v>70</v>
      </c>
      <c r="G4" s="3" t="s">
        <v>72</v>
      </c>
      <c r="H4" s="3" t="s">
        <v>74</v>
      </c>
      <c r="I4" s="3" t="s">
        <v>77</v>
      </c>
      <c r="J4" s="12" t="s">
        <v>335</v>
      </c>
      <c r="K4" s="3" t="s">
        <v>78</v>
      </c>
      <c r="L4" s="3" t="s">
        <v>80</v>
      </c>
      <c r="M4" s="3" t="s">
        <v>81</v>
      </c>
      <c r="N4" s="12" t="s">
        <v>82</v>
      </c>
      <c r="O4" s="12" t="s">
        <v>336</v>
      </c>
      <c r="P4" s="12" t="s">
        <v>187</v>
      </c>
      <c r="Q4" s="12" t="s">
        <v>188</v>
      </c>
    </row>
    <row r="5" spans="1:17" x14ac:dyDescent="0.25">
      <c r="A5" s="4" t="s">
        <v>337</v>
      </c>
      <c r="B5" s="4" t="s">
        <v>147</v>
      </c>
      <c r="C5" s="4" t="s">
        <v>3</v>
      </c>
      <c r="D5" s="4" t="s">
        <v>3</v>
      </c>
      <c r="E5" s="4" t="s">
        <v>338</v>
      </c>
      <c r="F5" s="4" t="s">
        <v>338</v>
      </c>
      <c r="G5" s="4" t="s">
        <v>339</v>
      </c>
      <c r="H5" s="4" t="s">
        <v>340</v>
      </c>
      <c r="I5" s="4" t="s">
        <v>341</v>
      </c>
      <c r="J5" s="4" t="s">
        <v>342</v>
      </c>
      <c r="K5" s="4" t="s">
        <v>340</v>
      </c>
      <c r="L5" s="16" t="s">
        <v>338</v>
      </c>
      <c r="M5" s="4" t="s">
        <v>343</v>
      </c>
      <c r="N5" s="4" t="s">
        <v>3</v>
      </c>
      <c r="O5" s="4"/>
      <c r="P5" s="4"/>
      <c r="Q5" s="4"/>
    </row>
    <row r="6" spans="1:17" x14ac:dyDescent="0.25">
      <c r="A6" s="6" t="s">
        <v>344</v>
      </c>
      <c r="B6" s="5" t="s">
        <v>344</v>
      </c>
      <c r="C6" s="5">
        <v>0</v>
      </c>
      <c r="D6" s="19">
        <v>1250</v>
      </c>
      <c r="E6" s="19">
        <v>0</v>
      </c>
      <c r="F6" s="19">
        <v>126.9589770153468</v>
      </c>
      <c r="G6" s="5">
        <v>9.8457000000000008</v>
      </c>
      <c r="H6" s="19">
        <v>18.47</v>
      </c>
      <c r="I6" s="19">
        <v>741.69</v>
      </c>
      <c r="J6" s="30">
        <v>0.96002599485633688</v>
      </c>
      <c r="K6" s="19">
        <v>712.78</v>
      </c>
      <c r="L6" s="22">
        <v>100</v>
      </c>
      <c r="M6" s="30">
        <v>25.320716592950561</v>
      </c>
      <c r="N6" s="5">
        <v>300</v>
      </c>
      <c r="O6" s="6" t="s">
        <v>345</v>
      </c>
      <c r="P6" s="6" t="s">
        <v>344</v>
      </c>
      <c r="Q6" s="6" t="s">
        <v>346</v>
      </c>
    </row>
    <row r="7" spans="1:17" x14ac:dyDescent="0.25">
      <c r="A7" s="6" t="s">
        <v>347</v>
      </c>
      <c r="B7" s="5" t="s">
        <v>348</v>
      </c>
      <c r="C7" s="5">
        <v>0</v>
      </c>
      <c r="D7" s="19">
        <v>1240</v>
      </c>
      <c r="E7" s="19">
        <v>0</v>
      </c>
      <c r="F7" s="19">
        <v>229.63813474573129</v>
      </c>
      <c r="G7" s="5">
        <v>5.3997999999999999</v>
      </c>
      <c r="H7" s="19">
        <v>13.98</v>
      </c>
      <c r="I7" s="19">
        <v>57.94</v>
      </c>
      <c r="J7" s="30">
        <v>0.38034576888080068</v>
      </c>
      <c r="K7" s="19">
        <v>30.7</v>
      </c>
      <c r="L7" s="22">
        <v>100</v>
      </c>
      <c r="M7" s="30">
        <v>207.77070809260641</v>
      </c>
      <c r="N7" s="5">
        <v>176</v>
      </c>
      <c r="O7" s="6" t="s">
        <v>345</v>
      </c>
      <c r="P7" s="6" t="s">
        <v>348</v>
      </c>
      <c r="Q7" s="6" t="s">
        <v>349</v>
      </c>
    </row>
    <row r="8" spans="1:17" x14ac:dyDescent="0.25">
      <c r="A8" s="6" t="s">
        <v>350</v>
      </c>
      <c r="B8" s="5" t="s">
        <v>480</v>
      </c>
      <c r="C8" s="5">
        <v>0</v>
      </c>
      <c r="D8" s="19">
        <v>1200</v>
      </c>
      <c r="E8" s="19">
        <v>0</v>
      </c>
      <c r="F8" s="19">
        <v>695.16857838025726</v>
      </c>
      <c r="G8" s="5">
        <v>1.7262</v>
      </c>
      <c r="H8" s="19">
        <v>1299</v>
      </c>
      <c r="I8" s="19">
        <v>1431</v>
      </c>
      <c r="J8" s="30">
        <v>0.50166666666666671</v>
      </c>
      <c r="K8" s="19">
        <v>1365.22</v>
      </c>
      <c r="L8" s="22">
        <v>100</v>
      </c>
      <c r="M8" s="30">
        <v>24.491581872249579</v>
      </c>
      <c r="N8" s="5">
        <v>616</v>
      </c>
      <c r="O8" s="6" t="s">
        <v>345</v>
      </c>
      <c r="P8" s="6" t="s">
        <v>350</v>
      </c>
      <c r="Q8" s="6" t="s">
        <v>351</v>
      </c>
    </row>
    <row r="9" spans="1:17" x14ac:dyDescent="0.25">
      <c r="A9" s="25" t="s">
        <v>352</v>
      </c>
      <c r="B9" s="5" t="s">
        <v>353</v>
      </c>
      <c r="C9" s="5">
        <v>0</v>
      </c>
      <c r="D9" s="19">
        <v>1000</v>
      </c>
      <c r="E9" s="19">
        <v>0</v>
      </c>
      <c r="F9" s="19">
        <v>143.1987742184927</v>
      </c>
      <c r="G9" s="5">
        <v>6.9832999999999998</v>
      </c>
      <c r="H9" s="19">
        <v>67.7</v>
      </c>
      <c r="I9" s="19">
        <v>528.48</v>
      </c>
      <c r="J9" s="30">
        <v>0.86798472155909545</v>
      </c>
      <c r="K9" s="19">
        <v>467.65</v>
      </c>
      <c r="L9" s="22">
        <v>100</v>
      </c>
      <c r="M9" s="30">
        <v>42.083671256852533</v>
      </c>
      <c r="N9" s="5">
        <v>80</v>
      </c>
      <c r="O9" s="6" t="s">
        <v>345</v>
      </c>
      <c r="P9" s="6" t="s">
        <v>353</v>
      </c>
      <c r="Q9" s="6" t="s">
        <v>354</v>
      </c>
    </row>
    <row r="10" spans="1:17" x14ac:dyDescent="0.25">
      <c r="A10" s="6" t="s">
        <v>355</v>
      </c>
      <c r="B10" s="5" t="s">
        <v>356</v>
      </c>
      <c r="C10" s="5">
        <v>0</v>
      </c>
      <c r="D10" s="19">
        <v>819</v>
      </c>
      <c r="E10" s="19">
        <v>0</v>
      </c>
      <c r="F10" s="19">
        <v>586.21430105217951</v>
      </c>
      <c r="G10" s="5">
        <v>1.3971</v>
      </c>
      <c r="H10" s="19">
        <v>555.84</v>
      </c>
      <c r="I10" s="19">
        <v>3206.49</v>
      </c>
      <c r="J10" s="30">
        <v>0.84208778978741061</v>
      </c>
      <c r="K10" s="19">
        <v>2787.92</v>
      </c>
      <c r="L10" s="22">
        <v>100</v>
      </c>
      <c r="M10" s="30">
        <v>197.7375149452773</v>
      </c>
      <c r="N10" s="5">
        <v>360</v>
      </c>
      <c r="O10" s="6" t="s">
        <v>345</v>
      </c>
      <c r="P10" s="6" t="s">
        <v>356</v>
      </c>
      <c r="Q10" s="6" t="s">
        <v>357</v>
      </c>
    </row>
    <row r="11" spans="1:17" x14ac:dyDescent="0.25">
      <c r="A11" s="6" t="s">
        <v>358</v>
      </c>
      <c r="B11" s="5" t="s">
        <v>358</v>
      </c>
      <c r="C11" s="5">
        <v>0</v>
      </c>
      <c r="D11" s="19">
        <v>700</v>
      </c>
      <c r="E11" s="19">
        <v>0</v>
      </c>
      <c r="F11" s="19">
        <v>228.7058516025746</v>
      </c>
      <c r="G11" s="5">
        <v>3.0607000000000002</v>
      </c>
      <c r="H11" s="19">
        <v>29.45</v>
      </c>
      <c r="I11" s="19">
        <v>161.28</v>
      </c>
      <c r="J11" s="30">
        <v>0.26116968823484787</v>
      </c>
      <c r="K11" s="19">
        <v>63.88000000000001</v>
      </c>
      <c r="L11" s="22">
        <v>100</v>
      </c>
      <c r="M11" s="30">
        <v>197.62603502141809</v>
      </c>
      <c r="N11" s="5">
        <v>500</v>
      </c>
      <c r="O11" s="6" t="s">
        <v>345</v>
      </c>
      <c r="P11" s="6" t="s">
        <v>358</v>
      </c>
      <c r="Q11" s="6" t="s">
        <v>359</v>
      </c>
    </row>
    <row r="12" spans="1:17" x14ac:dyDescent="0.25">
      <c r="A12" s="6" t="s">
        <v>360</v>
      </c>
      <c r="B12" s="5" t="s">
        <v>361</v>
      </c>
      <c r="C12" s="5">
        <v>0</v>
      </c>
      <c r="D12" s="19">
        <v>560</v>
      </c>
      <c r="E12" s="19">
        <v>0</v>
      </c>
      <c r="F12" s="19">
        <v>77.580593768615884</v>
      </c>
      <c r="G12" s="5">
        <v>7.2183000000000002</v>
      </c>
      <c r="H12" s="19">
        <v>77.84</v>
      </c>
      <c r="I12" s="19">
        <v>1120.02</v>
      </c>
      <c r="J12" s="30">
        <v>0.92000422191943809</v>
      </c>
      <c r="K12" s="19">
        <v>1036.6500000000001</v>
      </c>
      <c r="L12" s="22">
        <v>100</v>
      </c>
      <c r="M12" s="30">
        <v>197.5981650404533</v>
      </c>
      <c r="N12" s="5">
        <v>0</v>
      </c>
      <c r="O12" s="6" t="s">
        <v>345</v>
      </c>
      <c r="P12" s="6" t="s">
        <v>361</v>
      </c>
      <c r="Q12" s="6" t="s">
        <v>362</v>
      </c>
    </row>
    <row r="13" spans="1:17" x14ac:dyDescent="0.25">
      <c r="A13" s="6" t="s">
        <v>363</v>
      </c>
      <c r="B13" s="5" t="s">
        <v>363</v>
      </c>
      <c r="C13" s="5">
        <v>0</v>
      </c>
      <c r="D13" s="19">
        <v>540</v>
      </c>
      <c r="E13" s="19">
        <v>0</v>
      </c>
      <c r="F13" s="19">
        <v>916.03053435114498</v>
      </c>
      <c r="G13" s="5">
        <v>0.58950000000000002</v>
      </c>
      <c r="H13" s="19">
        <v>448.19</v>
      </c>
      <c r="I13" s="19">
        <v>1171.79</v>
      </c>
      <c r="J13" s="30">
        <v>0.77616086235489223</v>
      </c>
      <c r="K13" s="19">
        <v>1009.82</v>
      </c>
      <c r="L13" s="22">
        <v>100</v>
      </c>
      <c r="M13" s="30">
        <v>25.320713805952469</v>
      </c>
      <c r="N13" s="5">
        <v>180</v>
      </c>
      <c r="O13" s="6" t="s">
        <v>345</v>
      </c>
      <c r="P13" s="6" t="s">
        <v>363</v>
      </c>
      <c r="Q13" s="6" t="s">
        <v>364</v>
      </c>
    </row>
    <row r="14" spans="1:17" x14ac:dyDescent="0.25">
      <c r="A14" s="6" t="s">
        <v>365</v>
      </c>
      <c r="B14" s="5" t="s">
        <v>365</v>
      </c>
      <c r="C14" s="5">
        <v>0</v>
      </c>
      <c r="D14" s="19">
        <v>405</v>
      </c>
      <c r="E14" s="19">
        <v>0</v>
      </c>
      <c r="F14" s="19">
        <v>188.969764837626</v>
      </c>
      <c r="G14" s="5">
        <v>2.1432000000000002</v>
      </c>
      <c r="H14" s="19">
        <v>38.79</v>
      </c>
      <c r="I14" s="19">
        <v>124.67</v>
      </c>
      <c r="J14" s="30">
        <v>0.28039124359571488</v>
      </c>
      <c r="K14" s="19">
        <v>62.87</v>
      </c>
      <c r="L14" s="22">
        <v>100</v>
      </c>
      <c r="M14" s="30">
        <v>209.16420714084649</v>
      </c>
      <c r="N14" s="5">
        <v>225</v>
      </c>
      <c r="O14" s="6" t="s">
        <v>345</v>
      </c>
      <c r="P14" s="6" t="s">
        <v>365</v>
      </c>
      <c r="Q14" s="6" t="s">
        <v>366</v>
      </c>
    </row>
    <row r="15" spans="1:17" x14ac:dyDescent="0.25">
      <c r="A15" s="6" t="s">
        <v>367</v>
      </c>
      <c r="B15" s="5" t="s">
        <v>552</v>
      </c>
      <c r="C15" s="5">
        <v>0</v>
      </c>
      <c r="D15" s="19">
        <v>400</v>
      </c>
      <c r="E15" s="19">
        <v>0</v>
      </c>
      <c r="F15" s="19">
        <v>363.47114947751021</v>
      </c>
      <c r="G15" s="5">
        <v>1.1005</v>
      </c>
      <c r="H15" s="19">
        <v>453.72</v>
      </c>
      <c r="I15" s="19">
        <v>2742.14</v>
      </c>
      <c r="J15" s="30">
        <v>0.64587794198617388</v>
      </c>
      <c r="K15" s="19">
        <v>1931.76</v>
      </c>
      <c r="L15" s="22">
        <v>100</v>
      </c>
      <c r="M15" s="30">
        <v>178.36787817473919</v>
      </c>
      <c r="N15" s="5">
        <v>0</v>
      </c>
      <c r="O15" s="6" t="s">
        <v>345</v>
      </c>
      <c r="P15" s="6" t="s">
        <v>367</v>
      </c>
      <c r="Q15" s="6" t="s">
        <v>368</v>
      </c>
    </row>
    <row r="16" spans="1:17" x14ac:dyDescent="0.25">
      <c r="A16" s="6" t="s">
        <v>369</v>
      </c>
      <c r="B16" s="5" t="s">
        <v>370</v>
      </c>
      <c r="C16" s="5">
        <v>0</v>
      </c>
      <c r="D16" s="19">
        <v>396</v>
      </c>
      <c r="E16" s="19">
        <v>0</v>
      </c>
      <c r="F16" s="19">
        <v>191.55420113191121</v>
      </c>
      <c r="G16" s="5">
        <v>2.0672999999999999</v>
      </c>
      <c r="H16" s="19">
        <v>48.01</v>
      </c>
      <c r="I16" s="19">
        <v>489.8</v>
      </c>
      <c r="J16" s="30">
        <v>0.76602005477715662</v>
      </c>
      <c r="K16" s="19">
        <v>386.43</v>
      </c>
      <c r="L16" s="22">
        <v>100</v>
      </c>
      <c r="M16" s="30">
        <v>300.99579441987242</v>
      </c>
      <c r="N16" s="5">
        <v>60</v>
      </c>
      <c r="O16" s="6" t="s">
        <v>345</v>
      </c>
      <c r="P16" s="6" t="s">
        <v>370</v>
      </c>
      <c r="Q16" s="6" t="s">
        <v>371</v>
      </c>
    </row>
    <row r="17" spans="1:17" x14ac:dyDescent="0.25">
      <c r="A17" s="6" t="s">
        <v>372</v>
      </c>
      <c r="B17" s="5" t="s">
        <v>372</v>
      </c>
      <c r="C17" s="5">
        <v>0</v>
      </c>
      <c r="D17" s="19">
        <v>355</v>
      </c>
      <c r="E17" s="19">
        <v>0</v>
      </c>
      <c r="F17" s="19">
        <v>101.162658155705</v>
      </c>
      <c r="G17" s="5">
        <v>3.5091999999999999</v>
      </c>
      <c r="H17" s="19">
        <v>6.32</v>
      </c>
      <c r="I17" s="19">
        <v>38.380000000000003</v>
      </c>
      <c r="J17" s="30">
        <v>0.6428571428571429</v>
      </c>
      <c r="K17" s="19">
        <v>26.93</v>
      </c>
      <c r="L17" s="22">
        <v>100</v>
      </c>
      <c r="M17" s="30">
        <v>335.83327062587608</v>
      </c>
      <c r="N17" s="5">
        <v>90</v>
      </c>
      <c r="O17" s="6" t="s">
        <v>345</v>
      </c>
      <c r="P17" s="6" t="s">
        <v>372</v>
      </c>
      <c r="Q17" s="6" t="s">
        <v>373</v>
      </c>
    </row>
    <row r="18" spans="1:17" x14ac:dyDescent="0.25">
      <c r="A18" s="6" t="s">
        <v>374</v>
      </c>
      <c r="B18" s="5" t="s">
        <v>374</v>
      </c>
      <c r="C18" s="5">
        <v>0</v>
      </c>
      <c r="D18" s="19">
        <v>338</v>
      </c>
      <c r="E18" s="19">
        <v>0</v>
      </c>
      <c r="F18" s="19">
        <v>710.6812447434819</v>
      </c>
      <c r="G18" s="5">
        <v>0.47560000000000002</v>
      </c>
      <c r="H18" s="19">
        <v>354.01</v>
      </c>
      <c r="I18" s="19">
        <v>1418.17</v>
      </c>
      <c r="J18" s="30">
        <v>0.64770335287926628</v>
      </c>
      <c r="K18" s="19">
        <v>1043.27</v>
      </c>
      <c r="L18" s="22">
        <v>100</v>
      </c>
      <c r="M18" s="30">
        <v>198.43426446939739</v>
      </c>
      <c r="N18" s="5">
        <v>120</v>
      </c>
      <c r="O18" s="6" t="s">
        <v>345</v>
      </c>
      <c r="P18" s="6" t="s">
        <v>374</v>
      </c>
      <c r="Q18" s="6" t="s">
        <v>375</v>
      </c>
    </row>
    <row r="19" spans="1:17" x14ac:dyDescent="0.25">
      <c r="A19" s="6" t="s">
        <v>376</v>
      </c>
      <c r="B19" s="5" t="s">
        <v>376</v>
      </c>
      <c r="C19" s="5">
        <v>0</v>
      </c>
      <c r="D19" s="19">
        <v>315</v>
      </c>
      <c r="E19" s="19">
        <v>0</v>
      </c>
      <c r="F19" s="19">
        <v>365.81117175705492</v>
      </c>
      <c r="G19" s="5">
        <v>0.86109999999999998</v>
      </c>
      <c r="H19" s="19">
        <v>91.45</v>
      </c>
      <c r="I19" s="19">
        <v>807.22</v>
      </c>
      <c r="J19" s="30">
        <v>0.90181203459211756</v>
      </c>
      <c r="K19" s="19">
        <v>736.94</v>
      </c>
      <c r="L19" s="22">
        <v>100</v>
      </c>
      <c r="M19" s="30">
        <v>335.55457081622808</v>
      </c>
      <c r="N19" s="5">
        <v>90</v>
      </c>
      <c r="O19" s="6" t="s">
        <v>345</v>
      </c>
      <c r="P19" s="6" t="s">
        <v>376</v>
      </c>
      <c r="Q19" s="6" t="s">
        <v>377</v>
      </c>
    </row>
    <row r="20" spans="1:17" x14ac:dyDescent="0.25">
      <c r="A20" s="6" t="s">
        <v>378</v>
      </c>
      <c r="B20" s="5" t="s">
        <v>379</v>
      </c>
      <c r="C20" s="5">
        <v>0</v>
      </c>
      <c r="D20" s="19">
        <v>306</v>
      </c>
      <c r="E20" s="19">
        <v>0</v>
      </c>
      <c r="F20" s="19">
        <v>39.154969226241498</v>
      </c>
      <c r="G20" s="5">
        <v>7.8151000000000002</v>
      </c>
      <c r="H20" s="19">
        <v>47.64</v>
      </c>
      <c r="I20" s="19">
        <v>185.26</v>
      </c>
      <c r="J20" s="30">
        <v>0.70396744659206512</v>
      </c>
      <c r="K20" s="19">
        <v>144.52000000000001</v>
      </c>
      <c r="L20" s="22">
        <v>100</v>
      </c>
      <c r="M20" s="30">
        <v>249.43632963498689</v>
      </c>
      <c r="N20" s="5">
        <v>0</v>
      </c>
      <c r="O20" s="6" t="s">
        <v>345</v>
      </c>
      <c r="P20" s="6" t="s">
        <v>379</v>
      </c>
      <c r="Q20" s="6" t="s">
        <v>380</v>
      </c>
    </row>
    <row r="21" spans="1:17" x14ac:dyDescent="0.25">
      <c r="A21" s="6" t="s">
        <v>381</v>
      </c>
      <c r="B21" s="5" t="s">
        <v>381</v>
      </c>
      <c r="C21" s="5">
        <v>0</v>
      </c>
      <c r="D21" s="19">
        <v>207</v>
      </c>
      <c r="E21" s="19">
        <v>0</v>
      </c>
      <c r="F21" s="19">
        <v>119.61169536576909</v>
      </c>
      <c r="G21" s="5">
        <v>1.7305999999999999</v>
      </c>
      <c r="H21" s="19">
        <v>19.57</v>
      </c>
      <c r="I21" s="19">
        <v>67.59</v>
      </c>
      <c r="J21" s="30">
        <v>0.71470220741357771</v>
      </c>
      <c r="K21" s="19">
        <v>53.89</v>
      </c>
      <c r="L21" s="22">
        <v>100</v>
      </c>
      <c r="M21" s="30">
        <v>25.273337625310401</v>
      </c>
      <c r="N21" s="5">
        <v>147</v>
      </c>
      <c r="O21" s="6" t="s">
        <v>345</v>
      </c>
      <c r="P21" s="6" t="s">
        <v>381</v>
      </c>
      <c r="Q21" s="6" t="s">
        <v>382</v>
      </c>
    </row>
    <row r="22" spans="1:17" x14ac:dyDescent="0.25">
      <c r="A22" s="6" t="s">
        <v>383</v>
      </c>
      <c r="B22" s="5" t="s">
        <v>384</v>
      </c>
      <c r="C22" s="5">
        <v>0</v>
      </c>
      <c r="D22" s="19">
        <v>170</v>
      </c>
      <c r="E22" s="19">
        <v>0</v>
      </c>
      <c r="F22" s="19">
        <v>72.06137933957865</v>
      </c>
      <c r="G22" s="5">
        <v>2.3591000000000002</v>
      </c>
      <c r="H22" s="19">
        <v>16.86</v>
      </c>
      <c r="I22" s="19">
        <v>178.37</v>
      </c>
      <c r="J22" s="30">
        <v>0.84378676242957096</v>
      </c>
      <c r="K22" s="19">
        <v>153.13999999999999</v>
      </c>
      <c r="L22" s="22">
        <v>100</v>
      </c>
      <c r="M22" s="30">
        <v>207.91005799743041</v>
      </c>
      <c r="N22" s="5">
        <v>30</v>
      </c>
      <c r="O22" s="6" t="s">
        <v>345</v>
      </c>
      <c r="P22" s="6" t="s">
        <v>384</v>
      </c>
      <c r="Q22" s="6" t="s">
        <v>385</v>
      </c>
    </row>
    <row r="23" spans="1:17" x14ac:dyDescent="0.25">
      <c r="A23" s="6" t="s">
        <v>386</v>
      </c>
      <c r="B23" s="5" t="s">
        <v>540</v>
      </c>
      <c r="C23" s="5">
        <v>0</v>
      </c>
      <c r="D23" s="19">
        <v>132</v>
      </c>
      <c r="E23" s="19">
        <v>0</v>
      </c>
      <c r="F23" s="19">
        <v>66.784720465469263</v>
      </c>
      <c r="G23" s="5">
        <v>1.9764999999999999</v>
      </c>
      <c r="H23" s="19">
        <v>104.36</v>
      </c>
      <c r="I23" s="19">
        <v>529.29999999999995</v>
      </c>
      <c r="J23" s="30">
        <v>0.9643949734080105</v>
      </c>
      <c r="K23" s="19">
        <v>514.16999999999996</v>
      </c>
      <c r="L23" s="22">
        <v>100</v>
      </c>
      <c r="M23" s="30">
        <v>335.27587100658008</v>
      </c>
      <c r="N23" s="5">
        <v>64</v>
      </c>
      <c r="O23" s="6" t="s">
        <v>345</v>
      </c>
      <c r="P23" s="6" t="s">
        <v>386</v>
      </c>
      <c r="Q23" s="6" t="s">
        <v>387</v>
      </c>
    </row>
    <row r="24" spans="1:17" x14ac:dyDescent="0.25">
      <c r="A24" s="6" t="s">
        <v>388</v>
      </c>
      <c r="B24" s="5" t="s">
        <v>556</v>
      </c>
      <c r="C24" s="5">
        <v>0</v>
      </c>
      <c r="D24" s="19">
        <v>51</v>
      </c>
      <c r="E24" s="19">
        <v>0</v>
      </c>
      <c r="F24" s="19">
        <v>102.3479831426851</v>
      </c>
      <c r="G24" s="5">
        <v>0.49830000000000002</v>
      </c>
      <c r="H24" s="19">
        <v>327.82</v>
      </c>
      <c r="I24" s="19">
        <v>980.89</v>
      </c>
      <c r="J24" s="30">
        <v>0.67548654814950926</v>
      </c>
      <c r="K24" s="19">
        <v>768.96</v>
      </c>
      <c r="L24" s="22">
        <v>100</v>
      </c>
      <c r="M24" s="30">
        <v>306.569790612833</v>
      </c>
      <c r="N24" s="5">
        <v>3</v>
      </c>
      <c r="O24" s="6" t="s">
        <v>345</v>
      </c>
      <c r="P24" s="6" t="s">
        <v>388</v>
      </c>
      <c r="Q24" s="6" t="s">
        <v>389</v>
      </c>
    </row>
    <row r="25" spans="1:17" x14ac:dyDescent="0.25">
      <c r="A25" s="6" t="s">
        <v>390</v>
      </c>
      <c r="B25" s="5" t="s">
        <v>647</v>
      </c>
      <c r="C25" s="5">
        <v>0</v>
      </c>
      <c r="D25" s="19">
        <v>40</v>
      </c>
      <c r="E25" s="19">
        <v>0</v>
      </c>
      <c r="F25" s="19">
        <v>60.304537916478218</v>
      </c>
      <c r="G25" s="5">
        <v>0.6633</v>
      </c>
      <c r="H25" s="5">
        <v>8.4499999999999993</v>
      </c>
      <c r="I25" s="19">
        <v>27.65</v>
      </c>
      <c r="J25" s="30">
        <v>0.59687500000000004</v>
      </c>
      <c r="K25" s="19">
        <v>19.91</v>
      </c>
      <c r="L25" s="22">
        <v>100</v>
      </c>
      <c r="M25" s="30">
        <v>207.91005799743041</v>
      </c>
      <c r="N25" s="5">
        <v>1</v>
      </c>
      <c r="O25" s="6" t="s">
        <v>345</v>
      </c>
      <c r="P25" s="6" t="s">
        <v>390</v>
      </c>
      <c r="Q25" s="6" t="s">
        <v>391</v>
      </c>
    </row>
    <row r="26" spans="1:17" x14ac:dyDescent="0.25">
      <c r="A26" s="6" t="s">
        <v>392</v>
      </c>
      <c r="B26" s="5" t="s">
        <v>392</v>
      </c>
      <c r="C26" s="5">
        <v>0</v>
      </c>
      <c r="D26" s="19">
        <v>324</v>
      </c>
      <c r="E26" s="19">
        <v>0</v>
      </c>
      <c r="F26" s="19">
        <v>37.421172992076869</v>
      </c>
      <c r="G26" s="23">
        <v>8.6582000000000008</v>
      </c>
      <c r="H26" s="26">
        <v>10.32</v>
      </c>
      <c r="I26" s="22">
        <v>228.43</v>
      </c>
      <c r="J26" s="30">
        <v>0.62491403420292513</v>
      </c>
      <c r="K26" s="19">
        <v>146.62</v>
      </c>
      <c r="L26" s="19">
        <v>100</v>
      </c>
      <c r="M26" s="30">
        <v>181.15487627121951</v>
      </c>
      <c r="N26" s="5">
        <v>120</v>
      </c>
      <c r="O26" s="6" t="s">
        <v>345</v>
      </c>
      <c r="P26" s="6" t="s">
        <v>392</v>
      </c>
      <c r="Q26" s="6" t="s">
        <v>393</v>
      </c>
    </row>
    <row r="27" spans="1:17" x14ac:dyDescent="0.25">
      <c r="A27" s="6" t="s">
        <v>394</v>
      </c>
      <c r="B27" s="5" t="s">
        <v>394</v>
      </c>
      <c r="C27" s="5">
        <v>0</v>
      </c>
      <c r="D27" s="19">
        <v>276</v>
      </c>
      <c r="E27" s="19">
        <v>0</v>
      </c>
      <c r="F27" s="19">
        <v>37.436419125127173</v>
      </c>
      <c r="G27" s="23">
        <v>7.3724999999999996</v>
      </c>
      <c r="H27" s="19">
        <v>0</v>
      </c>
      <c r="I27" s="19">
        <v>0</v>
      </c>
      <c r="J27" s="30">
        <v>0</v>
      </c>
      <c r="K27" s="19">
        <v>0</v>
      </c>
      <c r="L27" s="19">
        <v>0</v>
      </c>
      <c r="M27" s="30">
        <v>181.15487627121951</v>
      </c>
      <c r="N27" s="5">
        <v>102</v>
      </c>
      <c r="O27" s="6" t="s">
        <v>345</v>
      </c>
      <c r="P27" s="6" t="s">
        <v>394</v>
      </c>
      <c r="Q27" s="6" t="s">
        <v>393</v>
      </c>
    </row>
    <row r="28" spans="1:17" x14ac:dyDescent="0.25">
      <c r="A28" s="6" t="s">
        <v>395</v>
      </c>
      <c r="B28" s="5" t="s">
        <v>647</v>
      </c>
      <c r="C28" s="5">
        <v>0</v>
      </c>
      <c r="D28" s="19">
        <v>270</v>
      </c>
      <c r="E28" s="19">
        <v>0</v>
      </c>
      <c r="F28" s="19">
        <v>58.498537536561592</v>
      </c>
      <c r="G28" s="5">
        <v>4.6154999999999999</v>
      </c>
      <c r="H28" s="19">
        <v>0</v>
      </c>
      <c r="I28" s="19">
        <v>0</v>
      </c>
      <c r="J28" s="30">
        <v>0</v>
      </c>
      <c r="K28" s="19">
        <v>0</v>
      </c>
      <c r="L28" s="19">
        <v>0</v>
      </c>
      <c r="M28" s="30">
        <v>207.91005799743041</v>
      </c>
      <c r="N28" s="5">
        <v>0</v>
      </c>
      <c r="O28" s="6" t="s">
        <v>345</v>
      </c>
      <c r="P28" s="6" t="s">
        <v>395</v>
      </c>
      <c r="Q28" s="6" t="s">
        <v>391</v>
      </c>
    </row>
    <row r="29" spans="1:17" x14ac:dyDescent="0.25">
      <c r="A29" s="6" t="s">
        <v>396</v>
      </c>
      <c r="B29" s="5" t="s">
        <v>396</v>
      </c>
      <c r="C29" s="5">
        <v>0</v>
      </c>
      <c r="D29" s="19">
        <v>202</v>
      </c>
      <c r="E29" s="19">
        <v>0</v>
      </c>
      <c r="F29" s="19">
        <v>55.337917431443991</v>
      </c>
      <c r="G29" s="5">
        <v>3.6503000000000001</v>
      </c>
      <c r="H29" s="19">
        <v>0</v>
      </c>
      <c r="I29" s="19">
        <v>0</v>
      </c>
      <c r="J29" s="30">
        <v>0</v>
      </c>
      <c r="K29" s="19">
        <v>0</v>
      </c>
      <c r="L29" s="19">
        <v>0</v>
      </c>
      <c r="M29" s="30">
        <v>207.91005799743041</v>
      </c>
      <c r="N29" s="5">
        <v>105</v>
      </c>
      <c r="O29" s="6" t="s">
        <v>345</v>
      </c>
      <c r="P29" s="6" t="s">
        <v>396</v>
      </c>
      <c r="Q29" s="6" t="s">
        <v>391</v>
      </c>
    </row>
    <row r="30" spans="1:17" x14ac:dyDescent="0.25">
      <c r="A30" s="6" t="s">
        <v>397</v>
      </c>
      <c r="B30" s="5" t="s">
        <v>392</v>
      </c>
      <c r="C30" s="5">
        <v>0</v>
      </c>
      <c r="D30" s="19">
        <v>150</v>
      </c>
      <c r="E30" s="19">
        <v>0</v>
      </c>
      <c r="F30" s="19">
        <v>18.818688211973701</v>
      </c>
      <c r="G30" s="5">
        <v>7.9707999999999997</v>
      </c>
      <c r="H30" s="19">
        <v>0</v>
      </c>
      <c r="I30" s="19">
        <v>0</v>
      </c>
      <c r="J30" s="30">
        <v>0</v>
      </c>
      <c r="K30" s="19">
        <v>0</v>
      </c>
      <c r="L30" s="19">
        <v>0</v>
      </c>
      <c r="M30" s="30">
        <v>25.320992505762121</v>
      </c>
      <c r="N30" s="5">
        <v>40</v>
      </c>
      <c r="O30" s="6" t="s">
        <v>398</v>
      </c>
      <c r="P30" s="6" t="s">
        <v>397</v>
      </c>
      <c r="Q30" s="6" t="s">
        <v>399</v>
      </c>
    </row>
    <row r="31" spans="1:17" x14ac:dyDescent="0.25">
      <c r="A31" s="6" t="s">
        <v>400</v>
      </c>
      <c r="B31" s="5" t="s">
        <v>352</v>
      </c>
      <c r="C31" s="5">
        <v>0</v>
      </c>
      <c r="D31" s="19">
        <v>135</v>
      </c>
      <c r="E31" s="19">
        <v>0</v>
      </c>
      <c r="F31" s="19">
        <v>85.545909638172489</v>
      </c>
      <c r="G31" s="5">
        <v>1.5781000000000001</v>
      </c>
      <c r="H31" s="19">
        <v>0</v>
      </c>
      <c r="I31" s="19">
        <v>0</v>
      </c>
      <c r="J31" s="30">
        <v>0</v>
      </c>
      <c r="K31" s="19">
        <v>0</v>
      </c>
      <c r="L31" s="19">
        <v>0</v>
      </c>
      <c r="M31" s="30">
        <v>25.273334838312309</v>
      </c>
      <c r="N31" s="5">
        <v>36</v>
      </c>
      <c r="O31" s="6" t="s">
        <v>398</v>
      </c>
      <c r="P31" s="6" t="s">
        <v>400</v>
      </c>
      <c r="Q31" s="6" t="s">
        <v>401</v>
      </c>
    </row>
    <row r="32" spans="1:17" x14ac:dyDescent="0.25">
      <c r="A32" s="6" t="s">
        <v>402</v>
      </c>
      <c r="B32" s="5" t="s">
        <v>556</v>
      </c>
      <c r="C32" s="5">
        <v>0</v>
      </c>
      <c r="D32" s="19">
        <v>80</v>
      </c>
      <c r="E32" s="19">
        <v>0</v>
      </c>
      <c r="F32" s="19">
        <v>16.479894528675011</v>
      </c>
      <c r="G32" s="5">
        <v>4.8544</v>
      </c>
      <c r="H32" s="19">
        <v>0</v>
      </c>
      <c r="I32" s="19">
        <v>0</v>
      </c>
      <c r="J32" s="30">
        <v>0</v>
      </c>
      <c r="K32" s="19">
        <v>0</v>
      </c>
      <c r="L32" s="19">
        <v>0</v>
      </c>
      <c r="M32" s="30">
        <v>24.968161333745812</v>
      </c>
      <c r="N32" s="5">
        <v>13.2</v>
      </c>
      <c r="O32" s="6" t="s">
        <v>398</v>
      </c>
      <c r="P32" s="6" t="s">
        <v>402</v>
      </c>
      <c r="Q32" s="6" t="s">
        <v>403</v>
      </c>
    </row>
    <row r="33" spans="1:17" x14ac:dyDescent="0.25">
      <c r="A33" s="6" t="s">
        <v>404</v>
      </c>
      <c r="B33" s="5" t="s">
        <v>485</v>
      </c>
      <c r="C33" s="5">
        <v>0</v>
      </c>
      <c r="D33" s="19">
        <v>78</v>
      </c>
      <c r="E33" s="19">
        <v>0</v>
      </c>
      <c r="F33" s="19">
        <v>64.741035856573703</v>
      </c>
      <c r="G33" s="5">
        <v>1.2048000000000001</v>
      </c>
      <c r="H33" s="19">
        <v>0</v>
      </c>
      <c r="I33" s="19">
        <v>0</v>
      </c>
      <c r="J33" s="30">
        <v>0</v>
      </c>
      <c r="K33" s="19">
        <v>0</v>
      </c>
      <c r="L33" s="19">
        <v>0</v>
      </c>
      <c r="M33" s="30">
        <v>22.295987558840501</v>
      </c>
      <c r="N33" s="5">
        <v>31.2</v>
      </c>
      <c r="O33" s="6" t="s">
        <v>405</v>
      </c>
      <c r="P33" s="6" t="s">
        <v>404</v>
      </c>
      <c r="Q33" s="6" t="s">
        <v>406</v>
      </c>
    </row>
    <row r="34" spans="1:17" x14ac:dyDescent="0.25">
      <c r="A34" s="6" t="s">
        <v>407</v>
      </c>
      <c r="B34" s="5" t="s">
        <v>530</v>
      </c>
      <c r="C34" s="5">
        <v>0</v>
      </c>
      <c r="D34" s="19">
        <v>72</v>
      </c>
      <c r="E34" s="19">
        <v>0</v>
      </c>
      <c r="F34" s="19">
        <v>121.930567315834</v>
      </c>
      <c r="G34" s="5">
        <v>0.59050000000000002</v>
      </c>
      <c r="H34" s="19">
        <v>0</v>
      </c>
      <c r="I34" s="19">
        <v>0</v>
      </c>
      <c r="J34" s="30">
        <v>0</v>
      </c>
      <c r="K34" s="19">
        <v>0</v>
      </c>
      <c r="L34" s="19">
        <v>0</v>
      </c>
      <c r="M34" s="30">
        <v>335.83327062587608</v>
      </c>
      <c r="N34" s="5">
        <v>8</v>
      </c>
      <c r="O34" s="6" t="s">
        <v>345</v>
      </c>
      <c r="P34" s="6" t="s">
        <v>407</v>
      </c>
      <c r="Q34" s="6" t="s">
        <v>373</v>
      </c>
    </row>
    <row r="35" spans="1:17" x14ac:dyDescent="0.25">
      <c r="A35" s="6" t="s">
        <v>408</v>
      </c>
      <c r="B35" s="5" t="s">
        <v>507</v>
      </c>
      <c r="C35" s="5">
        <v>0</v>
      </c>
      <c r="D35" s="19">
        <v>56</v>
      </c>
      <c r="E35" s="19">
        <v>0</v>
      </c>
      <c r="F35" s="19">
        <v>9.4155625798641456</v>
      </c>
      <c r="G35" s="5">
        <v>5.9476000000000004</v>
      </c>
      <c r="H35" s="19">
        <v>0</v>
      </c>
      <c r="I35" s="19">
        <v>0</v>
      </c>
      <c r="J35" s="30">
        <v>0</v>
      </c>
      <c r="K35" s="19">
        <v>0</v>
      </c>
      <c r="L35" s="19">
        <v>0</v>
      </c>
      <c r="M35" s="30">
        <v>26.721180349433819</v>
      </c>
      <c r="N35" s="5">
        <v>6</v>
      </c>
      <c r="O35" s="6" t="s">
        <v>398</v>
      </c>
      <c r="P35" s="6" t="s">
        <v>408</v>
      </c>
      <c r="Q35" s="6" t="s">
        <v>409</v>
      </c>
    </row>
    <row r="36" spans="1:17" x14ac:dyDescent="0.25">
      <c r="A36" s="6" t="s">
        <v>410</v>
      </c>
      <c r="B36" s="5" t="s">
        <v>526</v>
      </c>
      <c r="C36" s="5">
        <v>0</v>
      </c>
      <c r="D36" s="19">
        <v>55</v>
      </c>
      <c r="E36" s="19">
        <v>0</v>
      </c>
      <c r="F36" s="19">
        <v>34.310667498440417</v>
      </c>
      <c r="G36" s="5">
        <v>1.603</v>
      </c>
      <c r="H36" s="19">
        <v>0</v>
      </c>
      <c r="I36" s="19">
        <v>0</v>
      </c>
      <c r="J36" s="30">
        <v>0</v>
      </c>
      <c r="K36" s="19">
        <v>0</v>
      </c>
      <c r="L36" s="19">
        <v>0</v>
      </c>
      <c r="M36" s="30">
        <v>22.295984771842399</v>
      </c>
      <c r="N36" s="5">
        <v>24</v>
      </c>
      <c r="O36" s="6" t="s">
        <v>398</v>
      </c>
      <c r="P36" s="6" t="s">
        <v>410</v>
      </c>
      <c r="Q36" s="6" t="s">
        <v>411</v>
      </c>
    </row>
    <row r="37" spans="1:17" x14ac:dyDescent="0.25">
      <c r="A37" s="6" t="s">
        <v>412</v>
      </c>
      <c r="B37" s="5" t="s">
        <v>361</v>
      </c>
      <c r="C37" s="5">
        <v>0</v>
      </c>
      <c r="D37" s="19">
        <v>50</v>
      </c>
      <c r="E37" s="19">
        <v>0</v>
      </c>
      <c r="F37" s="19">
        <v>33.482890243085777</v>
      </c>
      <c r="G37" s="5">
        <v>1.4933000000000001</v>
      </c>
      <c r="H37" s="19">
        <v>0</v>
      </c>
      <c r="I37" s="19">
        <v>0</v>
      </c>
      <c r="J37" s="30">
        <v>0</v>
      </c>
      <c r="K37" s="19">
        <v>0</v>
      </c>
      <c r="L37" s="19">
        <v>0</v>
      </c>
      <c r="M37" s="30">
        <v>24.968158546747709</v>
      </c>
      <c r="N37" s="5">
        <v>18.899999999999999</v>
      </c>
      <c r="O37" s="6" t="s">
        <v>398</v>
      </c>
      <c r="P37" s="6" t="s">
        <v>412</v>
      </c>
      <c r="Q37" s="6" t="s">
        <v>413</v>
      </c>
    </row>
    <row r="38" spans="1:17" x14ac:dyDescent="0.25">
      <c r="A38" s="6" t="s">
        <v>414</v>
      </c>
      <c r="B38" s="5" t="s">
        <v>392</v>
      </c>
      <c r="C38" s="5">
        <v>0</v>
      </c>
      <c r="D38" s="19">
        <v>35</v>
      </c>
      <c r="E38" s="19">
        <v>0</v>
      </c>
      <c r="F38" s="19">
        <v>10.374673938819059</v>
      </c>
      <c r="G38" s="5">
        <v>3.3736000000000002</v>
      </c>
      <c r="H38" s="19">
        <v>0</v>
      </c>
      <c r="I38" s="19">
        <v>0</v>
      </c>
      <c r="J38" s="30">
        <v>0</v>
      </c>
      <c r="K38" s="19">
        <v>0</v>
      </c>
      <c r="L38" s="19">
        <v>0</v>
      </c>
      <c r="M38" s="30">
        <v>25.321271205571769</v>
      </c>
      <c r="N38" s="5">
        <v>5</v>
      </c>
      <c r="O38" s="6" t="s">
        <v>398</v>
      </c>
      <c r="P38" s="6" t="s">
        <v>414</v>
      </c>
      <c r="Q38" s="6" t="s">
        <v>415</v>
      </c>
    </row>
    <row r="39" spans="1:17" x14ac:dyDescent="0.25">
      <c r="A39" s="25" t="s">
        <v>416</v>
      </c>
      <c r="B39" s="5" t="s">
        <v>352</v>
      </c>
      <c r="C39" s="5">
        <v>0</v>
      </c>
      <c r="D39" s="19">
        <v>30</v>
      </c>
      <c r="E39" s="19">
        <v>0</v>
      </c>
      <c r="F39" s="19">
        <v>22.839741149600311</v>
      </c>
      <c r="G39" s="5">
        <v>1.3134999999999999</v>
      </c>
      <c r="H39" s="19">
        <v>0</v>
      </c>
      <c r="I39" s="19">
        <v>0</v>
      </c>
      <c r="J39" s="30">
        <v>0</v>
      </c>
      <c r="K39" s="19">
        <v>0</v>
      </c>
      <c r="L39" s="19">
        <v>0</v>
      </c>
      <c r="M39" s="30">
        <v>25.273340412308499</v>
      </c>
      <c r="N39" s="5">
        <v>0</v>
      </c>
      <c r="O39" s="6" t="s">
        <v>398</v>
      </c>
      <c r="P39" s="6" t="s">
        <v>352</v>
      </c>
      <c r="Q39" s="6" t="s">
        <v>417</v>
      </c>
    </row>
    <row r="40" spans="1:17" x14ac:dyDescent="0.25">
      <c r="A40" s="6" t="s">
        <v>418</v>
      </c>
      <c r="B40" s="5" t="s">
        <v>353</v>
      </c>
      <c r="C40" s="5">
        <v>0</v>
      </c>
      <c r="D40" s="19">
        <v>19</v>
      </c>
      <c r="E40" s="19">
        <v>0</v>
      </c>
      <c r="F40" s="19">
        <v>7.7063475968363413</v>
      </c>
      <c r="G40" s="5">
        <v>2.4655</v>
      </c>
      <c r="H40" s="19">
        <v>0</v>
      </c>
      <c r="I40" s="19">
        <v>0</v>
      </c>
      <c r="J40" s="30">
        <v>0</v>
      </c>
      <c r="K40" s="19">
        <v>0</v>
      </c>
      <c r="L40" s="19">
        <v>0</v>
      </c>
      <c r="M40" s="30">
        <v>24.491584659247678</v>
      </c>
      <c r="N40" s="5">
        <v>8.1999999999999993</v>
      </c>
      <c r="O40" s="6" t="s">
        <v>398</v>
      </c>
      <c r="P40" s="6" t="s">
        <v>418</v>
      </c>
      <c r="Q40" s="6" t="s">
        <v>419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79998168889431442"/>
  </sheetPr>
  <dimension ref="A1:V29"/>
  <sheetViews>
    <sheetView zoomScaleNormal="100" workbookViewId="0">
      <selection activeCell="K15" sqref="K15"/>
    </sheetView>
  </sheetViews>
  <sheetFormatPr defaultRowHeight="15" x14ac:dyDescent="0.25"/>
  <cols>
    <col min="1" max="1" width="8.42578125" customWidth="1"/>
    <col min="2" max="2" width="8.42578125" bestFit="1" customWidth="1"/>
    <col min="3" max="3" width="10.7109375" bestFit="1" customWidth="1"/>
    <col min="4" max="4" width="9.5703125" bestFit="1" customWidth="1"/>
    <col min="5" max="5" width="11.7109375" bestFit="1" customWidth="1"/>
    <col min="6" max="6" width="11.140625" bestFit="1" customWidth="1"/>
    <col min="7" max="7" width="9" bestFit="1" customWidth="1"/>
    <col min="8" max="8" width="6.85546875" bestFit="1" customWidth="1"/>
    <col min="9" max="9" width="8.7109375" bestFit="1" customWidth="1"/>
    <col min="10" max="10" width="8.42578125" bestFit="1" customWidth="1"/>
    <col min="11" max="11" width="11.140625" bestFit="1" customWidth="1"/>
    <col min="12" max="12" width="7.42578125" bestFit="1" customWidth="1"/>
    <col min="13" max="13" width="16.7109375" bestFit="1" customWidth="1"/>
    <col min="14" max="14" width="7" bestFit="1" customWidth="1"/>
    <col min="15" max="15" width="10.7109375" bestFit="1" customWidth="1"/>
    <col min="16" max="16" width="12.7109375" bestFit="1" customWidth="1"/>
    <col min="17" max="17" width="7.7109375" bestFit="1" customWidth="1"/>
    <col min="18" max="18" width="13.5703125" bestFit="1" customWidth="1"/>
    <col min="19" max="19" width="8" bestFit="1" customWidth="1"/>
    <col min="20" max="20" width="7.28515625" bestFit="1" customWidth="1"/>
    <col min="21" max="21" width="10.42578125" bestFit="1" customWidth="1"/>
    <col min="22" max="22" width="10.140625" bestFit="1" customWidth="1"/>
    <col min="23" max="23" width="8.85546875" bestFit="1" customWidth="1"/>
    <col min="24" max="24" width="14.42578125" bestFit="1" customWidth="1"/>
    <col min="25" max="25" width="14.5703125" bestFit="1" customWidth="1"/>
    <col min="26" max="26" width="24.28515625" bestFit="1" customWidth="1"/>
    <col min="27" max="27" width="15.42578125" bestFit="1" customWidth="1"/>
    <col min="28" max="28" width="21.7109375" bestFit="1" customWidth="1"/>
    <col min="29" max="29" width="14.5703125" bestFit="1" customWidth="1"/>
    <col min="30" max="30" width="16.7109375" bestFit="1" customWidth="1"/>
    <col min="31" max="31" width="10.140625" bestFit="1" customWidth="1"/>
    <col min="32" max="32" width="18.28515625" bestFit="1" customWidth="1"/>
    <col min="33" max="33" width="12.28515625" bestFit="1" customWidth="1"/>
    <col min="34" max="34" width="8.140625" bestFit="1" customWidth="1"/>
    <col min="35" max="35" width="11.7109375" bestFit="1" customWidth="1"/>
    <col min="36" max="36" width="8.42578125" bestFit="1" customWidth="1"/>
  </cols>
  <sheetData>
    <row r="1" spans="1:22" ht="18.75" customHeight="1" x14ac:dyDescent="0.3">
      <c r="A1" s="1" t="s">
        <v>420</v>
      </c>
    </row>
    <row r="2" spans="1:22" x14ac:dyDescent="0.25">
      <c r="A2" s="20" t="s">
        <v>421</v>
      </c>
    </row>
    <row r="4" spans="1:22" x14ac:dyDescent="0.25">
      <c r="A4" s="3" t="s">
        <v>2</v>
      </c>
      <c r="B4" s="3" t="s">
        <v>344</v>
      </c>
      <c r="C4" s="3" t="s">
        <v>347</v>
      </c>
      <c r="D4" s="3" t="s">
        <v>350</v>
      </c>
      <c r="E4" s="3" t="s">
        <v>352</v>
      </c>
      <c r="F4" s="3" t="s">
        <v>355</v>
      </c>
      <c r="G4" s="3" t="s">
        <v>358</v>
      </c>
      <c r="H4" s="3" t="s">
        <v>360</v>
      </c>
      <c r="I4" s="3" t="s">
        <v>363</v>
      </c>
      <c r="J4" s="3" t="s">
        <v>365</v>
      </c>
      <c r="K4" s="3" t="s">
        <v>367</v>
      </c>
      <c r="L4" s="3" t="s">
        <v>369</v>
      </c>
      <c r="M4" s="3" t="s">
        <v>372</v>
      </c>
      <c r="N4" s="3" t="s">
        <v>374</v>
      </c>
      <c r="O4" s="3" t="s">
        <v>376</v>
      </c>
      <c r="P4" s="3" t="s">
        <v>378</v>
      </c>
      <c r="Q4" s="3" t="s">
        <v>381</v>
      </c>
      <c r="R4" s="3" t="s">
        <v>383</v>
      </c>
      <c r="S4" s="3" t="s">
        <v>386</v>
      </c>
      <c r="T4" s="3" t="s">
        <v>388</v>
      </c>
      <c r="U4" s="3" t="s">
        <v>390</v>
      </c>
      <c r="V4" s="3" t="s">
        <v>392</v>
      </c>
    </row>
    <row r="5" spans="1:22" x14ac:dyDescent="0.25">
      <c r="A5" s="4"/>
      <c r="B5" s="16" t="s">
        <v>338</v>
      </c>
      <c r="C5" s="4" t="s">
        <v>338</v>
      </c>
      <c r="D5" s="4" t="s">
        <v>338</v>
      </c>
      <c r="E5" s="4" t="s">
        <v>338</v>
      </c>
      <c r="F5" s="4" t="s">
        <v>338</v>
      </c>
      <c r="G5" s="4" t="s">
        <v>338</v>
      </c>
      <c r="H5" s="4" t="s">
        <v>338</v>
      </c>
      <c r="I5" s="4" t="s">
        <v>338</v>
      </c>
      <c r="J5" s="4" t="s">
        <v>338</v>
      </c>
      <c r="K5" s="4" t="s">
        <v>338</v>
      </c>
      <c r="L5" s="4" t="s">
        <v>338</v>
      </c>
      <c r="M5" s="4" t="s">
        <v>338</v>
      </c>
      <c r="N5" s="4" t="s">
        <v>338</v>
      </c>
      <c r="O5" s="4" t="s">
        <v>338</v>
      </c>
      <c r="P5" s="4" t="s">
        <v>338</v>
      </c>
      <c r="Q5" s="4" t="s">
        <v>338</v>
      </c>
      <c r="R5" s="4" t="s">
        <v>338</v>
      </c>
      <c r="S5" s="4" t="s">
        <v>338</v>
      </c>
      <c r="T5" s="4" t="s">
        <v>338</v>
      </c>
      <c r="U5" s="4" t="s">
        <v>338</v>
      </c>
      <c r="V5" s="4" t="s">
        <v>338</v>
      </c>
    </row>
    <row r="6" spans="1:22" x14ac:dyDescent="0.25">
      <c r="A6" s="5">
        <v>1</v>
      </c>
      <c r="B6" s="5">
        <v>91.94</v>
      </c>
      <c r="C6" s="5">
        <v>17.920000000000002</v>
      </c>
      <c r="D6" s="5">
        <v>331.24</v>
      </c>
      <c r="E6" s="5">
        <v>150.63</v>
      </c>
      <c r="F6" s="5">
        <v>203.52</v>
      </c>
      <c r="G6" s="5">
        <v>12.17</v>
      </c>
      <c r="H6" s="5">
        <v>9.32</v>
      </c>
      <c r="I6" s="5">
        <v>199.58</v>
      </c>
      <c r="J6" s="5">
        <v>20.32</v>
      </c>
      <c r="K6" s="5">
        <v>336.37</v>
      </c>
      <c r="L6" s="5">
        <v>23.26</v>
      </c>
      <c r="M6" s="5">
        <v>17.43</v>
      </c>
      <c r="N6" s="5">
        <v>285.19</v>
      </c>
      <c r="O6" s="5">
        <v>65.290000000000006</v>
      </c>
      <c r="P6" s="5">
        <v>12.17</v>
      </c>
      <c r="Q6" s="5">
        <v>10.76</v>
      </c>
      <c r="R6" s="5">
        <v>19.100000000000001</v>
      </c>
      <c r="S6" s="5">
        <v>0.37</v>
      </c>
      <c r="T6" s="5">
        <v>9.6199999999999992</v>
      </c>
      <c r="U6" s="5">
        <v>21.71</v>
      </c>
      <c r="V6" s="5">
        <v>41.96</v>
      </c>
    </row>
    <row r="7" spans="1:22" x14ac:dyDescent="0.25">
      <c r="A7" s="5">
        <v>2</v>
      </c>
      <c r="B7" s="5">
        <v>91.94</v>
      </c>
      <c r="C7" s="5">
        <v>17.920000000000002</v>
      </c>
      <c r="D7" s="5">
        <v>331.24</v>
      </c>
      <c r="E7" s="5">
        <v>150.63</v>
      </c>
      <c r="F7" s="5">
        <v>203.52</v>
      </c>
      <c r="G7" s="5">
        <v>12.17</v>
      </c>
      <c r="H7" s="5">
        <v>9.32</v>
      </c>
      <c r="I7" s="5">
        <v>199.58</v>
      </c>
      <c r="J7" s="5">
        <v>20.32</v>
      </c>
      <c r="K7" s="5">
        <v>336.37</v>
      </c>
      <c r="L7" s="5">
        <v>23.26</v>
      </c>
      <c r="M7" s="5">
        <v>17.43</v>
      </c>
      <c r="N7" s="5">
        <v>285.19</v>
      </c>
      <c r="O7" s="5">
        <v>65.290000000000006</v>
      </c>
      <c r="P7" s="5">
        <v>12.17</v>
      </c>
      <c r="Q7" s="5">
        <v>10.76</v>
      </c>
      <c r="R7" s="5">
        <v>19.100000000000001</v>
      </c>
      <c r="S7" s="5">
        <v>0.37</v>
      </c>
      <c r="T7" s="5">
        <v>9.6199999999999992</v>
      </c>
      <c r="U7" s="5">
        <v>21.71</v>
      </c>
      <c r="V7" s="5">
        <v>41.96</v>
      </c>
    </row>
    <row r="8" spans="1:22" x14ac:dyDescent="0.25">
      <c r="A8" s="5">
        <v>3</v>
      </c>
      <c r="B8" s="5">
        <v>91.94</v>
      </c>
      <c r="C8" s="5">
        <v>17.920000000000002</v>
      </c>
      <c r="D8" s="5">
        <v>331.24</v>
      </c>
      <c r="E8" s="5">
        <v>150.63</v>
      </c>
      <c r="F8" s="5">
        <v>203.52</v>
      </c>
      <c r="G8" s="5">
        <v>12.17</v>
      </c>
      <c r="H8" s="5">
        <v>9.32</v>
      </c>
      <c r="I8" s="5">
        <v>199.58</v>
      </c>
      <c r="J8" s="5">
        <v>20.32</v>
      </c>
      <c r="K8" s="5">
        <v>336.37</v>
      </c>
      <c r="L8" s="5">
        <v>23.26</v>
      </c>
      <c r="M8" s="5">
        <v>17.43</v>
      </c>
      <c r="N8" s="5">
        <v>285.19</v>
      </c>
      <c r="O8" s="5">
        <v>65.290000000000006</v>
      </c>
      <c r="P8" s="5">
        <v>12.17</v>
      </c>
      <c r="Q8" s="5">
        <v>10.76</v>
      </c>
      <c r="R8" s="5">
        <v>19.100000000000001</v>
      </c>
      <c r="S8" s="5">
        <v>0.37</v>
      </c>
      <c r="T8" s="5">
        <v>9.6199999999999992</v>
      </c>
      <c r="U8" s="5">
        <v>21.71</v>
      </c>
      <c r="V8" s="5">
        <v>41.96</v>
      </c>
    </row>
    <row r="9" spans="1:22" x14ac:dyDescent="0.25">
      <c r="A9" s="5">
        <v>4</v>
      </c>
      <c r="B9" s="5">
        <v>91.94</v>
      </c>
      <c r="C9" s="5">
        <v>17.920000000000002</v>
      </c>
      <c r="D9" s="5">
        <v>331.24</v>
      </c>
      <c r="E9" s="5">
        <v>150.63</v>
      </c>
      <c r="F9" s="5">
        <v>203.52</v>
      </c>
      <c r="G9" s="5">
        <v>12.17</v>
      </c>
      <c r="H9" s="5">
        <v>9.32</v>
      </c>
      <c r="I9" s="5">
        <v>199.58</v>
      </c>
      <c r="J9" s="5">
        <v>20.32</v>
      </c>
      <c r="K9" s="5">
        <v>336.37</v>
      </c>
      <c r="L9" s="5">
        <v>23.26</v>
      </c>
      <c r="M9" s="5">
        <v>17.43</v>
      </c>
      <c r="N9" s="5">
        <v>285.19</v>
      </c>
      <c r="O9" s="5">
        <v>65.290000000000006</v>
      </c>
      <c r="P9" s="5">
        <v>12.17</v>
      </c>
      <c r="Q9" s="5">
        <v>10.76</v>
      </c>
      <c r="R9" s="5">
        <v>19.100000000000001</v>
      </c>
      <c r="S9" s="5">
        <v>0.37</v>
      </c>
      <c r="T9" s="5">
        <v>9.6199999999999992</v>
      </c>
      <c r="U9" s="5">
        <v>21.71</v>
      </c>
      <c r="V9" s="5">
        <v>41.96</v>
      </c>
    </row>
    <row r="10" spans="1:22" x14ac:dyDescent="0.25">
      <c r="A10" s="5">
        <v>5</v>
      </c>
      <c r="B10" s="5">
        <v>91.94</v>
      </c>
      <c r="C10" s="5">
        <v>17.920000000000002</v>
      </c>
      <c r="D10" s="5">
        <v>331.24</v>
      </c>
      <c r="E10" s="5">
        <v>150.63</v>
      </c>
      <c r="F10" s="5">
        <v>203.52</v>
      </c>
      <c r="G10" s="5">
        <v>12.17</v>
      </c>
      <c r="H10" s="5">
        <v>9.32</v>
      </c>
      <c r="I10" s="5">
        <v>199.58</v>
      </c>
      <c r="J10" s="5">
        <v>20.32</v>
      </c>
      <c r="K10" s="5">
        <v>336.37</v>
      </c>
      <c r="L10" s="5">
        <v>23.26</v>
      </c>
      <c r="M10" s="5">
        <v>17.43</v>
      </c>
      <c r="N10" s="5">
        <v>285.19</v>
      </c>
      <c r="O10" s="5">
        <v>65.290000000000006</v>
      </c>
      <c r="P10" s="5">
        <v>12.17</v>
      </c>
      <c r="Q10" s="5">
        <v>10.76</v>
      </c>
      <c r="R10" s="5">
        <v>19.100000000000001</v>
      </c>
      <c r="S10" s="5">
        <v>0.37</v>
      </c>
      <c r="T10" s="5">
        <v>9.6199999999999992</v>
      </c>
      <c r="U10" s="5">
        <v>21.71</v>
      </c>
      <c r="V10" s="5">
        <v>41.96</v>
      </c>
    </row>
    <row r="11" spans="1:22" x14ac:dyDescent="0.25">
      <c r="A11" s="5">
        <v>6</v>
      </c>
      <c r="B11" s="5">
        <v>91.94</v>
      </c>
      <c r="C11" s="5">
        <v>17.920000000000002</v>
      </c>
      <c r="D11" s="5">
        <v>331.24</v>
      </c>
      <c r="E11" s="5">
        <v>150.63</v>
      </c>
      <c r="F11" s="5">
        <v>203.52</v>
      </c>
      <c r="G11" s="5">
        <v>12.17</v>
      </c>
      <c r="H11" s="5">
        <v>9.32</v>
      </c>
      <c r="I11" s="5">
        <v>199.58</v>
      </c>
      <c r="J11" s="5">
        <v>20.32</v>
      </c>
      <c r="K11" s="5">
        <v>336.37</v>
      </c>
      <c r="L11" s="5">
        <v>23.26</v>
      </c>
      <c r="M11" s="5">
        <v>17.43</v>
      </c>
      <c r="N11" s="5">
        <v>285.19</v>
      </c>
      <c r="O11" s="5">
        <v>65.290000000000006</v>
      </c>
      <c r="P11" s="5">
        <v>12.17</v>
      </c>
      <c r="Q11" s="5">
        <v>10.76</v>
      </c>
      <c r="R11" s="5">
        <v>19.100000000000001</v>
      </c>
      <c r="S11" s="5">
        <v>0.37</v>
      </c>
      <c r="T11" s="5">
        <v>9.6199999999999992</v>
      </c>
      <c r="U11" s="5">
        <v>21.71</v>
      </c>
      <c r="V11" s="5">
        <v>41.96</v>
      </c>
    </row>
    <row r="12" spans="1:22" x14ac:dyDescent="0.25">
      <c r="A12" s="5">
        <v>7</v>
      </c>
      <c r="B12" s="5">
        <v>91.94</v>
      </c>
      <c r="C12" s="5">
        <v>17.920000000000002</v>
      </c>
      <c r="D12" s="5">
        <v>331.24</v>
      </c>
      <c r="E12" s="5">
        <v>150.63</v>
      </c>
      <c r="F12" s="5">
        <v>203.52</v>
      </c>
      <c r="G12" s="5">
        <v>12.17</v>
      </c>
      <c r="H12" s="5">
        <v>9.32</v>
      </c>
      <c r="I12" s="5">
        <v>199.58</v>
      </c>
      <c r="J12" s="5">
        <v>20.32</v>
      </c>
      <c r="K12" s="5">
        <v>336.37</v>
      </c>
      <c r="L12" s="5">
        <v>23.26</v>
      </c>
      <c r="M12" s="5">
        <v>17.43</v>
      </c>
      <c r="N12" s="5">
        <v>285.19</v>
      </c>
      <c r="O12" s="5">
        <v>65.290000000000006</v>
      </c>
      <c r="P12" s="5">
        <v>12.17</v>
      </c>
      <c r="Q12" s="5">
        <v>10.76</v>
      </c>
      <c r="R12" s="5">
        <v>19.100000000000001</v>
      </c>
      <c r="S12" s="5">
        <v>0.37</v>
      </c>
      <c r="T12" s="5">
        <v>9.6199999999999992</v>
      </c>
      <c r="U12" s="5">
        <v>21.71</v>
      </c>
      <c r="V12" s="5">
        <v>41.96</v>
      </c>
    </row>
    <row r="13" spans="1:22" x14ac:dyDescent="0.25">
      <c r="A13" s="5">
        <v>8</v>
      </c>
      <c r="B13" s="5">
        <v>91.94</v>
      </c>
      <c r="C13" s="5">
        <v>17.920000000000002</v>
      </c>
      <c r="D13" s="5">
        <v>331.24</v>
      </c>
      <c r="E13" s="5">
        <v>150.63</v>
      </c>
      <c r="F13" s="5">
        <v>203.52</v>
      </c>
      <c r="G13" s="5">
        <v>12.17</v>
      </c>
      <c r="H13" s="5">
        <v>9.32</v>
      </c>
      <c r="I13" s="5">
        <v>199.58</v>
      </c>
      <c r="J13" s="5">
        <v>20.32</v>
      </c>
      <c r="K13" s="5">
        <v>336.37</v>
      </c>
      <c r="L13" s="5">
        <v>23.26</v>
      </c>
      <c r="M13" s="5">
        <v>17.43</v>
      </c>
      <c r="N13" s="5">
        <v>285.19</v>
      </c>
      <c r="O13" s="5">
        <v>65.290000000000006</v>
      </c>
      <c r="P13" s="5">
        <v>12.17</v>
      </c>
      <c r="Q13" s="5">
        <v>10.76</v>
      </c>
      <c r="R13" s="5">
        <v>19.100000000000001</v>
      </c>
      <c r="S13" s="5">
        <v>0.37</v>
      </c>
      <c r="T13" s="5">
        <v>9.6199999999999992</v>
      </c>
      <c r="U13" s="5">
        <v>21.71</v>
      </c>
      <c r="V13" s="5">
        <v>41.96</v>
      </c>
    </row>
    <row r="14" spans="1:22" x14ac:dyDescent="0.25">
      <c r="A14" s="5">
        <v>9</v>
      </c>
      <c r="B14" s="5">
        <v>91.94</v>
      </c>
      <c r="C14" s="5">
        <v>17.920000000000002</v>
      </c>
      <c r="D14" s="5">
        <v>331.24</v>
      </c>
      <c r="E14" s="5">
        <v>150.63</v>
      </c>
      <c r="F14" s="5">
        <v>203.52</v>
      </c>
      <c r="G14" s="5">
        <v>12.17</v>
      </c>
      <c r="H14" s="5">
        <v>9.32</v>
      </c>
      <c r="I14" s="5">
        <v>199.58</v>
      </c>
      <c r="J14" s="5">
        <v>20.32</v>
      </c>
      <c r="K14" s="5">
        <v>336.37</v>
      </c>
      <c r="L14" s="5">
        <v>23.26</v>
      </c>
      <c r="M14" s="5">
        <v>17.43</v>
      </c>
      <c r="N14" s="5">
        <v>285.19</v>
      </c>
      <c r="O14" s="5">
        <v>65.290000000000006</v>
      </c>
      <c r="P14" s="5">
        <v>12.17</v>
      </c>
      <c r="Q14" s="5">
        <v>10.76</v>
      </c>
      <c r="R14" s="5">
        <v>19.100000000000001</v>
      </c>
      <c r="S14" s="5">
        <v>0.37</v>
      </c>
      <c r="T14" s="5">
        <v>9.6199999999999992</v>
      </c>
      <c r="U14" s="5">
        <v>21.71</v>
      </c>
      <c r="V14" s="5">
        <v>41.96</v>
      </c>
    </row>
    <row r="15" spans="1:22" x14ac:dyDescent="0.25">
      <c r="A15" s="5">
        <v>10</v>
      </c>
      <c r="B15" s="5">
        <v>91.94</v>
      </c>
      <c r="C15" s="5">
        <v>17.920000000000002</v>
      </c>
      <c r="D15" s="5">
        <v>331.24</v>
      </c>
      <c r="E15" s="5">
        <v>150.63</v>
      </c>
      <c r="F15" s="5">
        <v>203.52</v>
      </c>
      <c r="G15" s="5">
        <v>12.17</v>
      </c>
      <c r="H15" s="5">
        <v>9.32</v>
      </c>
      <c r="I15" s="5">
        <v>199.58</v>
      </c>
      <c r="J15" s="5">
        <v>20.32</v>
      </c>
      <c r="K15" s="5">
        <v>336.37</v>
      </c>
      <c r="L15" s="5">
        <v>23.26</v>
      </c>
      <c r="M15" s="5">
        <v>17.43</v>
      </c>
      <c r="N15" s="5">
        <v>285.19</v>
      </c>
      <c r="O15" s="5">
        <v>65.290000000000006</v>
      </c>
      <c r="P15" s="5">
        <v>12.17</v>
      </c>
      <c r="Q15" s="5">
        <v>10.76</v>
      </c>
      <c r="R15" s="5">
        <v>19.100000000000001</v>
      </c>
      <c r="S15" s="5">
        <v>0.37</v>
      </c>
      <c r="T15" s="5">
        <v>9.6199999999999992</v>
      </c>
      <c r="U15" s="5">
        <v>21.71</v>
      </c>
      <c r="V15" s="5">
        <v>41.96</v>
      </c>
    </row>
    <row r="16" spans="1:22" x14ac:dyDescent="0.25">
      <c r="A16" s="5">
        <v>11</v>
      </c>
      <c r="B16" s="5">
        <v>91.94</v>
      </c>
      <c r="C16" s="5">
        <v>17.920000000000002</v>
      </c>
      <c r="D16" s="5">
        <v>331.24</v>
      </c>
      <c r="E16" s="5">
        <v>150.63</v>
      </c>
      <c r="F16" s="5">
        <v>203.52</v>
      </c>
      <c r="G16" s="5">
        <v>12.17</v>
      </c>
      <c r="H16" s="5">
        <v>9.32</v>
      </c>
      <c r="I16" s="5">
        <v>199.58</v>
      </c>
      <c r="J16" s="5">
        <v>20.32</v>
      </c>
      <c r="K16" s="5">
        <v>336.37</v>
      </c>
      <c r="L16" s="5">
        <v>23.26</v>
      </c>
      <c r="M16" s="5">
        <v>17.43</v>
      </c>
      <c r="N16" s="5">
        <v>285.19</v>
      </c>
      <c r="O16" s="5">
        <v>65.290000000000006</v>
      </c>
      <c r="P16" s="5">
        <v>12.17</v>
      </c>
      <c r="Q16" s="5">
        <v>10.76</v>
      </c>
      <c r="R16" s="5">
        <v>19.100000000000001</v>
      </c>
      <c r="S16" s="5">
        <v>0.37</v>
      </c>
      <c r="T16" s="5">
        <v>9.6199999999999992</v>
      </c>
      <c r="U16" s="5">
        <v>21.71</v>
      </c>
      <c r="V16" s="5">
        <v>41.96</v>
      </c>
    </row>
    <row r="17" spans="1:22" x14ac:dyDescent="0.25">
      <c r="A17" s="5">
        <v>12</v>
      </c>
      <c r="B17" s="5">
        <v>91.94</v>
      </c>
      <c r="C17" s="5">
        <v>17.920000000000002</v>
      </c>
      <c r="D17" s="5">
        <v>331.24</v>
      </c>
      <c r="E17" s="5">
        <v>150.63</v>
      </c>
      <c r="F17" s="5">
        <v>203.52</v>
      </c>
      <c r="G17" s="5">
        <v>12.17</v>
      </c>
      <c r="H17" s="5">
        <v>9.32</v>
      </c>
      <c r="I17" s="5">
        <v>199.58</v>
      </c>
      <c r="J17" s="5">
        <v>20.32</v>
      </c>
      <c r="K17" s="5">
        <v>336.37</v>
      </c>
      <c r="L17" s="5">
        <v>23.26</v>
      </c>
      <c r="M17" s="5">
        <v>17.43</v>
      </c>
      <c r="N17" s="5">
        <v>285.19</v>
      </c>
      <c r="O17" s="5">
        <v>65.290000000000006</v>
      </c>
      <c r="P17" s="5">
        <v>12.17</v>
      </c>
      <c r="Q17" s="5">
        <v>10.76</v>
      </c>
      <c r="R17" s="5">
        <v>19.100000000000001</v>
      </c>
      <c r="S17" s="5">
        <v>0.37</v>
      </c>
      <c r="T17" s="5">
        <v>9.6199999999999992</v>
      </c>
      <c r="U17" s="5">
        <v>21.71</v>
      </c>
      <c r="V17" s="5">
        <v>41.96</v>
      </c>
    </row>
    <row r="18" spans="1:22" x14ac:dyDescent="0.25">
      <c r="A18" s="5">
        <v>13</v>
      </c>
      <c r="B18" s="5">
        <v>91.94</v>
      </c>
      <c r="C18" s="5">
        <v>17.920000000000002</v>
      </c>
      <c r="D18" s="5">
        <v>331.24</v>
      </c>
      <c r="E18" s="5">
        <v>150.63</v>
      </c>
      <c r="F18" s="5">
        <v>203.52</v>
      </c>
      <c r="G18" s="5">
        <v>12.17</v>
      </c>
      <c r="H18" s="5">
        <v>9.32</v>
      </c>
      <c r="I18" s="5">
        <v>199.58</v>
      </c>
      <c r="J18" s="5">
        <v>20.32</v>
      </c>
      <c r="K18" s="5">
        <v>336.37</v>
      </c>
      <c r="L18" s="5">
        <v>23.26</v>
      </c>
      <c r="M18" s="5">
        <v>17.43</v>
      </c>
      <c r="N18" s="5">
        <v>285.19</v>
      </c>
      <c r="O18" s="5">
        <v>65.290000000000006</v>
      </c>
      <c r="P18" s="5">
        <v>12.17</v>
      </c>
      <c r="Q18" s="5">
        <v>10.76</v>
      </c>
      <c r="R18" s="5">
        <v>19.100000000000001</v>
      </c>
      <c r="S18" s="5">
        <v>0.37</v>
      </c>
      <c r="T18" s="5">
        <v>9.6199999999999992</v>
      </c>
      <c r="U18" s="5">
        <v>21.71</v>
      </c>
      <c r="V18" s="5">
        <v>41.96</v>
      </c>
    </row>
    <row r="19" spans="1:22" x14ac:dyDescent="0.25">
      <c r="A19" s="5">
        <v>14</v>
      </c>
      <c r="B19" s="5">
        <v>91.94</v>
      </c>
      <c r="C19" s="5">
        <v>17.920000000000002</v>
      </c>
      <c r="D19" s="5">
        <v>331.24</v>
      </c>
      <c r="E19" s="5">
        <v>150.63</v>
      </c>
      <c r="F19" s="5">
        <v>203.52</v>
      </c>
      <c r="G19" s="5">
        <v>12.17</v>
      </c>
      <c r="H19" s="5">
        <v>9.32</v>
      </c>
      <c r="I19" s="5">
        <v>199.58</v>
      </c>
      <c r="J19" s="5">
        <v>20.32</v>
      </c>
      <c r="K19" s="5">
        <v>336.37</v>
      </c>
      <c r="L19" s="5">
        <v>23.26</v>
      </c>
      <c r="M19" s="5">
        <v>17.43</v>
      </c>
      <c r="N19" s="5">
        <v>285.19</v>
      </c>
      <c r="O19" s="5">
        <v>65.290000000000006</v>
      </c>
      <c r="P19" s="5">
        <v>12.17</v>
      </c>
      <c r="Q19" s="5">
        <v>10.76</v>
      </c>
      <c r="R19" s="5">
        <v>19.100000000000001</v>
      </c>
      <c r="S19" s="5">
        <v>0.37</v>
      </c>
      <c r="T19" s="5">
        <v>9.6199999999999992</v>
      </c>
      <c r="U19" s="5">
        <v>21.71</v>
      </c>
      <c r="V19" s="5">
        <v>41.96</v>
      </c>
    </row>
    <row r="20" spans="1:22" x14ac:dyDescent="0.25">
      <c r="A20" s="5">
        <v>15</v>
      </c>
      <c r="B20" s="5">
        <v>91.94</v>
      </c>
      <c r="C20" s="5">
        <v>17.920000000000002</v>
      </c>
      <c r="D20" s="5">
        <v>331.24</v>
      </c>
      <c r="E20" s="5">
        <v>150.63</v>
      </c>
      <c r="F20" s="5">
        <v>203.52</v>
      </c>
      <c r="G20" s="5">
        <v>12.17</v>
      </c>
      <c r="H20" s="5">
        <v>9.32</v>
      </c>
      <c r="I20" s="5">
        <v>199.58</v>
      </c>
      <c r="J20" s="5">
        <v>20.32</v>
      </c>
      <c r="K20" s="5">
        <v>336.37</v>
      </c>
      <c r="L20" s="5">
        <v>23.26</v>
      </c>
      <c r="M20" s="5">
        <v>17.43</v>
      </c>
      <c r="N20" s="5">
        <v>285.19</v>
      </c>
      <c r="O20" s="5">
        <v>65.290000000000006</v>
      </c>
      <c r="P20" s="5">
        <v>12.17</v>
      </c>
      <c r="Q20" s="5">
        <v>10.76</v>
      </c>
      <c r="R20" s="5">
        <v>19.100000000000001</v>
      </c>
      <c r="S20" s="5">
        <v>0.37</v>
      </c>
      <c r="T20" s="5">
        <v>9.6199999999999992</v>
      </c>
      <c r="U20" s="5">
        <v>21.71</v>
      </c>
      <c r="V20" s="5">
        <v>41.96</v>
      </c>
    </row>
    <row r="21" spans="1:22" x14ac:dyDescent="0.25">
      <c r="A21" s="5">
        <v>16</v>
      </c>
      <c r="B21" s="5">
        <v>91.94</v>
      </c>
      <c r="C21" s="5">
        <v>17.920000000000002</v>
      </c>
      <c r="D21" s="5">
        <v>331.24</v>
      </c>
      <c r="E21" s="5">
        <v>150.63</v>
      </c>
      <c r="F21" s="5">
        <v>203.52</v>
      </c>
      <c r="G21" s="5">
        <v>12.17</v>
      </c>
      <c r="H21" s="5">
        <v>9.32</v>
      </c>
      <c r="I21" s="5">
        <v>199.58</v>
      </c>
      <c r="J21" s="5">
        <v>20.32</v>
      </c>
      <c r="K21" s="5">
        <v>336.37</v>
      </c>
      <c r="L21" s="5">
        <v>23.26</v>
      </c>
      <c r="M21" s="5">
        <v>17.43</v>
      </c>
      <c r="N21" s="5">
        <v>285.19</v>
      </c>
      <c r="O21" s="5">
        <v>65.290000000000006</v>
      </c>
      <c r="P21" s="5">
        <v>12.17</v>
      </c>
      <c r="Q21" s="5">
        <v>10.76</v>
      </c>
      <c r="R21" s="5">
        <v>19.100000000000001</v>
      </c>
      <c r="S21" s="5">
        <v>0.37</v>
      </c>
      <c r="T21" s="5">
        <v>9.6199999999999992</v>
      </c>
      <c r="U21" s="5">
        <v>21.71</v>
      </c>
      <c r="V21" s="5">
        <v>41.96</v>
      </c>
    </row>
    <row r="22" spans="1:22" x14ac:dyDescent="0.25">
      <c r="A22" s="5">
        <v>17</v>
      </c>
      <c r="B22" s="5">
        <v>91.94</v>
      </c>
      <c r="C22" s="5">
        <v>17.920000000000002</v>
      </c>
      <c r="D22" s="5">
        <v>331.24</v>
      </c>
      <c r="E22" s="5">
        <v>150.63</v>
      </c>
      <c r="F22" s="5">
        <v>203.52</v>
      </c>
      <c r="G22" s="5">
        <v>12.17</v>
      </c>
      <c r="H22" s="5">
        <v>9.32</v>
      </c>
      <c r="I22" s="5">
        <v>199.58</v>
      </c>
      <c r="J22" s="5">
        <v>20.32</v>
      </c>
      <c r="K22" s="5">
        <v>336.37</v>
      </c>
      <c r="L22" s="5">
        <v>23.26</v>
      </c>
      <c r="M22" s="5">
        <v>17.43</v>
      </c>
      <c r="N22" s="5">
        <v>285.19</v>
      </c>
      <c r="O22" s="5">
        <v>65.290000000000006</v>
      </c>
      <c r="P22" s="5">
        <v>12.17</v>
      </c>
      <c r="Q22" s="5">
        <v>10.76</v>
      </c>
      <c r="R22" s="5">
        <v>19.100000000000001</v>
      </c>
      <c r="S22" s="5">
        <v>0.37</v>
      </c>
      <c r="T22" s="5">
        <v>9.6199999999999992</v>
      </c>
      <c r="U22" s="5">
        <v>21.71</v>
      </c>
      <c r="V22" s="5">
        <v>41.96</v>
      </c>
    </row>
    <row r="23" spans="1:22" x14ac:dyDescent="0.25">
      <c r="A23" s="5">
        <v>18</v>
      </c>
      <c r="B23" s="5">
        <v>91.94</v>
      </c>
      <c r="C23" s="5">
        <v>17.920000000000002</v>
      </c>
      <c r="D23" s="5">
        <v>331.24</v>
      </c>
      <c r="E23" s="5">
        <v>150.63</v>
      </c>
      <c r="F23" s="5">
        <v>203.52</v>
      </c>
      <c r="G23" s="5">
        <v>12.17</v>
      </c>
      <c r="H23" s="5">
        <v>9.32</v>
      </c>
      <c r="I23" s="5">
        <v>199.58</v>
      </c>
      <c r="J23" s="5">
        <v>20.32</v>
      </c>
      <c r="K23" s="5">
        <v>336.37</v>
      </c>
      <c r="L23" s="5">
        <v>23.26</v>
      </c>
      <c r="M23" s="5">
        <v>17.43</v>
      </c>
      <c r="N23" s="5">
        <v>285.19</v>
      </c>
      <c r="O23" s="5">
        <v>65.290000000000006</v>
      </c>
      <c r="P23" s="5">
        <v>12.17</v>
      </c>
      <c r="Q23" s="5">
        <v>10.76</v>
      </c>
      <c r="R23" s="5">
        <v>19.100000000000001</v>
      </c>
      <c r="S23" s="5">
        <v>0.37</v>
      </c>
      <c r="T23" s="5">
        <v>9.6199999999999992</v>
      </c>
      <c r="U23" s="5">
        <v>21.71</v>
      </c>
      <c r="V23" s="5">
        <v>41.96</v>
      </c>
    </row>
    <row r="24" spans="1:22" x14ac:dyDescent="0.25">
      <c r="A24" s="5">
        <v>19</v>
      </c>
      <c r="B24" s="5">
        <v>91.94</v>
      </c>
      <c r="C24" s="5">
        <v>17.920000000000002</v>
      </c>
      <c r="D24" s="5">
        <v>331.24</v>
      </c>
      <c r="E24" s="5">
        <v>150.63</v>
      </c>
      <c r="F24" s="5">
        <v>203.52</v>
      </c>
      <c r="G24" s="5">
        <v>12.17</v>
      </c>
      <c r="H24" s="5">
        <v>9.32</v>
      </c>
      <c r="I24" s="5">
        <v>199.58</v>
      </c>
      <c r="J24" s="5">
        <v>20.32</v>
      </c>
      <c r="K24" s="5">
        <v>336.37</v>
      </c>
      <c r="L24" s="5">
        <v>23.26</v>
      </c>
      <c r="M24" s="5">
        <v>17.43</v>
      </c>
      <c r="N24" s="5">
        <v>285.19</v>
      </c>
      <c r="O24" s="5">
        <v>65.290000000000006</v>
      </c>
      <c r="P24" s="5">
        <v>12.17</v>
      </c>
      <c r="Q24" s="5">
        <v>10.76</v>
      </c>
      <c r="R24" s="5">
        <v>19.100000000000001</v>
      </c>
      <c r="S24" s="5">
        <v>0.37</v>
      </c>
      <c r="T24" s="5">
        <v>9.6199999999999992</v>
      </c>
      <c r="U24" s="5">
        <v>21.71</v>
      </c>
      <c r="V24" s="5">
        <v>41.96</v>
      </c>
    </row>
    <row r="25" spans="1:22" x14ac:dyDescent="0.25">
      <c r="A25" s="5">
        <v>20</v>
      </c>
      <c r="B25" s="5">
        <v>91.94</v>
      </c>
      <c r="C25" s="5">
        <v>17.920000000000002</v>
      </c>
      <c r="D25" s="5">
        <v>331.24</v>
      </c>
      <c r="E25" s="5">
        <v>150.63</v>
      </c>
      <c r="F25" s="5">
        <v>203.52</v>
      </c>
      <c r="G25" s="5">
        <v>12.17</v>
      </c>
      <c r="H25" s="5">
        <v>9.32</v>
      </c>
      <c r="I25" s="5">
        <v>199.58</v>
      </c>
      <c r="J25" s="5">
        <v>20.32</v>
      </c>
      <c r="K25" s="5">
        <v>336.37</v>
      </c>
      <c r="L25" s="5">
        <v>23.26</v>
      </c>
      <c r="M25" s="5">
        <v>17.43</v>
      </c>
      <c r="N25" s="5">
        <v>285.19</v>
      </c>
      <c r="O25" s="5">
        <v>65.290000000000006</v>
      </c>
      <c r="P25" s="5">
        <v>12.17</v>
      </c>
      <c r="Q25" s="5">
        <v>10.76</v>
      </c>
      <c r="R25" s="5">
        <v>19.100000000000001</v>
      </c>
      <c r="S25" s="5">
        <v>0.37</v>
      </c>
      <c r="T25" s="5">
        <v>9.6199999999999992</v>
      </c>
      <c r="U25" s="5">
        <v>21.71</v>
      </c>
      <c r="V25" s="5">
        <v>41.96</v>
      </c>
    </row>
    <row r="26" spans="1:22" x14ac:dyDescent="0.25">
      <c r="A26" s="5">
        <v>21</v>
      </c>
      <c r="B26" s="5">
        <v>91.94</v>
      </c>
      <c r="C26" s="5">
        <v>17.920000000000002</v>
      </c>
      <c r="D26" s="5">
        <v>331.24</v>
      </c>
      <c r="E26" s="5">
        <v>150.63</v>
      </c>
      <c r="F26" s="5">
        <v>203.52</v>
      </c>
      <c r="G26" s="5">
        <v>12.17</v>
      </c>
      <c r="H26" s="5">
        <v>9.32</v>
      </c>
      <c r="I26" s="5">
        <v>199.58</v>
      </c>
      <c r="J26" s="5">
        <v>20.32</v>
      </c>
      <c r="K26" s="5">
        <v>336.37</v>
      </c>
      <c r="L26" s="5">
        <v>23.26</v>
      </c>
      <c r="M26" s="5">
        <v>17.43</v>
      </c>
      <c r="N26" s="5">
        <v>285.19</v>
      </c>
      <c r="O26" s="5">
        <v>65.290000000000006</v>
      </c>
      <c r="P26" s="5">
        <v>12.17</v>
      </c>
      <c r="Q26" s="5">
        <v>10.76</v>
      </c>
      <c r="R26" s="5">
        <v>19.100000000000001</v>
      </c>
      <c r="S26" s="5">
        <v>0.37</v>
      </c>
      <c r="T26" s="5">
        <v>9.6199999999999992</v>
      </c>
      <c r="U26" s="5">
        <v>21.71</v>
      </c>
      <c r="V26" s="5">
        <v>41.96</v>
      </c>
    </row>
    <row r="27" spans="1:22" x14ac:dyDescent="0.25">
      <c r="A27" s="5">
        <v>22</v>
      </c>
      <c r="B27" s="5">
        <v>91.94</v>
      </c>
      <c r="C27" s="5">
        <v>17.920000000000002</v>
      </c>
      <c r="D27" s="5">
        <v>331.24</v>
      </c>
      <c r="E27" s="5">
        <v>150.63</v>
      </c>
      <c r="F27" s="5">
        <v>203.52</v>
      </c>
      <c r="G27" s="5">
        <v>12.17</v>
      </c>
      <c r="H27" s="5">
        <v>9.32</v>
      </c>
      <c r="I27" s="5">
        <v>199.58</v>
      </c>
      <c r="J27" s="5">
        <v>20.32</v>
      </c>
      <c r="K27" s="5">
        <v>336.37</v>
      </c>
      <c r="L27" s="5">
        <v>23.26</v>
      </c>
      <c r="M27" s="5">
        <v>17.43</v>
      </c>
      <c r="N27" s="5">
        <v>285.19</v>
      </c>
      <c r="O27" s="5">
        <v>65.290000000000006</v>
      </c>
      <c r="P27" s="5">
        <v>12.17</v>
      </c>
      <c r="Q27" s="5">
        <v>10.76</v>
      </c>
      <c r="R27" s="5">
        <v>19.100000000000001</v>
      </c>
      <c r="S27" s="5">
        <v>0.37</v>
      </c>
      <c r="T27" s="5">
        <v>9.6199999999999992</v>
      </c>
      <c r="U27" s="5">
        <v>21.71</v>
      </c>
      <c r="V27" s="5">
        <v>41.96</v>
      </c>
    </row>
    <row r="28" spans="1:22" x14ac:dyDescent="0.25">
      <c r="A28" s="5">
        <v>23</v>
      </c>
      <c r="B28" s="5">
        <v>91.94</v>
      </c>
      <c r="C28" s="5">
        <v>17.920000000000002</v>
      </c>
      <c r="D28" s="5">
        <v>331.24</v>
      </c>
      <c r="E28" s="5">
        <v>150.63</v>
      </c>
      <c r="F28" s="5">
        <v>203.52</v>
      </c>
      <c r="G28" s="5">
        <v>12.17</v>
      </c>
      <c r="H28" s="5">
        <v>9.32</v>
      </c>
      <c r="I28" s="5">
        <v>199.58</v>
      </c>
      <c r="J28" s="5">
        <v>20.32</v>
      </c>
      <c r="K28" s="5">
        <v>336.37</v>
      </c>
      <c r="L28" s="5">
        <v>23.26</v>
      </c>
      <c r="M28" s="5">
        <v>17.43</v>
      </c>
      <c r="N28" s="5">
        <v>285.19</v>
      </c>
      <c r="O28" s="5">
        <v>65.290000000000006</v>
      </c>
      <c r="P28" s="5">
        <v>12.17</v>
      </c>
      <c r="Q28" s="5">
        <v>10.76</v>
      </c>
      <c r="R28" s="5">
        <v>19.100000000000001</v>
      </c>
      <c r="S28" s="5">
        <v>0.37</v>
      </c>
      <c r="T28" s="5">
        <v>9.6199999999999992</v>
      </c>
      <c r="U28" s="5">
        <v>21.71</v>
      </c>
      <c r="V28" s="5">
        <v>41.96</v>
      </c>
    </row>
    <row r="29" spans="1:22" x14ac:dyDescent="0.25">
      <c r="A29" s="5">
        <v>24</v>
      </c>
      <c r="B29" s="5">
        <v>91.94</v>
      </c>
      <c r="C29" s="5">
        <v>17.920000000000002</v>
      </c>
      <c r="D29" s="5">
        <v>331.24</v>
      </c>
      <c r="E29" s="5">
        <v>150.63</v>
      </c>
      <c r="F29" s="5">
        <v>203.52</v>
      </c>
      <c r="G29" s="5">
        <v>12.17</v>
      </c>
      <c r="H29" s="5">
        <v>9.32</v>
      </c>
      <c r="I29" s="5">
        <v>199.58</v>
      </c>
      <c r="J29" s="5">
        <v>20.32</v>
      </c>
      <c r="K29" s="5">
        <v>336.37</v>
      </c>
      <c r="L29" s="5">
        <v>23.26</v>
      </c>
      <c r="M29" s="5">
        <v>17.43</v>
      </c>
      <c r="N29" s="5">
        <v>285.19</v>
      </c>
      <c r="O29" s="5">
        <v>65.290000000000006</v>
      </c>
      <c r="P29" s="5">
        <v>12.17</v>
      </c>
      <c r="Q29" s="5">
        <v>10.76</v>
      </c>
      <c r="R29" s="5">
        <v>19.100000000000001</v>
      </c>
      <c r="S29" s="5">
        <v>0.37</v>
      </c>
      <c r="T29" s="5">
        <v>9.6199999999999992</v>
      </c>
      <c r="U29" s="5">
        <v>21.71</v>
      </c>
      <c r="V29" s="5">
        <v>41.96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sheetPr>
  <dimension ref="A1:G18"/>
  <sheetViews>
    <sheetView workbookViewId="0">
      <selection activeCell="B11" sqref="B11"/>
    </sheetView>
  </sheetViews>
  <sheetFormatPr defaultRowHeight="15" x14ac:dyDescent="0.25"/>
  <cols>
    <col min="1" max="1" width="33.140625" customWidth="1"/>
    <col min="2" max="2" width="14.42578125" bestFit="1" customWidth="1"/>
    <col min="3" max="4" width="16" customWidth="1"/>
  </cols>
  <sheetData>
    <row r="1" spans="1:7" ht="18.75" customHeight="1" x14ac:dyDescent="0.3">
      <c r="A1" s="1" t="s">
        <v>422</v>
      </c>
    </row>
    <row r="2" spans="1:7" x14ac:dyDescent="0.25">
      <c r="A2" s="2" t="s">
        <v>423</v>
      </c>
    </row>
    <row r="4" spans="1:7" x14ac:dyDescent="0.25">
      <c r="A4" s="3" t="s">
        <v>30</v>
      </c>
      <c r="B4" s="3" t="s">
        <v>147</v>
      </c>
      <c r="C4" s="3" t="s">
        <v>90</v>
      </c>
      <c r="D4" s="3" t="s">
        <v>91</v>
      </c>
      <c r="E4" s="12" t="s">
        <v>188</v>
      </c>
      <c r="F4" s="12" t="s">
        <v>189</v>
      </c>
      <c r="G4" s="12" t="s">
        <v>190</v>
      </c>
    </row>
    <row r="5" spans="1:7" x14ac:dyDescent="0.25">
      <c r="A5" s="4"/>
      <c r="B5" s="4"/>
      <c r="C5" s="4" t="s">
        <v>424</v>
      </c>
      <c r="D5" s="4" t="s">
        <v>3</v>
      </c>
      <c r="E5" s="4"/>
      <c r="F5" s="4" t="s">
        <v>197</v>
      </c>
      <c r="G5" s="4" t="s">
        <v>197</v>
      </c>
    </row>
    <row r="6" spans="1:7" x14ac:dyDescent="0.25">
      <c r="A6" s="6" t="s">
        <v>425</v>
      </c>
      <c r="B6" s="5" t="s">
        <v>612</v>
      </c>
      <c r="C6" s="5" t="s">
        <v>426</v>
      </c>
      <c r="D6" s="17">
        <v>102</v>
      </c>
      <c r="E6" s="17" t="s">
        <v>427</v>
      </c>
    </row>
    <row r="7" spans="1:7" x14ac:dyDescent="0.25">
      <c r="A7" s="6" t="s">
        <v>428</v>
      </c>
      <c r="B7" s="5" t="s">
        <v>492</v>
      </c>
      <c r="C7" s="5" t="s">
        <v>426</v>
      </c>
      <c r="D7" s="17">
        <v>50</v>
      </c>
      <c r="E7" s="17" t="s">
        <v>429</v>
      </c>
    </row>
    <row r="8" spans="1:7" x14ac:dyDescent="0.25">
      <c r="A8" s="6" t="s">
        <v>430</v>
      </c>
      <c r="B8" s="5" t="s">
        <v>534</v>
      </c>
      <c r="C8" s="5" t="s">
        <v>426</v>
      </c>
      <c r="D8" s="17">
        <v>370</v>
      </c>
      <c r="E8" s="17" t="s">
        <v>431</v>
      </c>
    </row>
    <row r="9" spans="1:7" x14ac:dyDescent="0.25">
      <c r="A9" s="6" t="s">
        <v>432</v>
      </c>
      <c r="B9" s="5" t="s">
        <v>534</v>
      </c>
      <c r="C9" s="5" t="s">
        <v>426</v>
      </c>
      <c r="D9" s="17">
        <v>200</v>
      </c>
      <c r="E9" s="17" t="s">
        <v>433</v>
      </c>
    </row>
    <row r="10" spans="1:7" x14ac:dyDescent="0.25">
      <c r="A10" s="6" t="s">
        <v>434</v>
      </c>
      <c r="B10" s="5" t="s">
        <v>612</v>
      </c>
      <c r="C10" s="5" t="s">
        <v>426</v>
      </c>
      <c r="D10" s="17">
        <v>100</v>
      </c>
      <c r="E10" s="17" t="s">
        <v>435</v>
      </c>
    </row>
    <row r="11" spans="1:7" x14ac:dyDescent="0.25">
      <c r="A11" s="6" t="s">
        <v>436</v>
      </c>
      <c r="B11" s="5" t="s">
        <v>539</v>
      </c>
      <c r="C11" s="5" t="s">
        <v>426</v>
      </c>
      <c r="D11" s="17">
        <v>300</v>
      </c>
      <c r="E11" s="17" t="s">
        <v>437</v>
      </c>
    </row>
    <row r="12" spans="1:7" x14ac:dyDescent="0.25">
      <c r="A12" s="6" t="s">
        <v>438</v>
      </c>
      <c r="B12" s="5" t="s">
        <v>629</v>
      </c>
      <c r="C12" s="5" t="s">
        <v>426</v>
      </c>
      <c r="D12" s="17">
        <v>83</v>
      </c>
      <c r="E12" s="17" t="s">
        <v>439</v>
      </c>
    </row>
    <row r="13" spans="1:7" x14ac:dyDescent="0.25">
      <c r="A13" s="6" t="s">
        <v>440</v>
      </c>
      <c r="B13" s="5" t="s">
        <v>500</v>
      </c>
      <c r="C13" s="5" t="s">
        <v>426</v>
      </c>
      <c r="D13" s="17">
        <v>68</v>
      </c>
      <c r="E13" s="17" t="s">
        <v>441</v>
      </c>
    </row>
    <row r="14" spans="1:7" x14ac:dyDescent="0.25">
      <c r="A14" s="6" t="s">
        <v>442</v>
      </c>
      <c r="B14" s="5" t="s">
        <v>442</v>
      </c>
      <c r="C14" s="5" t="s">
        <v>426</v>
      </c>
      <c r="D14" s="17">
        <v>100</v>
      </c>
      <c r="E14" s="17" t="s">
        <v>443</v>
      </c>
    </row>
    <row r="15" spans="1:7" x14ac:dyDescent="0.25">
      <c r="A15" s="6" t="s">
        <v>444</v>
      </c>
      <c r="B15" s="5" t="s">
        <v>512</v>
      </c>
      <c r="C15" s="5" t="s">
        <v>426</v>
      </c>
      <c r="D15" s="17">
        <v>150</v>
      </c>
      <c r="E15" s="17" t="s">
        <v>445</v>
      </c>
    </row>
    <row r="16" spans="1:7" x14ac:dyDescent="0.25">
      <c r="A16" s="6" t="s">
        <v>446</v>
      </c>
      <c r="B16" s="5" t="s">
        <v>507</v>
      </c>
      <c r="C16" s="5" t="s">
        <v>426</v>
      </c>
      <c r="D16" s="17">
        <v>160</v>
      </c>
      <c r="E16" s="17" t="s">
        <v>447</v>
      </c>
    </row>
    <row r="17" spans="1:5" x14ac:dyDescent="0.25">
      <c r="A17" s="6" t="s">
        <v>448</v>
      </c>
      <c r="B17" s="5" t="s">
        <v>524</v>
      </c>
      <c r="C17" s="5" t="s">
        <v>426</v>
      </c>
      <c r="D17" s="17">
        <v>80</v>
      </c>
      <c r="E17" s="17" t="s">
        <v>449</v>
      </c>
    </row>
    <row r="18" spans="1:5" x14ac:dyDescent="0.25">
      <c r="A18" s="6" t="s">
        <v>450</v>
      </c>
      <c r="B18" s="5" t="s">
        <v>524</v>
      </c>
      <c r="C18" s="5" t="s">
        <v>426</v>
      </c>
      <c r="D18" s="17">
        <v>35</v>
      </c>
      <c r="E18" s="17" t="s">
        <v>451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sheetPr>
  <dimension ref="A1:N29"/>
  <sheetViews>
    <sheetView workbookViewId="0">
      <selection activeCell="L25" sqref="L25"/>
    </sheetView>
  </sheetViews>
  <sheetFormatPr defaultRowHeight="15" x14ac:dyDescent="0.25"/>
  <cols>
    <col min="1" max="1" width="5" bestFit="1" customWidth="1"/>
    <col min="2" max="2" width="12" bestFit="1" customWidth="1"/>
    <col min="3" max="3" width="10" bestFit="1" customWidth="1"/>
    <col min="4" max="4" width="12" bestFit="1" customWidth="1"/>
    <col min="5" max="5" width="11" bestFit="1" customWidth="1"/>
    <col min="6" max="6" width="10" bestFit="1" customWidth="1"/>
    <col min="7" max="9" width="12" bestFit="1" customWidth="1"/>
    <col min="10" max="10" width="10" bestFit="1" customWidth="1"/>
    <col min="11" max="14" width="12" bestFit="1" customWidth="1"/>
  </cols>
  <sheetData>
    <row r="1" spans="1:14" ht="18.75" customHeight="1" x14ac:dyDescent="0.3">
      <c r="A1" s="1" t="s">
        <v>452</v>
      </c>
    </row>
    <row r="2" spans="1:14" x14ac:dyDescent="0.25">
      <c r="A2" s="2" t="s">
        <v>453</v>
      </c>
    </row>
    <row r="4" spans="1:14" x14ac:dyDescent="0.25">
      <c r="A4" s="3" t="s">
        <v>2</v>
      </c>
      <c r="B4" s="3" t="s">
        <v>425</v>
      </c>
      <c r="C4" s="3" t="s">
        <v>428</v>
      </c>
      <c r="D4" s="3" t="s">
        <v>430</v>
      </c>
      <c r="E4" s="3" t="s">
        <v>432</v>
      </c>
      <c r="F4" s="3" t="s">
        <v>434</v>
      </c>
      <c r="G4" s="3" t="s">
        <v>436</v>
      </c>
      <c r="H4" s="3" t="s">
        <v>438</v>
      </c>
      <c r="I4" s="3" t="s">
        <v>440</v>
      </c>
      <c r="J4" s="3" t="s">
        <v>442</v>
      </c>
      <c r="K4" s="3" t="s">
        <v>444</v>
      </c>
      <c r="L4" s="3" t="s">
        <v>446</v>
      </c>
      <c r="M4" s="3" t="s">
        <v>448</v>
      </c>
      <c r="N4" s="3" t="s">
        <v>450</v>
      </c>
    </row>
    <row r="5" spans="1:14" x14ac:dyDescent="0.25">
      <c r="A5" s="4"/>
      <c r="B5" s="4" t="s">
        <v>454</v>
      </c>
      <c r="C5" s="4" t="s">
        <v>454</v>
      </c>
      <c r="D5" s="4" t="s">
        <v>454</v>
      </c>
      <c r="E5" s="4" t="s">
        <v>454</v>
      </c>
      <c r="F5" s="4" t="s">
        <v>454</v>
      </c>
      <c r="G5" s="4" t="s">
        <v>454</v>
      </c>
      <c r="H5" s="4" t="s">
        <v>454</v>
      </c>
      <c r="I5" s="4" t="s">
        <v>454</v>
      </c>
      <c r="J5" s="4" t="s">
        <v>454</v>
      </c>
      <c r="K5" s="4" t="s">
        <v>454</v>
      </c>
      <c r="L5" s="4" t="s">
        <v>454</v>
      </c>
      <c r="M5" s="4" t="s">
        <v>454</v>
      </c>
      <c r="N5" s="4" t="s">
        <v>454</v>
      </c>
    </row>
    <row r="6" spans="1:14" x14ac:dyDescent="0.25">
      <c r="A6" s="5">
        <v>1</v>
      </c>
      <c r="B6" s="31">
        <v>0</v>
      </c>
      <c r="C6" s="31">
        <v>0</v>
      </c>
      <c r="D6" s="31">
        <v>0</v>
      </c>
      <c r="E6" s="31">
        <v>0</v>
      </c>
      <c r="F6" s="31">
        <v>0</v>
      </c>
      <c r="G6" s="31">
        <v>0</v>
      </c>
      <c r="H6" s="31">
        <v>0</v>
      </c>
      <c r="I6" s="31">
        <v>0</v>
      </c>
      <c r="J6" s="31">
        <v>0</v>
      </c>
      <c r="K6" s="31">
        <v>0</v>
      </c>
      <c r="L6" s="31">
        <v>0</v>
      </c>
      <c r="M6" s="31">
        <v>0</v>
      </c>
      <c r="N6" s="31">
        <v>0</v>
      </c>
    </row>
    <row r="7" spans="1:14" x14ac:dyDescent="0.25">
      <c r="A7" s="5">
        <v>2</v>
      </c>
      <c r="B7" s="31">
        <v>0</v>
      </c>
      <c r="C7" s="31">
        <v>0</v>
      </c>
      <c r="D7" s="31">
        <v>0</v>
      </c>
      <c r="E7" s="31">
        <v>0</v>
      </c>
      <c r="F7" s="31">
        <v>0</v>
      </c>
      <c r="G7" s="31">
        <v>0</v>
      </c>
      <c r="H7" s="31">
        <v>0</v>
      </c>
      <c r="I7" s="31">
        <v>0</v>
      </c>
      <c r="J7" s="31">
        <v>0</v>
      </c>
      <c r="K7" s="31">
        <v>0</v>
      </c>
      <c r="L7" s="31">
        <v>0</v>
      </c>
      <c r="M7" s="31">
        <v>0</v>
      </c>
      <c r="N7" s="31">
        <v>0</v>
      </c>
    </row>
    <row r="8" spans="1:14" x14ac:dyDescent="0.25">
      <c r="A8" s="5">
        <v>3</v>
      </c>
      <c r="B8" s="31">
        <v>0</v>
      </c>
      <c r="C8" s="31">
        <v>0</v>
      </c>
      <c r="D8" s="31">
        <v>0</v>
      </c>
      <c r="E8" s="31">
        <v>0</v>
      </c>
      <c r="F8" s="31">
        <v>0</v>
      </c>
      <c r="G8" s="31">
        <v>0</v>
      </c>
      <c r="H8" s="31">
        <v>0</v>
      </c>
      <c r="I8" s="31">
        <v>0</v>
      </c>
      <c r="J8" s="31">
        <v>0</v>
      </c>
      <c r="K8" s="31">
        <v>0</v>
      </c>
      <c r="L8" s="31">
        <v>0</v>
      </c>
      <c r="M8" s="31">
        <v>0</v>
      </c>
      <c r="N8" s="31">
        <v>0</v>
      </c>
    </row>
    <row r="9" spans="1:14" x14ac:dyDescent="0.25">
      <c r="A9" s="5">
        <v>4</v>
      </c>
      <c r="B9" s="31">
        <v>0</v>
      </c>
      <c r="C9" s="31">
        <v>0</v>
      </c>
      <c r="D9" s="31">
        <v>0</v>
      </c>
      <c r="E9" s="31">
        <v>0</v>
      </c>
      <c r="F9" s="31">
        <v>0</v>
      </c>
      <c r="G9" s="31">
        <v>0</v>
      </c>
      <c r="H9" s="31">
        <v>0</v>
      </c>
      <c r="I9" s="31">
        <v>0</v>
      </c>
      <c r="J9" s="31">
        <v>0</v>
      </c>
      <c r="K9" s="31">
        <v>0</v>
      </c>
      <c r="L9" s="31">
        <v>0</v>
      </c>
      <c r="M9" s="31">
        <v>0</v>
      </c>
      <c r="N9" s="31">
        <v>0</v>
      </c>
    </row>
    <row r="10" spans="1:14" x14ac:dyDescent="0.25">
      <c r="A10" s="5">
        <v>5</v>
      </c>
      <c r="B10" s="31">
        <v>0</v>
      </c>
      <c r="C10" s="31">
        <v>0</v>
      </c>
      <c r="D10" s="31">
        <v>0</v>
      </c>
      <c r="E10" s="31">
        <v>0</v>
      </c>
      <c r="F10" s="31">
        <v>0</v>
      </c>
      <c r="G10" s="31">
        <v>0</v>
      </c>
      <c r="H10" s="31">
        <v>0</v>
      </c>
      <c r="I10" s="31">
        <v>0</v>
      </c>
      <c r="J10" s="31">
        <v>0</v>
      </c>
      <c r="K10" s="31">
        <v>0</v>
      </c>
      <c r="L10" s="31">
        <v>0</v>
      </c>
      <c r="M10" s="31">
        <v>0</v>
      </c>
      <c r="N10" s="31">
        <v>0</v>
      </c>
    </row>
    <row r="11" spans="1:14" x14ac:dyDescent="0.25">
      <c r="A11" s="5">
        <v>6</v>
      </c>
      <c r="B11" s="31">
        <v>0</v>
      </c>
      <c r="C11" s="31">
        <v>1.6770000000000001E-3</v>
      </c>
      <c r="D11" s="31">
        <v>3.4634999999999999E-4</v>
      </c>
      <c r="E11" s="31">
        <v>0</v>
      </c>
      <c r="F11" s="31">
        <v>0</v>
      </c>
      <c r="G11" s="31">
        <v>7.4670000000000002E-5</v>
      </c>
      <c r="H11" s="31">
        <v>0</v>
      </c>
      <c r="I11" s="31">
        <v>0</v>
      </c>
      <c r="J11" s="31">
        <v>1.2143E-3</v>
      </c>
      <c r="K11" s="31">
        <v>0</v>
      </c>
      <c r="L11" s="31">
        <v>0</v>
      </c>
      <c r="M11" s="31">
        <v>1.95875E-3</v>
      </c>
      <c r="N11" s="31">
        <v>1.3091400000000001E-3</v>
      </c>
    </row>
    <row r="12" spans="1:14" x14ac:dyDescent="0.25">
      <c r="A12" s="5">
        <v>7</v>
      </c>
      <c r="B12" s="31">
        <v>6.6564219999999993E-2</v>
      </c>
      <c r="C12" s="31">
        <v>0.106241</v>
      </c>
      <c r="D12" s="31">
        <v>0.18198897</v>
      </c>
      <c r="E12" s="31">
        <v>0.21246335</v>
      </c>
      <c r="F12" s="31">
        <v>6.9236900000000004E-2</v>
      </c>
      <c r="G12" s="31">
        <v>0.10841426999999999</v>
      </c>
      <c r="H12" s="31">
        <v>8.7826630000000003E-2</v>
      </c>
      <c r="I12" s="31">
        <v>0.24669956000000001</v>
      </c>
      <c r="J12" s="31">
        <v>0.173295</v>
      </c>
      <c r="K12" s="31">
        <v>0.1814914</v>
      </c>
      <c r="L12" s="31">
        <v>6.6298499999999996E-2</v>
      </c>
      <c r="M12" s="31">
        <v>0.12901038000000001</v>
      </c>
      <c r="N12" s="31">
        <v>6.5481999999999999E-2</v>
      </c>
    </row>
    <row r="13" spans="1:14" x14ac:dyDescent="0.25">
      <c r="A13" s="5">
        <v>8</v>
      </c>
      <c r="B13" s="31">
        <v>0.40781471000000002</v>
      </c>
      <c r="C13" s="31">
        <v>0.44771460000000002</v>
      </c>
      <c r="D13" s="31">
        <v>0.59903192000000005</v>
      </c>
      <c r="E13" s="31">
        <v>0.68548365</v>
      </c>
      <c r="F13" s="31">
        <v>0.4027501</v>
      </c>
      <c r="G13" s="31">
        <v>0.47204996999999999</v>
      </c>
      <c r="H13" s="31">
        <v>0.57562904000000004</v>
      </c>
      <c r="I13" s="31">
        <v>0.73659646999999995</v>
      </c>
      <c r="J13" s="31">
        <v>0.60426619999999998</v>
      </c>
      <c r="K13" s="31">
        <v>0.53158313000000001</v>
      </c>
      <c r="L13" s="31">
        <v>0.32302950000000002</v>
      </c>
      <c r="M13" s="31">
        <v>0.49297337000000002</v>
      </c>
      <c r="N13" s="31">
        <v>0.33301999999999998</v>
      </c>
    </row>
    <row r="14" spans="1:14" x14ac:dyDescent="0.25">
      <c r="A14" s="5">
        <v>9</v>
      </c>
      <c r="B14" s="31">
        <v>0.75284382000000005</v>
      </c>
      <c r="C14" s="31">
        <v>0.69655500000000004</v>
      </c>
      <c r="D14" s="31">
        <v>0.76106448999999998</v>
      </c>
      <c r="E14" s="31">
        <v>0.8895767</v>
      </c>
      <c r="F14" s="31">
        <v>0.50103589999999998</v>
      </c>
      <c r="G14" s="31">
        <v>0.67396012999999999</v>
      </c>
      <c r="H14" s="31">
        <v>0.89633107999999995</v>
      </c>
      <c r="I14" s="31">
        <v>0.86750190999999999</v>
      </c>
      <c r="J14" s="31">
        <v>0.7900239</v>
      </c>
      <c r="K14" s="31">
        <v>0.63546453000000003</v>
      </c>
      <c r="L14" s="31">
        <v>0.68427950000000004</v>
      </c>
      <c r="M14" s="31">
        <v>0.77333324999999997</v>
      </c>
      <c r="N14" s="31">
        <v>0.51444886000000001</v>
      </c>
    </row>
    <row r="15" spans="1:14" x14ac:dyDescent="0.25">
      <c r="A15" s="5">
        <v>10</v>
      </c>
      <c r="B15" s="31">
        <v>0.69979422000000002</v>
      </c>
      <c r="C15" s="31">
        <v>0.75456239999999997</v>
      </c>
      <c r="D15" s="31">
        <v>0.83507083999999998</v>
      </c>
      <c r="E15" s="31">
        <v>0.97508044999999999</v>
      </c>
      <c r="F15" s="31">
        <v>0.7752327</v>
      </c>
      <c r="G15" s="31">
        <v>0.64745017000000005</v>
      </c>
      <c r="H15" s="31">
        <v>0.62449372999999997</v>
      </c>
      <c r="I15" s="31">
        <v>0.91394779000000004</v>
      </c>
      <c r="J15" s="31">
        <v>0.80412989999999995</v>
      </c>
      <c r="K15" s="31">
        <v>0.67446753000000004</v>
      </c>
      <c r="L15" s="31">
        <v>0.79942650000000004</v>
      </c>
      <c r="M15" s="31">
        <v>0.83347512000000001</v>
      </c>
      <c r="N15" s="31">
        <v>0.71001371000000002</v>
      </c>
    </row>
    <row r="16" spans="1:14" x14ac:dyDescent="0.25">
      <c r="A16" s="5">
        <v>11</v>
      </c>
      <c r="B16" s="31">
        <v>0.78437891999999998</v>
      </c>
      <c r="C16" s="31">
        <v>0.78780059999999996</v>
      </c>
      <c r="D16" s="31">
        <v>0.86401318999999999</v>
      </c>
      <c r="E16" s="31">
        <v>0.99723720000000005</v>
      </c>
      <c r="F16" s="31">
        <v>0.84323709999999996</v>
      </c>
      <c r="G16" s="31">
        <v>0.73295376999999995</v>
      </c>
      <c r="H16" s="31">
        <v>0.71595083999999998</v>
      </c>
      <c r="I16" s="31">
        <v>0.90932221000000002</v>
      </c>
      <c r="J16" s="31">
        <v>0.8038883</v>
      </c>
      <c r="K16" s="31">
        <v>0.68856446999999998</v>
      </c>
      <c r="L16" s="31">
        <v>0.92887200000000003</v>
      </c>
      <c r="M16" s="31">
        <v>0.77931837999999998</v>
      </c>
      <c r="N16" s="31">
        <v>0.69465343000000002</v>
      </c>
    </row>
    <row r="17" spans="1:14" x14ac:dyDescent="0.25">
      <c r="A17" s="5">
        <v>12</v>
      </c>
      <c r="B17" s="31">
        <v>0.85078735000000005</v>
      </c>
      <c r="C17" s="31">
        <v>0.79657520000000004</v>
      </c>
      <c r="D17" s="31">
        <v>0.77952741000000003</v>
      </c>
      <c r="E17" s="31">
        <v>0.99788690000000002</v>
      </c>
      <c r="F17" s="31">
        <v>0.89026130000000003</v>
      </c>
      <c r="G17" s="31">
        <v>0.77581120000000003</v>
      </c>
      <c r="H17" s="31">
        <v>0.85429096000000004</v>
      </c>
      <c r="I17" s="31">
        <v>0.91376014999999999</v>
      </c>
      <c r="J17" s="31">
        <v>0.80404129999999996</v>
      </c>
      <c r="K17" s="31">
        <v>0.70152446999999996</v>
      </c>
      <c r="L17" s="31">
        <v>0.82591300000000001</v>
      </c>
      <c r="M17" s="31">
        <v>0.81890474999999996</v>
      </c>
      <c r="N17" s="31">
        <v>0.49644485999999999</v>
      </c>
    </row>
    <row r="18" spans="1:14" x14ac:dyDescent="0.25">
      <c r="A18" s="5">
        <v>13</v>
      </c>
      <c r="B18" s="31">
        <v>0.85202559</v>
      </c>
      <c r="C18" s="31">
        <v>0.80336479999999999</v>
      </c>
      <c r="D18" s="31">
        <v>0.72635103000000001</v>
      </c>
      <c r="E18" s="31">
        <v>0.99843755000000001</v>
      </c>
      <c r="F18" s="31">
        <v>0.91354729999999995</v>
      </c>
      <c r="G18" s="31">
        <v>0.72083187000000004</v>
      </c>
      <c r="H18" s="31">
        <v>0.94904686999999999</v>
      </c>
      <c r="I18" s="31">
        <v>0.92415190999999997</v>
      </c>
      <c r="J18" s="31">
        <v>0.74148029999999998</v>
      </c>
      <c r="K18" s="31">
        <v>0.69170200000000004</v>
      </c>
      <c r="L18" s="31">
        <v>0.94010687999999998</v>
      </c>
      <c r="M18" s="31">
        <v>0.87167437000000003</v>
      </c>
      <c r="N18" s="31">
        <v>0.47463970999999999</v>
      </c>
    </row>
    <row r="19" spans="1:14" x14ac:dyDescent="0.25">
      <c r="A19" s="5">
        <v>14</v>
      </c>
      <c r="B19" s="31">
        <v>0.83303430999999994</v>
      </c>
      <c r="C19" s="31">
        <v>0.80440560000000005</v>
      </c>
      <c r="D19" s="31">
        <v>0.75100429999999996</v>
      </c>
      <c r="E19" s="31">
        <v>0.96565774999999998</v>
      </c>
      <c r="F19" s="31">
        <v>0.66727479999999995</v>
      </c>
      <c r="G19" s="31">
        <v>0.79562946999999995</v>
      </c>
      <c r="H19" s="31">
        <v>0.93012096</v>
      </c>
      <c r="I19" s="31">
        <v>0.90694721</v>
      </c>
      <c r="J19" s="31">
        <v>0.72763560000000005</v>
      </c>
      <c r="K19" s="31">
        <v>0.67462827000000003</v>
      </c>
      <c r="L19" s="31">
        <v>0.86232569000000003</v>
      </c>
      <c r="M19" s="31">
        <v>0.56684449999999997</v>
      </c>
      <c r="N19" s="31">
        <v>0.39019399999999999</v>
      </c>
    </row>
    <row r="20" spans="1:14" x14ac:dyDescent="0.25">
      <c r="A20" s="5">
        <v>15</v>
      </c>
      <c r="B20" s="31">
        <v>0.68681559000000003</v>
      </c>
      <c r="C20" s="31">
        <v>0.78255319999999995</v>
      </c>
      <c r="D20" s="31">
        <v>0.72780102999999996</v>
      </c>
      <c r="E20" s="31">
        <v>0.83366125000000002</v>
      </c>
      <c r="F20" s="31">
        <v>0.96860579999999996</v>
      </c>
      <c r="G20" s="31">
        <v>0.86032127000000003</v>
      </c>
      <c r="H20" s="31">
        <v>0.69569517999999997</v>
      </c>
      <c r="I20" s="31">
        <v>0.73311397</v>
      </c>
      <c r="J20" s="31">
        <v>0.77155099999999999</v>
      </c>
      <c r="K20" s="31">
        <v>0.63691967000000005</v>
      </c>
      <c r="L20" s="31">
        <v>0.73262731000000003</v>
      </c>
      <c r="M20" s="31">
        <v>0.34639187999999999</v>
      </c>
      <c r="N20" s="31">
        <v>0.59438943</v>
      </c>
    </row>
    <row r="21" spans="1:14" x14ac:dyDescent="0.25">
      <c r="A21" s="5">
        <v>16</v>
      </c>
      <c r="B21" s="31">
        <v>0.45273373</v>
      </c>
      <c r="C21" s="31">
        <v>0.70250239999999997</v>
      </c>
      <c r="D21" s="31">
        <v>0.72092816000000004</v>
      </c>
      <c r="E21" s="31">
        <v>0.89809974999999997</v>
      </c>
      <c r="F21" s="31">
        <v>0.92632000000000003</v>
      </c>
      <c r="G21" s="31">
        <v>0.72352110000000003</v>
      </c>
      <c r="H21" s="31">
        <v>0.53091071999999995</v>
      </c>
      <c r="I21" s="31">
        <v>0.49639338</v>
      </c>
      <c r="J21" s="31">
        <v>0.77816689999999999</v>
      </c>
      <c r="K21" s="31">
        <v>0.58931732999999997</v>
      </c>
      <c r="L21" s="31">
        <v>0.56477681000000002</v>
      </c>
      <c r="M21" s="31">
        <v>0.50607225</v>
      </c>
      <c r="N21" s="31">
        <v>0.32194456999999999</v>
      </c>
    </row>
    <row r="22" spans="1:14" x14ac:dyDescent="0.25">
      <c r="A22" s="5">
        <v>17</v>
      </c>
      <c r="B22" s="31">
        <v>0.35245667000000003</v>
      </c>
      <c r="C22" s="31">
        <v>0.46604380000000001</v>
      </c>
      <c r="D22" s="31">
        <v>0.56043003000000002</v>
      </c>
      <c r="E22" s="31">
        <v>0.68720060000000005</v>
      </c>
      <c r="F22" s="31">
        <v>0.38880409999999999</v>
      </c>
      <c r="G22" s="31">
        <v>0.42886393</v>
      </c>
      <c r="H22" s="31">
        <v>0.35919806999999998</v>
      </c>
      <c r="I22" s="31">
        <v>0.21179000000000001</v>
      </c>
      <c r="J22" s="31">
        <v>0.58677179999999995</v>
      </c>
      <c r="K22" s="31">
        <v>0.46088833000000001</v>
      </c>
      <c r="L22" s="31">
        <v>0.30729800000000002</v>
      </c>
      <c r="M22" s="31">
        <v>0.29518074999999999</v>
      </c>
      <c r="N22" s="31">
        <v>0.24498313999999999</v>
      </c>
    </row>
    <row r="23" spans="1:14" x14ac:dyDescent="0.25">
      <c r="A23" s="5">
        <v>18</v>
      </c>
      <c r="B23" s="31">
        <v>9.3342649999999999E-2</v>
      </c>
      <c r="C23" s="31">
        <v>4.88262E-2</v>
      </c>
      <c r="D23" s="31">
        <v>0.20703991999999999</v>
      </c>
      <c r="E23" s="31">
        <v>0.22993459999999999</v>
      </c>
      <c r="F23" s="31">
        <v>8.7900099999999995E-2</v>
      </c>
      <c r="G23" s="31">
        <v>8.1467800000000007E-2</v>
      </c>
      <c r="H23" s="31">
        <v>0.11688554</v>
      </c>
      <c r="I23" s="31">
        <v>0.10684043999999999</v>
      </c>
      <c r="J23" s="31">
        <v>0.14139409999999999</v>
      </c>
      <c r="K23" s="31">
        <v>6.7221600000000006E-2</v>
      </c>
      <c r="L23" s="31">
        <v>4.698281E-2</v>
      </c>
      <c r="M23" s="31">
        <v>0.11800262</v>
      </c>
      <c r="N23" s="31">
        <v>3.7712860000000001E-2</v>
      </c>
    </row>
    <row r="24" spans="1:14" x14ac:dyDescent="0.25">
      <c r="A24" s="5">
        <v>19</v>
      </c>
      <c r="B24" s="31">
        <v>0</v>
      </c>
      <c r="C24" s="31">
        <v>2.6180000000000001E-3</v>
      </c>
      <c r="D24" s="31">
        <v>4.4331400000000003E-3</v>
      </c>
      <c r="E24" s="31">
        <v>3.5155E-3</v>
      </c>
      <c r="F24" s="31">
        <v>6.5012999999999998E-3</v>
      </c>
      <c r="G24" s="31">
        <v>0</v>
      </c>
      <c r="H24" s="31">
        <v>0</v>
      </c>
      <c r="I24" s="31">
        <v>0</v>
      </c>
      <c r="J24" s="31">
        <v>6.7628999999999996E-3</v>
      </c>
      <c r="K24" s="31">
        <v>0</v>
      </c>
      <c r="L24" s="31">
        <v>0</v>
      </c>
      <c r="M24" s="31">
        <v>2.0937500000000001E-3</v>
      </c>
      <c r="N24" s="31">
        <v>0</v>
      </c>
    </row>
    <row r="25" spans="1:14" x14ac:dyDescent="0.25">
      <c r="A25" s="5">
        <v>20</v>
      </c>
      <c r="B25" s="31">
        <v>0</v>
      </c>
      <c r="C25" s="31">
        <v>0</v>
      </c>
      <c r="D25" s="31">
        <v>0</v>
      </c>
      <c r="E25" s="31">
        <v>0</v>
      </c>
      <c r="F25" s="31">
        <v>0</v>
      </c>
      <c r="G25" s="31">
        <v>0</v>
      </c>
      <c r="H25" s="31">
        <v>0</v>
      </c>
      <c r="I25" s="31">
        <v>0</v>
      </c>
      <c r="J25" s="31">
        <v>0</v>
      </c>
      <c r="K25" s="31">
        <v>0</v>
      </c>
      <c r="L25" s="31">
        <v>0</v>
      </c>
      <c r="M25" s="31">
        <v>0</v>
      </c>
      <c r="N25" s="31">
        <v>0</v>
      </c>
    </row>
    <row r="26" spans="1:14" x14ac:dyDescent="0.25">
      <c r="A26" s="5">
        <v>21</v>
      </c>
      <c r="B26" s="31">
        <v>0</v>
      </c>
      <c r="C26" s="31">
        <v>0</v>
      </c>
      <c r="D26" s="31">
        <v>0</v>
      </c>
      <c r="E26" s="31">
        <v>0</v>
      </c>
      <c r="F26" s="31">
        <v>0</v>
      </c>
      <c r="G26" s="31">
        <v>0</v>
      </c>
      <c r="H26" s="31">
        <v>0</v>
      </c>
      <c r="I26" s="31">
        <v>0</v>
      </c>
      <c r="J26" s="31">
        <v>0</v>
      </c>
      <c r="K26" s="31">
        <v>0</v>
      </c>
      <c r="L26" s="31">
        <v>0</v>
      </c>
      <c r="M26" s="31">
        <v>0</v>
      </c>
      <c r="N26" s="31">
        <v>0</v>
      </c>
    </row>
    <row r="27" spans="1:14" x14ac:dyDescent="0.25">
      <c r="A27" s="5">
        <v>22</v>
      </c>
      <c r="B27" s="31">
        <v>0</v>
      </c>
      <c r="C27" s="31">
        <v>0</v>
      </c>
      <c r="D27" s="31">
        <v>0</v>
      </c>
      <c r="E27" s="31">
        <v>0</v>
      </c>
      <c r="F27" s="31">
        <v>0</v>
      </c>
      <c r="G27" s="31">
        <v>0</v>
      </c>
      <c r="H27" s="31">
        <v>0</v>
      </c>
      <c r="I27" s="31">
        <v>0</v>
      </c>
      <c r="J27" s="31">
        <v>0</v>
      </c>
      <c r="K27" s="31">
        <v>0</v>
      </c>
      <c r="L27" s="31">
        <v>0</v>
      </c>
      <c r="M27" s="31">
        <v>0</v>
      </c>
      <c r="N27" s="31">
        <v>0</v>
      </c>
    </row>
    <row r="28" spans="1:14" x14ac:dyDescent="0.25">
      <c r="A28" s="5">
        <v>23</v>
      </c>
      <c r="B28" s="31">
        <v>0</v>
      </c>
      <c r="C28" s="31">
        <v>0</v>
      </c>
      <c r="D28" s="31">
        <v>0</v>
      </c>
      <c r="E28" s="31">
        <v>0</v>
      </c>
      <c r="F28" s="31">
        <v>0</v>
      </c>
      <c r="G28" s="31">
        <v>0</v>
      </c>
      <c r="H28" s="31">
        <v>0</v>
      </c>
      <c r="I28" s="31">
        <v>0</v>
      </c>
      <c r="J28" s="31">
        <v>0</v>
      </c>
      <c r="K28" s="31">
        <v>0</v>
      </c>
      <c r="L28" s="31">
        <v>0</v>
      </c>
      <c r="M28" s="31">
        <v>0</v>
      </c>
      <c r="N28" s="31">
        <v>0</v>
      </c>
    </row>
    <row r="29" spans="1:14" x14ac:dyDescent="0.25">
      <c r="A29" s="5">
        <v>24</v>
      </c>
      <c r="B29" s="31">
        <v>0</v>
      </c>
      <c r="C29" s="31">
        <v>0</v>
      </c>
      <c r="D29" s="31">
        <v>0</v>
      </c>
      <c r="E29" s="31">
        <v>0</v>
      </c>
      <c r="F29" s="31">
        <v>0</v>
      </c>
      <c r="G29" s="31">
        <v>0</v>
      </c>
      <c r="H29" s="31">
        <v>0</v>
      </c>
      <c r="I29" s="31">
        <v>0</v>
      </c>
      <c r="J29" s="31">
        <v>0</v>
      </c>
      <c r="K29" s="31">
        <v>0</v>
      </c>
      <c r="L29" s="31">
        <v>0</v>
      </c>
      <c r="M29" s="31">
        <v>0</v>
      </c>
      <c r="N29" s="31">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G29"/>
  <sheetViews>
    <sheetView workbookViewId="0">
      <selection activeCell="D9" sqref="D9"/>
    </sheetView>
  </sheetViews>
  <sheetFormatPr defaultRowHeight="15" x14ac:dyDescent="0.25"/>
  <cols>
    <col min="1" max="1" width="8.140625" customWidth="1"/>
    <col min="2" max="3" width="16" customWidth="1"/>
  </cols>
  <sheetData>
    <row r="1" spans="1:111" ht="18.75" customHeight="1" x14ac:dyDescent="0.3">
      <c r="A1" s="1" t="s">
        <v>0</v>
      </c>
    </row>
    <row r="2" spans="1:111" x14ac:dyDescent="0.25">
      <c r="A2" s="2" t="s">
        <v>1</v>
      </c>
    </row>
    <row r="4" spans="1:111" x14ac:dyDescent="0.25">
      <c r="A4" s="3" t="s">
        <v>2</v>
      </c>
      <c r="B4" s="3" t="s">
        <v>561</v>
      </c>
      <c r="C4" s="3" t="s">
        <v>478</v>
      </c>
      <c r="D4" s="3" t="s">
        <v>372</v>
      </c>
      <c r="E4" s="3" t="s">
        <v>479</v>
      </c>
      <c r="F4" s="3" t="s">
        <v>480</v>
      </c>
      <c r="G4" s="3" t="s">
        <v>481</v>
      </c>
      <c r="H4" s="3" t="s">
        <v>482</v>
      </c>
      <c r="I4" s="3" t="s">
        <v>483</v>
      </c>
      <c r="J4" s="3" t="s">
        <v>484</v>
      </c>
      <c r="K4" s="3" t="s">
        <v>485</v>
      </c>
      <c r="L4" s="3" t="s">
        <v>486</v>
      </c>
      <c r="M4" s="3" t="s">
        <v>487</v>
      </c>
      <c r="N4" s="3" t="s">
        <v>488</v>
      </c>
      <c r="O4" s="3" t="s">
        <v>363</v>
      </c>
      <c r="P4" s="3" t="s">
        <v>489</v>
      </c>
      <c r="Q4" s="3" t="s">
        <v>490</v>
      </c>
      <c r="R4" s="3" t="s">
        <v>491</v>
      </c>
      <c r="S4" s="3" t="s">
        <v>492</v>
      </c>
      <c r="T4" s="3" t="s">
        <v>493</v>
      </c>
      <c r="U4" s="3" t="s">
        <v>494</v>
      </c>
      <c r="V4" s="3" t="s">
        <v>582</v>
      </c>
      <c r="W4" s="3" t="s">
        <v>495</v>
      </c>
      <c r="X4" s="3" t="s">
        <v>353</v>
      </c>
      <c r="Y4" s="3" t="s">
        <v>496</v>
      </c>
      <c r="Z4" s="3" t="s">
        <v>497</v>
      </c>
      <c r="AA4" s="3" t="s">
        <v>498</v>
      </c>
      <c r="AB4" s="3" t="s">
        <v>499</v>
      </c>
      <c r="AC4" s="3" t="s">
        <v>500</v>
      </c>
      <c r="AD4" s="3" t="s">
        <v>501</v>
      </c>
      <c r="AE4" s="3" t="s">
        <v>647</v>
      </c>
      <c r="AF4" s="3" t="s">
        <v>502</v>
      </c>
      <c r="AG4" s="3" t="s">
        <v>352</v>
      </c>
      <c r="AH4" s="3" t="s">
        <v>442</v>
      </c>
      <c r="AI4" s="3" t="s">
        <v>396</v>
      </c>
      <c r="AJ4" s="3" t="s">
        <v>503</v>
      </c>
      <c r="AK4" s="3" t="s">
        <v>361</v>
      </c>
      <c r="AL4" s="3" t="s">
        <v>504</v>
      </c>
      <c r="AM4" s="3" t="s">
        <v>344</v>
      </c>
      <c r="AN4" s="3" t="s">
        <v>505</v>
      </c>
      <c r="AO4" s="3" t="s">
        <v>506</v>
      </c>
      <c r="AP4" s="3" t="s">
        <v>507</v>
      </c>
      <c r="AQ4" s="3" t="s">
        <v>384</v>
      </c>
      <c r="AR4" s="3" t="s">
        <v>508</v>
      </c>
      <c r="AS4" s="3" t="s">
        <v>509</v>
      </c>
      <c r="AT4" s="3" t="s">
        <v>510</v>
      </c>
      <c r="AU4" s="3" t="s">
        <v>392</v>
      </c>
      <c r="AV4" s="3" t="s">
        <v>511</v>
      </c>
      <c r="AW4" s="3" t="s">
        <v>512</v>
      </c>
      <c r="AX4" s="3" t="s">
        <v>513</v>
      </c>
      <c r="AY4" s="3" t="s">
        <v>514</v>
      </c>
      <c r="AZ4" s="3" t="s">
        <v>515</v>
      </c>
      <c r="BA4" s="3" t="s">
        <v>379</v>
      </c>
      <c r="BB4" s="3" t="s">
        <v>612</v>
      </c>
      <c r="BC4" s="3" t="s">
        <v>516</v>
      </c>
      <c r="BD4" s="3" t="s">
        <v>517</v>
      </c>
      <c r="BE4" s="3" t="s">
        <v>370</v>
      </c>
      <c r="BF4" s="3" t="s">
        <v>518</v>
      </c>
      <c r="BG4" s="3" t="s">
        <v>519</v>
      </c>
      <c r="BH4" s="3" t="s">
        <v>649</v>
      </c>
      <c r="BI4" s="3" t="s">
        <v>520</v>
      </c>
      <c r="BJ4" s="3" t="s">
        <v>521</v>
      </c>
      <c r="BK4" s="3" t="s">
        <v>522</v>
      </c>
      <c r="BL4" s="3" t="s">
        <v>523</v>
      </c>
      <c r="BM4" s="3" t="s">
        <v>524</v>
      </c>
      <c r="BN4" s="3" t="s">
        <v>525</v>
      </c>
      <c r="BO4" s="3" t="s">
        <v>526</v>
      </c>
      <c r="BP4" s="3" t="s">
        <v>527</v>
      </c>
      <c r="BQ4" s="3" t="s">
        <v>528</v>
      </c>
      <c r="BR4" s="3" t="s">
        <v>529</v>
      </c>
      <c r="BS4" s="3" t="s">
        <v>530</v>
      </c>
      <c r="BT4" s="3" t="s">
        <v>394</v>
      </c>
      <c r="BU4" s="3" t="s">
        <v>381</v>
      </c>
      <c r="BV4" s="3" t="s">
        <v>365</v>
      </c>
      <c r="BW4" s="3" t="s">
        <v>358</v>
      </c>
      <c r="BX4" s="3" t="s">
        <v>531</v>
      </c>
      <c r="BY4" s="3" t="s">
        <v>629</v>
      </c>
      <c r="BZ4" s="3" t="s">
        <v>532</v>
      </c>
      <c r="CA4" s="3" t="s">
        <v>533</v>
      </c>
      <c r="CB4" s="3" t="s">
        <v>534</v>
      </c>
      <c r="CC4" s="3" t="s">
        <v>535</v>
      </c>
      <c r="CD4" s="3" t="s">
        <v>376</v>
      </c>
      <c r="CE4" s="3" t="s">
        <v>536</v>
      </c>
      <c r="CF4" s="3" t="s">
        <v>537</v>
      </c>
      <c r="CG4" s="3" t="s">
        <v>538</v>
      </c>
      <c r="CH4" s="3" t="s">
        <v>348</v>
      </c>
      <c r="CI4" s="3" t="s">
        <v>539</v>
      </c>
      <c r="CJ4" s="3" t="s">
        <v>648</v>
      </c>
      <c r="CK4" s="3" t="s">
        <v>540</v>
      </c>
      <c r="CL4" s="3" t="s">
        <v>541</v>
      </c>
      <c r="CM4" s="3" t="s">
        <v>542</v>
      </c>
      <c r="CN4" s="3" t="s">
        <v>543</v>
      </c>
      <c r="CO4" s="3" t="s">
        <v>544</v>
      </c>
      <c r="CP4" s="3" t="s">
        <v>356</v>
      </c>
      <c r="CQ4" s="3" t="s">
        <v>545</v>
      </c>
      <c r="CR4" s="3" t="s">
        <v>546</v>
      </c>
      <c r="CS4" s="3" t="s">
        <v>547</v>
      </c>
      <c r="CT4" s="3" t="s">
        <v>548</v>
      </c>
      <c r="CU4" s="3" t="s">
        <v>549</v>
      </c>
      <c r="CV4" s="3" t="s">
        <v>550</v>
      </c>
      <c r="CW4" s="3" t="s">
        <v>551</v>
      </c>
      <c r="CX4" s="3" t="s">
        <v>552</v>
      </c>
      <c r="CY4" s="3" t="s">
        <v>553</v>
      </c>
      <c r="CZ4" s="3" t="s">
        <v>554</v>
      </c>
      <c r="DA4" s="3" t="s">
        <v>555</v>
      </c>
      <c r="DB4" s="3" t="s">
        <v>556</v>
      </c>
      <c r="DC4" s="3" t="s">
        <v>557</v>
      </c>
      <c r="DD4" s="3" t="s">
        <v>558</v>
      </c>
      <c r="DE4" s="3" t="s">
        <v>374</v>
      </c>
      <c r="DF4" s="3" t="s">
        <v>559</v>
      </c>
      <c r="DG4" s="3" t="s">
        <v>560</v>
      </c>
    </row>
    <row r="5" spans="1:111" x14ac:dyDescent="0.25">
      <c r="A5" s="4"/>
      <c r="B5" s="4" t="s">
        <v>3</v>
      </c>
      <c r="C5" s="4" t="s">
        <v>3</v>
      </c>
      <c r="D5" s="4" t="s">
        <v>3</v>
      </c>
      <c r="E5" s="4" t="s">
        <v>3</v>
      </c>
      <c r="F5" s="4" t="s">
        <v>3</v>
      </c>
      <c r="G5" s="4" t="s">
        <v>3</v>
      </c>
      <c r="H5" s="4" t="s">
        <v>3</v>
      </c>
      <c r="I5" s="4" t="s">
        <v>3</v>
      </c>
      <c r="J5" s="4" t="s">
        <v>3</v>
      </c>
      <c r="K5" s="4" t="s">
        <v>3</v>
      </c>
      <c r="L5" s="4" t="s">
        <v>3</v>
      </c>
      <c r="M5" s="4" t="s">
        <v>3</v>
      </c>
      <c r="N5" s="4" t="s">
        <v>3</v>
      </c>
      <c r="O5" s="4" t="s">
        <v>3</v>
      </c>
      <c r="P5" s="4" t="s">
        <v>3</v>
      </c>
      <c r="Q5" s="4" t="s">
        <v>3</v>
      </c>
      <c r="R5" s="4" t="s">
        <v>3</v>
      </c>
      <c r="S5" s="4" t="s">
        <v>3</v>
      </c>
      <c r="T5" s="4" t="s">
        <v>3</v>
      </c>
      <c r="U5" s="4" t="s">
        <v>3</v>
      </c>
      <c r="V5" s="4" t="s">
        <v>3</v>
      </c>
      <c r="W5" s="4" t="s">
        <v>3</v>
      </c>
      <c r="X5" s="4" t="s">
        <v>3</v>
      </c>
      <c r="Y5" s="4" t="s">
        <v>3</v>
      </c>
      <c r="Z5" s="4" t="s">
        <v>3</v>
      </c>
      <c r="AA5" s="4" t="s">
        <v>3</v>
      </c>
      <c r="AB5" s="4" t="s">
        <v>3</v>
      </c>
      <c r="AC5" s="4" t="s">
        <v>3</v>
      </c>
      <c r="AD5" s="4" t="s">
        <v>3</v>
      </c>
      <c r="AE5" s="4" t="s">
        <v>3</v>
      </c>
      <c r="AF5" s="4" t="s">
        <v>3</v>
      </c>
      <c r="AG5" s="4" t="s">
        <v>3</v>
      </c>
      <c r="AH5" s="4" t="s">
        <v>3</v>
      </c>
      <c r="AI5" s="4" t="s">
        <v>3</v>
      </c>
      <c r="AJ5" s="4" t="s">
        <v>3</v>
      </c>
      <c r="AK5" s="4" t="s">
        <v>3</v>
      </c>
      <c r="AL5" s="4" t="s">
        <v>3</v>
      </c>
      <c r="AM5" s="4" t="s">
        <v>3</v>
      </c>
      <c r="AN5" s="4" t="s">
        <v>3</v>
      </c>
      <c r="AO5" s="4" t="s">
        <v>3</v>
      </c>
      <c r="AP5" s="4" t="s">
        <v>3</v>
      </c>
      <c r="AQ5" s="4" t="s">
        <v>3</v>
      </c>
      <c r="AR5" s="4" t="s">
        <v>3</v>
      </c>
      <c r="AS5" s="4" t="s">
        <v>3</v>
      </c>
      <c r="AT5" s="4" t="s">
        <v>3</v>
      </c>
      <c r="AU5" s="4" t="s">
        <v>3</v>
      </c>
      <c r="AV5" s="4" t="s">
        <v>3</v>
      </c>
      <c r="AW5" s="4" t="s">
        <v>3</v>
      </c>
      <c r="AX5" s="4" t="s">
        <v>3</v>
      </c>
      <c r="AY5" s="4" t="s">
        <v>3</v>
      </c>
      <c r="AZ5" s="4" t="s">
        <v>3</v>
      </c>
      <c r="BA5" s="4" t="s">
        <v>3</v>
      </c>
      <c r="BB5" s="4" t="s">
        <v>3</v>
      </c>
      <c r="BC5" s="4" t="s">
        <v>3</v>
      </c>
      <c r="BD5" s="4" t="s">
        <v>3</v>
      </c>
      <c r="BE5" s="4" t="s">
        <v>3</v>
      </c>
      <c r="BF5" s="4" t="s">
        <v>3</v>
      </c>
      <c r="BG5" s="4" t="s">
        <v>3</v>
      </c>
      <c r="BH5" s="4" t="s">
        <v>3</v>
      </c>
      <c r="BI5" s="4" t="s">
        <v>3</v>
      </c>
      <c r="BJ5" s="4" t="s">
        <v>3</v>
      </c>
      <c r="BK5" s="4" t="s">
        <v>3</v>
      </c>
      <c r="BL5" s="4" t="s">
        <v>3</v>
      </c>
      <c r="BM5" s="4" t="s">
        <v>3</v>
      </c>
      <c r="BN5" s="4" t="s">
        <v>3</v>
      </c>
      <c r="BO5" s="4" t="s">
        <v>3</v>
      </c>
      <c r="BP5" s="4" t="s">
        <v>3</v>
      </c>
      <c r="BQ5" s="4" t="s">
        <v>3</v>
      </c>
      <c r="BR5" s="4" t="s">
        <v>3</v>
      </c>
      <c r="BS5" s="4" t="s">
        <v>3</v>
      </c>
      <c r="BT5" s="4" t="s">
        <v>3</v>
      </c>
      <c r="BU5" s="4" t="s">
        <v>3</v>
      </c>
      <c r="BV5" s="4" t="s">
        <v>3</v>
      </c>
      <c r="BW5" s="4" t="s">
        <v>3</v>
      </c>
      <c r="BX5" s="4" t="s">
        <v>3</v>
      </c>
      <c r="BY5" s="4" t="s">
        <v>3</v>
      </c>
      <c r="BZ5" s="4" t="s">
        <v>3</v>
      </c>
      <c r="CA5" s="4" t="s">
        <v>3</v>
      </c>
      <c r="CB5" s="4" t="s">
        <v>3</v>
      </c>
      <c r="CC5" s="4" t="s">
        <v>3</v>
      </c>
      <c r="CD5" s="4" t="s">
        <v>3</v>
      </c>
      <c r="CE5" s="4" t="s">
        <v>3</v>
      </c>
      <c r="CF5" s="4" t="s">
        <v>3</v>
      </c>
      <c r="CG5" s="4" t="s">
        <v>3</v>
      </c>
      <c r="CH5" s="4" t="s">
        <v>3</v>
      </c>
      <c r="CI5" s="4" t="s">
        <v>3</v>
      </c>
      <c r="CJ5" s="4" t="s">
        <v>3</v>
      </c>
      <c r="CK5" s="4" t="s">
        <v>3</v>
      </c>
      <c r="CL5" s="4" t="s">
        <v>3</v>
      </c>
      <c r="CM5" s="4" t="s">
        <v>3</v>
      </c>
      <c r="CN5" s="4" t="s">
        <v>3</v>
      </c>
      <c r="CO5" s="4" t="s">
        <v>3</v>
      </c>
      <c r="CP5" s="4" t="s">
        <v>3</v>
      </c>
      <c r="CQ5" s="4" t="s">
        <v>3</v>
      </c>
      <c r="CR5" s="4" t="s">
        <v>3</v>
      </c>
      <c r="CS5" s="4" t="s">
        <v>3</v>
      </c>
      <c r="CT5" s="4" t="s">
        <v>3</v>
      </c>
      <c r="CU5" s="4" t="s">
        <v>3</v>
      </c>
      <c r="CV5" s="4" t="s">
        <v>3</v>
      </c>
      <c r="CW5" s="4" t="s">
        <v>3</v>
      </c>
      <c r="CX5" s="4" t="s">
        <v>3</v>
      </c>
      <c r="CY5" s="4" t="s">
        <v>3</v>
      </c>
      <c r="CZ5" s="4" t="s">
        <v>3</v>
      </c>
      <c r="DA5" s="4" t="s">
        <v>3</v>
      </c>
      <c r="DB5" s="4" t="s">
        <v>3</v>
      </c>
      <c r="DC5" s="4" t="s">
        <v>3</v>
      </c>
      <c r="DD5" s="4" t="s">
        <v>3</v>
      </c>
      <c r="DE5" s="4" t="s">
        <v>3</v>
      </c>
      <c r="DF5" s="4" t="s">
        <v>3</v>
      </c>
      <c r="DG5" s="4" t="s">
        <v>3</v>
      </c>
    </row>
    <row r="6" spans="1:111" x14ac:dyDescent="0.25">
      <c r="A6" s="5">
        <v>1</v>
      </c>
      <c r="B6" s="31">
        <v>210.448565669</v>
      </c>
      <c r="C6" s="31">
        <v>35.039704</v>
      </c>
      <c r="D6" s="31">
        <v>106.597428943</v>
      </c>
      <c r="E6" s="31">
        <v>123.165042996</v>
      </c>
      <c r="F6" s="31">
        <v>126.879033175</v>
      </c>
      <c r="G6" s="31">
        <v>45.617386951</v>
      </c>
      <c r="H6" s="31">
        <v>75.730153692000002</v>
      </c>
      <c r="I6" s="31">
        <v>148.74562943999999</v>
      </c>
      <c r="J6" s="31">
        <v>15.092039625</v>
      </c>
      <c r="K6" s="31">
        <v>46.134135581000002</v>
      </c>
      <c r="L6" s="31">
        <v>53.845342336999998</v>
      </c>
      <c r="M6" s="31">
        <v>55.633847582000001</v>
      </c>
      <c r="N6" s="31">
        <v>58.514102844</v>
      </c>
      <c r="O6" s="31">
        <v>178.049775453</v>
      </c>
      <c r="P6" s="31">
        <v>48.461385</v>
      </c>
      <c r="Q6" s="31">
        <v>46.903953821999998</v>
      </c>
      <c r="R6" s="31">
        <v>15.092039625</v>
      </c>
      <c r="S6" s="31">
        <v>91.968575630999993</v>
      </c>
      <c r="T6" s="31">
        <v>61.433203908999999</v>
      </c>
      <c r="U6" s="31">
        <v>110.934461541</v>
      </c>
      <c r="V6" s="31">
        <v>0</v>
      </c>
      <c r="W6" s="31">
        <v>272.56335340700002</v>
      </c>
      <c r="X6" s="31">
        <v>75.730153692000002</v>
      </c>
      <c r="Y6" s="31">
        <v>163.34872458999999</v>
      </c>
      <c r="Z6" s="31">
        <v>30.046296000000002</v>
      </c>
      <c r="AA6" s="31">
        <v>90.08080923</v>
      </c>
      <c r="AB6" s="31">
        <v>138.26628513700001</v>
      </c>
      <c r="AC6" s="31">
        <v>194.49126452499999</v>
      </c>
      <c r="AD6" s="31">
        <v>63.454462499999998</v>
      </c>
      <c r="AE6" s="31">
        <v>58.514102844</v>
      </c>
      <c r="AF6" s="31">
        <v>58.514102844</v>
      </c>
      <c r="AG6" s="31">
        <v>52.081001788999998</v>
      </c>
      <c r="AH6" s="31">
        <v>74.183475392000005</v>
      </c>
      <c r="AI6" s="31">
        <v>35.129720235999997</v>
      </c>
      <c r="AJ6" s="31">
        <v>110.962900289</v>
      </c>
      <c r="AK6" s="31">
        <v>39.944151949999998</v>
      </c>
      <c r="AL6" s="31">
        <v>30.046296000000002</v>
      </c>
      <c r="AM6" s="31">
        <v>317.376609143</v>
      </c>
      <c r="AN6" s="31">
        <v>73.645173944000007</v>
      </c>
      <c r="AO6" s="31">
        <v>33.754168317999998</v>
      </c>
      <c r="AP6" s="31">
        <v>97.065687167999997</v>
      </c>
      <c r="AQ6" s="31">
        <v>48.67890663</v>
      </c>
      <c r="AR6" s="31">
        <v>39.039204906999998</v>
      </c>
      <c r="AS6" s="31">
        <v>115.461610636</v>
      </c>
      <c r="AT6" s="31">
        <v>51.570716406999999</v>
      </c>
      <c r="AU6" s="31">
        <v>184.90567457200001</v>
      </c>
      <c r="AV6" s="31">
        <v>53.696905498</v>
      </c>
      <c r="AW6" s="31">
        <v>65.157023128000006</v>
      </c>
      <c r="AX6" s="31">
        <v>75.730153692000002</v>
      </c>
      <c r="AY6" s="31">
        <v>179.14635075000001</v>
      </c>
      <c r="AZ6" s="31">
        <v>75.846057013000006</v>
      </c>
      <c r="BA6" s="31">
        <v>33.754168317999998</v>
      </c>
      <c r="BB6" s="31">
        <v>71.982131682000002</v>
      </c>
      <c r="BC6" s="31">
        <v>41.450005703000002</v>
      </c>
      <c r="BD6" s="31">
        <v>37.193048113000003</v>
      </c>
      <c r="BE6" s="31">
        <v>64.327850953999999</v>
      </c>
      <c r="BF6" s="31">
        <v>58.514102844</v>
      </c>
      <c r="BG6" s="31">
        <v>12.405625000000001</v>
      </c>
      <c r="BH6" s="31">
        <v>65.902007100000006</v>
      </c>
      <c r="BI6" s="31">
        <v>200.378001576</v>
      </c>
      <c r="BJ6" s="31">
        <v>82.859900603</v>
      </c>
      <c r="BK6" s="31">
        <v>106.921205246</v>
      </c>
      <c r="BL6" s="31">
        <v>75.730153692000002</v>
      </c>
      <c r="BM6" s="31">
        <v>118.62728617</v>
      </c>
      <c r="BN6" s="31">
        <v>58.514102844</v>
      </c>
      <c r="BO6" s="31">
        <v>58.514102844</v>
      </c>
      <c r="BP6" s="31">
        <v>62.154761964999999</v>
      </c>
      <c r="BQ6" s="31">
        <v>98.889595666999995</v>
      </c>
      <c r="BR6" s="31">
        <v>50.870461544999998</v>
      </c>
      <c r="BS6" s="31">
        <v>108.356006544</v>
      </c>
      <c r="BT6" s="31">
        <v>138.31484718999999</v>
      </c>
      <c r="BU6" s="31">
        <v>40.631927908999998</v>
      </c>
      <c r="BV6" s="31">
        <v>33.754168317999998</v>
      </c>
      <c r="BW6" s="31">
        <v>93.590676756999997</v>
      </c>
      <c r="BX6" s="31">
        <v>64.704086476000001</v>
      </c>
      <c r="BY6" s="31">
        <v>51.570716406999999</v>
      </c>
      <c r="BZ6" s="31">
        <v>12.405625000000001</v>
      </c>
      <c r="CA6" s="31">
        <v>77.686277763000007</v>
      </c>
      <c r="CB6" s="31">
        <v>203.64885206299999</v>
      </c>
      <c r="CC6" s="31">
        <v>0</v>
      </c>
      <c r="CD6" s="31">
        <v>60.613001124999997</v>
      </c>
      <c r="CE6" s="31">
        <v>5.0306798749999997</v>
      </c>
      <c r="CF6" s="31">
        <v>49.444797833000003</v>
      </c>
      <c r="CG6" s="31">
        <v>105.632298753</v>
      </c>
      <c r="CH6" s="31">
        <v>227.294323198</v>
      </c>
      <c r="CI6" s="31">
        <v>26.056447313</v>
      </c>
      <c r="CJ6" s="31">
        <v>46.295779590999999</v>
      </c>
      <c r="CK6" s="31">
        <v>154.00773049200001</v>
      </c>
      <c r="CL6" s="31">
        <v>95.200947224999993</v>
      </c>
      <c r="CM6" s="31">
        <v>70.236518919000005</v>
      </c>
      <c r="CN6" s="31">
        <v>86.712730027000006</v>
      </c>
      <c r="CO6" s="31">
        <v>148.3343935</v>
      </c>
      <c r="CP6" s="31">
        <v>167.48578859400001</v>
      </c>
      <c r="CQ6" s="31">
        <v>59.715450250000004</v>
      </c>
      <c r="CR6" s="31">
        <v>37.768877328999999</v>
      </c>
      <c r="CS6" s="31">
        <v>170.77841609199999</v>
      </c>
      <c r="CT6" s="31">
        <v>133.94234550100001</v>
      </c>
      <c r="CU6" s="31">
        <v>63.136175606000002</v>
      </c>
      <c r="CV6" s="31">
        <v>148.743343111</v>
      </c>
      <c r="CW6" s="31">
        <v>102.510630453</v>
      </c>
      <c r="CX6" s="31">
        <v>29.546609374999999</v>
      </c>
      <c r="CY6" s="31">
        <v>5.0306798749999997</v>
      </c>
      <c r="CZ6" s="31">
        <v>71.642600052999995</v>
      </c>
      <c r="DA6" s="31">
        <v>244.70882613699999</v>
      </c>
      <c r="DB6" s="31">
        <v>86.646968379</v>
      </c>
      <c r="DC6" s="31">
        <v>173.084121356</v>
      </c>
      <c r="DD6" s="31">
        <v>65.902007100000006</v>
      </c>
      <c r="DE6" s="31">
        <v>183.01010334</v>
      </c>
      <c r="DF6" s="31">
        <v>102.87951020200001</v>
      </c>
      <c r="DG6" s="31">
        <v>103.38921304900001</v>
      </c>
    </row>
    <row r="7" spans="1:111" x14ac:dyDescent="0.25">
      <c r="A7" s="5">
        <v>2</v>
      </c>
      <c r="B7" s="31">
        <v>204.80727853900001</v>
      </c>
      <c r="C7" s="31">
        <v>34.100430000000003</v>
      </c>
      <c r="D7" s="31">
        <v>103.73997680399999</v>
      </c>
      <c r="E7" s="31">
        <v>119.863479227</v>
      </c>
      <c r="F7" s="31">
        <v>123.477912136</v>
      </c>
      <c r="G7" s="31">
        <v>44.394566623000003</v>
      </c>
      <c r="H7" s="31">
        <v>73.700130192000003</v>
      </c>
      <c r="I7" s="31">
        <v>144.75835213299999</v>
      </c>
      <c r="J7" s="31">
        <v>14.687482125000001</v>
      </c>
      <c r="K7" s="31">
        <v>44.897463334000001</v>
      </c>
      <c r="L7" s="31">
        <v>52.401963469000002</v>
      </c>
      <c r="M7" s="31">
        <v>54.142525994000003</v>
      </c>
      <c r="N7" s="31">
        <v>56.945573031000002</v>
      </c>
      <c r="O7" s="31">
        <v>173.27697106799999</v>
      </c>
      <c r="P7" s="31">
        <v>47.162328500000001</v>
      </c>
      <c r="Q7" s="31">
        <v>45.646645894999999</v>
      </c>
      <c r="R7" s="31">
        <v>14.687482125000001</v>
      </c>
      <c r="S7" s="31">
        <v>89.503264767999994</v>
      </c>
      <c r="T7" s="31">
        <v>59.786424666999999</v>
      </c>
      <c r="U7" s="31">
        <v>107.960750847</v>
      </c>
      <c r="V7" s="31">
        <v>0</v>
      </c>
      <c r="W7" s="31">
        <v>265.25701685600001</v>
      </c>
      <c r="X7" s="31">
        <v>73.700130192000003</v>
      </c>
      <c r="Y7" s="31">
        <v>158.96999652100001</v>
      </c>
      <c r="Z7" s="31">
        <v>29.240874643000001</v>
      </c>
      <c r="AA7" s="31">
        <v>87.666101881000003</v>
      </c>
      <c r="AB7" s="31">
        <v>134.55991734700001</v>
      </c>
      <c r="AC7" s="31">
        <v>189.27772914600001</v>
      </c>
      <c r="AD7" s="31">
        <v>61.753501333000003</v>
      </c>
      <c r="AE7" s="31">
        <v>56.945573031000002</v>
      </c>
      <c r="AF7" s="31">
        <v>56.945573031000002</v>
      </c>
      <c r="AG7" s="31">
        <v>50.684917708</v>
      </c>
      <c r="AH7" s="31">
        <v>72.194912181000007</v>
      </c>
      <c r="AI7" s="31">
        <v>34.188032491999998</v>
      </c>
      <c r="AJ7" s="31">
        <v>107.98842733399999</v>
      </c>
      <c r="AK7" s="31">
        <v>38.873408484999999</v>
      </c>
      <c r="AL7" s="31">
        <v>29.240874643000001</v>
      </c>
      <c r="AM7" s="31">
        <v>308.86900756699998</v>
      </c>
      <c r="AN7" s="31">
        <v>71.671040438000006</v>
      </c>
      <c r="AO7" s="31">
        <v>32.849353635999996</v>
      </c>
      <c r="AP7" s="31">
        <v>94.463743210999993</v>
      </c>
      <c r="AQ7" s="31">
        <v>47.374019216000001</v>
      </c>
      <c r="AR7" s="31">
        <v>37.992719532000002</v>
      </c>
      <c r="AS7" s="31">
        <v>112.36654512200001</v>
      </c>
      <c r="AT7" s="31">
        <v>50.188311044000002</v>
      </c>
      <c r="AU7" s="31">
        <v>179.94909061800001</v>
      </c>
      <c r="AV7" s="31">
        <v>52.257505479999999</v>
      </c>
      <c r="AW7" s="31">
        <v>63.410423113999997</v>
      </c>
      <c r="AX7" s="31">
        <v>73.700130192000003</v>
      </c>
      <c r="AY7" s="31">
        <v>174.34415175000001</v>
      </c>
      <c r="AZ7" s="31">
        <v>73.812926606999994</v>
      </c>
      <c r="BA7" s="31">
        <v>32.849353635999996</v>
      </c>
      <c r="BB7" s="31">
        <v>70.052577628999998</v>
      </c>
      <c r="BC7" s="31">
        <v>40.338896372000001</v>
      </c>
      <c r="BD7" s="31">
        <v>36.196050774</v>
      </c>
      <c r="BE7" s="31">
        <v>62.603477660000003</v>
      </c>
      <c r="BF7" s="31">
        <v>56.945573031000002</v>
      </c>
      <c r="BG7" s="31">
        <v>12.0730795</v>
      </c>
      <c r="BH7" s="31">
        <v>64.135437100000004</v>
      </c>
      <c r="BI7" s="31">
        <v>195.00666622</v>
      </c>
      <c r="BJ7" s="31">
        <v>80.638757003999999</v>
      </c>
      <c r="BK7" s="31">
        <v>104.055074021</v>
      </c>
      <c r="BL7" s="31">
        <v>73.700130192000003</v>
      </c>
      <c r="BM7" s="31">
        <v>115.44736171</v>
      </c>
      <c r="BN7" s="31">
        <v>56.945573031000002</v>
      </c>
      <c r="BO7" s="31">
        <v>56.945573031000002</v>
      </c>
      <c r="BP7" s="31">
        <v>60.488640703000002</v>
      </c>
      <c r="BQ7" s="31">
        <v>96.238759999999999</v>
      </c>
      <c r="BR7" s="31">
        <v>49.506827366000003</v>
      </c>
      <c r="BS7" s="31">
        <v>105.45141395</v>
      </c>
      <c r="BT7" s="31">
        <v>134.60717757</v>
      </c>
      <c r="BU7" s="31">
        <v>39.542747912999999</v>
      </c>
      <c r="BV7" s="31">
        <v>32.849353635999996</v>
      </c>
      <c r="BW7" s="31">
        <v>91.081883839</v>
      </c>
      <c r="BX7" s="31">
        <v>62.969627879000001</v>
      </c>
      <c r="BY7" s="31">
        <v>50.188311044000002</v>
      </c>
      <c r="BZ7" s="31">
        <v>12.0730795</v>
      </c>
      <c r="CA7" s="31">
        <v>75.603818386</v>
      </c>
      <c r="CB7" s="31">
        <v>198.18983822300001</v>
      </c>
      <c r="CC7" s="31">
        <v>0</v>
      </c>
      <c r="CD7" s="31">
        <v>58.988208186999998</v>
      </c>
      <c r="CE7" s="31">
        <v>4.8958273749999996</v>
      </c>
      <c r="CF7" s="31">
        <v>48.11938</v>
      </c>
      <c r="CG7" s="31">
        <v>102.80071814</v>
      </c>
      <c r="CH7" s="31">
        <v>221.201468568</v>
      </c>
      <c r="CI7" s="31">
        <v>25.357977812000001</v>
      </c>
      <c r="CJ7" s="31">
        <v>45.054774318</v>
      </c>
      <c r="CK7" s="31">
        <v>149.87939716100001</v>
      </c>
      <c r="CL7" s="31">
        <v>92.648989376000003</v>
      </c>
      <c r="CM7" s="31">
        <v>68.353757947999995</v>
      </c>
      <c r="CN7" s="31">
        <v>84.388307452999996</v>
      </c>
      <c r="CO7" s="31">
        <v>144.35813999999999</v>
      </c>
      <c r="CP7" s="31">
        <v>162.996162613</v>
      </c>
      <c r="CQ7" s="31">
        <v>58.114717249999998</v>
      </c>
      <c r="CR7" s="31">
        <v>36.756444348999999</v>
      </c>
      <c r="CS7" s="31">
        <v>166.200527596</v>
      </c>
      <c r="CT7" s="31">
        <v>130.351885291</v>
      </c>
      <c r="CU7" s="31">
        <v>61.443746458</v>
      </c>
      <c r="CV7" s="31">
        <v>144.75612707499999</v>
      </c>
      <c r="CW7" s="31">
        <v>99.762729195000006</v>
      </c>
      <c r="CX7" s="31">
        <v>28.754582625000001</v>
      </c>
      <c r="CY7" s="31">
        <v>4.8958273749999996</v>
      </c>
      <c r="CZ7" s="31">
        <v>69.722147648999993</v>
      </c>
      <c r="DA7" s="31">
        <v>238.14915811200001</v>
      </c>
      <c r="DB7" s="31">
        <v>84.324308720999994</v>
      </c>
      <c r="DC7" s="31">
        <v>168.44442611299999</v>
      </c>
      <c r="DD7" s="31">
        <v>64.135437100000004</v>
      </c>
      <c r="DE7" s="31">
        <v>178.10433229500001</v>
      </c>
      <c r="DF7" s="31">
        <v>100.12172070699999</v>
      </c>
      <c r="DG7" s="31">
        <v>100.617760389</v>
      </c>
    </row>
    <row r="8" spans="1:111" x14ac:dyDescent="0.25">
      <c r="A8" s="5">
        <v>3</v>
      </c>
      <c r="B8" s="31">
        <v>198.97861908499999</v>
      </c>
      <c r="C8" s="31">
        <v>33.129956999999997</v>
      </c>
      <c r="D8" s="31">
        <v>100.787615927</v>
      </c>
      <c r="E8" s="31">
        <v>116.452255631</v>
      </c>
      <c r="F8" s="31">
        <v>119.963824524</v>
      </c>
      <c r="G8" s="31">
        <v>43.131131043000003</v>
      </c>
      <c r="H8" s="31">
        <v>71.602680461999995</v>
      </c>
      <c r="I8" s="31">
        <v>140.63863937400001</v>
      </c>
      <c r="J8" s="31">
        <v>14.269487625</v>
      </c>
      <c r="K8" s="31">
        <v>43.619715622000001</v>
      </c>
      <c r="L8" s="31">
        <v>50.910643409999999</v>
      </c>
      <c r="M8" s="31">
        <v>52.601670810999998</v>
      </c>
      <c r="N8" s="31">
        <v>55.324945266</v>
      </c>
      <c r="O8" s="31">
        <v>168.34564015500001</v>
      </c>
      <c r="P8" s="31">
        <v>45.820124399999997</v>
      </c>
      <c r="Q8" s="31">
        <v>44.347577041000001</v>
      </c>
      <c r="R8" s="31">
        <v>14.269487625</v>
      </c>
      <c r="S8" s="31">
        <v>86.956069946</v>
      </c>
      <c r="T8" s="31">
        <v>58.084948363999999</v>
      </c>
      <c r="U8" s="31">
        <v>104.888269949</v>
      </c>
      <c r="V8" s="31">
        <v>0</v>
      </c>
      <c r="W8" s="31">
        <v>257.70800373899999</v>
      </c>
      <c r="X8" s="31">
        <v>71.602680461999995</v>
      </c>
      <c r="Y8" s="31">
        <v>154.445831156</v>
      </c>
      <c r="Z8" s="31">
        <v>28.408701571000002</v>
      </c>
      <c r="AA8" s="31">
        <v>85.171191246000006</v>
      </c>
      <c r="AB8" s="31">
        <v>130.73044415300001</v>
      </c>
      <c r="AC8" s="31">
        <v>183.89102882200001</v>
      </c>
      <c r="AD8" s="31">
        <v>59.996043667000002</v>
      </c>
      <c r="AE8" s="31">
        <v>55.324945266</v>
      </c>
      <c r="AF8" s="31">
        <v>55.324945266</v>
      </c>
      <c r="AG8" s="31">
        <v>49.242463524000001</v>
      </c>
      <c r="AH8" s="31">
        <v>70.140299846999994</v>
      </c>
      <c r="AI8" s="31">
        <v>33.215067048999998</v>
      </c>
      <c r="AJ8" s="31">
        <v>104.915158761</v>
      </c>
      <c r="AK8" s="31">
        <v>37.767100798999998</v>
      </c>
      <c r="AL8" s="31">
        <v>28.408701571000002</v>
      </c>
      <c r="AM8" s="31">
        <v>300.07883019500002</v>
      </c>
      <c r="AN8" s="31">
        <v>69.631337052999996</v>
      </c>
      <c r="AO8" s="31">
        <v>31.914485976999998</v>
      </c>
      <c r="AP8" s="31">
        <v>91.775376867999995</v>
      </c>
      <c r="AQ8" s="31">
        <v>46.025790604000001</v>
      </c>
      <c r="AR8" s="31">
        <v>36.911475533000001</v>
      </c>
      <c r="AS8" s="31">
        <v>109.168678668</v>
      </c>
      <c r="AT8" s="31">
        <v>48.759989906999998</v>
      </c>
      <c r="AU8" s="31">
        <v>174.82787616799999</v>
      </c>
      <c r="AV8" s="31">
        <v>50.770296643999998</v>
      </c>
      <c r="AW8" s="31">
        <v>61.605810663</v>
      </c>
      <c r="AX8" s="31">
        <v>71.602680461999995</v>
      </c>
      <c r="AY8" s="31">
        <v>169.38244950000001</v>
      </c>
      <c r="AZ8" s="31">
        <v>71.712266768000006</v>
      </c>
      <c r="BA8" s="31">
        <v>31.914485976999998</v>
      </c>
      <c r="BB8" s="31">
        <v>68.058934582999996</v>
      </c>
      <c r="BC8" s="31">
        <v>39.190882035999998</v>
      </c>
      <c r="BD8" s="31">
        <v>35.165938656000002</v>
      </c>
      <c r="BE8" s="31">
        <v>60.821830329000001</v>
      </c>
      <c r="BF8" s="31">
        <v>55.324945266</v>
      </c>
      <c r="BG8" s="31">
        <v>11.729488999999999</v>
      </c>
      <c r="BH8" s="31">
        <v>62.3101913</v>
      </c>
      <c r="BI8" s="31">
        <v>189.45692460500001</v>
      </c>
      <c r="BJ8" s="31">
        <v>78.343839329000005</v>
      </c>
      <c r="BK8" s="31">
        <v>101.09374569400001</v>
      </c>
      <c r="BL8" s="31">
        <v>71.602680461999995</v>
      </c>
      <c r="BM8" s="31">
        <v>112.161817447</v>
      </c>
      <c r="BN8" s="31">
        <v>55.324945266</v>
      </c>
      <c r="BO8" s="31">
        <v>55.324945266</v>
      </c>
      <c r="BP8" s="31">
        <v>58.767179839999997</v>
      </c>
      <c r="BQ8" s="31">
        <v>93.499877999999995</v>
      </c>
      <c r="BR8" s="31">
        <v>48.097900680000002</v>
      </c>
      <c r="BS8" s="31">
        <v>102.450346873</v>
      </c>
      <c r="BT8" s="31">
        <v>130.77635952899999</v>
      </c>
      <c r="BU8" s="31">
        <v>38.417391334999998</v>
      </c>
      <c r="BV8" s="31">
        <v>31.914485976999998</v>
      </c>
      <c r="BW8" s="31">
        <v>88.489762592000005</v>
      </c>
      <c r="BX8" s="31">
        <v>61.177560088</v>
      </c>
      <c r="BY8" s="31">
        <v>48.759989906999998</v>
      </c>
      <c r="BZ8" s="31">
        <v>11.729488999999999</v>
      </c>
      <c r="CA8" s="31">
        <v>73.452191171999999</v>
      </c>
      <c r="CB8" s="31">
        <v>192.54950620700001</v>
      </c>
      <c r="CC8" s="31">
        <v>0</v>
      </c>
      <c r="CD8" s="31">
        <v>57.309448625000002</v>
      </c>
      <c r="CE8" s="31">
        <v>4.7564958749999997</v>
      </c>
      <c r="CF8" s="31">
        <v>46.749938999999998</v>
      </c>
      <c r="CG8" s="31">
        <v>99.875087626999999</v>
      </c>
      <c r="CH8" s="31">
        <v>214.90624275100001</v>
      </c>
      <c r="CI8" s="31">
        <v>24.636309062999999</v>
      </c>
      <c r="CJ8" s="31">
        <v>43.772549681999998</v>
      </c>
      <c r="CK8" s="31">
        <v>145.61394345599999</v>
      </c>
      <c r="CL8" s="31">
        <v>90.012269505000006</v>
      </c>
      <c r="CM8" s="31">
        <v>66.408461892999995</v>
      </c>
      <c r="CN8" s="31">
        <v>81.986680355999994</v>
      </c>
      <c r="CO8" s="31">
        <v>140.24981700000001</v>
      </c>
      <c r="CP8" s="31">
        <v>158.35741569000001</v>
      </c>
      <c r="CQ8" s="31">
        <v>56.4608165</v>
      </c>
      <c r="CR8" s="31">
        <v>35.710383849000003</v>
      </c>
      <c r="CS8" s="31">
        <v>161.470587024</v>
      </c>
      <c r="CT8" s="31">
        <v>126.642169498</v>
      </c>
      <c r="CU8" s="31">
        <v>59.695104129999997</v>
      </c>
      <c r="CV8" s="31">
        <v>140.63647782699999</v>
      </c>
      <c r="CW8" s="31">
        <v>96.923557584999998</v>
      </c>
      <c r="CX8" s="31">
        <v>27.936249</v>
      </c>
      <c r="CY8" s="31">
        <v>4.7564958749999997</v>
      </c>
      <c r="CZ8" s="31">
        <v>67.737908312000002</v>
      </c>
      <c r="DA8" s="31">
        <v>231.37161394399999</v>
      </c>
      <c r="DB8" s="31">
        <v>81.924502978000007</v>
      </c>
      <c r="DC8" s="31">
        <v>163.65062567800001</v>
      </c>
      <c r="DD8" s="31">
        <v>62.3101913</v>
      </c>
      <c r="DE8" s="31">
        <v>173.035618349</v>
      </c>
      <c r="DF8" s="31">
        <v>97.272332625999994</v>
      </c>
      <c r="DG8" s="31">
        <v>97.754255418</v>
      </c>
    </row>
    <row r="9" spans="1:111" x14ac:dyDescent="0.25">
      <c r="A9" s="5">
        <v>4</v>
      </c>
      <c r="B9" s="31">
        <v>196.02732586400001</v>
      </c>
      <c r="C9" s="31">
        <v>32.638567000000002</v>
      </c>
      <c r="D9" s="31">
        <v>99.292712559999998</v>
      </c>
      <c r="E9" s="31">
        <v>114.725011051</v>
      </c>
      <c r="F9" s="31">
        <v>118.184495609</v>
      </c>
      <c r="G9" s="31">
        <v>42.491400892000001</v>
      </c>
      <c r="H9" s="31">
        <v>70.540654308000001</v>
      </c>
      <c r="I9" s="31">
        <v>138.55265722499999</v>
      </c>
      <c r="J9" s="31">
        <v>14.0578395</v>
      </c>
      <c r="K9" s="31">
        <v>42.972738739</v>
      </c>
      <c r="L9" s="31">
        <v>50.155525875000002</v>
      </c>
      <c r="M9" s="31">
        <v>51.821471551000002</v>
      </c>
      <c r="N9" s="31">
        <v>54.504353932000001</v>
      </c>
      <c r="O9" s="31">
        <v>165.848701766</v>
      </c>
      <c r="P9" s="31">
        <v>45.140510599999999</v>
      </c>
      <c r="Q9" s="31">
        <v>43.689804307000003</v>
      </c>
      <c r="R9" s="31">
        <v>14.0578395</v>
      </c>
      <c r="S9" s="31">
        <v>85.666319017000006</v>
      </c>
      <c r="T9" s="31">
        <v>57.223420095000002</v>
      </c>
      <c r="U9" s="31">
        <v>103.332544809</v>
      </c>
      <c r="V9" s="31">
        <v>0</v>
      </c>
      <c r="W9" s="31">
        <v>253.88562385700001</v>
      </c>
      <c r="X9" s="31">
        <v>70.540654308000001</v>
      </c>
      <c r="Y9" s="31">
        <v>152.15505780800001</v>
      </c>
      <c r="Z9" s="31">
        <v>27.987337643</v>
      </c>
      <c r="AA9" s="31">
        <v>83.907914011000003</v>
      </c>
      <c r="AB9" s="31">
        <v>128.79142248700001</v>
      </c>
      <c r="AC9" s="31">
        <v>181.16351794600001</v>
      </c>
      <c r="AD9" s="31">
        <v>59.106169583000003</v>
      </c>
      <c r="AE9" s="31">
        <v>54.504353932000001</v>
      </c>
      <c r="AF9" s="31">
        <v>54.504353932000001</v>
      </c>
      <c r="AG9" s="31">
        <v>48.512088783000003</v>
      </c>
      <c r="AH9" s="31">
        <v>69.099963991999999</v>
      </c>
      <c r="AI9" s="31">
        <v>32.722414122000004</v>
      </c>
      <c r="AJ9" s="31">
        <v>103.359034798</v>
      </c>
      <c r="AK9" s="31">
        <v>37.206931142000002</v>
      </c>
      <c r="AL9" s="31">
        <v>27.987337643</v>
      </c>
      <c r="AM9" s="31">
        <v>295.62799729599999</v>
      </c>
      <c r="AN9" s="31">
        <v>68.598550278999994</v>
      </c>
      <c r="AO9" s="31">
        <v>31.441123545</v>
      </c>
      <c r="AP9" s="31">
        <v>90.414144931999999</v>
      </c>
      <c r="AQ9" s="31">
        <v>45.343126306000002</v>
      </c>
      <c r="AR9" s="31">
        <v>36.363996692999997</v>
      </c>
      <c r="AS9" s="31">
        <v>107.549465595</v>
      </c>
      <c r="AT9" s="31">
        <v>48.036771318</v>
      </c>
      <c r="AU9" s="31">
        <v>172.234792003</v>
      </c>
      <c r="AV9" s="31">
        <v>50.017260755999999</v>
      </c>
      <c r="AW9" s="31">
        <v>60.692060167999998</v>
      </c>
      <c r="AX9" s="31">
        <v>70.540654308000001</v>
      </c>
      <c r="AY9" s="31">
        <v>166.87013325000001</v>
      </c>
      <c r="AZ9" s="31">
        <v>70.648615202000002</v>
      </c>
      <c r="BA9" s="31">
        <v>31.441123545</v>
      </c>
      <c r="BB9" s="31">
        <v>67.049469923000004</v>
      </c>
      <c r="BC9" s="31">
        <v>38.609594504</v>
      </c>
      <c r="BD9" s="31">
        <v>34.644349988000002</v>
      </c>
      <c r="BE9" s="31">
        <v>59.919707946000003</v>
      </c>
      <c r="BF9" s="31">
        <v>54.504353932000001</v>
      </c>
      <c r="BG9" s="31">
        <v>11.555514499999999</v>
      </c>
      <c r="BH9" s="31">
        <v>61.385993300000003</v>
      </c>
      <c r="BI9" s="31">
        <v>186.646859288</v>
      </c>
      <c r="BJ9" s="31">
        <v>77.181826837000003</v>
      </c>
      <c r="BK9" s="31">
        <v>99.594301741999999</v>
      </c>
      <c r="BL9" s="31">
        <v>70.540654308000001</v>
      </c>
      <c r="BM9" s="31">
        <v>110.49820932199999</v>
      </c>
      <c r="BN9" s="31">
        <v>54.504353932000001</v>
      </c>
      <c r="BO9" s="31">
        <v>54.504353932000001</v>
      </c>
      <c r="BP9" s="31">
        <v>57.895532553999999</v>
      </c>
      <c r="BQ9" s="31">
        <v>92.113067999999998</v>
      </c>
      <c r="BR9" s="31">
        <v>47.384502345999998</v>
      </c>
      <c r="BS9" s="31">
        <v>100.93078152699999</v>
      </c>
      <c r="BT9" s="31">
        <v>128.83665680799999</v>
      </c>
      <c r="BU9" s="31">
        <v>37.847576431</v>
      </c>
      <c r="BV9" s="31">
        <v>31.441123545</v>
      </c>
      <c r="BW9" s="31">
        <v>87.177263644999996</v>
      </c>
      <c r="BX9" s="31">
        <v>60.270161528000003</v>
      </c>
      <c r="BY9" s="31">
        <v>48.036771318</v>
      </c>
      <c r="BZ9" s="31">
        <v>11.555514499999999</v>
      </c>
      <c r="CA9" s="31">
        <v>72.362732640999994</v>
      </c>
      <c r="CB9" s="31">
        <v>189.69357096799999</v>
      </c>
      <c r="CC9" s="31">
        <v>0</v>
      </c>
      <c r="CD9" s="31">
        <v>56.459422687999997</v>
      </c>
      <c r="CE9" s="31">
        <v>4.6859465</v>
      </c>
      <c r="CF9" s="31">
        <v>46.056533999999999</v>
      </c>
      <c r="CG9" s="31">
        <v>98.393719126999997</v>
      </c>
      <c r="CH9" s="31">
        <v>211.71870773099999</v>
      </c>
      <c r="CI9" s="31">
        <v>24.270898062000001</v>
      </c>
      <c r="CJ9" s="31">
        <v>43.123305909000003</v>
      </c>
      <c r="CK9" s="31">
        <v>143.45416645899999</v>
      </c>
      <c r="CL9" s="31">
        <v>88.677188419000004</v>
      </c>
      <c r="CM9" s="31">
        <v>65.423477348000006</v>
      </c>
      <c r="CN9" s="31">
        <v>80.770636464999995</v>
      </c>
      <c r="CO9" s="31">
        <v>138.169602</v>
      </c>
      <c r="CP9" s="31">
        <v>156.008624682</v>
      </c>
      <c r="CQ9" s="31">
        <v>55.623377750000003</v>
      </c>
      <c r="CR9" s="31">
        <v>35.180719779</v>
      </c>
      <c r="CS9" s="31">
        <v>159.075620926</v>
      </c>
      <c r="CT9" s="31">
        <v>124.763785989</v>
      </c>
      <c r="CU9" s="31">
        <v>58.809693641000003</v>
      </c>
      <c r="CV9" s="31">
        <v>138.55052766899999</v>
      </c>
      <c r="CW9" s="31">
        <v>95.485966829000006</v>
      </c>
      <c r="CX9" s="31">
        <v>27.521892625</v>
      </c>
      <c r="CY9" s="31">
        <v>4.6859465</v>
      </c>
      <c r="CZ9" s="31">
        <v>66.733205260000005</v>
      </c>
      <c r="DA9" s="31">
        <v>227.93986105900001</v>
      </c>
      <c r="DB9" s="31">
        <v>80.709381300999993</v>
      </c>
      <c r="DC9" s="31">
        <v>161.22332486400001</v>
      </c>
      <c r="DD9" s="31">
        <v>61.385993300000003</v>
      </c>
      <c r="DE9" s="31">
        <v>170.469117283</v>
      </c>
      <c r="DF9" s="31">
        <v>95.829568687000005</v>
      </c>
      <c r="DG9" s="31">
        <v>96.304343498999998</v>
      </c>
    </row>
    <row r="10" spans="1:111" x14ac:dyDescent="0.25">
      <c r="A10" s="5">
        <v>5</v>
      </c>
      <c r="B10" s="31">
        <v>198.40249648700001</v>
      </c>
      <c r="C10" s="31">
        <v>33.034033000000001</v>
      </c>
      <c r="D10" s="31">
        <v>100.495795512</v>
      </c>
      <c r="E10" s="31">
        <v>116.115079929</v>
      </c>
      <c r="F10" s="31">
        <v>119.616481431</v>
      </c>
      <c r="G10" s="31">
        <v>43.006249222000001</v>
      </c>
      <c r="H10" s="31">
        <v>71.395362153999997</v>
      </c>
      <c r="I10" s="31">
        <v>140.231434441</v>
      </c>
      <c r="J10" s="31">
        <v>14.228171625</v>
      </c>
      <c r="K10" s="31">
        <v>43.493419156999998</v>
      </c>
      <c r="L10" s="31">
        <v>50.763236702999997</v>
      </c>
      <c r="M10" s="31">
        <v>52.449367955</v>
      </c>
      <c r="N10" s="31">
        <v>55.164757495000003</v>
      </c>
      <c r="O10" s="31">
        <v>167.85821199</v>
      </c>
      <c r="P10" s="31">
        <v>45.687456900000001</v>
      </c>
      <c r="Q10" s="31">
        <v>44.219173040000001</v>
      </c>
      <c r="R10" s="31">
        <v>14.228171625</v>
      </c>
      <c r="S10" s="31">
        <v>86.704297405999995</v>
      </c>
      <c r="T10" s="31">
        <v>57.916769317000004</v>
      </c>
      <c r="U10" s="31">
        <v>104.58457650299999</v>
      </c>
      <c r="V10" s="31">
        <v>0</v>
      </c>
      <c r="W10" s="31">
        <v>256.96183610000003</v>
      </c>
      <c r="X10" s="31">
        <v>71.395362153999997</v>
      </c>
      <c r="Y10" s="31">
        <v>153.998648898</v>
      </c>
      <c r="Z10" s="31">
        <v>28.326447000000002</v>
      </c>
      <c r="AA10" s="31">
        <v>84.924586657000006</v>
      </c>
      <c r="AB10" s="31">
        <v>130.351927477</v>
      </c>
      <c r="AC10" s="31">
        <v>183.35859090700001</v>
      </c>
      <c r="AD10" s="31">
        <v>59.822331167000002</v>
      </c>
      <c r="AE10" s="31">
        <v>55.164757495000003</v>
      </c>
      <c r="AF10" s="31">
        <v>55.164757495000003</v>
      </c>
      <c r="AG10" s="31">
        <v>49.099886959000003</v>
      </c>
      <c r="AH10" s="31">
        <v>69.937215687999995</v>
      </c>
      <c r="AI10" s="31">
        <v>33.118896188999997</v>
      </c>
      <c r="AJ10" s="31">
        <v>104.611387507</v>
      </c>
      <c r="AK10" s="31">
        <v>37.657749987000003</v>
      </c>
      <c r="AL10" s="31">
        <v>28.326447000000002</v>
      </c>
      <c r="AM10" s="31">
        <v>299.209982341</v>
      </c>
      <c r="AN10" s="31">
        <v>69.429726575000004</v>
      </c>
      <c r="AO10" s="31">
        <v>31.822080818</v>
      </c>
      <c r="AP10" s="31">
        <v>91.509650334</v>
      </c>
      <c r="AQ10" s="31">
        <v>45.892527592999997</v>
      </c>
      <c r="AR10" s="31">
        <v>36.804602033999998</v>
      </c>
      <c r="AS10" s="31">
        <v>108.85259172799999</v>
      </c>
      <c r="AT10" s="31">
        <v>48.618810295000003</v>
      </c>
      <c r="AU10" s="31">
        <v>174.32167976400001</v>
      </c>
      <c r="AV10" s="31">
        <v>50.623296392999997</v>
      </c>
      <c r="AW10" s="31">
        <v>61.427437255999997</v>
      </c>
      <c r="AX10" s="31">
        <v>71.395362153999997</v>
      </c>
      <c r="AY10" s="31">
        <v>168.89202</v>
      </c>
      <c r="AZ10" s="31">
        <v>71.504631169000007</v>
      </c>
      <c r="BA10" s="31">
        <v>31.822080818</v>
      </c>
      <c r="BB10" s="31">
        <v>67.861876831000004</v>
      </c>
      <c r="BC10" s="31">
        <v>39.077408732999999</v>
      </c>
      <c r="BD10" s="31">
        <v>35.064119245999997</v>
      </c>
      <c r="BE10" s="31">
        <v>60.645726879999998</v>
      </c>
      <c r="BF10" s="31">
        <v>55.164757495000003</v>
      </c>
      <c r="BG10" s="31">
        <v>11.695527</v>
      </c>
      <c r="BH10" s="31">
        <v>62.129778399999999</v>
      </c>
      <c r="BI10" s="31">
        <v>188.90837127200001</v>
      </c>
      <c r="BJ10" s="31">
        <v>78.117002635000006</v>
      </c>
      <c r="BK10" s="31">
        <v>100.801038956</v>
      </c>
      <c r="BL10" s="31">
        <v>71.395362153999997</v>
      </c>
      <c r="BM10" s="31">
        <v>111.83706416699999</v>
      </c>
      <c r="BN10" s="31">
        <v>55.164757495000003</v>
      </c>
      <c r="BO10" s="31">
        <v>55.164757495000003</v>
      </c>
      <c r="BP10" s="31">
        <v>58.597025326999997</v>
      </c>
      <c r="BQ10" s="31">
        <v>93.229158333000001</v>
      </c>
      <c r="BR10" s="31">
        <v>47.95863799</v>
      </c>
      <c r="BS10" s="31">
        <v>102.153712188</v>
      </c>
      <c r="BT10" s="31">
        <v>130.39770982799999</v>
      </c>
      <c r="BU10" s="31">
        <v>38.306157673000001</v>
      </c>
      <c r="BV10" s="31">
        <v>31.822080818</v>
      </c>
      <c r="BW10" s="31">
        <v>88.233549453999998</v>
      </c>
      <c r="BX10" s="31">
        <v>61.000426664000003</v>
      </c>
      <c r="BY10" s="31">
        <v>48.618810295000003</v>
      </c>
      <c r="BZ10" s="31">
        <v>11.695527</v>
      </c>
      <c r="CA10" s="31">
        <v>73.239517766000006</v>
      </c>
      <c r="CB10" s="31">
        <v>191.99199851099999</v>
      </c>
      <c r="CC10" s="31">
        <v>0</v>
      </c>
      <c r="CD10" s="31">
        <v>57.143514875000001</v>
      </c>
      <c r="CE10" s="31">
        <v>4.7427238750000003</v>
      </c>
      <c r="CF10" s="31">
        <v>46.614579167000002</v>
      </c>
      <c r="CG10" s="31">
        <v>99.585909263000005</v>
      </c>
      <c r="CH10" s="31">
        <v>214.284003509</v>
      </c>
      <c r="CI10" s="31">
        <v>24.564977124999999</v>
      </c>
      <c r="CJ10" s="31">
        <v>43.645810681999997</v>
      </c>
      <c r="CK10" s="31">
        <v>145.19233291399999</v>
      </c>
      <c r="CL10" s="31">
        <v>89.751648097</v>
      </c>
      <c r="CM10" s="31">
        <v>66.216182860000004</v>
      </c>
      <c r="CN10" s="31">
        <v>81.749296197999996</v>
      </c>
      <c r="CO10" s="31">
        <v>139.8437375</v>
      </c>
      <c r="CP10" s="31">
        <v>157.89890753500001</v>
      </c>
      <c r="CQ10" s="31">
        <v>56.297339999999998</v>
      </c>
      <c r="CR10" s="31">
        <v>35.606988018000003</v>
      </c>
      <c r="CS10" s="31">
        <v>161.00306520699999</v>
      </c>
      <c r="CT10" s="31">
        <v>126.27549000400001</v>
      </c>
      <c r="CU10" s="31">
        <v>59.522262980000001</v>
      </c>
      <c r="CV10" s="31">
        <v>140.229279074</v>
      </c>
      <c r="CW10" s="31">
        <v>96.642925302999998</v>
      </c>
      <c r="CX10" s="31">
        <v>27.855362374999999</v>
      </c>
      <c r="CY10" s="31">
        <v>4.7427238750000003</v>
      </c>
      <c r="CZ10" s="31">
        <v>67.541780003</v>
      </c>
      <c r="DA10" s="31">
        <v>230.701700875</v>
      </c>
      <c r="DB10" s="31">
        <v>81.687298675999997</v>
      </c>
      <c r="DC10" s="31">
        <v>163.17679186999999</v>
      </c>
      <c r="DD10" s="31">
        <v>62.129778399999999</v>
      </c>
      <c r="DE10" s="31">
        <v>172.53461109700001</v>
      </c>
      <c r="DF10" s="31">
        <v>96.990690404000006</v>
      </c>
      <c r="DG10" s="31">
        <v>97.471217792999994</v>
      </c>
    </row>
    <row r="11" spans="1:111" x14ac:dyDescent="0.25">
      <c r="A11" s="5">
        <v>6</v>
      </c>
      <c r="B11" s="31">
        <v>203.90408255700001</v>
      </c>
      <c r="C11" s="31">
        <v>33.950046999999998</v>
      </c>
      <c r="D11" s="31">
        <v>103.282485592</v>
      </c>
      <c r="E11" s="31">
        <v>119.33488357100001</v>
      </c>
      <c r="F11" s="31">
        <v>122.9333769</v>
      </c>
      <c r="G11" s="31">
        <v>44.198787449999998</v>
      </c>
      <c r="H11" s="31">
        <v>73.375114038000007</v>
      </c>
      <c r="I11" s="31">
        <v>144.11997059000001</v>
      </c>
      <c r="J11" s="31">
        <v>14.622710625</v>
      </c>
      <c r="K11" s="31">
        <v>44.699466377</v>
      </c>
      <c r="L11" s="31">
        <v>52.170871783000003</v>
      </c>
      <c r="M11" s="31">
        <v>53.903758517999997</v>
      </c>
      <c r="N11" s="31">
        <v>56.694444140000002</v>
      </c>
      <c r="O11" s="31">
        <v>172.51282294800001</v>
      </c>
      <c r="P11" s="31">
        <v>46.9543435</v>
      </c>
      <c r="Q11" s="31">
        <v>45.445345033999999</v>
      </c>
      <c r="R11" s="31">
        <v>14.622710625</v>
      </c>
      <c r="S11" s="31">
        <v>89.108557218000001</v>
      </c>
      <c r="T11" s="31">
        <v>59.522767635000001</v>
      </c>
      <c r="U11" s="31">
        <v>107.484646106</v>
      </c>
      <c r="V11" s="31">
        <v>0</v>
      </c>
      <c r="W11" s="31">
        <v>264.08723828199999</v>
      </c>
      <c r="X11" s="31">
        <v>73.375114038000007</v>
      </c>
      <c r="Y11" s="31">
        <v>158.26894189999999</v>
      </c>
      <c r="Z11" s="31">
        <v>29.111922928999999</v>
      </c>
      <c r="AA11" s="31">
        <v>87.279496069999993</v>
      </c>
      <c r="AB11" s="31">
        <v>133.96651059000001</v>
      </c>
      <c r="AC11" s="31">
        <v>188.44301802800001</v>
      </c>
      <c r="AD11" s="31">
        <v>61.481169667000003</v>
      </c>
      <c r="AE11" s="31">
        <v>56.694444140000002</v>
      </c>
      <c r="AF11" s="31">
        <v>56.694444140000002</v>
      </c>
      <c r="AG11" s="31">
        <v>50.461398209999999</v>
      </c>
      <c r="AH11" s="31">
        <v>71.876534016999997</v>
      </c>
      <c r="AI11" s="31">
        <v>34.037263920999997</v>
      </c>
      <c r="AJ11" s="31">
        <v>107.512200462</v>
      </c>
      <c r="AK11" s="31">
        <v>38.701977495000001</v>
      </c>
      <c r="AL11" s="31">
        <v>29.111922928999999</v>
      </c>
      <c r="AM11" s="31">
        <v>307.506901196</v>
      </c>
      <c r="AN11" s="31">
        <v>71.354972516999993</v>
      </c>
      <c r="AO11" s="31">
        <v>32.704488613999999</v>
      </c>
      <c r="AP11" s="31">
        <v>94.047159914999995</v>
      </c>
      <c r="AQ11" s="31">
        <v>47.165100695</v>
      </c>
      <c r="AR11" s="31">
        <v>37.825172246000001</v>
      </c>
      <c r="AS11" s="31">
        <v>111.871010916</v>
      </c>
      <c r="AT11" s="31">
        <v>49.966981570999998</v>
      </c>
      <c r="AU11" s="31">
        <v>179.15551859600001</v>
      </c>
      <c r="AV11" s="31">
        <v>52.027050899999999</v>
      </c>
      <c r="AW11" s="31">
        <v>63.130784376999998</v>
      </c>
      <c r="AX11" s="31">
        <v>73.375114038000007</v>
      </c>
      <c r="AY11" s="31">
        <v>173.5752975</v>
      </c>
      <c r="AZ11" s="31">
        <v>73.487413008999994</v>
      </c>
      <c r="BA11" s="31">
        <v>32.704488613999999</v>
      </c>
      <c r="BB11" s="31">
        <v>69.743647128000006</v>
      </c>
      <c r="BC11" s="31">
        <v>40.161002588000002</v>
      </c>
      <c r="BD11" s="31">
        <v>36.036426880999997</v>
      </c>
      <c r="BE11" s="31">
        <v>62.327397544</v>
      </c>
      <c r="BF11" s="31">
        <v>56.694444140000002</v>
      </c>
      <c r="BG11" s="31">
        <v>12.0198375</v>
      </c>
      <c r="BH11" s="31">
        <v>63.852601</v>
      </c>
      <c r="BI11" s="31">
        <v>194.14669058000001</v>
      </c>
      <c r="BJ11" s="31">
        <v>80.283141749999999</v>
      </c>
      <c r="BK11" s="31">
        <v>103.59619316</v>
      </c>
      <c r="BL11" s="31">
        <v>73.375114038000007</v>
      </c>
      <c r="BM11" s="31">
        <v>114.938241113</v>
      </c>
      <c r="BN11" s="31">
        <v>56.694444140000002</v>
      </c>
      <c r="BO11" s="31">
        <v>56.694444140000002</v>
      </c>
      <c r="BP11" s="31">
        <v>60.221886763999997</v>
      </c>
      <c r="BQ11" s="31">
        <v>95.814348667000004</v>
      </c>
      <c r="BR11" s="31">
        <v>49.288503175999999</v>
      </c>
      <c r="BS11" s="31">
        <v>104.986375334</v>
      </c>
      <c r="BT11" s="31">
        <v>134.013562511</v>
      </c>
      <c r="BU11" s="31">
        <v>39.368365148999999</v>
      </c>
      <c r="BV11" s="31">
        <v>32.704488613999999</v>
      </c>
      <c r="BW11" s="31">
        <v>90.680214469000006</v>
      </c>
      <c r="BX11" s="31">
        <v>62.691933022000001</v>
      </c>
      <c r="BY11" s="31">
        <v>49.966981570999998</v>
      </c>
      <c r="BZ11" s="31">
        <v>12.0198375</v>
      </c>
      <c r="CA11" s="31">
        <v>75.270407012000007</v>
      </c>
      <c r="CB11" s="31">
        <v>197.31582512599999</v>
      </c>
      <c r="CC11" s="31">
        <v>0</v>
      </c>
      <c r="CD11" s="31">
        <v>58.728071374999999</v>
      </c>
      <c r="CE11" s="31">
        <v>4.8742368750000002</v>
      </c>
      <c r="CF11" s="31">
        <v>47.907174333</v>
      </c>
      <c r="CG11" s="31">
        <v>102.34736861499999</v>
      </c>
      <c r="CH11" s="31">
        <v>220.22597431299999</v>
      </c>
      <c r="CI11" s="31">
        <v>25.246149625000001</v>
      </c>
      <c r="CJ11" s="31">
        <v>44.856083636000001</v>
      </c>
      <c r="CK11" s="31">
        <v>149.21843203200001</v>
      </c>
      <c r="CL11" s="31">
        <v>92.240409119000006</v>
      </c>
      <c r="CM11" s="31">
        <v>68.052319217999994</v>
      </c>
      <c r="CN11" s="31">
        <v>84.016156652000006</v>
      </c>
      <c r="CO11" s="31">
        <v>143.72152299999999</v>
      </c>
      <c r="CP11" s="31">
        <v>162.277352562</v>
      </c>
      <c r="CQ11" s="31">
        <v>57.858432499999999</v>
      </c>
      <c r="CR11" s="31">
        <v>36.594349151000003</v>
      </c>
      <c r="CS11" s="31">
        <v>165.46758669900001</v>
      </c>
      <c r="CT11" s="31">
        <v>129.77703587799999</v>
      </c>
      <c r="CU11" s="31">
        <v>61.172780725999999</v>
      </c>
      <c r="CV11" s="31">
        <v>144.11775554100001</v>
      </c>
      <c r="CW11" s="31">
        <v>99.322777396999996</v>
      </c>
      <c r="CX11" s="31">
        <v>28.627775374999999</v>
      </c>
      <c r="CY11" s="31">
        <v>4.8742368750000002</v>
      </c>
      <c r="CZ11" s="31">
        <v>69.414674258000005</v>
      </c>
      <c r="DA11" s="31">
        <v>237.09892491400001</v>
      </c>
      <c r="DB11" s="31">
        <v>83.952440136000007</v>
      </c>
      <c r="DC11" s="31">
        <v>167.70158943999999</v>
      </c>
      <c r="DD11" s="31">
        <v>63.852601</v>
      </c>
      <c r="DE11" s="31">
        <v>177.31889545999999</v>
      </c>
      <c r="DF11" s="31">
        <v>99.680185859000005</v>
      </c>
      <c r="DG11" s="31">
        <v>100.174038088</v>
      </c>
    </row>
    <row r="12" spans="1:111" x14ac:dyDescent="0.25">
      <c r="A12" s="5">
        <v>7</v>
      </c>
      <c r="B12" s="31">
        <v>206.44310332800001</v>
      </c>
      <c r="C12" s="31">
        <v>34.372795000000004</v>
      </c>
      <c r="D12" s="31">
        <v>104.56856271700001</v>
      </c>
      <c r="E12" s="31">
        <v>120.82084578200001</v>
      </c>
      <c r="F12" s="31">
        <v>124.464147678</v>
      </c>
      <c r="G12" s="31">
        <v>44.749152406</v>
      </c>
      <c r="H12" s="31">
        <v>74.288783538000004</v>
      </c>
      <c r="I12" s="31">
        <v>145.91455753100001</v>
      </c>
      <c r="J12" s="31">
        <v>14.804793</v>
      </c>
      <c r="K12" s="31">
        <v>45.256065720999999</v>
      </c>
      <c r="L12" s="31">
        <v>52.820505359999999</v>
      </c>
      <c r="M12" s="31">
        <v>54.574969914</v>
      </c>
      <c r="N12" s="31">
        <v>57.400405374000002</v>
      </c>
      <c r="O12" s="31">
        <v>174.66095867799999</v>
      </c>
      <c r="P12" s="31">
        <v>47.539020700000002</v>
      </c>
      <c r="Q12" s="31">
        <v>46.011232108999998</v>
      </c>
      <c r="R12" s="31">
        <v>14.804793</v>
      </c>
      <c r="S12" s="31">
        <v>90.218140077000001</v>
      </c>
      <c r="T12" s="31">
        <v>60.263947311999999</v>
      </c>
      <c r="U12" s="31">
        <v>108.823048681</v>
      </c>
      <c r="V12" s="31">
        <v>0</v>
      </c>
      <c r="W12" s="31">
        <v>267.37566213700001</v>
      </c>
      <c r="X12" s="31">
        <v>74.288783538000004</v>
      </c>
      <c r="Y12" s="31">
        <v>160.23971233</v>
      </c>
      <c r="Z12" s="31">
        <v>29.474425643</v>
      </c>
      <c r="AA12" s="31">
        <v>88.366303453</v>
      </c>
      <c r="AB12" s="31">
        <v>135.63466647199999</v>
      </c>
      <c r="AC12" s="31">
        <v>190.78951717699999</v>
      </c>
      <c r="AD12" s="31">
        <v>62.246735332999997</v>
      </c>
      <c r="AE12" s="31">
        <v>57.400405374000002</v>
      </c>
      <c r="AF12" s="31">
        <v>57.400405374000002</v>
      </c>
      <c r="AG12" s="31">
        <v>51.089745428999997</v>
      </c>
      <c r="AH12" s="31">
        <v>72.771543170000001</v>
      </c>
      <c r="AI12" s="31">
        <v>34.461097141000003</v>
      </c>
      <c r="AJ12" s="31">
        <v>108.850946198</v>
      </c>
      <c r="AK12" s="31">
        <v>39.183895894999999</v>
      </c>
      <c r="AL12" s="31">
        <v>29.474425643</v>
      </c>
      <c r="AM12" s="31">
        <v>311.33598794199997</v>
      </c>
      <c r="AN12" s="31">
        <v>72.243487170999998</v>
      </c>
      <c r="AO12" s="31">
        <v>33.111726068000003</v>
      </c>
      <c r="AP12" s="31">
        <v>95.218238452999998</v>
      </c>
      <c r="AQ12" s="31">
        <v>47.752402205000003</v>
      </c>
      <c r="AR12" s="31">
        <v>38.296172699000003</v>
      </c>
      <c r="AS12" s="31">
        <v>113.26403265899999</v>
      </c>
      <c r="AT12" s="31">
        <v>50.589172296000001</v>
      </c>
      <c r="AU12" s="31">
        <v>181.38636941300001</v>
      </c>
      <c r="AV12" s="31">
        <v>52.674893685000001</v>
      </c>
      <c r="AW12" s="31">
        <v>63.916891145000001</v>
      </c>
      <c r="AX12" s="31">
        <v>74.288783538000004</v>
      </c>
      <c r="AY12" s="31">
        <v>175.73666324999999</v>
      </c>
      <c r="AZ12" s="31">
        <v>74.402480886999996</v>
      </c>
      <c r="BA12" s="31">
        <v>33.111726068000003</v>
      </c>
      <c r="BB12" s="31">
        <v>70.612097632000001</v>
      </c>
      <c r="BC12" s="31">
        <v>40.661088841000002</v>
      </c>
      <c r="BD12" s="31">
        <v>36.485153748999998</v>
      </c>
      <c r="BE12" s="31">
        <v>63.103500631000003</v>
      </c>
      <c r="BF12" s="31">
        <v>57.400405374000002</v>
      </c>
      <c r="BG12" s="31">
        <v>12.169509</v>
      </c>
      <c r="BH12" s="31">
        <v>64.647695900000002</v>
      </c>
      <c r="BI12" s="31">
        <v>196.564211997</v>
      </c>
      <c r="BJ12" s="31">
        <v>81.282830227999995</v>
      </c>
      <c r="BK12" s="31">
        <v>104.88617663399999</v>
      </c>
      <c r="BL12" s="31">
        <v>74.288783538000004</v>
      </c>
      <c r="BM12" s="31">
        <v>116.369455918</v>
      </c>
      <c r="BN12" s="31">
        <v>57.400405374000002</v>
      </c>
      <c r="BO12" s="31">
        <v>57.400405374000002</v>
      </c>
      <c r="BP12" s="31">
        <v>60.971771939999996</v>
      </c>
      <c r="BQ12" s="31">
        <v>97.007432332999997</v>
      </c>
      <c r="BR12" s="31">
        <v>49.902245395000001</v>
      </c>
      <c r="BS12" s="31">
        <v>106.293669354</v>
      </c>
      <c r="BT12" s="31">
        <v>135.682304104</v>
      </c>
      <c r="BU12" s="31">
        <v>39.858581430999998</v>
      </c>
      <c r="BV12" s="31">
        <v>33.111726068000003</v>
      </c>
      <c r="BW12" s="31">
        <v>91.809367722999994</v>
      </c>
      <c r="BX12" s="31">
        <v>63.472575200000001</v>
      </c>
      <c r="BY12" s="31">
        <v>50.589172296000001</v>
      </c>
      <c r="BZ12" s="31">
        <v>12.169509</v>
      </c>
      <c r="CA12" s="31">
        <v>76.207676792000001</v>
      </c>
      <c r="CB12" s="31">
        <v>199.77280865399999</v>
      </c>
      <c r="CC12" s="31">
        <v>0</v>
      </c>
      <c r="CD12" s="31">
        <v>59.459355375000001</v>
      </c>
      <c r="CE12" s="31">
        <v>4.9349309999999997</v>
      </c>
      <c r="CF12" s="31">
        <v>48.503716167</v>
      </c>
      <c r="CG12" s="31">
        <v>103.62180186099999</v>
      </c>
      <c r="CH12" s="31">
        <v>222.968235972</v>
      </c>
      <c r="CI12" s="31">
        <v>25.560515625000001</v>
      </c>
      <c r="CJ12" s="31">
        <v>45.414633182000003</v>
      </c>
      <c r="CK12" s="31">
        <v>151.07650516999999</v>
      </c>
      <c r="CL12" s="31">
        <v>93.388989936000002</v>
      </c>
      <c r="CM12" s="31">
        <v>68.899708962999995</v>
      </c>
      <c r="CN12" s="31">
        <v>85.062328816999994</v>
      </c>
      <c r="CO12" s="31">
        <v>145.51114849999999</v>
      </c>
      <c r="CP12" s="31">
        <v>164.29803600899999</v>
      </c>
      <c r="CQ12" s="31">
        <v>58.57888775</v>
      </c>
      <c r="CR12" s="31">
        <v>37.050023205000002</v>
      </c>
      <c r="CS12" s="31">
        <v>167.527994853</v>
      </c>
      <c r="CT12" s="31">
        <v>131.393024268</v>
      </c>
      <c r="CU12" s="31">
        <v>61.934506362999997</v>
      </c>
      <c r="CV12" s="31">
        <v>145.91231485399999</v>
      </c>
      <c r="CW12" s="31">
        <v>100.559548248</v>
      </c>
      <c r="CX12" s="31">
        <v>28.984249500000001</v>
      </c>
      <c r="CY12" s="31">
        <v>4.9349309999999997</v>
      </c>
      <c r="CZ12" s="31">
        <v>70.279028295000003</v>
      </c>
      <c r="DA12" s="31">
        <v>240.051289064</v>
      </c>
      <c r="DB12" s="31">
        <v>84.997818869</v>
      </c>
      <c r="DC12" s="31">
        <v>169.78981552900001</v>
      </c>
      <c r="DD12" s="31">
        <v>64.647695900000002</v>
      </c>
      <c r="DE12" s="31">
        <v>179.52687676799999</v>
      </c>
      <c r="DF12" s="31">
        <v>100.921407071</v>
      </c>
      <c r="DG12" s="31">
        <v>101.421408716</v>
      </c>
    </row>
    <row r="13" spans="1:111" x14ac:dyDescent="0.25">
      <c r="A13" s="5">
        <v>8</v>
      </c>
      <c r="B13" s="31">
        <v>216.20273415099999</v>
      </c>
      <c r="C13" s="31">
        <v>35.997774</v>
      </c>
      <c r="D13" s="31">
        <v>109.51205829200001</v>
      </c>
      <c r="E13" s="31">
        <v>126.53267072200001</v>
      </c>
      <c r="F13" s="31">
        <v>130.34821030200001</v>
      </c>
      <c r="G13" s="31">
        <v>46.864675806000001</v>
      </c>
      <c r="H13" s="31">
        <v>77.800797768999999</v>
      </c>
      <c r="I13" s="31">
        <v>152.81269178700001</v>
      </c>
      <c r="J13" s="31">
        <v>15.50469225</v>
      </c>
      <c r="K13" s="31">
        <v>47.395553515000003</v>
      </c>
      <c r="L13" s="31">
        <v>55.317603249000001</v>
      </c>
      <c r="M13" s="31">
        <v>57.155010423</v>
      </c>
      <c r="N13" s="31">
        <v>60.114018780999999</v>
      </c>
      <c r="O13" s="31">
        <v>182.91808358700001</v>
      </c>
      <c r="P13" s="31">
        <v>49.786435500000003</v>
      </c>
      <c r="Q13" s="31">
        <v>48.186420509999998</v>
      </c>
      <c r="R13" s="31">
        <v>15.50469225</v>
      </c>
      <c r="S13" s="31">
        <v>94.483217147999994</v>
      </c>
      <c r="T13" s="31">
        <v>63.112935049999997</v>
      </c>
      <c r="U13" s="31">
        <v>113.967675762</v>
      </c>
      <c r="V13" s="31">
        <v>0</v>
      </c>
      <c r="W13" s="31">
        <v>280.01588948</v>
      </c>
      <c r="X13" s="31">
        <v>77.800797768999999</v>
      </c>
      <c r="Y13" s="31">
        <v>167.81507059</v>
      </c>
      <c r="Z13" s="31">
        <v>30.867833857000001</v>
      </c>
      <c r="AA13" s="31">
        <v>92.543834666999999</v>
      </c>
      <c r="AB13" s="31">
        <v>142.046817003</v>
      </c>
      <c r="AC13" s="31">
        <v>199.80912229899999</v>
      </c>
      <c r="AD13" s="31">
        <v>65.189459749999997</v>
      </c>
      <c r="AE13" s="31">
        <v>60.114018780999999</v>
      </c>
      <c r="AF13" s="31">
        <v>60.114018780999999</v>
      </c>
      <c r="AG13" s="31">
        <v>53.505021386999999</v>
      </c>
      <c r="AH13" s="31">
        <v>76.211829581999993</v>
      </c>
      <c r="AI13" s="31">
        <v>36.090251057000003</v>
      </c>
      <c r="AJ13" s="31">
        <v>113.99689219299999</v>
      </c>
      <c r="AK13" s="31">
        <v>41.036320883000002</v>
      </c>
      <c r="AL13" s="31">
        <v>30.867833857000001</v>
      </c>
      <c r="AM13" s="31">
        <v>326.05444701699997</v>
      </c>
      <c r="AN13" s="31">
        <v>75.658809661000006</v>
      </c>
      <c r="AO13" s="31">
        <v>34.677088249999997</v>
      </c>
      <c r="AP13" s="31">
        <v>99.719695987999998</v>
      </c>
      <c r="AQ13" s="31">
        <v>50.009904708999997</v>
      </c>
      <c r="AR13" s="31">
        <v>40.106630512999999</v>
      </c>
      <c r="AS13" s="31">
        <v>118.61860797</v>
      </c>
      <c r="AT13" s="31">
        <v>52.980783578</v>
      </c>
      <c r="AU13" s="31">
        <v>189.9614393</v>
      </c>
      <c r="AV13" s="31">
        <v>55.165107782</v>
      </c>
      <c r="AW13" s="31">
        <v>66.938572457999996</v>
      </c>
      <c r="AX13" s="31">
        <v>77.800797768999999</v>
      </c>
      <c r="AY13" s="31">
        <v>184.04464200000001</v>
      </c>
      <c r="AZ13" s="31">
        <v>77.919870152000001</v>
      </c>
      <c r="BA13" s="31">
        <v>34.677088249999997</v>
      </c>
      <c r="BB13" s="31">
        <v>73.950295940000004</v>
      </c>
      <c r="BC13" s="31">
        <v>42.583348356999998</v>
      </c>
      <c r="BD13" s="31">
        <v>38.209995268</v>
      </c>
      <c r="BE13" s="31">
        <v>66.086728804000003</v>
      </c>
      <c r="BF13" s="31">
        <v>60.114018780999999</v>
      </c>
      <c r="BG13" s="31">
        <v>12.7448245</v>
      </c>
      <c r="BH13" s="31">
        <v>67.703926100000004</v>
      </c>
      <c r="BI13" s="31">
        <v>205.856816842</v>
      </c>
      <c r="BJ13" s="31">
        <v>85.125489090000002</v>
      </c>
      <c r="BK13" s="31">
        <v>109.844687511</v>
      </c>
      <c r="BL13" s="31">
        <v>77.800797768999999</v>
      </c>
      <c r="BM13" s="31">
        <v>121.870840724</v>
      </c>
      <c r="BN13" s="31">
        <v>60.114018780999999</v>
      </c>
      <c r="BO13" s="31">
        <v>60.114018780999999</v>
      </c>
      <c r="BP13" s="31">
        <v>63.854222409000002</v>
      </c>
      <c r="BQ13" s="31">
        <v>101.593474333</v>
      </c>
      <c r="BR13" s="31">
        <v>52.261382075</v>
      </c>
      <c r="BS13" s="31">
        <v>111.318719622</v>
      </c>
      <c r="BT13" s="31">
        <v>142.09670692700001</v>
      </c>
      <c r="BU13" s="31">
        <v>41.742902286000003</v>
      </c>
      <c r="BV13" s="31">
        <v>34.677088249999997</v>
      </c>
      <c r="BW13" s="31">
        <v>96.149670365999995</v>
      </c>
      <c r="BX13" s="31">
        <v>66.473251413</v>
      </c>
      <c r="BY13" s="31">
        <v>52.980783578</v>
      </c>
      <c r="BZ13" s="31">
        <v>12.7448245</v>
      </c>
      <c r="CA13" s="31">
        <v>79.810406974000003</v>
      </c>
      <c r="CB13" s="31">
        <v>209.217100289</v>
      </c>
      <c r="CC13" s="31">
        <v>0</v>
      </c>
      <c r="CD13" s="31">
        <v>62.270305937000003</v>
      </c>
      <c r="CE13" s="31">
        <v>5.1682307500000002</v>
      </c>
      <c r="CF13" s="31">
        <v>50.796737167000003</v>
      </c>
      <c r="CG13" s="31">
        <v>108.520539453</v>
      </c>
      <c r="CH13" s="31">
        <v>233.50909523199999</v>
      </c>
      <c r="CI13" s="31">
        <v>26.768893125000002</v>
      </c>
      <c r="CJ13" s="31">
        <v>47.561617273000003</v>
      </c>
      <c r="CK13" s="31">
        <v>158.21867118399999</v>
      </c>
      <c r="CL13" s="31">
        <v>97.803969507000005</v>
      </c>
      <c r="CM13" s="31">
        <v>72.156953822000006</v>
      </c>
      <c r="CN13" s="31">
        <v>89.083664098</v>
      </c>
      <c r="CO13" s="31">
        <v>152.39021149999999</v>
      </c>
      <c r="CP13" s="31">
        <v>172.06525209500001</v>
      </c>
      <c r="CQ13" s="31">
        <v>61.348213999999999</v>
      </c>
      <c r="CR13" s="31">
        <v>38.801569031</v>
      </c>
      <c r="CS13" s="31">
        <v>175.44790773400001</v>
      </c>
      <c r="CT13" s="31">
        <v>137.604650486</v>
      </c>
      <c r="CU13" s="31">
        <v>64.862470117000001</v>
      </c>
      <c r="CV13" s="31">
        <v>152.81034298899999</v>
      </c>
      <c r="CW13" s="31">
        <v>105.31351696</v>
      </c>
      <c r="CX13" s="31">
        <v>30.354484625000001</v>
      </c>
      <c r="CY13" s="31">
        <v>5.1682307500000002</v>
      </c>
      <c r="CZ13" s="31">
        <v>73.601480637999998</v>
      </c>
      <c r="DA13" s="31">
        <v>251.399752495</v>
      </c>
      <c r="DB13" s="31">
        <v>89.016104424999995</v>
      </c>
      <c r="DC13" s="31">
        <v>177.816656459</v>
      </c>
      <c r="DD13" s="31">
        <v>67.703926100000004</v>
      </c>
      <c r="DE13" s="31">
        <v>188.01403868200001</v>
      </c>
      <c r="DF13" s="31">
        <v>105.692482828</v>
      </c>
      <c r="DG13" s="31">
        <v>106.21612208099999</v>
      </c>
    </row>
    <row r="14" spans="1:111" x14ac:dyDescent="0.25">
      <c r="A14" s="5">
        <v>9</v>
      </c>
      <c r="B14" s="31">
        <v>227.25445965899999</v>
      </c>
      <c r="C14" s="31">
        <v>37.837887000000002</v>
      </c>
      <c r="D14" s="31">
        <v>115.11003193800001</v>
      </c>
      <c r="E14" s="31">
        <v>133.000694103</v>
      </c>
      <c r="F14" s="31">
        <v>137.01127421300001</v>
      </c>
      <c r="G14" s="31">
        <v>49.260277008000003</v>
      </c>
      <c r="H14" s="31">
        <v>81.777773654000001</v>
      </c>
      <c r="I14" s="31">
        <v>160.62408199699999</v>
      </c>
      <c r="J14" s="31">
        <v>16.297251750000001</v>
      </c>
      <c r="K14" s="31">
        <v>49.818291821000003</v>
      </c>
      <c r="L14" s="31">
        <v>58.14529623</v>
      </c>
      <c r="M14" s="31">
        <v>60.076626890999997</v>
      </c>
      <c r="N14" s="31">
        <v>63.186892188000002</v>
      </c>
      <c r="O14" s="31">
        <v>192.268383755</v>
      </c>
      <c r="P14" s="31">
        <v>52.331389600000001</v>
      </c>
      <c r="Q14" s="31">
        <v>50.649585850000001</v>
      </c>
      <c r="R14" s="31">
        <v>16.297251750000001</v>
      </c>
      <c r="S14" s="31">
        <v>99.312955329999994</v>
      </c>
      <c r="T14" s="31">
        <v>66.339105415999995</v>
      </c>
      <c r="U14" s="31">
        <v>119.793409068</v>
      </c>
      <c r="V14" s="31">
        <v>0</v>
      </c>
      <c r="W14" s="31">
        <v>294.329578787</v>
      </c>
      <c r="X14" s="31">
        <v>81.777773654000001</v>
      </c>
      <c r="Y14" s="31">
        <v>176.39334366599999</v>
      </c>
      <c r="Z14" s="31">
        <v>32.445717786000003</v>
      </c>
      <c r="AA14" s="31">
        <v>97.274436496999996</v>
      </c>
      <c r="AB14" s="31">
        <v>149.30788371099999</v>
      </c>
      <c r="AC14" s="31">
        <v>210.02284861699999</v>
      </c>
      <c r="AD14" s="31">
        <v>68.521776666999997</v>
      </c>
      <c r="AE14" s="31">
        <v>63.186892188000002</v>
      </c>
      <c r="AF14" s="31">
        <v>63.186892188000002</v>
      </c>
      <c r="AG14" s="31">
        <v>56.240059907000003</v>
      </c>
      <c r="AH14" s="31">
        <v>80.107581491000005</v>
      </c>
      <c r="AI14" s="31">
        <v>37.935091495000002</v>
      </c>
      <c r="AJ14" s="31">
        <v>119.82411892099999</v>
      </c>
      <c r="AK14" s="31">
        <v>43.133991637999998</v>
      </c>
      <c r="AL14" s="31">
        <v>32.445717786000003</v>
      </c>
      <c r="AM14" s="31">
        <v>342.72150841000001</v>
      </c>
      <c r="AN14" s="31">
        <v>79.526292635999994</v>
      </c>
      <c r="AO14" s="31">
        <v>36.449691455</v>
      </c>
      <c r="AP14" s="31">
        <v>104.817109387</v>
      </c>
      <c r="AQ14" s="31">
        <v>52.566281897000003</v>
      </c>
      <c r="AR14" s="31">
        <v>42.156777740000003</v>
      </c>
      <c r="AS14" s="31">
        <v>124.682084922</v>
      </c>
      <c r="AT14" s="31">
        <v>55.689024414999999</v>
      </c>
      <c r="AU14" s="31">
        <v>199.671777558</v>
      </c>
      <c r="AV14" s="31">
        <v>57.985005631999996</v>
      </c>
      <c r="AW14" s="31">
        <v>70.360299411</v>
      </c>
      <c r="AX14" s="31">
        <v>81.777773654000001</v>
      </c>
      <c r="AY14" s="31">
        <v>193.45252875</v>
      </c>
      <c r="AZ14" s="31">
        <v>81.902932702000001</v>
      </c>
      <c r="BA14" s="31">
        <v>36.449691455</v>
      </c>
      <c r="BB14" s="31">
        <v>77.730444095999999</v>
      </c>
      <c r="BC14" s="31">
        <v>44.760099124</v>
      </c>
      <c r="BD14" s="31">
        <v>40.163191556000001</v>
      </c>
      <c r="BE14" s="31">
        <v>69.464911716000003</v>
      </c>
      <c r="BF14" s="31">
        <v>63.186892188000002</v>
      </c>
      <c r="BG14" s="31">
        <v>13.396307</v>
      </c>
      <c r="BH14" s="31">
        <v>71.164776000000003</v>
      </c>
      <c r="BI14" s="31">
        <v>216.379685755</v>
      </c>
      <c r="BJ14" s="31">
        <v>89.476884368</v>
      </c>
      <c r="BK14" s="31">
        <v>115.45966425899999</v>
      </c>
      <c r="BL14" s="31">
        <v>81.777773654000001</v>
      </c>
      <c r="BM14" s="31">
        <v>128.10056323800001</v>
      </c>
      <c r="BN14" s="31">
        <v>63.186892188000002</v>
      </c>
      <c r="BO14" s="31">
        <v>63.186892188000002</v>
      </c>
      <c r="BP14" s="31">
        <v>67.118285115999996</v>
      </c>
      <c r="BQ14" s="31">
        <v>106.786670667</v>
      </c>
      <c r="BR14" s="31">
        <v>54.932848923999998</v>
      </c>
      <c r="BS14" s="31">
        <v>117.00904513099999</v>
      </c>
      <c r="BT14" s="31">
        <v>149.360323663</v>
      </c>
      <c r="BU14" s="31">
        <v>43.876691657999999</v>
      </c>
      <c r="BV14" s="31">
        <v>36.449691455</v>
      </c>
      <c r="BW14" s="31">
        <v>101.064593227</v>
      </c>
      <c r="BX14" s="31">
        <v>69.871192371000006</v>
      </c>
      <c r="BY14" s="31">
        <v>55.689024414999999</v>
      </c>
      <c r="BZ14" s="31">
        <v>13.396307</v>
      </c>
      <c r="CA14" s="31">
        <v>83.890108865000002</v>
      </c>
      <c r="CB14" s="31">
        <v>219.911738429</v>
      </c>
      <c r="CC14" s="31">
        <v>0</v>
      </c>
      <c r="CD14" s="31">
        <v>65.453403187999996</v>
      </c>
      <c r="CE14" s="31">
        <v>5.4324172500000003</v>
      </c>
      <c r="CF14" s="31">
        <v>53.393335333000003</v>
      </c>
      <c r="CG14" s="31">
        <v>114.06782877000001</v>
      </c>
      <c r="CH14" s="31">
        <v>245.44547718800001</v>
      </c>
      <c r="CI14" s="31">
        <v>28.137249812</v>
      </c>
      <c r="CJ14" s="31">
        <v>49.992844318000003</v>
      </c>
      <c r="CK14" s="31">
        <v>166.306401115</v>
      </c>
      <c r="CL14" s="31">
        <v>102.803455879</v>
      </c>
      <c r="CM14" s="31">
        <v>75.845430878000002</v>
      </c>
      <c r="CN14" s="31">
        <v>93.637390945000007</v>
      </c>
      <c r="CO14" s="31">
        <v>160.18000599999999</v>
      </c>
      <c r="CP14" s="31">
        <v>180.860783301</v>
      </c>
      <c r="CQ14" s="31">
        <v>64.484176250000004</v>
      </c>
      <c r="CR14" s="31">
        <v>40.785004991999998</v>
      </c>
      <c r="CS14" s="31">
        <v>184.41635191399999</v>
      </c>
      <c r="CT14" s="31">
        <v>144.63864510600001</v>
      </c>
      <c r="CU14" s="31">
        <v>68.178072079000003</v>
      </c>
      <c r="CV14" s="31">
        <v>160.62161329099999</v>
      </c>
      <c r="CW14" s="31">
        <v>110.696872167</v>
      </c>
      <c r="CX14" s="31">
        <v>31.906127375000001</v>
      </c>
      <c r="CY14" s="31">
        <v>5.4324172500000003</v>
      </c>
      <c r="CZ14" s="31">
        <v>77.363798299999999</v>
      </c>
      <c r="DA14" s="31">
        <v>264.25065867799998</v>
      </c>
      <c r="DB14" s="31">
        <v>93.566377857999996</v>
      </c>
      <c r="DC14" s="31">
        <v>186.906184779</v>
      </c>
      <c r="DD14" s="31">
        <v>71.164776000000003</v>
      </c>
      <c r="DE14" s="31">
        <v>197.62483091300001</v>
      </c>
      <c r="DF14" s="31">
        <v>111.095209596</v>
      </c>
      <c r="DG14" s="31">
        <v>111.645615979</v>
      </c>
    </row>
    <row r="15" spans="1:111" x14ac:dyDescent="0.25">
      <c r="A15" s="5">
        <v>10</v>
      </c>
      <c r="B15" s="31">
        <v>233.53041540000001</v>
      </c>
      <c r="C15" s="31">
        <v>38.882835</v>
      </c>
      <c r="D15" s="31">
        <v>118.288959502</v>
      </c>
      <c r="E15" s="31">
        <v>136.673697756</v>
      </c>
      <c r="F15" s="31">
        <v>140.79503575000001</v>
      </c>
      <c r="G15" s="31">
        <v>50.620669645</v>
      </c>
      <c r="H15" s="31">
        <v>84.036183385000001</v>
      </c>
      <c r="I15" s="31">
        <v>165.059944868</v>
      </c>
      <c r="J15" s="31">
        <v>16.74732375</v>
      </c>
      <c r="K15" s="31">
        <v>51.194094925999998</v>
      </c>
      <c r="L15" s="31">
        <v>59.751061411000002</v>
      </c>
      <c r="M15" s="31">
        <v>61.735728563000002</v>
      </c>
      <c r="N15" s="31">
        <v>64.931888237999999</v>
      </c>
      <c r="O15" s="31">
        <v>197.578149107</v>
      </c>
      <c r="P15" s="31">
        <v>53.776595399999998</v>
      </c>
      <c r="Q15" s="31">
        <v>52.048346312</v>
      </c>
      <c r="R15" s="31">
        <v>16.74732375</v>
      </c>
      <c r="S15" s="31">
        <v>102.055623983</v>
      </c>
      <c r="T15" s="31">
        <v>68.171154224000006</v>
      </c>
      <c r="U15" s="31">
        <v>123.101674765</v>
      </c>
      <c r="V15" s="31">
        <v>0</v>
      </c>
      <c r="W15" s="31">
        <v>302.45790952900001</v>
      </c>
      <c r="X15" s="31">
        <v>84.036183385000001</v>
      </c>
      <c r="Y15" s="31">
        <v>181.264697165</v>
      </c>
      <c r="Z15" s="31">
        <v>33.341752499999998</v>
      </c>
      <c r="AA15" s="31">
        <v>99.960808678999996</v>
      </c>
      <c r="AB15" s="31">
        <v>153.43123341</v>
      </c>
      <c r="AC15" s="31">
        <v>215.822928867</v>
      </c>
      <c r="AD15" s="31">
        <v>70.414103083000001</v>
      </c>
      <c r="AE15" s="31">
        <v>64.931888237999999</v>
      </c>
      <c r="AF15" s="31">
        <v>64.931888237999999</v>
      </c>
      <c r="AG15" s="31">
        <v>57.793209179999998</v>
      </c>
      <c r="AH15" s="31">
        <v>82.319866508000004</v>
      </c>
      <c r="AI15" s="31">
        <v>38.982723092999997</v>
      </c>
      <c r="AJ15" s="31">
        <v>123.13323271599999</v>
      </c>
      <c r="AK15" s="31">
        <v>44.325198270000001</v>
      </c>
      <c r="AL15" s="31">
        <v>33.341752499999998</v>
      </c>
      <c r="AM15" s="31">
        <v>352.18625115100002</v>
      </c>
      <c r="AN15" s="31">
        <v>81.722524508000006</v>
      </c>
      <c r="AO15" s="31">
        <v>37.456301613999997</v>
      </c>
      <c r="AP15" s="31">
        <v>107.711783201</v>
      </c>
      <c r="AQ15" s="31">
        <v>54.017974662</v>
      </c>
      <c r="AR15" s="31">
        <v>43.320997331000001</v>
      </c>
      <c r="AS15" s="31">
        <v>128.125358369</v>
      </c>
      <c r="AT15" s="31">
        <v>57.226956059000003</v>
      </c>
      <c r="AU15" s="31">
        <v>205.18599817399999</v>
      </c>
      <c r="AV15" s="31">
        <v>59.586344064000002</v>
      </c>
      <c r="AW15" s="31">
        <v>72.303399342999995</v>
      </c>
      <c r="AX15" s="31">
        <v>84.036183385000001</v>
      </c>
      <c r="AY15" s="31">
        <v>198.79499625</v>
      </c>
      <c r="AZ15" s="31">
        <v>84.164798875000002</v>
      </c>
      <c r="BA15" s="31">
        <v>37.456301613999997</v>
      </c>
      <c r="BB15" s="31">
        <v>79.877080906000003</v>
      </c>
      <c r="BC15" s="31">
        <v>45.996213019999999</v>
      </c>
      <c r="BD15" s="31">
        <v>41.272355310999998</v>
      </c>
      <c r="BE15" s="31">
        <v>71.383284087999996</v>
      </c>
      <c r="BF15" s="31">
        <v>64.931888237999999</v>
      </c>
      <c r="BG15" s="31">
        <v>13.766265000000001</v>
      </c>
      <c r="BH15" s="31">
        <v>73.130092700000006</v>
      </c>
      <c r="BI15" s="31">
        <v>222.35531906</v>
      </c>
      <c r="BJ15" s="31">
        <v>91.947915918000007</v>
      </c>
      <c r="BK15" s="31">
        <v>118.648247419</v>
      </c>
      <c r="BL15" s="31">
        <v>84.036183385000001</v>
      </c>
      <c r="BM15" s="31">
        <v>131.63824285999999</v>
      </c>
      <c r="BN15" s="31">
        <v>64.931888237999999</v>
      </c>
      <c r="BO15" s="31">
        <v>64.931888237999999</v>
      </c>
      <c r="BP15" s="31">
        <v>68.971852362999996</v>
      </c>
      <c r="BQ15" s="31">
        <v>109.735736667</v>
      </c>
      <c r="BR15" s="31">
        <v>56.449897796999998</v>
      </c>
      <c r="BS15" s="31">
        <v>120.24041665</v>
      </c>
      <c r="BT15" s="31">
        <v>153.48512179900001</v>
      </c>
      <c r="BU15" s="31">
        <v>45.088409009000003</v>
      </c>
      <c r="BV15" s="31">
        <v>37.456301613999997</v>
      </c>
      <c r="BW15" s="31">
        <v>103.855635955</v>
      </c>
      <c r="BX15" s="31">
        <v>71.800784894000003</v>
      </c>
      <c r="BY15" s="31">
        <v>57.226956059000003</v>
      </c>
      <c r="BZ15" s="31">
        <v>13.766265000000001</v>
      </c>
      <c r="CA15" s="31">
        <v>86.206853765999995</v>
      </c>
      <c r="CB15" s="31">
        <v>225.98491417299999</v>
      </c>
      <c r="CC15" s="31">
        <v>0</v>
      </c>
      <c r="CD15" s="31">
        <v>67.260992186999999</v>
      </c>
      <c r="CE15" s="31">
        <v>5.5824412499999996</v>
      </c>
      <c r="CF15" s="31">
        <v>54.867868332999997</v>
      </c>
      <c r="CG15" s="31">
        <v>117.217974681</v>
      </c>
      <c r="CH15" s="31">
        <v>252.22380372500001</v>
      </c>
      <c r="CI15" s="31">
        <v>28.914300000000001</v>
      </c>
      <c r="CJ15" s="31">
        <v>51.373467955000002</v>
      </c>
      <c r="CK15" s="31">
        <v>170.89918936800001</v>
      </c>
      <c r="CL15" s="31">
        <v>105.64251978</v>
      </c>
      <c r="CM15" s="31">
        <v>77.940010545999996</v>
      </c>
      <c r="CN15" s="31">
        <v>96.223320931000003</v>
      </c>
      <c r="CO15" s="31">
        <v>164.60360499999999</v>
      </c>
      <c r="CP15" s="31">
        <v>185.85551146</v>
      </c>
      <c r="CQ15" s="31">
        <v>66.264998750000004</v>
      </c>
      <c r="CR15" s="31">
        <v>41.911341032000003</v>
      </c>
      <c r="CS15" s="31">
        <v>189.509272025</v>
      </c>
      <c r="CT15" s="31">
        <v>148.633047135</v>
      </c>
      <c r="CU15" s="31">
        <v>70.060906695</v>
      </c>
      <c r="CV15" s="31">
        <v>165.057407818</v>
      </c>
      <c r="CW15" s="31">
        <v>113.753923832</v>
      </c>
      <c r="CX15" s="31">
        <v>32.787260625000002</v>
      </c>
      <c r="CY15" s="31">
        <v>5.5824412499999996</v>
      </c>
      <c r="CZ15" s="31">
        <v>79.500309834000007</v>
      </c>
      <c r="DA15" s="31">
        <v>271.54831710299999</v>
      </c>
      <c r="DB15" s="31">
        <v>96.150346690999996</v>
      </c>
      <c r="DC15" s="31">
        <v>192.06786536199999</v>
      </c>
      <c r="DD15" s="31">
        <v>73.130092700000006</v>
      </c>
      <c r="DE15" s="31">
        <v>203.08252223700001</v>
      </c>
      <c r="DF15" s="31">
        <v>114.163262121</v>
      </c>
      <c r="DG15" s="31">
        <v>114.72886875899999</v>
      </c>
    </row>
    <row r="16" spans="1:111" x14ac:dyDescent="0.25">
      <c r="A16" s="5">
        <v>11</v>
      </c>
      <c r="B16" s="31">
        <v>241.258232247</v>
      </c>
      <c r="C16" s="31">
        <v>40.169516999999999</v>
      </c>
      <c r="D16" s="31">
        <v>122.2032908</v>
      </c>
      <c r="E16" s="31">
        <v>141.196403331</v>
      </c>
      <c r="F16" s="31">
        <v>145.45412161300001</v>
      </c>
      <c r="G16" s="31">
        <v>52.295771723999998</v>
      </c>
      <c r="H16" s="31">
        <v>86.817047000000002</v>
      </c>
      <c r="I16" s="31">
        <v>170.521987247</v>
      </c>
      <c r="J16" s="31">
        <v>17.301513750000002</v>
      </c>
      <c r="K16" s="31">
        <v>52.888172296</v>
      </c>
      <c r="L16" s="31">
        <v>61.728299651</v>
      </c>
      <c r="M16" s="31">
        <v>63.778641884000002</v>
      </c>
      <c r="N16" s="31">
        <v>67.080566570000002</v>
      </c>
      <c r="O16" s="31">
        <v>204.116259676</v>
      </c>
      <c r="P16" s="31">
        <v>55.556131000000001</v>
      </c>
      <c r="Q16" s="31">
        <v>53.770691960999997</v>
      </c>
      <c r="R16" s="31">
        <v>17.301513750000002</v>
      </c>
      <c r="S16" s="31">
        <v>105.432773688</v>
      </c>
      <c r="T16" s="31">
        <v>70.427023992000002</v>
      </c>
      <c r="U16" s="31">
        <v>127.175264899</v>
      </c>
      <c r="V16" s="31">
        <v>0</v>
      </c>
      <c r="W16" s="31">
        <v>312.46662404599999</v>
      </c>
      <c r="X16" s="31">
        <v>86.817047000000002</v>
      </c>
      <c r="Y16" s="31">
        <v>187.262975297</v>
      </c>
      <c r="Z16" s="31">
        <v>34.445073286000003</v>
      </c>
      <c r="AA16" s="31">
        <v>103.268638295</v>
      </c>
      <c r="AB16" s="31">
        <v>158.508467102</v>
      </c>
      <c r="AC16" s="31">
        <v>222.964782614</v>
      </c>
      <c r="AD16" s="31">
        <v>72.744194832999995</v>
      </c>
      <c r="AE16" s="31">
        <v>67.080566570000002</v>
      </c>
      <c r="AF16" s="31">
        <v>67.080566570000002</v>
      </c>
      <c r="AG16" s="31">
        <v>59.705659678000004</v>
      </c>
      <c r="AH16" s="31">
        <v>85.043935031000004</v>
      </c>
      <c r="AI16" s="31">
        <v>40.272710719999999</v>
      </c>
      <c r="AJ16" s="31">
        <v>127.207867159</v>
      </c>
      <c r="AK16" s="31">
        <v>45.791975159000003</v>
      </c>
      <c r="AL16" s="31">
        <v>34.445073286000003</v>
      </c>
      <c r="AM16" s="31">
        <v>363.84053972300001</v>
      </c>
      <c r="AN16" s="31">
        <v>84.426826237</v>
      </c>
      <c r="AO16" s="31">
        <v>38.695778023000003</v>
      </c>
      <c r="AP16" s="31">
        <v>111.27610218700001</v>
      </c>
      <c r="AQ16" s="31">
        <v>55.805497785999997</v>
      </c>
      <c r="AR16" s="31">
        <v>44.754543861000002</v>
      </c>
      <c r="AS16" s="31">
        <v>132.36518854799999</v>
      </c>
      <c r="AT16" s="31">
        <v>59.120668524000003</v>
      </c>
      <c r="AU16" s="31">
        <v>211.975862417</v>
      </c>
      <c r="AV16" s="31">
        <v>61.558131666000001</v>
      </c>
      <c r="AW16" s="31">
        <v>74.696010295999997</v>
      </c>
      <c r="AX16" s="31">
        <v>86.817047000000002</v>
      </c>
      <c r="AY16" s="31">
        <v>205.37337375000001</v>
      </c>
      <c r="AZ16" s="31">
        <v>86.949918552</v>
      </c>
      <c r="BA16" s="31">
        <v>38.695778023000003</v>
      </c>
      <c r="BB16" s="31">
        <v>82.520314693000003</v>
      </c>
      <c r="BC16" s="31">
        <v>47.518285919</v>
      </c>
      <c r="BD16" s="31">
        <v>42.638109765000003</v>
      </c>
      <c r="BE16" s="31">
        <v>73.745447378999998</v>
      </c>
      <c r="BF16" s="31">
        <v>67.080566570000002</v>
      </c>
      <c r="BG16" s="31">
        <v>14.221807999999999</v>
      </c>
      <c r="BH16" s="31">
        <v>75.550059899999994</v>
      </c>
      <c r="BI16" s="31">
        <v>229.71333785100001</v>
      </c>
      <c r="BJ16" s="31">
        <v>94.990588775999996</v>
      </c>
      <c r="BK16" s="31">
        <v>122.574468024</v>
      </c>
      <c r="BL16" s="31">
        <v>86.817047000000002</v>
      </c>
      <c r="BM16" s="31">
        <v>135.994318768</v>
      </c>
      <c r="BN16" s="31">
        <v>67.080566570000002</v>
      </c>
      <c r="BO16" s="31">
        <v>67.080566570000002</v>
      </c>
      <c r="BP16" s="31">
        <v>71.254218092000002</v>
      </c>
      <c r="BQ16" s="31">
        <v>113.367031</v>
      </c>
      <c r="BR16" s="31">
        <v>58.317896355000002</v>
      </c>
      <c r="BS16" s="31">
        <v>124.219324133</v>
      </c>
      <c r="BT16" s="31">
        <v>158.56413864000001</v>
      </c>
      <c r="BU16" s="31">
        <v>46.580441508</v>
      </c>
      <c r="BV16" s="31">
        <v>38.695778023000003</v>
      </c>
      <c r="BW16" s="31">
        <v>107.292350344</v>
      </c>
      <c r="BX16" s="31">
        <v>74.176763706000003</v>
      </c>
      <c r="BY16" s="31">
        <v>59.120668524000003</v>
      </c>
      <c r="BZ16" s="31">
        <v>14.221807999999999</v>
      </c>
      <c r="CA16" s="31">
        <v>89.059547615</v>
      </c>
      <c r="CB16" s="31">
        <v>233.46304086999999</v>
      </c>
      <c r="CC16" s="31">
        <v>0</v>
      </c>
      <c r="CD16" s="31">
        <v>69.486743500000003</v>
      </c>
      <c r="CE16" s="31">
        <v>5.7671712499999996</v>
      </c>
      <c r="CF16" s="31">
        <v>56.683515499999999</v>
      </c>
      <c r="CG16" s="31">
        <v>121.09686554699999</v>
      </c>
      <c r="CH16" s="31">
        <v>260.57020849700001</v>
      </c>
      <c r="CI16" s="31">
        <v>29.871110812000001</v>
      </c>
      <c r="CJ16" s="31">
        <v>53.073481000000001</v>
      </c>
      <c r="CK16" s="31">
        <v>176.554459721</v>
      </c>
      <c r="CL16" s="31">
        <v>109.138364399</v>
      </c>
      <c r="CM16" s="31">
        <v>80.519144046999997</v>
      </c>
      <c r="CN16" s="31">
        <v>99.407472349000003</v>
      </c>
      <c r="CO16" s="31">
        <v>170.0505465</v>
      </c>
      <c r="CP16" s="31">
        <v>192.005705543</v>
      </c>
      <c r="CQ16" s="31">
        <v>68.45779125</v>
      </c>
      <c r="CR16" s="31">
        <v>43.298240302000004</v>
      </c>
      <c r="CS16" s="31">
        <v>195.78037357900001</v>
      </c>
      <c r="CT16" s="31">
        <v>153.551502771</v>
      </c>
      <c r="CU16" s="31">
        <v>72.379310728999997</v>
      </c>
      <c r="CV16" s="31">
        <v>170.51936625299999</v>
      </c>
      <c r="CW16" s="31">
        <v>117.518185135</v>
      </c>
      <c r="CX16" s="31">
        <v>33.872232500000003</v>
      </c>
      <c r="CY16" s="31">
        <v>5.7671712499999996</v>
      </c>
      <c r="CZ16" s="31">
        <v>82.131075570999997</v>
      </c>
      <c r="DA16" s="31">
        <v>280.53419442900002</v>
      </c>
      <c r="DB16" s="31">
        <v>99.332083136999998</v>
      </c>
      <c r="DC16" s="31">
        <v>198.42363399600001</v>
      </c>
      <c r="DD16" s="31">
        <v>75.550059899999994</v>
      </c>
      <c r="DE16" s="31">
        <v>209.80277958299999</v>
      </c>
      <c r="DF16" s="31">
        <v>117.94106888899999</v>
      </c>
      <c r="DG16" s="31">
        <v>118.52539215100001</v>
      </c>
    </row>
    <row r="17" spans="1:111" x14ac:dyDescent="0.25">
      <c r="A17" s="5">
        <v>12</v>
      </c>
      <c r="B17" s="31">
        <v>248.24525066199999</v>
      </c>
      <c r="C17" s="31">
        <v>41.332856</v>
      </c>
      <c r="D17" s="31">
        <v>125.74238928</v>
      </c>
      <c r="E17" s="31">
        <v>145.28555655900001</v>
      </c>
      <c r="F17" s="31">
        <v>149.66658154000001</v>
      </c>
      <c r="G17" s="31">
        <v>53.810296237000003</v>
      </c>
      <c r="H17" s="31">
        <v>89.331333462000003</v>
      </c>
      <c r="I17" s="31">
        <v>175.46043123699999</v>
      </c>
      <c r="J17" s="31">
        <v>17.802578624999999</v>
      </c>
      <c r="K17" s="31">
        <v>54.419853240999998</v>
      </c>
      <c r="L17" s="31">
        <v>63.515997225</v>
      </c>
      <c r="M17" s="31">
        <v>65.625718973000005</v>
      </c>
      <c r="N17" s="31">
        <v>69.023269846000005</v>
      </c>
      <c r="O17" s="31">
        <v>210.027619165</v>
      </c>
      <c r="P17" s="31">
        <v>57.165078000000001</v>
      </c>
      <c r="Q17" s="31">
        <v>55.327931284000002</v>
      </c>
      <c r="R17" s="31">
        <v>17.802578624999999</v>
      </c>
      <c r="S17" s="31">
        <v>108.486185492</v>
      </c>
      <c r="T17" s="31">
        <v>72.466643148000003</v>
      </c>
      <c r="U17" s="31">
        <v>130.85835545899999</v>
      </c>
      <c r="V17" s="31">
        <v>0</v>
      </c>
      <c r="W17" s="31">
        <v>321.51589101299999</v>
      </c>
      <c r="X17" s="31">
        <v>89.331333462000003</v>
      </c>
      <c r="Y17" s="31">
        <v>192.68625079200001</v>
      </c>
      <c r="Z17" s="31">
        <v>35.442628286000001</v>
      </c>
      <c r="AA17" s="31">
        <v>106.25937516400001</v>
      </c>
      <c r="AB17" s="31">
        <v>163.09899056</v>
      </c>
      <c r="AC17" s="31">
        <v>229.42200919199999</v>
      </c>
      <c r="AD17" s="31">
        <v>74.850921</v>
      </c>
      <c r="AE17" s="31">
        <v>69.023269846000005</v>
      </c>
      <c r="AF17" s="31">
        <v>69.023269846000005</v>
      </c>
      <c r="AG17" s="31">
        <v>61.434780066999998</v>
      </c>
      <c r="AH17" s="31">
        <v>87.506870886000002</v>
      </c>
      <c r="AI17" s="31">
        <v>41.439038480999997</v>
      </c>
      <c r="AJ17" s="31">
        <v>130.89190196999999</v>
      </c>
      <c r="AK17" s="31">
        <v>47.118144938999997</v>
      </c>
      <c r="AL17" s="31">
        <v>35.442628286000001</v>
      </c>
      <c r="AM17" s="31">
        <v>374.37763324100001</v>
      </c>
      <c r="AN17" s="31">
        <v>86.871890140000005</v>
      </c>
      <c r="AO17" s="31">
        <v>39.816436635999999</v>
      </c>
      <c r="AP17" s="31">
        <v>114.498741303</v>
      </c>
      <c r="AQ17" s="31">
        <v>57.421666653999999</v>
      </c>
      <c r="AR17" s="31">
        <v>46.050668842</v>
      </c>
      <c r="AS17" s="31">
        <v>136.19858316899999</v>
      </c>
      <c r="AT17" s="31">
        <v>60.832847133000001</v>
      </c>
      <c r="AU17" s="31">
        <v>218.114841563</v>
      </c>
      <c r="AV17" s="31">
        <v>63.340901023999997</v>
      </c>
      <c r="AW17" s="31">
        <v>76.859262525000005</v>
      </c>
      <c r="AX17" s="31">
        <v>89.331333462000003</v>
      </c>
      <c r="AY17" s="31">
        <v>211.32114000000001</v>
      </c>
      <c r="AZ17" s="31">
        <v>89.468053092000005</v>
      </c>
      <c r="BA17" s="31">
        <v>39.816436635999999</v>
      </c>
      <c r="BB17" s="31">
        <v>84.910164488999996</v>
      </c>
      <c r="BC17" s="31">
        <v>48.894450902000003</v>
      </c>
      <c r="BD17" s="31">
        <v>43.872941249</v>
      </c>
      <c r="BE17" s="31">
        <v>75.881170479999994</v>
      </c>
      <c r="BF17" s="31">
        <v>69.023269846000005</v>
      </c>
      <c r="BG17" s="31">
        <v>14.633682500000001</v>
      </c>
      <c r="BH17" s="31">
        <v>77.738046100000005</v>
      </c>
      <c r="BI17" s="31">
        <v>236.36600752000001</v>
      </c>
      <c r="BJ17" s="31">
        <v>97.741587112999994</v>
      </c>
      <c r="BK17" s="31">
        <v>126.124316136</v>
      </c>
      <c r="BL17" s="31">
        <v>89.331333462000003</v>
      </c>
      <c r="BM17" s="31">
        <v>139.93281577900001</v>
      </c>
      <c r="BN17" s="31">
        <v>69.023269846000005</v>
      </c>
      <c r="BO17" s="31">
        <v>69.023269846000005</v>
      </c>
      <c r="BP17" s="31">
        <v>73.317793409999993</v>
      </c>
      <c r="BQ17" s="31">
        <v>116.650224667</v>
      </c>
      <c r="BR17" s="31">
        <v>60.006826107000002</v>
      </c>
      <c r="BS17" s="31">
        <v>127.816808443</v>
      </c>
      <c r="BT17" s="31">
        <v>163.15627441199999</v>
      </c>
      <c r="BU17" s="31">
        <v>47.929445860999998</v>
      </c>
      <c r="BV17" s="31">
        <v>39.816436635999999</v>
      </c>
      <c r="BW17" s="31">
        <v>110.399616892</v>
      </c>
      <c r="BX17" s="31">
        <v>76.324978148</v>
      </c>
      <c r="BY17" s="31">
        <v>60.832847133000001</v>
      </c>
      <c r="BZ17" s="31">
        <v>14.633682500000001</v>
      </c>
      <c r="CA17" s="31">
        <v>91.638778608999999</v>
      </c>
      <c r="CB17" s="31">
        <v>240.22430475199999</v>
      </c>
      <c r="CC17" s="31">
        <v>0</v>
      </c>
      <c r="CD17" s="31">
        <v>71.499131437000003</v>
      </c>
      <c r="CE17" s="31">
        <v>5.9341928749999999</v>
      </c>
      <c r="CF17" s="31">
        <v>58.325112333</v>
      </c>
      <c r="CG17" s="31">
        <v>124.60392112300001</v>
      </c>
      <c r="CH17" s="31">
        <v>268.11651622199997</v>
      </c>
      <c r="CI17" s="31">
        <v>30.736200437000001</v>
      </c>
      <c r="CJ17" s="31">
        <v>54.610528635999998</v>
      </c>
      <c r="CK17" s="31">
        <v>181.66760860700001</v>
      </c>
      <c r="CL17" s="31">
        <v>112.299092868</v>
      </c>
      <c r="CM17" s="31">
        <v>82.851038578000001</v>
      </c>
      <c r="CN17" s="31">
        <v>102.28638697</v>
      </c>
      <c r="CO17" s="31">
        <v>174.975337</v>
      </c>
      <c r="CP17" s="31">
        <v>197.56633390900001</v>
      </c>
      <c r="CQ17" s="31">
        <v>70.440380000000005</v>
      </c>
      <c r="CR17" s="31">
        <v>44.552189669000001</v>
      </c>
      <c r="CS17" s="31">
        <v>201.450319296</v>
      </c>
      <c r="CT17" s="31">
        <v>157.998468844</v>
      </c>
      <c r="CU17" s="31">
        <v>74.475469609000001</v>
      </c>
      <c r="CV17" s="31">
        <v>175.45773434700001</v>
      </c>
      <c r="CW17" s="31">
        <v>120.92159944799999</v>
      </c>
      <c r="CX17" s="31">
        <v>34.853197625</v>
      </c>
      <c r="CY17" s="31">
        <v>5.9341928749999999</v>
      </c>
      <c r="CZ17" s="31">
        <v>84.509652903000003</v>
      </c>
      <c r="DA17" s="31">
        <v>288.65867402700002</v>
      </c>
      <c r="DB17" s="31">
        <v>102.208814531</v>
      </c>
      <c r="DC17" s="31">
        <v>204.170130495</v>
      </c>
      <c r="DD17" s="31">
        <v>77.738046100000005</v>
      </c>
      <c r="DE17" s="31">
        <v>215.87882488400001</v>
      </c>
      <c r="DF17" s="31">
        <v>121.35673030300001</v>
      </c>
      <c r="DG17" s="31">
        <v>121.957975942</v>
      </c>
    </row>
    <row r="18" spans="1:111" x14ac:dyDescent="0.25">
      <c r="A18" s="5">
        <v>13</v>
      </c>
      <c r="B18" s="31">
        <v>249.068656309</v>
      </c>
      <c r="C18" s="31">
        <v>41.469952999999997</v>
      </c>
      <c r="D18" s="31">
        <v>126.159464705</v>
      </c>
      <c r="E18" s="31">
        <v>145.76745479300001</v>
      </c>
      <c r="F18" s="31">
        <v>150.16301121399999</v>
      </c>
      <c r="G18" s="31">
        <v>53.988779888000003</v>
      </c>
      <c r="H18" s="31">
        <v>89.627636922999997</v>
      </c>
      <c r="I18" s="31">
        <v>176.042416651</v>
      </c>
      <c r="J18" s="31">
        <v>17.861628</v>
      </c>
      <c r="K18" s="31">
        <v>54.600358665999998</v>
      </c>
      <c r="L18" s="31">
        <v>63.726673673000001</v>
      </c>
      <c r="M18" s="31">
        <v>65.843393340000006</v>
      </c>
      <c r="N18" s="31">
        <v>69.252213401000006</v>
      </c>
      <c r="O18" s="31">
        <v>210.724260316</v>
      </c>
      <c r="P18" s="31">
        <v>57.354689100000002</v>
      </c>
      <c r="Q18" s="31">
        <v>55.511448706000003</v>
      </c>
      <c r="R18" s="31">
        <v>17.861628</v>
      </c>
      <c r="S18" s="31">
        <v>108.84602377500001</v>
      </c>
      <c r="T18" s="31">
        <v>72.707008076999998</v>
      </c>
      <c r="U18" s="31">
        <v>131.29240005299999</v>
      </c>
      <c r="V18" s="31">
        <v>0</v>
      </c>
      <c r="W18" s="31">
        <v>322.58232820900002</v>
      </c>
      <c r="X18" s="31">
        <v>89.627636922999997</v>
      </c>
      <c r="Y18" s="31">
        <v>193.32537259700001</v>
      </c>
      <c r="Z18" s="31">
        <v>35.560188070999999</v>
      </c>
      <c r="AA18" s="31">
        <v>106.611827277</v>
      </c>
      <c r="AB18" s="31">
        <v>163.63997432299999</v>
      </c>
      <c r="AC18" s="31">
        <v>230.182979899</v>
      </c>
      <c r="AD18" s="31">
        <v>75.099194333</v>
      </c>
      <c r="AE18" s="31">
        <v>69.252213401000006</v>
      </c>
      <c r="AF18" s="31">
        <v>69.252213401000006</v>
      </c>
      <c r="AG18" s="31">
        <v>61.638553407000003</v>
      </c>
      <c r="AH18" s="31">
        <v>87.797122748999996</v>
      </c>
      <c r="AI18" s="31">
        <v>41.576487790999998</v>
      </c>
      <c r="AJ18" s="31">
        <v>131.32605780200001</v>
      </c>
      <c r="AK18" s="31">
        <v>47.274431299</v>
      </c>
      <c r="AL18" s="31">
        <v>35.560188070999999</v>
      </c>
      <c r="AM18" s="31">
        <v>375.61940792799999</v>
      </c>
      <c r="AN18" s="31">
        <v>87.160035855000004</v>
      </c>
      <c r="AO18" s="31">
        <v>39.948503932000001</v>
      </c>
      <c r="AP18" s="31">
        <v>114.878522473</v>
      </c>
      <c r="AQ18" s="31">
        <v>57.612128806000001</v>
      </c>
      <c r="AR18" s="31">
        <v>46.203414541999997</v>
      </c>
      <c r="AS18" s="31">
        <v>136.650340785</v>
      </c>
      <c r="AT18" s="31">
        <v>61.034623918999998</v>
      </c>
      <c r="AU18" s="31">
        <v>218.83830756399999</v>
      </c>
      <c r="AV18" s="31">
        <v>63.550996787000003</v>
      </c>
      <c r="AW18" s="31">
        <v>77.114197296</v>
      </c>
      <c r="AX18" s="31">
        <v>89.627636922999997</v>
      </c>
      <c r="AY18" s="31">
        <v>212.02207200000001</v>
      </c>
      <c r="AZ18" s="31">
        <v>89.764810030000007</v>
      </c>
      <c r="BA18" s="31">
        <v>39.948503932000001</v>
      </c>
      <c r="BB18" s="31">
        <v>85.191803453000006</v>
      </c>
      <c r="BC18" s="31">
        <v>49.056629088999998</v>
      </c>
      <c r="BD18" s="31">
        <v>44.018463580000002</v>
      </c>
      <c r="BE18" s="31">
        <v>76.132861128000002</v>
      </c>
      <c r="BF18" s="31">
        <v>69.252213401000006</v>
      </c>
      <c r="BG18" s="31">
        <v>14.682221</v>
      </c>
      <c r="BH18" s="31">
        <v>77.995895700000005</v>
      </c>
      <c r="BI18" s="31">
        <v>237.15001088700001</v>
      </c>
      <c r="BJ18" s="31">
        <v>98.065786591999995</v>
      </c>
      <c r="BK18" s="31">
        <v>126.54265834500001</v>
      </c>
      <c r="BL18" s="31">
        <v>89.627636922999997</v>
      </c>
      <c r="BM18" s="31">
        <v>140.39695982999999</v>
      </c>
      <c r="BN18" s="31">
        <v>69.252213401000006</v>
      </c>
      <c r="BO18" s="31">
        <v>69.252213401000006</v>
      </c>
      <c r="BP18" s="31">
        <v>73.560981575</v>
      </c>
      <c r="BQ18" s="31">
        <v>117.03714233300001</v>
      </c>
      <c r="BR18" s="31">
        <v>60.205862971999998</v>
      </c>
      <c r="BS18" s="31">
        <v>128.240764517</v>
      </c>
      <c r="BT18" s="31">
        <v>163.697448119</v>
      </c>
      <c r="BU18" s="31">
        <v>48.088423229</v>
      </c>
      <c r="BV18" s="31">
        <v>39.948503932000001</v>
      </c>
      <c r="BW18" s="31">
        <v>110.76580181600001</v>
      </c>
      <c r="BX18" s="31">
        <v>76.578140767999997</v>
      </c>
      <c r="BY18" s="31">
        <v>61.034623918999998</v>
      </c>
      <c r="BZ18" s="31">
        <v>14.682221</v>
      </c>
      <c r="CA18" s="31">
        <v>91.942735611000003</v>
      </c>
      <c r="CB18" s="31">
        <v>241.02110575500001</v>
      </c>
      <c r="CC18" s="31">
        <v>0</v>
      </c>
      <c r="CD18" s="31">
        <v>71.736287187000002</v>
      </c>
      <c r="CE18" s="31">
        <v>5.9538760000000002</v>
      </c>
      <c r="CF18" s="31">
        <v>58.518571166999998</v>
      </c>
      <c r="CG18" s="31">
        <v>125.01722050799999</v>
      </c>
      <c r="CH18" s="31">
        <v>269.00583295000001</v>
      </c>
      <c r="CI18" s="31">
        <v>30.8381495</v>
      </c>
      <c r="CJ18" s="31">
        <v>54.791666499999998</v>
      </c>
      <c r="CK18" s="31">
        <v>182.270182611</v>
      </c>
      <c r="CL18" s="31">
        <v>112.671578184</v>
      </c>
      <c r="CM18" s="31">
        <v>83.125847718000003</v>
      </c>
      <c r="CN18" s="31">
        <v>102.625661063</v>
      </c>
      <c r="CO18" s="31">
        <v>175.5557135</v>
      </c>
      <c r="CP18" s="31">
        <v>198.22164241799999</v>
      </c>
      <c r="CQ18" s="31">
        <v>70.674024000000003</v>
      </c>
      <c r="CR18" s="31">
        <v>44.699965112000001</v>
      </c>
      <c r="CS18" s="31">
        <v>202.11851070399999</v>
      </c>
      <c r="CT18" s="31">
        <v>158.52253466400001</v>
      </c>
      <c r="CU18" s="31">
        <v>74.722497567999994</v>
      </c>
      <c r="CV18" s="31">
        <v>176.03971084099999</v>
      </c>
      <c r="CW18" s="31">
        <v>121.32268483599999</v>
      </c>
      <c r="CX18" s="31">
        <v>34.968802375000003</v>
      </c>
      <c r="CY18" s="31">
        <v>5.9538760000000002</v>
      </c>
      <c r="CZ18" s="31">
        <v>84.789963270000001</v>
      </c>
      <c r="DA18" s="31">
        <v>289.616127151</v>
      </c>
      <c r="DB18" s="31">
        <v>102.547831211</v>
      </c>
      <c r="DC18" s="31">
        <v>204.84734322700001</v>
      </c>
      <c r="DD18" s="31">
        <v>77.995895700000005</v>
      </c>
      <c r="DE18" s="31">
        <v>216.59487412199999</v>
      </c>
      <c r="DF18" s="31">
        <v>121.75925888899999</v>
      </c>
      <c r="DG18" s="31">
        <v>122.362498832</v>
      </c>
    </row>
    <row r="19" spans="1:111" x14ac:dyDescent="0.25">
      <c r="A19" s="5">
        <v>14</v>
      </c>
      <c r="B19" s="31">
        <v>252.643221939</v>
      </c>
      <c r="C19" s="31">
        <v>42.065117999999998</v>
      </c>
      <c r="D19" s="31">
        <v>127.970071038</v>
      </c>
      <c r="E19" s="31">
        <v>147.85946959399999</v>
      </c>
      <c r="F19" s="31">
        <v>152.31810984200001</v>
      </c>
      <c r="G19" s="31">
        <v>54.763612090999999</v>
      </c>
      <c r="H19" s="31">
        <v>90.913948345999998</v>
      </c>
      <c r="I19" s="31">
        <v>178.568929446</v>
      </c>
      <c r="J19" s="31">
        <v>18.117973124999999</v>
      </c>
      <c r="K19" s="31">
        <v>55.38396814</v>
      </c>
      <c r="L19" s="31">
        <v>64.641261552000003</v>
      </c>
      <c r="M19" s="31">
        <v>66.788359663999998</v>
      </c>
      <c r="N19" s="31">
        <v>70.246102301999997</v>
      </c>
      <c r="O19" s="31">
        <v>213.748517507</v>
      </c>
      <c r="P19" s="31">
        <v>58.177827999999998</v>
      </c>
      <c r="Q19" s="31">
        <v>56.308133912000002</v>
      </c>
      <c r="R19" s="31">
        <v>18.117973124999999</v>
      </c>
      <c r="S19" s="31">
        <v>110.408152239</v>
      </c>
      <c r="T19" s="31">
        <v>73.750479283000004</v>
      </c>
      <c r="U19" s="31">
        <v>133.17667287800001</v>
      </c>
      <c r="V19" s="31">
        <v>0</v>
      </c>
      <c r="W19" s="31">
        <v>327.21194170899997</v>
      </c>
      <c r="X19" s="31">
        <v>90.913948345999998</v>
      </c>
      <c r="Y19" s="31">
        <v>196.09992566599999</v>
      </c>
      <c r="Z19" s="31">
        <v>36.070538214000003</v>
      </c>
      <c r="AA19" s="31">
        <v>108.141891129</v>
      </c>
      <c r="AB19" s="31">
        <v>165.988490732</v>
      </c>
      <c r="AC19" s="31">
        <v>233.486503212</v>
      </c>
      <c r="AD19" s="31">
        <v>76.176997499999999</v>
      </c>
      <c r="AE19" s="31">
        <v>70.246102301999997</v>
      </c>
      <c r="AF19" s="31">
        <v>70.246102301999997</v>
      </c>
      <c r="AG19" s="31">
        <v>62.523173067999998</v>
      </c>
      <c r="AH19" s="31">
        <v>89.057163095000007</v>
      </c>
      <c r="AI19" s="31">
        <v>42.173182218000001</v>
      </c>
      <c r="AJ19" s="31">
        <v>133.21081354500001</v>
      </c>
      <c r="AK19" s="31">
        <v>47.952901058000002</v>
      </c>
      <c r="AL19" s="31">
        <v>36.070538214000003</v>
      </c>
      <c r="AM19" s="31">
        <v>381.01019531999998</v>
      </c>
      <c r="AN19" s="31">
        <v>88.410932944999999</v>
      </c>
      <c r="AO19" s="31">
        <v>40.521833977</v>
      </c>
      <c r="AP19" s="31">
        <v>116.527227739</v>
      </c>
      <c r="AQ19" s="31">
        <v>58.438962384</v>
      </c>
      <c r="AR19" s="31">
        <v>46.866513392999998</v>
      </c>
      <c r="AS19" s="31">
        <v>138.61150931899999</v>
      </c>
      <c r="AT19" s="31">
        <v>61.910576147999997</v>
      </c>
      <c r="AU19" s="31">
        <v>221.97901532399999</v>
      </c>
      <c r="AV19" s="31">
        <v>64.463063312000003</v>
      </c>
      <c r="AW19" s="31">
        <v>78.220919211999998</v>
      </c>
      <c r="AX19" s="31">
        <v>90.913948345999998</v>
      </c>
      <c r="AY19" s="31">
        <v>215.06495475</v>
      </c>
      <c r="AZ19" s="31">
        <v>91.053090128999997</v>
      </c>
      <c r="BA19" s="31">
        <v>40.521833977</v>
      </c>
      <c r="BB19" s="31">
        <v>86.414452917000006</v>
      </c>
      <c r="BC19" s="31">
        <v>49.760676480000001</v>
      </c>
      <c r="BD19" s="31">
        <v>44.650204578</v>
      </c>
      <c r="BE19" s="31">
        <v>77.225499128999999</v>
      </c>
      <c r="BF19" s="31">
        <v>70.246102301999997</v>
      </c>
      <c r="BG19" s="31">
        <v>14.892936000000001</v>
      </c>
      <c r="BH19" s="31">
        <v>79.115271500000006</v>
      </c>
      <c r="BI19" s="31">
        <v>240.553523224</v>
      </c>
      <c r="BJ19" s="31">
        <v>99.473200031000005</v>
      </c>
      <c r="BK19" s="31">
        <v>128.35876404499999</v>
      </c>
      <c r="BL19" s="31">
        <v>90.913948345999998</v>
      </c>
      <c r="BM19" s="31">
        <v>142.411898495</v>
      </c>
      <c r="BN19" s="31">
        <v>70.246102301999997</v>
      </c>
      <c r="BO19" s="31">
        <v>70.246102301999997</v>
      </c>
      <c r="BP19" s="31">
        <v>74.616708794999994</v>
      </c>
      <c r="BQ19" s="31">
        <v>118.716827667</v>
      </c>
      <c r="BR19" s="31">
        <v>61.069921135000001</v>
      </c>
      <c r="BS19" s="31">
        <v>130.08124109900001</v>
      </c>
      <c r="BT19" s="31">
        <v>166.046789289</v>
      </c>
      <c r="BU19" s="31">
        <v>48.778575179000001</v>
      </c>
      <c r="BV19" s="31">
        <v>40.521833977</v>
      </c>
      <c r="BW19" s="31">
        <v>112.355482428</v>
      </c>
      <c r="BX19" s="31">
        <v>77.677169383000006</v>
      </c>
      <c r="BY19" s="31">
        <v>61.910576147999997</v>
      </c>
      <c r="BZ19" s="31">
        <v>14.892936000000001</v>
      </c>
      <c r="CA19" s="31">
        <v>93.262272662000001</v>
      </c>
      <c r="CB19" s="31">
        <v>244.48017496700001</v>
      </c>
      <c r="CC19" s="31">
        <v>0</v>
      </c>
      <c r="CD19" s="31">
        <v>72.765826875000002</v>
      </c>
      <c r="CE19" s="31">
        <v>6.0393243749999996</v>
      </c>
      <c r="CF19" s="31">
        <v>59.358413833</v>
      </c>
      <c r="CG19" s="31">
        <v>126.811433687</v>
      </c>
      <c r="CH19" s="31">
        <v>272.86653138100002</v>
      </c>
      <c r="CI19" s="31">
        <v>31.280730188</v>
      </c>
      <c r="CJ19" s="31">
        <v>55.578021544999999</v>
      </c>
      <c r="CK19" s="31">
        <v>184.88607471</v>
      </c>
      <c r="CL19" s="31">
        <v>114.28860997300001</v>
      </c>
      <c r="CM19" s="31">
        <v>84.318847087999998</v>
      </c>
      <c r="CN19" s="31">
        <v>104.098516545</v>
      </c>
      <c r="CO19" s="31">
        <v>178.0752415</v>
      </c>
      <c r="CP19" s="31">
        <v>201.06646549199999</v>
      </c>
      <c r="CQ19" s="31">
        <v>71.688318249999995</v>
      </c>
      <c r="CR19" s="31">
        <v>45.341486752999998</v>
      </c>
      <c r="CS19" s="31">
        <v>205.019260476</v>
      </c>
      <c r="CT19" s="31">
        <v>160.79760697</v>
      </c>
      <c r="CU19" s="31">
        <v>75.794894462000002</v>
      </c>
      <c r="CV19" s="31">
        <v>178.56618478600001</v>
      </c>
      <c r="CW19" s="31">
        <v>123.063875014</v>
      </c>
      <c r="CX19" s="31">
        <v>35.470665124999996</v>
      </c>
      <c r="CY19" s="31">
        <v>6.0393243749999996</v>
      </c>
      <c r="CZ19" s="31">
        <v>86.006845671999997</v>
      </c>
      <c r="DA19" s="31">
        <v>293.77261889200003</v>
      </c>
      <c r="DB19" s="31">
        <v>104.01956975500001</v>
      </c>
      <c r="DC19" s="31">
        <v>207.78725648</v>
      </c>
      <c r="DD19" s="31">
        <v>79.115271500000006</v>
      </c>
      <c r="DE19" s="31">
        <v>219.703384618</v>
      </c>
      <c r="DF19" s="31">
        <v>123.50671454499999</v>
      </c>
      <c r="DG19" s="31">
        <v>124.11861214299999</v>
      </c>
    </row>
    <row r="20" spans="1:111" x14ac:dyDescent="0.25">
      <c r="A20" s="5">
        <v>15</v>
      </c>
      <c r="B20" s="31">
        <v>258.64713034599998</v>
      </c>
      <c r="C20" s="31">
        <v>43.064770000000003</v>
      </c>
      <c r="D20" s="31">
        <v>131.011199866</v>
      </c>
      <c r="E20" s="31">
        <v>151.37325759500001</v>
      </c>
      <c r="F20" s="31">
        <v>155.93785464600001</v>
      </c>
      <c r="G20" s="31">
        <v>56.065035209999998</v>
      </c>
      <c r="H20" s="31">
        <v>93.074461615000004</v>
      </c>
      <c r="I20" s="31">
        <v>182.81250866100001</v>
      </c>
      <c r="J20" s="31">
        <v>18.548535749999999</v>
      </c>
      <c r="K20" s="31">
        <v>56.700133571999999</v>
      </c>
      <c r="L20" s="31">
        <v>66.177420841</v>
      </c>
      <c r="M20" s="31">
        <v>68.375543449999995</v>
      </c>
      <c r="N20" s="31">
        <v>71.915457075999996</v>
      </c>
      <c r="O20" s="31">
        <v>218.82811805899999</v>
      </c>
      <c r="P20" s="31">
        <v>59.5603877</v>
      </c>
      <c r="Q20" s="31">
        <v>57.646261615999997</v>
      </c>
      <c r="R20" s="31">
        <v>18.548535749999999</v>
      </c>
      <c r="S20" s="31">
        <v>113.031933115</v>
      </c>
      <c r="T20" s="31">
        <v>75.503113303000006</v>
      </c>
      <c r="U20" s="31">
        <v>136.341533347</v>
      </c>
      <c r="V20" s="31">
        <v>0</v>
      </c>
      <c r="W20" s="31">
        <v>334.98792949199998</v>
      </c>
      <c r="X20" s="31">
        <v>93.074461615000004</v>
      </c>
      <c r="Y20" s="31">
        <v>200.76011807</v>
      </c>
      <c r="Z20" s="31">
        <v>36.927732071000001</v>
      </c>
      <c r="AA20" s="31">
        <v>110.711815777</v>
      </c>
      <c r="AB20" s="31">
        <v>169.93310341</v>
      </c>
      <c r="AC20" s="31">
        <v>239.03516445100001</v>
      </c>
      <c r="AD20" s="31">
        <v>77.987296333000003</v>
      </c>
      <c r="AE20" s="31">
        <v>71.915457075999996</v>
      </c>
      <c r="AF20" s="31">
        <v>71.915457075999996</v>
      </c>
      <c r="AG20" s="31">
        <v>64.008997319000002</v>
      </c>
      <c r="AH20" s="31">
        <v>91.173551075000006</v>
      </c>
      <c r="AI20" s="31">
        <v>43.175401569000002</v>
      </c>
      <c r="AJ20" s="31">
        <v>136.37648551199999</v>
      </c>
      <c r="AK20" s="31">
        <v>49.09247182</v>
      </c>
      <c r="AL20" s="31">
        <v>36.927732071000001</v>
      </c>
      <c r="AM20" s="31">
        <v>390.06466493300002</v>
      </c>
      <c r="AN20" s="31">
        <v>90.51196358</v>
      </c>
      <c r="AO20" s="31">
        <v>41.484810068000002</v>
      </c>
      <c r="AP20" s="31">
        <v>119.29642481800001</v>
      </c>
      <c r="AQ20" s="31">
        <v>59.827727848000002</v>
      </c>
      <c r="AR20" s="31">
        <v>47.980266874999998</v>
      </c>
      <c r="AS20" s="31">
        <v>141.90552528200001</v>
      </c>
      <c r="AT20" s="31">
        <v>63.381842415000001</v>
      </c>
      <c r="AU20" s="31">
        <v>227.25420815000001</v>
      </c>
      <c r="AV20" s="31">
        <v>65.994987846000001</v>
      </c>
      <c r="AW20" s="31">
        <v>80.079790609</v>
      </c>
      <c r="AX20" s="31">
        <v>93.074461615000004</v>
      </c>
      <c r="AY20" s="31">
        <v>220.1758395</v>
      </c>
      <c r="AZ20" s="31">
        <v>93.216909981000001</v>
      </c>
      <c r="BA20" s="31">
        <v>41.484810068000002</v>
      </c>
      <c r="BB20" s="31">
        <v>88.468038547000006</v>
      </c>
      <c r="BC20" s="31">
        <v>50.943207940000001</v>
      </c>
      <c r="BD20" s="31">
        <v>45.711288819000004</v>
      </c>
      <c r="BE20" s="31">
        <v>79.060714997999995</v>
      </c>
      <c r="BF20" s="31">
        <v>71.915457075999996</v>
      </c>
      <c r="BG20" s="31">
        <v>15.246857500000001</v>
      </c>
      <c r="BH20" s="31">
        <v>80.995396600000007</v>
      </c>
      <c r="BI20" s="31">
        <v>246.270127643</v>
      </c>
      <c r="BJ20" s="31">
        <v>101.83711858700001</v>
      </c>
      <c r="BK20" s="31">
        <v>131.40913007899999</v>
      </c>
      <c r="BL20" s="31">
        <v>93.074461615000004</v>
      </c>
      <c r="BM20" s="31">
        <v>145.79622860000001</v>
      </c>
      <c r="BN20" s="31">
        <v>71.915457075999996</v>
      </c>
      <c r="BO20" s="31">
        <v>71.915457075999996</v>
      </c>
      <c r="BP20" s="31">
        <v>76.389928374999997</v>
      </c>
      <c r="BQ20" s="31">
        <v>121.538059</v>
      </c>
      <c r="BR20" s="31">
        <v>62.521209745</v>
      </c>
      <c r="BS20" s="31">
        <v>133.17254056499999</v>
      </c>
      <c r="BT20" s="31">
        <v>169.992787655</v>
      </c>
      <c r="BU20" s="31">
        <v>49.937767569999998</v>
      </c>
      <c r="BV20" s="31">
        <v>41.484810068000002</v>
      </c>
      <c r="BW20" s="31">
        <v>115.02554033600001</v>
      </c>
      <c r="BX20" s="31">
        <v>79.523118827999994</v>
      </c>
      <c r="BY20" s="31">
        <v>63.381842415000001</v>
      </c>
      <c r="BZ20" s="31">
        <v>15.246857500000001</v>
      </c>
      <c r="CA20" s="31">
        <v>95.478592449999994</v>
      </c>
      <c r="CB20" s="31">
        <v>250.29009384099999</v>
      </c>
      <c r="CC20" s="31">
        <v>0</v>
      </c>
      <c r="CD20" s="31">
        <v>74.495061312000004</v>
      </c>
      <c r="CE20" s="31">
        <v>6.1828452499999997</v>
      </c>
      <c r="CF20" s="31">
        <v>60.769029500000002</v>
      </c>
      <c r="CG20" s="31">
        <v>129.82502837499999</v>
      </c>
      <c r="CH20" s="31">
        <v>279.35103417699997</v>
      </c>
      <c r="CI20" s="31">
        <v>32.024097249999997</v>
      </c>
      <c r="CJ20" s="31">
        <v>56.898798591000002</v>
      </c>
      <c r="CK20" s="31">
        <v>189.279776825</v>
      </c>
      <c r="CL20" s="31">
        <v>117.004607494</v>
      </c>
      <c r="CM20" s="31">
        <v>86.322631993000002</v>
      </c>
      <c r="CN20" s="31">
        <v>106.572352916</v>
      </c>
      <c r="CO20" s="31">
        <v>182.30708849999999</v>
      </c>
      <c r="CP20" s="31">
        <v>205.844684715</v>
      </c>
      <c r="CQ20" s="31">
        <v>73.391946500000003</v>
      </c>
      <c r="CR20" s="31">
        <v>46.418998956999999</v>
      </c>
      <c r="CS20" s="31">
        <v>209.89141532900001</v>
      </c>
      <c r="CT20" s="31">
        <v>164.61886154300001</v>
      </c>
      <c r="CU20" s="31">
        <v>77.596112892999997</v>
      </c>
      <c r="CV20" s="31">
        <v>182.809698795</v>
      </c>
      <c r="CW20" s="31">
        <v>125.988411044</v>
      </c>
      <c r="CX20" s="31">
        <v>36.313603375</v>
      </c>
      <c r="CY20" s="31">
        <v>6.1828452499999997</v>
      </c>
      <c r="CZ20" s="31">
        <v>88.050744735999999</v>
      </c>
      <c r="DA20" s="31">
        <v>300.75394192099998</v>
      </c>
      <c r="DB20" s="31">
        <v>106.491530123</v>
      </c>
      <c r="DC20" s="31">
        <v>212.72519101</v>
      </c>
      <c r="DD20" s="31">
        <v>80.995396600000007</v>
      </c>
      <c r="DE20" s="31">
        <v>224.924498572</v>
      </c>
      <c r="DF20" s="31">
        <v>126.441774646</v>
      </c>
      <c r="DG20" s="31">
        <v>127.06821345500001</v>
      </c>
    </row>
    <row r="21" spans="1:111" x14ac:dyDescent="0.25">
      <c r="A21" s="5">
        <v>16</v>
      </c>
      <c r="B21" s="31">
        <v>259.18169544699998</v>
      </c>
      <c r="C21" s="31">
        <v>43.153775000000003</v>
      </c>
      <c r="D21" s="31">
        <v>131.28197037499999</v>
      </c>
      <c r="E21" s="31">
        <v>151.68611182699999</v>
      </c>
      <c r="F21" s="31">
        <v>156.260142866</v>
      </c>
      <c r="G21" s="31">
        <v>56.180908842000001</v>
      </c>
      <c r="H21" s="31">
        <v>93.266825385000004</v>
      </c>
      <c r="I21" s="31">
        <v>183.19034058899999</v>
      </c>
      <c r="J21" s="31">
        <v>18.586871250000002</v>
      </c>
      <c r="K21" s="31">
        <v>56.817319902999998</v>
      </c>
      <c r="L21" s="31">
        <v>66.314194502000007</v>
      </c>
      <c r="M21" s="31">
        <v>68.516860127000001</v>
      </c>
      <c r="N21" s="31">
        <v>72.064090034000003</v>
      </c>
      <c r="O21" s="31">
        <v>219.280385862</v>
      </c>
      <c r="P21" s="31">
        <v>59.683485599999997</v>
      </c>
      <c r="Q21" s="31">
        <v>57.765403313999997</v>
      </c>
      <c r="R21" s="31">
        <v>18.586871250000002</v>
      </c>
      <c r="S21" s="31">
        <v>113.265544527</v>
      </c>
      <c r="T21" s="31">
        <v>75.659161224000002</v>
      </c>
      <c r="U21" s="31">
        <v>136.62332044999999</v>
      </c>
      <c r="V21" s="31">
        <v>0</v>
      </c>
      <c r="W21" s="31">
        <v>335.680273505</v>
      </c>
      <c r="X21" s="31">
        <v>93.266825385000004</v>
      </c>
      <c r="Y21" s="31">
        <v>201.17504362899999</v>
      </c>
      <c r="Z21" s="31">
        <v>37.004053286000001</v>
      </c>
      <c r="AA21" s="31">
        <v>110.940631896</v>
      </c>
      <c r="AB21" s="31">
        <v>170.28431684200001</v>
      </c>
      <c r="AC21" s="31">
        <v>239.529195719</v>
      </c>
      <c r="AD21" s="31">
        <v>78.148478417000007</v>
      </c>
      <c r="AE21" s="31">
        <v>72.064090034000003</v>
      </c>
      <c r="AF21" s="31">
        <v>72.064090034000003</v>
      </c>
      <c r="AG21" s="31">
        <v>64.141289306999994</v>
      </c>
      <c r="AH21" s="31">
        <v>91.361986049999999</v>
      </c>
      <c r="AI21" s="31">
        <v>43.264635343000002</v>
      </c>
      <c r="AJ21" s="31">
        <v>136.658344661</v>
      </c>
      <c r="AK21" s="31">
        <v>49.193934837999997</v>
      </c>
      <c r="AL21" s="31">
        <v>37.004053286000001</v>
      </c>
      <c r="AM21" s="31">
        <v>390.870839988</v>
      </c>
      <c r="AN21" s="31">
        <v>90.699031305000005</v>
      </c>
      <c r="AO21" s="31">
        <v>41.570549773000003</v>
      </c>
      <c r="AP21" s="31">
        <v>119.542983315</v>
      </c>
      <c r="AQ21" s="31">
        <v>59.951378208000001</v>
      </c>
      <c r="AR21" s="31">
        <v>48.079431063000001</v>
      </c>
      <c r="AS21" s="31">
        <v>142.198811898</v>
      </c>
      <c r="AT21" s="31">
        <v>63.512838217999999</v>
      </c>
      <c r="AU21" s="31">
        <v>227.72389097499999</v>
      </c>
      <c r="AV21" s="31">
        <v>66.131384423</v>
      </c>
      <c r="AW21" s="31">
        <v>80.245297305999998</v>
      </c>
      <c r="AX21" s="31">
        <v>93.266825385000004</v>
      </c>
      <c r="AY21" s="31">
        <v>220.63089299999999</v>
      </c>
      <c r="AZ21" s="31">
        <v>93.409568217</v>
      </c>
      <c r="BA21" s="31">
        <v>41.570549773000003</v>
      </c>
      <c r="BB21" s="31">
        <v>88.650881792000007</v>
      </c>
      <c r="BC21" s="31">
        <v>51.048495952000003</v>
      </c>
      <c r="BD21" s="31">
        <v>45.805763698</v>
      </c>
      <c r="BE21" s="31">
        <v>79.224115451000003</v>
      </c>
      <c r="BF21" s="31">
        <v>72.064090034000003</v>
      </c>
      <c r="BG21" s="31">
        <v>15.278369</v>
      </c>
      <c r="BH21" s="31">
        <v>81.162795700000004</v>
      </c>
      <c r="BI21" s="31">
        <v>246.779112054</v>
      </c>
      <c r="BJ21" s="31">
        <v>102.047592853</v>
      </c>
      <c r="BK21" s="31">
        <v>131.68072283500001</v>
      </c>
      <c r="BL21" s="31">
        <v>93.266825385000004</v>
      </c>
      <c r="BM21" s="31">
        <v>146.09755620199999</v>
      </c>
      <c r="BN21" s="31">
        <v>72.064090034000003</v>
      </c>
      <c r="BO21" s="31">
        <v>72.064090034000003</v>
      </c>
      <c r="BP21" s="31">
        <v>76.547808806000006</v>
      </c>
      <c r="BQ21" s="31">
        <v>121.789250333</v>
      </c>
      <c r="BR21" s="31">
        <v>62.650426850000002</v>
      </c>
      <c r="BS21" s="31">
        <v>133.44777807700001</v>
      </c>
      <c r="BT21" s="31">
        <v>170.344124131</v>
      </c>
      <c r="BU21" s="31">
        <v>50.040977623000003</v>
      </c>
      <c r="BV21" s="31">
        <v>41.570549773000003</v>
      </c>
      <c r="BW21" s="31">
        <v>115.263272071</v>
      </c>
      <c r="BX21" s="31">
        <v>79.687475098999997</v>
      </c>
      <c r="BY21" s="31">
        <v>63.512838217999999</v>
      </c>
      <c r="BZ21" s="31">
        <v>15.278369</v>
      </c>
      <c r="CA21" s="31">
        <v>95.675924964999993</v>
      </c>
      <c r="CB21" s="31">
        <v>250.80738679300001</v>
      </c>
      <c r="CC21" s="31">
        <v>0</v>
      </c>
      <c r="CD21" s="31">
        <v>74.649025750000007</v>
      </c>
      <c r="CE21" s="31">
        <v>6.1956237500000002</v>
      </c>
      <c r="CF21" s="31">
        <v>60.894625167000001</v>
      </c>
      <c r="CG21" s="31">
        <v>130.093346881</v>
      </c>
      <c r="CH21" s="31">
        <v>279.92838948100001</v>
      </c>
      <c r="CI21" s="31">
        <v>32.090283749999998</v>
      </c>
      <c r="CJ21" s="31">
        <v>57.016395455000001</v>
      </c>
      <c r="CK21" s="31">
        <v>189.67097529899999</v>
      </c>
      <c r="CL21" s="31">
        <v>117.246429439</v>
      </c>
      <c r="CM21" s="31">
        <v>86.501041215000001</v>
      </c>
      <c r="CN21" s="31">
        <v>106.79261370899999</v>
      </c>
      <c r="CO21" s="31">
        <v>182.6838755</v>
      </c>
      <c r="CP21" s="31">
        <v>206.27011881000001</v>
      </c>
      <c r="CQ21" s="31">
        <v>73.543631000000005</v>
      </c>
      <c r="CR21" s="31">
        <v>46.514936456000001</v>
      </c>
      <c r="CS21" s="31">
        <v>210.32521335999999</v>
      </c>
      <c r="CT21" s="31">
        <v>164.959091634</v>
      </c>
      <c r="CU21" s="31">
        <v>77.756486394000007</v>
      </c>
      <c r="CV21" s="31">
        <v>183.18752504899999</v>
      </c>
      <c r="CW21" s="31">
        <v>126.2488007</v>
      </c>
      <c r="CX21" s="31">
        <v>36.388655249999999</v>
      </c>
      <c r="CY21" s="31">
        <v>6.1956237500000002</v>
      </c>
      <c r="CZ21" s="31">
        <v>88.232725638999995</v>
      </c>
      <c r="DA21" s="31">
        <v>301.37553199899997</v>
      </c>
      <c r="DB21" s="31">
        <v>106.711623823</v>
      </c>
      <c r="DC21" s="31">
        <v>213.164845657</v>
      </c>
      <c r="DD21" s="31">
        <v>81.162795700000004</v>
      </c>
      <c r="DE21" s="31">
        <v>225.389366456</v>
      </c>
      <c r="DF21" s="31">
        <v>126.70310101</v>
      </c>
      <c r="DG21" s="31">
        <v>127.330834704</v>
      </c>
    </row>
    <row r="22" spans="1:111" x14ac:dyDescent="0.25">
      <c r="A22" s="5">
        <v>17</v>
      </c>
      <c r="B22" s="31">
        <v>255.90955306000001</v>
      </c>
      <c r="C22" s="31">
        <v>42.608963000000003</v>
      </c>
      <c r="D22" s="31">
        <v>129.62454893099999</v>
      </c>
      <c r="E22" s="31">
        <v>149.771090206</v>
      </c>
      <c r="F22" s="31">
        <v>154.287374572</v>
      </c>
      <c r="G22" s="31">
        <v>55.471630701999999</v>
      </c>
      <c r="H22" s="31">
        <v>92.089341308000002</v>
      </c>
      <c r="I22" s="31">
        <v>180.87758138199999</v>
      </c>
      <c r="J22" s="31">
        <v>18.352213875</v>
      </c>
      <c r="K22" s="31">
        <v>56.100007060999999</v>
      </c>
      <c r="L22" s="31">
        <v>65.476984634000004</v>
      </c>
      <c r="M22" s="31">
        <v>67.651841809000004</v>
      </c>
      <c r="N22" s="31">
        <v>71.154288280000003</v>
      </c>
      <c r="O22" s="31">
        <v>216.51199377099999</v>
      </c>
      <c r="P22" s="31">
        <v>58.929987699999998</v>
      </c>
      <c r="Q22" s="31">
        <v>57.036121053999999</v>
      </c>
      <c r="R22" s="31">
        <v>18.352213875</v>
      </c>
      <c r="S22" s="31">
        <v>111.83557856</v>
      </c>
      <c r="T22" s="31">
        <v>74.703972053000001</v>
      </c>
      <c r="U22" s="31">
        <v>134.89846500799999</v>
      </c>
      <c r="V22" s="31">
        <v>0</v>
      </c>
      <c r="W22" s="31">
        <v>331.44234436199997</v>
      </c>
      <c r="X22" s="31">
        <v>92.089341308000002</v>
      </c>
      <c r="Y22" s="31">
        <v>198.63522939699999</v>
      </c>
      <c r="Z22" s="31">
        <v>36.536880928999999</v>
      </c>
      <c r="AA22" s="31">
        <v>109.540017814</v>
      </c>
      <c r="AB22" s="31">
        <v>168.134494762</v>
      </c>
      <c r="AC22" s="31">
        <v>236.50516422600001</v>
      </c>
      <c r="AD22" s="31">
        <v>77.161861833000003</v>
      </c>
      <c r="AE22" s="31">
        <v>71.154288280000003</v>
      </c>
      <c r="AF22" s="31">
        <v>71.154288280000003</v>
      </c>
      <c r="AG22" s="31">
        <v>63.331512189999998</v>
      </c>
      <c r="AH22" s="31">
        <v>90.208550360000004</v>
      </c>
      <c r="AI22" s="31">
        <v>42.718423754</v>
      </c>
      <c r="AJ22" s="31">
        <v>134.933047096</v>
      </c>
      <c r="AK22" s="31">
        <v>48.572866451000003</v>
      </c>
      <c r="AL22" s="31">
        <v>36.536880928999999</v>
      </c>
      <c r="AM22" s="31">
        <v>385.93613583899997</v>
      </c>
      <c r="AN22" s="31">
        <v>89.553965327</v>
      </c>
      <c r="AO22" s="31">
        <v>41.045725840999999</v>
      </c>
      <c r="AP22" s="31">
        <v>118.03376557</v>
      </c>
      <c r="AQ22" s="31">
        <v>59.194498199999998</v>
      </c>
      <c r="AR22" s="31">
        <v>47.47243323</v>
      </c>
      <c r="AS22" s="31">
        <v>140.40356644600001</v>
      </c>
      <c r="AT22" s="31">
        <v>62.710995230000002</v>
      </c>
      <c r="AU22" s="31">
        <v>224.84890027599999</v>
      </c>
      <c r="AV22" s="31">
        <v>65.296482561999994</v>
      </c>
      <c r="AW22" s="31">
        <v>79.232208670000006</v>
      </c>
      <c r="AX22" s="31">
        <v>92.089341308000002</v>
      </c>
      <c r="AY22" s="31">
        <v>217.84545075</v>
      </c>
      <c r="AZ22" s="31">
        <v>92.230281988000002</v>
      </c>
      <c r="BA22" s="31">
        <v>41.045725840999999</v>
      </c>
      <c r="BB22" s="31">
        <v>87.531673615000003</v>
      </c>
      <c r="BC22" s="31">
        <v>50.404013954</v>
      </c>
      <c r="BD22" s="31">
        <v>45.227470623999999</v>
      </c>
      <c r="BE22" s="31">
        <v>78.223919221000003</v>
      </c>
      <c r="BF22" s="31">
        <v>71.154288280000003</v>
      </c>
      <c r="BG22" s="31">
        <v>15.0854815</v>
      </c>
      <c r="BH22" s="31">
        <v>80.138123699999994</v>
      </c>
      <c r="BI22" s="31">
        <v>243.663551149</v>
      </c>
      <c r="BJ22" s="31">
        <v>100.759252383</v>
      </c>
      <c r="BK22" s="31">
        <v>130.018267235</v>
      </c>
      <c r="BL22" s="31">
        <v>92.089341308000002</v>
      </c>
      <c r="BM22" s="31">
        <v>144.25308956800001</v>
      </c>
      <c r="BN22" s="31">
        <v>71.154288280000003</v>
      </c>
      <c r="BO22" s="31">
        <v>71.154288280000003</v>
      </c>
      <c r="BP22" s="31">
        <v>75.581400656</v>
      </c>
      <c r="BQ22" s="31">
        <v>120.25167366700001</v>
      </c>
      <c r="BR22" s="31">
        <v>61.859471671000001</v>
      </c>
      <c r="BS22" s="31">
        <v>131.763013532</v>
      </c>
      <c r="BT22" s="31">
        <v>168.193547086</v>
      </c>
      <c r="BU22" s="31">
        <v>49.409215406999998</v>
      </c>
      <c r="BV22" s="31">
        <v>41.045725840999999</v>
      </c>
      <c r="BW22" s="31">
        <v>113.80808507</v>
      </c>
      <c r="BX22" s="31">
        <v>78.681428890000007</v>
      </c>
      <c r="BY22" s="31">
        <v>62.710995230000002</v>
      </c>
      <c r="BZ22" s="31">
        <v>15.0854815</v>
      </c>
      <c r="CA22" s="31">
        <v>94.468026238999997</v>
      </c>
      <c r="CB22" s="31">
        <v>247.640969071</v>
      </c>
      <c r="CC22" s="31">
        <v>0</v>
      </c>
      <c r="CD22" s="31">
        <v>73.706589437000005</v>
      </c>
      <c r="CE22" s="31">
        <v>6.1174046249999998</v>
      </c>
      <c r="CF22" s="31">
        <v>60.125836833000001</v>
      </c>
      <c r="CG22" s="31">
        <v>128.45093186400001</v>
      </c>
      <c r="CH22" s="31">
        <v>276.39432224400002</v>
      </c>
      <c r="CI22" s="31">
        <v>31.68514725</v>
      </c>
      <c r="CJ22" s="31">
        <v>56.296569318000003</v>
      </c>
      <c r="CK22" s="31">
        <v>187.276398642</v>
      </c>
      <c r="CL22" s="31">
        <v>115.76620532699999</v>
      </c>
      <c r="CM22" s="31">
        <v>85.408974459000007</v>
      </c>
      <c r="CN22" s="31">
        <v>105.44436792899999</v>
      </c>
      <c r="CO22" s="31">
        <v>180.3775105</v>
      </c>
      <c r="CP22" s="31">
        <v>203.66597983</v>
      </c>
      <c r="CQ22" s="31">
        <v>72.615150249999999</v>
      </c>
      <c r="CR22" s="31">
        <v>45.927690163999998</v>
      </c>
      <c r="CS22" s="31">
        <v>207.66987895599999</v>
      </c>
      <c r="CT22" s="31">
        <v>162.876499978</v>
      </c>
      <c r="CU22" s="31">
        <v>76.774818738999997</v>
      </c>
      <c r="CV22" s="31">
        <v>180.87480119700001</v>
      </c>
      <c r="CW22" s="31">
        <v>124.65492250600001</v>
      </c>
      <c r="CX22" s="31">
        <v>35.929252249999998</v>
      </c>
      <c r="CY22" s="31">
        <v>6.1174046249999998</v>
      </c>
      <c r="CZ22" s="31">
        <v>87.118796496000002</v>
      </c>
      <c r="DA22" s="31">
        <v>297.570696908</v>
      </c>
      <c r="DB22" s="31">
        <v>105.364400659</v>
      </c>
      <c r="DC22" s="31">
        <v>210.47366140700001</v>
      </c>
      <c r="DD22" s="31">
        <v>80.138123699999994</v>
      </c>
      <c r="DE22" s="31">
        <v>222.54384874199999</v>
      </c>
      <c r="DF22" s="31">
        <v>125.103487374</v>
      </c>
      <c r="DG22" s="31">
        <v>125.723295943</v>
      </c>
    </row>
    <row r="23" spans="1:111" x14ac:dyDescent="0.25">
      <c r="A23" s="5">
        <v>18</v>
      </c>
      <c r="B23" s="31">
        <v>250.177078091</v>
      </c>
      <c r="C23" s="31">
        <v>41.654505</v>
      </c>
      <c r="D23" s="31">
        <v>126.72090788600001</v>
      </c>
      <c r="E23" s="31">
        <v>146.41615868900001</v>
      </c>
      <c r="F23" s="31">
        <v>150.831276503</v>
      </c>
      <c r="G23" s="31">
        <v>54.229044264999999</v>
      </c>
      <c r="H23" s="31">
        <v>90.026503731000005</v>
      </c>
      <c r="I23" s="31">
        <v>176.82585219800001</v>
      </c>
      <c r="J23" s="31">
        <v>17.941117125000002</v>
      </c>
      <c r="K23" s="31">
        <v>54.843344766999998</v>
      </c>
      <c r="L23" s="31">
        <v>64.010274430999999</v>
      </c>
      <c r="M23" s="31">
        <v>66.136413895999993</v>
      </c>
      <c r="N23" s="31">
        <v>69.560404147</v>
      </c>
      <c r="O23" s="31">
        <v>211.66203976</v>
      </c>
      <c r="P23" s="31">
        <v>57.609932700000002</v>
      </c>
      <c r="Q23" s="31">
        <v>55.758489513999997</v>
      </c>
      <c r="R23" s="31">
        <v>17.941117125000002</v>
      </c>
      <c r="S23" s="31">
        <v>109.330417571</v>
      </c>
      <c r="T23" s="31">
        <v>73.030573574000002</v>
      </c>
      <c r="U23" s="31">
        <v>131.876686162</v>
      </c>
      <c r="V23" s="31">
        <v>0</v>
      </c>
      <c r="W23" s="31">
        <v>324.01790544699998</v>
      </c>
      <c r="X23" s="31">
        <v>90.026503731000005</v>
      </c>
      <c r="Y23" s="31">
        <v>194.18572189099999</v>
      </c>
      <c r="Z23" s="31">
        <v>35.718440428999997</v>
      </c>
      <c r="AA23" s="31">
        <v>107.086278286</v>
      </c>
      <c r="AB23" s="31">
        <v>164.36821567199999</v>
      </c>
      <c r="AC23" s="31">
        <v>231.20735542899999</v>
      </c>
      <c r="AD23" s="31">
        <v>75.433405750000006</v>
      </c>
      <c r="AE23" s="31">
        <v>69.560404147</v>
      </c>
      <c r="AF23" s="31">
        <v>69.560404147</v>
      </c>
      <c r="AG23" s="31">
        <v>61.912861304000003</v>
      </c>
      <c r="AH23" s="31">
        <v>88.187843314000006</v>
      </c>
      <c r="AI23" s="31">
        <v>41.761514206000001</v>
      </c>
      <c r="AJ23" s="31">
        <v>131.91049371400001</v>
      </c>
      <c r="AK23" s="31">
        <v>47.484815077</v>
      </c>
      <c r="AL23" s="31">
        <v>35.718440428999997</v>
      </c>
      <c r="AM23" s="31">
        <v>377.29101413400002</v>
      </c>
      <c r="AN23" s="31">
        <v>87.547921168000002</v>
      </c>
      <c r="AO23" s="31">
        <v>40.126285385999999</v>
      </c>
      <c r="AP23" s="31">
        <v>115.38976269200001</v>
      </c>
      <c r="AQ23" s="31">
        <v>57.868518084000002</v>
      </c>
      <c r="AR23" s="31">
        <v>46.409032064000002</v>
      </c>
      <c r="AS23" s="31">
        <v>137.25847115600001</v>
      </c>
      <c r="AT23" s="31">
        <v>61.306244169000003</v>
      </c>
      <c r="AU23" s="31">
        <v>219.81219620100001</v>
      </c>
      <c r="AV23" s="31">
        <v>63.833815563999998</v>
      </c>
      <c r="AW23" s="31">
        <v>77.457375999999996</v>
      </c>
      <c r="AX23" s="31">
        <v>90.026503731000005</v>
      </c>
      <c r="AY23" s="31">
        <v>212.96562675000001</v>
      </c>
      <c r="AZ23" s="31">
        <v>90.164287279999996</v>
      </c>
      <c r="BA23" s="31">
        <v>40.126285385999999</v>
      </c>
      <c r="BB23" s="31">
        <v>85.570929555000006</v>
      </c>
      <c r="BC23" s="31">
        <v>49.274944222000002</v>
      </c>
      <c r="BD23" s="31">
        <v>44.214357436</v>
      </c>
      <c r="BE23" s="31">
        <v>76.471672534999996</v>
      </c>
      <c r="BF23" s="31">
        <v>69.560404147</v>
      </c>
      <c r="BG23" s="31">
        <v>14.747560500000001</v>
      </c>
      <c r="BH23" s="31">
        <v>78.342998199999997</v>
      </c>
      <c r="BI23" s="31">
        <v>238.20539147100001</v>
      </c>
      <c r="BJ23" s="31">
        <v>98.502205461000003</v>
      </c>
      <c r="BK23" s="31">
        <v>127.105806857</v>
      </c>
      <c r="BL23" s="31">
        <v>90.026503731000005</v>
      </c>
      <c r="BM23" s="31">
        <v>141.021763521</v>
      </c>
      <c r="BN23" s="31">
        <v>69.560404147</v>
      </c>
      <c r="BO23" s="31">
        <v>69.560404147</v>
      </c>
      <c r="BP23" s="31">
        <v>73.888347568</v>
      </c>
      <c r="BQ23" s="31">
        <v>117.557988667</v>
      </c>
      <c r="BR23" s="31">
        <v>60.473795181</v>
      </c>
      <c r="BS23" s="31">
        <v>128.811470036</v>
      </c>
      <c r="BT23" s="31">
        <v>164.42594527399999</v>
      </c>
      <c r="BU23" s="31">
        <v>48.302429486999998</v>
      </c>
      <c r="BV23" s="31">
        <v>40.126285385999999</v>
      </c>
      <c r="BW23" s="31">
        <v>111.258739058</v>
      </c>
      <c r="BX23" s="31">
        <v>76.918933836999997</v>
      </c>
      <c r="BY23" s="31">
        <v>61.306244169000003</v>
      </c>
      <c r="BZ23" s="31">
        <v>14.747560500000001</v>
      </c>
      <c r="CA23" s="31">
        <v>92.351905256999999</v>
      </c>
      <c r="CB23" s="31">
        <v>242.093713869</v>
      </c>
      <c r="CC23" s="31">
        <v>0</v>
      </c>
      <c r="CD23" s="31">
        <v>72.055532749999998</v>
      </c>
      <c r="CE23" s="31">
        <v>5.980372375</v>
      </c>
      <c r="CF23" s="31">
        <v>58.778994333</v>
      </c>
      <c r="CG23" s="31">
        <v>125.57358049299999</v>
      </c>
      <c r="CH23" s="31">
        <v>270.20298036600002</v>
      </c>
      <c r="CI23" s="31">
        <v>30.975387437999998</v>
      </c>
      <c r="CJ23" s="31">
        <v>55.035504000000003</v>
      </c>
      <c r="CK23" s="31">
        <v>183.08133341499999</v>
      </c>
      <c r="CL23" s="31">
        <v>113.17299665500001</v>
      </c>
      <c r="CM23" s="31">
        <v>83.495779776999996</v>
      </c>
      <c r="CN23" s="31">
        <v>103.08237257099999</v>
      </c>
      <c r="CO23" s="31">
        <v>176.336983</v>
      </c>
      <c r="CP23" s="31">
        <v>199.103781795</v>
      </c>
      <c r="CQ23" s="31">
        <v>70.988542249999995</v>
      </c>
      <c r="CR23" s="31">
        <v>44.898891806999998</v>
      </c>
      <c r="CS23" s="31">
        <v>203.01799190899999</v>
      </c>
      <c r="CT23" s="31">
        <v>159.22800204699999</v>
      </c>
      <c r="CU23" s="31">
        <v>75.055032570999998</v>
      </c>
      <c r="CV23" s="31">
        <v>176.82313444100001</v>
      </c>
      <c r="CW23" s="31">
        <v>121.862603007</v>
      </c>
      <c r="CX23" s="31">
        <v>35.124422875</v>
      </c>
      <c r="CY23" s="31">
        <v>5.980372375</v>
      </c>
      <c r="CZ23" s="31">
        <v>85.167301179000006</v>
      </c>
      <c r="DA23" s="31">
        <v>290.90499589799998</v>
      </c>
      <c r="DB23" s="31">
        <v>103.004196548</v>
      </c>
      <c r="DC23" s="31">
        <v>205.75896835399999</v>
      </c>
      <c r="DD23" s="31">
        <v>78.342998199999997</v>
      </c>
      <c r="DE23" s="31">
        <v>217.55877897400001</v>
      </c>
      <c r="DF23" s="31">
        <v>122.30112</v>
      </c>
      <c r="DG23" s="31">
        <v>122.907044505</v>
      </c>
    </row>
    <row r="24" spans="1:111" x14ac:dyDescent="0.25">
      <c r="A24" s="5">
        <v>19</v>
      </c>
      <c r="B24" s="31">
        <v>258.30725503399998</v>
      </c>
      <c r="C24" s="31">
        <v>43.008180000000003</v>
      </c>
      <c r="D24" s="31">
        <v>130.839044573</v>
      </c>
      <c r="E24" s="31">
        <v>151.17434557000001</v>
      </c>
      <c r="F24" s="31">
        <v>155.73294451199999</v>
      </c>
      <c r="G24" s="31">
        <v>55.991362866999999</v>
      </c>
      <c r="H24" s="31">
        <v>92.952157076999995</v>
      </c>
      <c r="I24" s="31">
        <v>182.572283801</v>
      </c>
      <c r="J24" s="31">
        <v>18.524161875000001</v>
      </c>
      <c r="K24" s="31">
        <v>56.625626763</v>
      </c>
      <c r="L24" s="31">
        <v>66.090460324999995</v>
      </c>
      <c r="M24" s="31">
        <v>68.285694480000004</v>
      </c>
      <c r="N24" s="31">
        <v>71.820956570999996</v>
      </c>
      <c r="O24" s="31">
        <v>218.540566848</v>
      </c>
      <c r="P24" s="31">
        <v>59.482122400000002</v>
      </c>
      <c r="Q24" s="31">
        <v>57.57051148</v>
      </c>
      <c r="R24" s="31">
        <v>18.524161875000001</v>
      </c>
      <c r="S24" s="31">
        <v>112.88340344</v>
      </c>
      <c r="T24" s="31">
        <v>75.403898471000005</v>
      </c>
      <c r="U24" s="31">
        <v>136.162373729</v>
      </c>
      <c r="V24" s="31">
        <v>0</v>
      </c>
      <c r="W24" s="31">
        <v>334.54773860699999</v>
      </c>
      <c r="X24" s="31">
        <v>92.952157076999995</v>
      </c>
      <c r="Y24" s="31">
        <v>200.49630914599999</v>
      </c>
      <c r="Z24" s="31">
        <v>36.879207143000002</v>
      </c>
      <c r="AA24" s="31">
        <v>110.566334832</v>
      </c>
      <c r="AB24" s="31">
        <v>169.70980289400001</v>
      </c>
      <c r="AC24" s="31">
        <v>238.72106011299999</v>
      </c>
      <c r="AD24" s="31">
        <v>77.884817083000002</v>
      </c>
      <c r="AE24" s="31">
        <v>71.820956570999996</v>
      </c>
      <c r="AF24" s="31">
        <v>71.820956570999996</v>
      </c>
      <c r="AG24" s="31">
        <v>63.924886201</v>
      </c>
      <c r="AH24" s="31">
        <v>91.053744402000007</v>
      </c>
      <c r="AI24" s="31">
        <v>43.118666933</v>
      </c>
      <c r="AJ24" s="31">
        <v>136.197279888</v>
      </c>
      <c r="AK24" s="31">
        <v>49.027961859000001</v>
      </c>
      <c r="AL24" s="31">
        <v>36.879207143000002</v>
      </c>
      <c r="AM24" s="31">
        <v>389.55210028400001</v>
      </c>
      <c r="AN24" s="31">
        <v>90.393026336999995</v>
      </c>
      <c r="AO24" s="31">
        <v>41.430296955000003</v>
      </c>
      <c r="AP24" s="31">
        <v>119.13966328399999</v>
      </c>
      <c r="AQ24" s="31">
        <v>59.749111223</v>
      </c>
      <c r="AR24" s="31">
        <v>47.917218261000002</v>
      </c>
      <c r="AS24" s="31">
        <v>141.71905429899999</v>
      </c>
      <c r="AT24" s="31">
        <v>63.298555411000002</v>
      </c>
      <c r="AU24" s="31">
        <v>226.955584655</v>
      </c>
      <c r="AV24" s="31">
        <v>65.908267034000005</v>
      </c>
      <c r="AW24" s="31">
        <v>79.974561699999995</v>
      </c>
      <c r="AX24" s="31">
        <v>92.952157076999995</v>
      </c>
      <c r="AY24" s="31">
        <v>219.88651725</v>
      </c>
      <c r="AZ24" s="31">
        <v>93.094418302999998</v>
      </c>
      <c r="BA24" s="31">
        <v>41.430296955000003</v>
      </c>
      <c r="BB24" s="31">
        <v>88.351786989999994</v>
      </c>
      <c r="BC24" s="31">
        <v>50.876265959000001</v>
      </c>
      <c r="BD24" s="31">
        <v>45.651221901</v>
      </c>
      <c r="BE24" s="31">
        <v>78.956825147999993</v>
      </c>
      <c r="BF24" s="31">
        <v>71.820956570999996</v>
      </c>
      <c r="BG24" s="31">
        <v>15.226822</v>
      </c>
      <c r="BH24" s="31">
        <v>80.888964599999994</v>
      </c>
      <c r="BI24" s="31">
        <v>245.94651627100001</v>
      </c>
      <c r="BJ24" s="31">
        <v>101.703299465</v>
      </c>
      <c r="BK24" s="31">
        <v>131.236451813</v>
      </c>
      <c r="BL24" s="31">
        <v>92.952157076999995</v>
      </c>
      <c r="BM24" s="31">
        <v>145.60464488</v>
      </c>
      <c r="BN24" s="31">
        <v>71.820956570999996</v>
      </c>
      <c r="BO24" s="31">
        <v>71.820956570999996</v>
      </c>
      <c r="BP24" s="31">
        <v>76.289547959000004</v>
      </c>
      <c r="BQ24" s="31">
        <v>121.378351667</v>
      </c>
      <c r="BR24" s="31">
        <v>62.439053678000001</v>
      </c>
      <c r="BS24" s="31">
        <v>132.99754516199999</v>
      </c>
      <c r="BT24" s="31">
        <v>169.76940855500001</v>
      </c>
      <c r="BU24" s="31">
        <v>49.872146848</v>
      </c>
      <c r="BV24" s="31">
        <v>41.430296955000003</v>
      </c>
      <c r="BW24" s="31">
        <v>114.87439102800001</v>
      </c>
      <c r="BX24" s="31">
        <v>79.418621474999995</v>
      </c>
      <c r="BY24" s="31">
        <v>63.298555411000002</v>
      </c>
      <c r="BZ24" s="31">
        <v>15.226822</v>
      </c>
      <c r="CA24" s="31">
        <v>95.353128733999995</v>
      </c>
      <c r="CB24" s="31">
        <v>249.96120000400001</v>
      </c>
      <c r="CC24" s="31">
        <v>0</v>
      </c>
      <c r="CD24" s="31">
        <v>74.397171063000002</v>
      </c>
      <c r="CE24" s="31">
        <v>6.174720625</v>
      </c>
      <c r="CF24" s="31">
        <v>60.689175833</v>
      </c>
      <c r="CG24" s="31">
        <v>129.654431405</v>
      </c>
      <c r="CH24" s="31">
        <v>278.98395295699999</v>
      </c>
      <c r="CI24" s="31">
        <v>31.982015938</v>
      </c>
      <c r="CJ24" s="31">
        <v>56.824030682</v>
      </c>
      <c r="CK24" s="31">
        <v>189.03105369599999</v>
      </c>
      <c r="CL24" s="31">
        <v>116.850857537</v>
      </c>
      <c r="CM24" s="31">
        <v>86.209199627999993</v>
      </c>
      <c r="CN24" s="31">
        <v>106.43231143600001</v>
      </c>
      <c r="CO24" s="31">
        <v>182.06752750000001</v>
      </c>
      <c r="CP24" s="31">
        <v>205.574194272</v>
      </c>
      <c r="CQ24" s="31">
        <v>73.295505750000004</v>
      </c>
      <c r="CR24" s="31">
        <v>46.358002012</v>
      </c>
      <c r="CS24" s="31">
        <v>209.615607399</v>
      </c>
      <c r="CT24" s="31">
        <v>164.40254420400001</v>
      </c>
      <c r="CU24" s="31">
        <v>77.494147663000007</v>
      </c>
      <c r="CV24" s="31">
        <v>182.569477608</v>
      </c>
      <c r="CW24" s="31">
        <v>125.822856031</v>
      </c>
      <c r="CX24" s="31">
        <v>36.265885375000003</v>
      </c>
      <c r="CY24" s="31">
        <v>6.174720625</v>
      </c>
      <c r="CZ24" s="31">
        <v>87.935041655999996</v>
      </c>
      <c r="DA24" s="31">
        <v>300.35873606799998</v>
      </c>
      <c r="DB24" s="31">
        <v>106.35159486800001</v>
      </c>
      <c r="DC24" s="31">
        <v>212.44565937600001</v>
      </c>
      <c r="DD24" s="31">
        <v>80.888964599999994</v>
      </c>
      <c r="DE24" s="31">
        <v>224.62893653699999</v>
      </c>
      <c r="DF24" s="31">
        <v>126.275623737</v>
      </c>
      <c r="DG24" s="31">
        <v>126.901239444</v>
      </c>
    </row>
    <row r="25" spans="1:111" x14ac:dyDescent="0.25">
      <c r="A25" s="5">
        <v>20</v>
      </c>
      <c r="B25" s="31">
        <v>264.69173888400002</v>
      </c>
      <c r="C25" s="31">
        <v>44.071198000000003</v>
      </c>
      <c r="D25" s="31">
        <v>134.07294432099999</v>
      </c>
      <c r="E25" s="31">
        <v>154.91086526300001</v>
      </c>
      <c r="F25" s="31">
        <v>159.58213738800001</v>
      </c>
      <c r="G25" s="31">
        <v>57.375280504999999</v>
      </c>
      <c r="H25" s="31">
        <v>95.249620730999993</v>
      </c>
      <c r="I25" s="31">
        <v>187.08485456299999</v>
      </c>
      <c r="J25" s="31">
        <v>18.982016625</v>
      </c>
      <c r="K25" s="31">
        <v>58.025221176000002</v>
      </c>
      <c r="L25" s="31">
        <v>67.723993518</v>
      </c>
      <c r="M25" s="31">
        <v>69.973486359999995</v>
      </c>
      <c r="N25" s="31">
        <v>73.596128261999993</v>
      </c>
      <c r="O25" s="31">
        <v>223.942152034</v>
      </c>
      <c r="P25" s="31">
        <v>60.952319799999998</v>
      </c>
      <c r="Q25" s="31">
        <v>58.993460282999997</v>
      </c>
      <c r="R25" s="31">
        <v>18.982016625</v>
      </c>
      <c r="S25" s="31">
        <v>115.673500336</v>
      </c>
      <c r="T25" s="31">
        <v>77.267628462999994</v>
      </c>
      <c r="U25" s="31">
        <v>139.527848213</v>
      </c>
      <c r="V25" s="31">
        <v>0</v>
      </c>
      <c r="W25" s="31">
        <v>342.81662958700002</v>
      </c>
      <c r="X25" s="31">
        <v>95.249620730999993</v>
      </c>
      <c r="Y25" s="31">
        <v>205.45190132900001</v>
      </c>
      <c r="Z25" s="31">
        <v>37.790736713999998</v>
      </c>
      <c r="AA25" s="31">
        <v>113.299161498</v>
      </c>
      <c r="AB25" s="31">
        <v>173.90445669799999</v>
      </c>
      <c r="AC25" s="31">
        <v>244.6214391</v>
      </c>
      <c r="AD25" s="31">
        <v>79.809866999999997</v>
      </c>
      <c r="AE25" s="31">
        <v>73.596128261999993</v>
      </c>
      <c r="AF25" s="31">
        <v>73.596128261999993</v>
      </c>
      <c r="AG25" s="31">
        <v>65.504893777000007</v>
      </c>
      <c r="AH25" s="31">
        <v>93.304285682</v>
      </c>
      <c r="AI25" s="31">
        <v>44.184414877999998</v>
      </c>
      <c r="AJ25" s="31">
        <v>139.563617018</v>
      </c>
      <c r="AK25" s="31">
        <v>50.239767634000003</v>
      </c>
      <c r="AL25" s="31">
        <v>37.790736713999998</v>
      </c>
      <c r="AM25" s="31">
        <v>399.18051365100001</v>
      </c>
      <c r="AN25" s="31">
        <v>92.627236921000005</v>
      </c>
      <c r="AO25" s="31">
        <v>42.454314091000001</v>
      </c>
      <c r="AP25" s="31">
        <v>122.084393636</v>
      </c>
      <c r="AQ25" s="31">
        <v>61.225907632999998</v>
      </c>
      <c r="AR25" s="31">
        <v>49.101570289000001</v>
      </c>
      <c r="AS25" s="31">
        <v>145.22187117999999</v>
      </c>
      <c r="AT25" s="31">
        <v>64.863082203000005</v>
      </c>
      <c r="AU25" s="31">
        <v>232.56516084099999</v>
      </c>
      <c r="AV25" s="31">
        <v>67.537297093999996</v>
      </c>
      <c r="AW25" s="31">
        <v>81.951262972999999</v>
      </c>
      <c r="AX25" s="31">
        <v>95.249620730999993</v>
      </c>
      <c r="AY25" s="31">
        <v>225.3213705</v>
      </c>
      <c r="AZ25" s="31">
        <v>95.395398181000004</v>
      </c>
      <c r="BA25" s="31">
        <v>42.454314091000001</v>
      </c>
      <c r="BB25" s="31">
        <v>90.535545165000002</v>
      </c>
      <c r="BC25" s="31">
        <v>52.133755598999997</v>
      </c>
      <c r="BD25" s="31">
        <v>46.779566058999997</v>
      </c>
      <c r="BE25" s="31">
        <v>80.908371553999999</v>
      </c>
      <c r="BF25" s="31">
        <v>73.596128261999993</v>
      </c>
      <c r="BG25" s="31">
        <v>15.603178</v>
      </c>
      <c r="BH25" s="31">
        <v>82.888266799999997</v>
      </c>
      <c r="BI25" s="31">
        <v>252.02548420100001</v>
      </c>
      <c r="BJ25" s="31">
        <v>104.21706190899999</v>
      </c>
      <c r="BK25" s="31">
        <v>134.480174014</v>
      </c>
      <c r="BL25" s="31">
        <v>95.249620730999993</v>
      </c>
      <c r="BM25" s="31">
        <v>149.20350023500001</v>
      </c>
      <c r="BN25" s="31">
        <v>73.596128261999993</v>
      </c>
      <c r="BO25" s="31">
        <v>73.596128261999993</v>
      </c>
      <c r="BP25" s="31">
        <v>78.175168287999995</v>
      </c>
      <c r="BQ25" s="31">
        <v>124.378415</v>
      </c>
      <c r="BR25" s="31">
        <v>63.982336416999999</v>
      </c>
      <c r="BS25" s="31">
        <v>136.28479576300001</v>
      </c>
      <c r="BT25" s="31">
        <v>173.96553544400001</v>
      </c>
      <c r="BU25" s="31">
        <v>51.104818027</v>
      </c>
      <c r="BV25" s="31">
        <v>42.454314091000001</v>
      </c>
      <c r="BW25" s="31">
        <v>117.713698337</v>
      </c>
      <c r="BX25" s="31">
        <v>81.381581804000007</v>
      </c>
      <c r="BY25" s="31">
        <v>64.863082203000005</v>
      </c>
      <c r="BZ25" s="31">
        <v>15.603178</v>
      </c>
      <c r="CA25" s="31">
        <v>97.709936284999998</v>
      </c>
      <c r="CB25" s="31">
        <v>256.13939756899998</v>
      </c>
      <c r="CC25" s="31">
        <v>0</v>
      </c>
      <c r="CD25" s="31">
        <v>76.236018125000001</v>
      </c>
      <c r="CE25" s="31">
        <v>6.3273388749999997</v>
      </c>
      <c r="CF25" s="31">
        <v>62.189207500000002</v>
      </c>
      <c r="CG25" s="31">
        <v>132.85905167300001</v>
      </c>
      <c r="CH25" s="31">
        <v>285.87949485799999</v>
      </c>
      <c r="CI25" s="31">
        <v>32.772503499999999</v>
      </c>
      <c r="CJ25" s="31">
        <v>58.228528955000002</v>
      </c>
      <c r="CK25" s="31">
        <v>193.70326357799999</v>
      </c>
      <c r="CL25" s="31">
        <v>119.739016419</v>
      </c>
      <c r="CM25" s="31">
        <v>88.340000056999997</v>
      </c>
      <c r="CN25" s="31">
        <v>109.062958994</v>
      </c>
      <c r="CO25" s="31">
        <v>186.5676225</v>
      </c>
      <c r="CP25" s="31">
        <v>210.65529475400001</v>
      </c>
      <c r="CQ25" s="31">
        <v>75.1071235</v>
      </c>
      <c r="CR25" s="31">
        <v>47.503815347</v>
      </c>
      <c r="CS25" s="31">
        <v>214.79659802899999</v>
      </c>
      <c r="CT25" s="31">
        <v>168.466020477</v>
      </c>
      <c r="CU25" s="31">
        <v>79.409541470999997</v>
      </c>
      <c r="CV25" s="31">
        <v>187.08197915599999</v>
      </c>
      <c r="CW25" s="31">
        <v>128.93277256299999</v>
      </c>
      <c r="CX25" s="31">
        <v>37.16225575</v>
      </c>
      <c r="CY25" s="31">
        <v>6.3273388749999997</v>
      </c>
      <c r="CZ25" s="31">
        <v>90.108499100000003</v>
      </c>
      <c r="DA25" s="31">
        <v>307.78259045599998</v>
      </c>
      <c r="DB25" s="31">
        <v>108.980247331</v>
      </c>
      <c r="DC25" s="31">
        <v>217.69659917300001</v>
      </c>
      <c r="DD25" s="31">
        <v>82.888266799999997</v>
      </c>
      <c r="DE25" s="31">
        <v>230.18100571299999</v>
      </c>
      <c r="DF25" s="31">
        <v>129.39673101</v>
      </c>
      <c r="DG25" s="31">
        <v>130.037809936</v>
      </c>
    </row>
    <row r="26" spans="1:111" x14ac:dyDescent="0.25">
      <c r="A26" s="5">
        <v>21</v>
      </c>
      <c r="B26" s="31">
        <v>258.89780402399998</v>
      </c>
      <c r="C26" s="31">
        <v>43.106507000000001</v>
      </c>
      <c r="D26" s="31">
        <v>131.138172314</v>
      </c>
      <c r="E26" s="31">
        <v>151.519964292</v>
      </c>
      <c r="F26" s="31">
        <v>156.08898522199999</v>
      </c>
      <c r="G26" s="31">
        <v>56.119371792000003</v>
      </c>
      <c r="H26" s="31">
        <v>93.164666768999993</v>
      </c>
      <c r="I26" s="31">
        <v>182.98968540999999</v>
      </c>
      <c r="J26" s="31">
        <v>18.566512124999999</v>
      </c>
      <c r="K26" s="31">
        <v>56.755085743999999</v>
      </c>
      <c r="L26" s="31">
        <v>66.241558204</v>
      </c>
      <c r="M26" s="31">
        <v>68.441810962999995</v>
      </c>
      <c r="N26" s="31">
        <v>71.985155509999998</v>
      </c>
      <c r="O26" s="31">
        <v>219.04019992299999</v>
      </c>
      <c r="P26" s="31">
        <v>59.618112000000004</v>
      </c>
      <c r="Q26" s="31">
        <v>57.702130811000004</v>
      </c>
      <c r="R26" s="31">
        <v>18.566512124999999</v>
      </c>
      <c r="S26" s="31">
        <v>113.141480469</v>
      </c>
      <c r="T26" s="31">
        <v>75.576288856999994</v>
      </c>
      <c r="U26" s="31">
        <v>136.47367180800001</v>
      </c>
      <c r="V26" s="31">
        <v>0</v>
      </c>
      <c r="W26" s="31">
        <v>335.31259053600002</v>
      </c>
      <c r="X26" s="31">
        <v>93.164666768999993</v>
      </c>
      <c r="Y26" s="31">
        <v>200.95468913799999</v>
      </c>
      <c r="Z26" s="31">
        <v>36.963521428999996</v>
      </c>
      <c r="AA26" s="31">
        <v>110.81911449</v>
      </c>
      <c r="AB26" s="31">
        <v>170.09779793000001</v>
      </c>
      <c r="AC26" s="31">
        <v>239.26683046799999</v>
      </c>
      <c r="AD26" s="31">
        <v>78.062879417000005</v>
      </c>
      <c r="AE26" s="31">
        <v>71.985155509999998</v>
      </c>
      <c r="AF26" s="31">
        <v>71.985155509999998</v>
      </c>
      <c r="AG26" s="31">
        <v>64.071032955000007</v>
      </c>
      <c r="AH26" s="31">
        <v>91.261913863000004</v>
      </c>
      <c r="AI26" s="31">
        <v>43.217245951000002</v>
      </c>
      <c r="AJ26" s="31">
        <v>136.508657685</v>
      </c>
      <c r="AK26" s="31">
        <v>49.140050860999999</v>
      </c>
      <c r="AL26" s="31">
        <v>36.963521428999996</v>
      </c>
      <c r="AM26" s="31">
        <v>390.44270465</v>
      </c>
      <c r="AN26" s="31">
        <v>90.599685225000002</v>
      </c>
      <c r="AO26" s="31">
        <v>41.525015977000002</v>
      </c>
      <c r="AP26" s="31">
        <v>119.412043453</v>
      </c>
      <c r="AQ26" s="31">
        <v>59.885711196000003</v>
      </c>
      <c r="AR26" s="31">
        <v>48.026768003000001</v>
      </c>
      <c r="AS26" s="31">
        <v>142.04305621099999</v>
      </c>
      <c r="AT26" s="31">
        <v>63.443270231</v>
      </c>
      <c r="AU26" s="31">
        <v>227.474456546</v>
      </c>
      <c r="AV26" s="31">
        <v>66.058948244999996</v>
      </c>
      <c r="AW26" s="31">
        <v>80.157401643</v>
      </c>
      <c r="AX26" s="31">
        <v>93.164666768999993</v>
      </c>
      <c r="AY26" s="31">
        <v>220.389228</v>
      </c>
      <c r="AZ26" s="31">
        <v>93.307253184000004</v>
      </c>
      <c r="BA26" s="31">
        <v>41.525015977000002</v>
      </c>
      <c r="BB26" s="31">
        <v>88.553779167000002</v>
      </c>
      <c r="BC26" s="31">
        <v>50.992580717000003</v>
      </c>
      <c r="BD26" s="31">
        <v>45.755590912000002</v>
      </c>
      <c r="BE26" s="31">
        <v>79.137338315999997</v>
      </c>
      <c r="BF26" s="31">
        <v>71.985155509999998</v>
      </c>
      <c r="BG26" s="31">
        <v>15.261634000000001</v>
      </c>
      <c r="BH26" s="31">
        <v>81.073895100000001</v>
      </c>
      <c r="BI26" s="31">
        <v>246.50880573399999</v>
      </c>
      <c r="BJ26" s="31">
        <v>101.93581624399999</v>
      </c>
      <c r="BK26" s="31">
        <v>131.53648803499999</v>
      </c>
      <c r="BL26" s="31">
        <v>93.164666768999993</v>
      </c>
      <c r="BM26" s="31">
        <v>145.937529904</v>
      </c>
      <c r="BN26" s="31">
        <v>71.985155509999998</v>
      </c>
      <c r="BO26" s="31">
        <v>71.985155509999998</v>
      </c>
      <c r="BP26" s="31">
        <v>76.463963348999997</v>
      </c>
      <c r="BQ26" s="31">
        <v>121.65585</v>
      </c>
      <c r="BR26" s="31">
        <v>62.581803606999998</v>
      </c>
      <c r="BS26" s="31">
        <v>133.301607725</v>
      </c>
      <c r="BT26" s="31">
        <v>170.15753988899999</v>
      </c>
      <c r="BU26" s="31">
        <v>49.986165847999999</v>
      </c>
      <c r="BV26" s="31">
        <v>41.525015977000002</v>
      </c>
      <c r="BW26" s="31">
        <v>115.137019849</v>
      </c>
      <c r="BX26" s="31">
        <v>79.600190393999995</v>
      </c>
      <c r="BY26" s="31">
        <v>63.443270231</v>
      </c>
      <c r="BZ26" s="31">
        <v>15.261634000000001</v>
      </c>
      <c r="CA26" s="31">
        <v>95.571127560999997</v>
      </c>
      <c r="CB26" s="31">
        <v>250.53266792599999</v>
      </c>
      <c r="CC26" s="31">
        <v>0</v>
      </c>
      <c r="CD26" s="31">
        <v>74.567259875000005</v>
      </c>
      <c r="CE26" s="31">
        <v>6.1888373750000003</v>
      </c>
      <c r="CF26" s="31">
        <v>60.827925</v>
      </c>
      <c r="CG26" s="31">
        <v>129.950851148</v>
      </c>
      <c r="CH26" s="31">
        <v>279.62177332800002</v>
      </c>
      <c r="CI26" s="31">
        <v>32.055134062999997</v>
      </c>
      <c r="CJ26" s="31">
        <v>56.953943273</v>
      </c>
      <c r="CK26" s="31">
        <v>189.463221573</v>
      </c>
      <c r="CL26" s="31">
        <v>117.11800507300001</v>
      </c>
      <c r="CM26" s="31">
        <v>86.406293282999997</v>
      </c>
      <c r="CN26" s="31">
        <v>106.675639781</v>
      </c>
      <c r="CO26" s="31">
        <v>182.48377500000001</v>
      </c>
      <c r="CP26" s="31">
        <v>206.04418380499999</v>
      </c>
      <c r="CQ26" s="31">
        <v>73.463076000000001</v>
      </c>
      <c r="CR26" s="31">
        <v>46.463986849999998</v>
      </c>
      <c r="CS26" s="31">
        <v>210.094836157</v>
      </c>
      <c r="CT26" s="31">
        <v>164.778405644</v>
      </c>
      <c r="CU26" s="31">
        <v>77.671316817999994</v>
      </c>
      <c r="CV26" s="31">
        <v>182.986872788</v>
      </c>
      <c r="CW26" s="31">
        <v>126.110515569</v>
      </c>
      <c r="CX26" s="31">
        <v>36.348797500000003</v>
      </c>
      <c r="CY26" s="31">
        <v>6.1888373750000003</v>
      </c>
      <c r="CZ26" s="31">
        <v>88.136081083999997</v>
      </c>
      <c r="DA26" s="31">
        <v>301.04542419400002</v>
      </c>
      <c r="DB26" s="31">
        <v>106.594738624</v>
      </c>
      <c r="DC26" s="31">
        <v>212.93135828999999</v>
      </c>
      <c r="DD26" s="31">
        <v>81.073895100000001</v>
      </c>
      <c r="DE26" s="31">
        <v>225.14248918000001</v>
      </c>
      <c r="DF26" s="31">
        <v>126.564318384</v>
      </c>
      <c r="DG26" s="31">
        <v>127.19136447</v>
      </c>
    </row>
    <row r="27" spans="1:111" x14ac:dyDescent="0.25">
      <c r="A27" s="5">
        <v>22</v>
      </c>
      <c r="B27" s="31">
        <v>249.410359414</v>
      </c>
      <c r="C27" s="31">
        <v>41.526846999999997</v>
      </c>
      <c r="D27" s="31">
        <v>126.332545821</v>
      </c>
      <c r="E27" s="31">
        <v>145.96743652200001</v>
      </c>
      <c r="F27" s="31">
        <v>150.36902330800001</v>
      </c>
      <c r="G27" s="31">
        <v>54.062848328999998</v>
      </c>
      <c r="H27" s="31">
        <v>89.750599115</v>
      </c>
      <c r="I27" s="31">
        <v>176.283933244</v>
      </c>
      <c r="J27" s="31">
        <v>17.886132750000002</v>
      </c>
      <c r="K27" s="31">
        <v>54.675266155999999</v>
      </c>
      <c r="L27" s="31">
        <v>63.814101792999999</v>
      </c>
      <c r="M27" s="31">
        <v>65.933725394999996</v>
      </c>
      <c r="N27" s="31">
        <v>69.347222107999997</v>
      </c>
      <c r="O27" s="31">
        <v>211.01335793499999</v>
      </c>
      <c r="P27" s="31">
        <v>57.433375300000002</v>
      </c>
      <c r="Q27" s="31">
        <v>55.587606166</v>
      </c>
      <c r="R27" s="31">
        <v>17.886132750000002</v>
      </c>
      <c r="S27" s="31">
        <v>108.995352169</v>
      </c>
      <c r="T27" s="31">
        <v>72.806756472000004</v>
      </c>
      <c r="U27" s="31">
        <v>131.47252316199999</v>
      </c>
      <c r="V27" s="31">
        <v>0</v>
      </c>
      <c r="W27" s="31">
        <v>323.024886063</v>
      </c>
      <c r="X27" s="31">
        <v>89.750599115</v>
      </c>
      <c r="Y27" s="31">
        <v>193.59060006999999</v>
      </c>
      <c r="Z27" s="31">
        <v>35.608973929000001</v>
      </c>
      <c r="AA27" s="31">
        <v>106.758090509</v>
      </c>
      <c r="AB27" s="31">
        <v>163.86447571900001</v>
      </c>
      <c r="AC27" s="31">
        <v>230.498773253</v>
      </c>
      <c r="AD27" s="31">
        <v>75.202224666999996</v>
      </c>
      <c r="AE27" s="31">
        <v>69.347222107999997</v>
      </c>
      <c r="AF27" s="31">
        <v>69.347222107999997</v>
      </c>
      <c r="AG27" s="31">
        <v>61.723116748000002</v>
      </c>
      <c r="AH27" s="31">
        <v>87.917573652000002</v>
      </c>
      <c r="AI27" s="31">
        <v>41.633527532999999</v>
      </c>
      <c r="AJ27" s="31">
        <v>131.50622705800001</v>
      </c>
      <c r="AK27" s="31">
        <v>47.339288179999997</v>
      </c>
      <c r="AL27" s="31">
        <v>35.608973929000001</v>
      </c>
      <c r="AM27" s="31">
        <v>376.134728731</v>
      </c>
      <c r="AN27" s="31">
        <v>87.279612714999999</v>
      </c>
      <c r="AO27" s="31">
        <v>40.003310204999998</v>
      </c>
      <c r="AP27" s="31">
        <v>115.03612704699999</v>
      </c>
      <c r="AQ27" s="31">
        <v>57.691168212999997</v>
      </c>
      <c r="AR27" s="31">
        <v>46.266802063999997</v>
      </c>
      <c r="AS27" s="31">
        <v>136.83781457800001</v>
      </c>
      <c r="AT27" s="31">
        <v>61.118358714999999</v>
      </c>
      <c r="AU27" s="31">
        <v>219.13853681200001</v>
      </c>
      <c r="AV27" s="31">
        <v>63.638183853000001</v>
      </c>
      <c r="AW27" s="31">
        <v>77.219992047000005</v>
      </c>
      <c r="AX27" s="31">
        <v>89.750599115</v>
      </c>
      <c r="AY27" s="31">
        <v>212.31294975</v>
      </c>
      <c r="AZ27" s="31">
        <v>89.887960440000001</v>
      </c>
      <c r="BA27" s="31">
        <v>40.003310204999998</v>
      </c>
      <c r="BB27" s="31">
        <v>85.308680037000002</v>
      </c>
      <c r="BC27" s="31">
        <v>49.123931030000001</v>
      </c>
      <c r="BD27" s="31">
        <v>44.078853524000003</v>
      </c>
      <c r="BE27" s="31">
        <v>76.237309541000002</v>
      </c>
      <c r="BF27" s="31">
        <v>69.347222107999997</v>
      </c>
      <c r="BG27" s="31">
        <v>14.702363500000001</v>
      </c>
      <c r="BH27" s="31">
        <v>78.102900000000005</v>
      </c>
      <c r="BI27" s="31">
        <v>237.475362378</v>
      </c>
      <c r="BJ27" s="31">
        <v>98.200325328000005</v>
      </c>
      <c r="BK27" s="31">
        <v>126.71626514499999</v>
      </c>
      <c r="BL27" s="31">
        <v>89.750599115</v>
      </c>
      <c r="BM27" s="31">
        <v>140.58957362500001</v>
      </c>
      <c r="BN27" s="31">
        <v>69.347222107999997</v>
      </c>
      <c r="BO27" s="31">
        <v>69.347222107999997</v>
      </c>
      <c r="BP27" s="31">
        <v>73.661901568000005</v>
      </c>
      <c r="BQ27" s="31">
        <v>117.19770833299999</v>
      </c>
      <c r="BR27" s="31">
        <v>60.288460809999997</v>
      </c>
      <c r="BS27" s="31">
        <v>128.41670101700001</v>
      </c>
      <c r="BT27" s="31">
        <v>163.92202836800001</v>
      </c>
      <c r="BU27" s="31">
        <v>48.154396843999997</v>
      </c>
      <c r="BV27" s="31">
        <v>40.003310204999998</v>
      </c>
      <c r="BW27" s="31">
        <v>110.917763971</v>
      </c>
      <c r="BX27" s="31">
        <v>76.683200084000006</v>
      </c>
      <c r="BY27" s="31">
        <v>61.118358714999999</v>
      </c>
      <c r="BZ27" s="31">
        <v>14.702363500000001</v>
      </c>
      <c r="CA27" s="31">
        <v>92.068873976999996</v>
      </c>
      <c r="CB27" s="31">
        <v>241.351768222</v>
      </c>
      <c r="CC27" s="31">
        <v>0</v>
      </c>
      <c r="CD27" s="31">
        <v>71.834703875000002</v>
      </c>
      <c r="CE27" s="31">
        <v>5.9620442499999999</v>
      </c>
      <c r="CF27" s="31">
        <v>58.598854166999999</v>
      </c>
      <c r="CG27" s="31">
        <v>125.188734493</v>
      </c>
      <c r="CH27" s="31">
        <v>269.37488824899998</v>
      </c>
      <c r="CI27" s="31">
        <v>30.880457062000001</v>
      </c>
      <c r="CJ27" s="31">
        <v>54.866836454999998</v>
      </c>
      <c r="CK27" s="31">
        <v>182.52024333099999</v>
      </c>
      <c r="CL27" s="31">
        <v>112.826154883</v>
      </c>
      <c r="CM27" s="31">
        <v>83.239889966000007</v>
      </c>
      <c r="CN27" s="31">
        <v>102.76645558200001</v>
      </c>
      <c r="CO27" s="31">
        <v>175.79656249999999</v>
      </c>
      <c r="CP27" s="31">
        <v>198.49358734399999</v>
      </c>
      <c r="CQ27" s="31">
        <v>70.77098325</v>
      </c>
      <c r="CR27" s="31">
        <v>44.761290015</v>
      </c>
      <c r="CS27" s="31">
        <v>202.39580179500001</v>
      </c>
      <c r="CT27" s="31">
        <v>158.740015328</v>
      </c>
      <c r="CU27" s="31">
        <v>74.825011090999993</v>
      </c>
      <c r="CV27" s="31">
        <v>176.28122381899999</v>
      </c>
      <c r="CW27" s="31">
        <v>121.489130182</v>
      </c>
      <c r="CX27" s="31">
        <v>35.016776874999998</v>
      </c>
      <c r="CY27" s="31">
        <v>5.9620442499999999</v>
      </c>
      <c r="CZ27" s="31">
        <v>84.906288501999995</v>
      </c>
      <c r="DA27" s="31">
        <v>290.01345809899999</v>
      </c>
      <c r="DB27" s="31">
        <v>102.688519017</v>
      </c>
      <c r="DC27" s="31">
        <v>205.12837795300001</v>
      </c>
      <c r="DD27" s="31">
        <v>78.102900000000005</v>
      </c>
      <c r="DE27" s="31">
        <v>216.89202543600001</v>
      </c>
      <c r="DF27" s="31">
        <v>121.926303232</v>
      </c>
      <c r="DG27" s="31">
        <v>122.530370801</v>
      </c>
    </row>
    <row r="28" spans="1:111" x14ac:dyDescent="0.25">
      <c r="A28" s="5">
        <v>23</v>
      </c>
      <c r="B28" s="31">
        <v>235.73535259499999</v>
      </c>
      <c r="C28" s="31">
        <v>39.249957000000002</v>
      </c>
      <c r="D28" s="31">
        <v>119.405814992</v>
      </c>
      <c r="E28" s="31">
        <v>137.964137424</v>
      </c>
      <c r="F28" s="31">
        <v>142.124388084</v>
      </c>
      <c r="G28" s="31">
        <v>51.098617629000003</v>
      </c>
      <c r="H28" s="31">
        <v>84.829632500000002</v>
      </c>
      <c r="I28" s="31">
        <v>166.61840054699999</v>
      </c>
      <c r="J28" s="31">
        <v>16.90544775</v>
      </c>
      <c r="K28" s="31">
        <v>51.677457064000002</v>
      </c>
      <c r="L28" s="31">
        <v>60.315216393999997</v>
      </c>
      <c r="M28" s="31">
        <v>62.318622234000003</v>
      </c>
      <c r="N28" s="31">
        <v>65.544959265000003</v>
      </c>
      <c r="O28" s="31">
        <v>199.443633702</v>
      </c>
      <c r="P28" s="31">
        <v>54.284340899999997</v>
      </c>
      <c r="Q28" s="31">
        <v>52.539774133000002</v>
      </c>
      <c r="R28" s="31">
        <v>16.90544775</v>
      </c>
      <c r="S28" s="31">
        <v>103.01920823899999</v>
      </c>
      <c r="T28" s="31">
        <v>68.814809638</v>
      </c>
      <c r="U28" s="31">
        <v>124.263970739</v>
      </c>
      <c r="V28" s="31">
        <v>0</v>
      </c>
      <c r="W28" s="31">
        <v>305.31364293299998</v>
      </c>
      <c r="X28" s="31">
        <v>84.829632500000002</v>
      </c>
      <c r="Y28" s="31">
        <v>182.97615415600001</v>
      </c>
      <c r="Z28" s="31">
        <v>33.656557214000003</v>
      </c>
      <c r="AA28" s="31">
        <v>100.904614201</v>
      </c>
      <c r="AB28" s="31">
        <v>154.8798937</v>
      </c>
      <c r="AC28" s="31">
        <v>217.860676208</v>
      </c>
      <c r="AD28" s="31">
        <v>71.078935833000003</v>
      </c>
      <c r="AE28" s="31">
        <v>65.544959265000003</v>
      </c>
      <c r="AF28" s="31">
        <v>65.544959265000003</v>
      </c>
      <c r="AG28" s="31">
        <v>58.338878528000002</v>
      </c>
      <c r="AH28" s="31">
        <v>83.097110565999998</v>
      </c>
      <c r="AI28" s="31">
        <v>39.350788440999999</v>
      </c>
      <c r="AJ28" s="31">
        <v>124.29582660200001</v>
      </c>
      <c r="AK28" s="31">
        <v>44.743705964</v>
      </c>
      <c r="AL28" s="31">
        <v>33.656557214000003</v>
      </c>
      <c r="AM28" s="31">
        <v>355.51150770300001</v>
      </c>
      <c r="AN28" s="31">
        <v>82.494128621000002</v>
      </c>
      <c r="AO28" s="31">
        <v>37.809954863999998</v>
      </c>
      <c r="AP28" s="31">
        <v>108.728771533</v>
      </c>
      <c r="AQ28" s="31">
        <v>54.527999182999999</v>
      </c>
      <c r="AR28" s="31">
        <v>43.730023531999997</v>
      </c>
      <c r="AS28" s="31">
        <v>129.33508673700001</v>
      </c>
      <c r="AT28" s="31">
        <v>57.767278984000001</v>
      </c>
      <c r="AU28" s="31">
        <v>207.12331424600001</v>
      </c>
      <c r="AV28" s="31">
        <v>60.148943752999998</v>
      </c>
      <c r="AW28" s="31">
        <v>72.986070366999996</v>
      </c>
      <c r="AX28" s="31">
        <v>84.829632500000002</v>
      </c>
      <c r="AY28" s="31">
        <v>200.67196949999999</v>
      </c>
      <c r="AZ28" s="31">
        <v>84.959462345999995</v>
      </c>
      <c r="BA28" s="31">
        <v>37.809954863999998</v>
      </c>
      <c r="BB28" s="31">
        <v>80.631260771000001</v>
      </c>
      <c r="BC28" s="31">
        <v>46.430498071000002</v>
      </c>
      <c r="BD28" s="31">
        <v>41.662038807999998</v>
      </c>
      <c r="BE28" s="31">
        <v>72.057267601000007</v>
      </c>
      <c r="BF28" s="31">
        <v>65.544959265000003</v>
      </c>
      <c r="BG28" s="31">
        <v>13.8962425</v>
      </c>
      <c r="BH28" s="31">
        <v>73.8205691</v>
      </c>
      <c r="BI28" s="31">
        <v>224.45474366600001</v>
      </c>
      <c r="BJ28" s="31">
        <v>92.816065664999996</v>
      </c>
      <c r="BK28" s="31">
        <v>119.76849516999999</v>
      </c>
      <c r="BL28" s="31">
        <v>84.829632500000002</v>
      </c>
      <c r="BM28" s="31">
        <v>132.88113899800001</v>
      </c>
      <c r="BN28" s="31">
        <v>65.544959265000003</v>
      </c>
      <c r="BO28" s="31">
        <v>65.544959265000003</v>
      </c>
      <c r="BP28" s="31">
        <v>69.623067628000001</v>
      </c>
      <c r="BQ28" s="31">
        <v>110.77183466699999</v>
      </c>
      <c r="BR28" s="31">
        <v>56.982883995999998</v>
      </c>
      <c r="BS28" s="31">
        <v>121.37569732199999</v>
      </c>
      <c r="BT28" s="31">
        <v>154.93429082599999</v>
      </c>
      <c r="BU28" s="31">
        <v>45.514122753000002</v>
      </c>
      <c r="BV28" s="31">
        <v>37.809954863999998</v>
      </c>
      <c r="BW28" s="31">
        <v>104.83621549999999</v>
      </c>
      <c r="BX28" s="31">
        <v>72.478710364999998</v>
      </c>
      <c r="BY28" s="31">
        <v>57.767278984000001</v>
      </c>
      <c r="BZ28" s="31">
        <v>13.8962425</v>
      </c>
      <c r="CA28" s="31">
        <v>87.020797807999998</v>
      </c>
      <c r="CB28" s="31">
        <v>228.11860849499999</v>
      </c>
      <c r="CC28" s="31">
        <v>0</v>
      </c>
      <c r="CD28" s="31">
        <v>67.896054062000005</v>
      </c>
      <c r="CE28" s="31">
        <v>5.6351492500000004</v>
      </c>
      <c r="CF28" s="31">
        <v>55.385917333000002</v>
      </c>
      <c r="CG28" s="31">
        <v>118.324717965</v>
      </c>
      <c r="CH28" s="31">
        <v>254.605239267</v>
      </c>
      <c r="CI28" s="31">
        <v>29.18730175</v>
      </c>
      <c r="CJ28" s="31">
        <v>51.858523681999998</v>
      </c>
      <c r="CK28" s="31">
        <v>172.51277781100001</v>
      </c>
      <c r="CL28" s="31">
        <v>106.63997064599999</v>
      </c>
      <c r="CM28" s="31">
        <v>78.675901089999996</v>
      </c>
      <c r="CN28" s="31">
        <v>97.131838006999999</v>
      </c>
      <c r="CO28" s="31">
        <v>166.15775199999999</v>
      </c>
      <c r="CP28" s="31">
        <v>187.610313977</v>
      </c>
      <c r="CQ28" s="31">
        <v>66.890656500000006</v>
      </c>
      <c r="CR28" s="31">
        <v>42.307057677000003</v>
      </c>
      <c r="CS28" s="31">
        <v>191.29857224899999</v>
      </c>
      <c r="CT28" s="31">
        <v>150.036404121</v>
      </c>
      <c r="CU28" s="31">
        <v>70.722404651000005</v>
      </c>
      <c r="CV28" s="31">
        <v>166.615839518</v>
      </c>
      <c r="CW28" s="31">
        <v>114.827960641</v>
      </c>
      <c r="CX28" s="31">
        <v>33.096829874999997</v>
      </c>
      <c r="CY28" s="31">
        <v>5.6351492500000004</v>
      </c>
      <c r="CZ28" s="31">
        <v>80.250932262000006</v>
      </c>
      <c r="DA28" s="31">
        <v>274.11220997999999</v>
      </c>
      <c r="DB28" s="31">
        <v>97.058174765000004</v>
      </c>
      <c r="DC28" s="31">
        <v>193.881323229</v>
      </c>
      <c r="DD28" s="31">
        <v>73.8205691</v>
      </c>
      <c r="DE28" s="31">
        <v>204.999977605</v>
      </c>
      <c r="DF28" s="31">
        <v>115.24116373699999</v>
      </c>
      <c r="DG28" s="31">
        <v>115.812110741</v>
      </c>
    </row>
    <row r="29" spans="1:111" x14ac:dyDescent="0.25">
      <c r="A29" s="5">
        <v>24</v>
      </c>
      <c r="B29" s="31">
        <v>222.36958651500001</v>
      </c>
      <c r="C29" s="31">
        <v>37.024555999999997</v>
      </c>
      <c r="D29" s="31">
        <v>112.63572228300001</v>
      </c>
      <c r="E29" s="31">
        <v>130.141821642</v>
      </c>
      <c r="F29" s="31">
        <v>134.066193653</v>
      </c>
      <c r="G29" s="31">
        <v>48.201418922999999</v>
      </c>
      <c r="H29" s="31">
        <v>80.019946537999999</v>
      </c>
      <c r="I29" s="31">
        <v>157.17144011100001</v>
      </c>
      <c r="J29" s="31">
        <v>15.946939875</v>
      </c>
      <c r="K29" s="31">
        <v>48.747439194999998</v>
      </c>
      <c r="L29" s="31">
        <v>56.895453212</v>
      </c>
      <c r="M29" s="31">
        <v>58.785269728999999</v>
      </c>
      <c r="N29" s="31">
        <v>61.828679231000002</v>
      </c>
      <c r="O29" s="31">
        <v>188.13554234700001</v>
      </c>
      <c r="P29" s="31">
        <v>51.206517499999997</v>
      </c>
      <c r="Q29" s="31">
        <v>49.5608644</v>
      </c>
      <c r="R29" s="31">
        <v>15.946939875</v>
      </c>
      <c r="S29" s="31">
        <v>97.178206454999994</v>
      </c>
      <c r="T29" s="31">
        <v>64.913135088000004</v>
      </c>
      <c r="U29" s="31">
        <v>117.21842942799999</v>
      </c>
      <c r="V29" s="31">
        <v>0</v>
      </c>
      <c r="W29" s="31">
        <v>288.002914696</v>
      </c>
      <c r="X29" s="31">
        <v>80.019946537999999</v>
      </c>
      <c r="Y29" s="31">
        <v>172.60173882500001</v>
      </c>
      <c r="Z29" s="31">
        <v>31.748291570999999</v>
      </c>
      <c r="AA29" s="31">
        <v>95.183506047999998</v>
      </c>
      <c r="AB29" s="31">
        <v>146.09848541400001</v>
      </c>
      <c r="AC29" s="31">
        <v>205.50837199700001</v>
      </c>
      <c r="AD29" s="31">
        <v>67.048889416999998</v>
      </c>
      <c r="AE29" s="31">
        <v>61.828679231000002</v>
      </c>
      <c r="AF29" s="31">
        <v>61.828679231000002</v>
      </c>
      <c r="AG29" s="31">
        <v>55.031170193999998</v>
      </c>
      <c r="AH29" s="31">
        <v>78.385655490000005</v>
      </c>
      <c r="AI29" s="31">
        <v>37.119670274000001</v>
      </c>
      <c r="AJ29" s="31">
        <v>117.248479237</v>
      </c>
      <c r="AK29" s="31">
        <v>42.206819177</v>
      </c>
      <c r="AL29" s="31">
        <v>31.748291570999999</v>
      </c>
      <c r="AM29" s="31">
        <v>335.354651456</v>
      </c>
      <c r="AN29" s="31">
        <v>77.816861497999994</v>
      </c>
      <c r="AO29" s="31">
        <v>35.666199159000001</v>
      </c>
      <c r="AP29" s="31">
        <v>102.564047903</v>
      </c>
      <c r="AQ29" s="31">
        <v>51.436360757999999</v>
      </c>
      <c r="AR29" s="31">
        <v>41.250610809999998</v>
      </c>
      <c r="AS29" s="31">
        <v>122.002022365</v>
      </c>
      <c r="AT29" s="31">
        <v>54.491979305000001</v>
      </c>
      <c r="AU29" s="31">
        <v>195.37979883200001</v>
      </c>
      <c r="AV29" s="31">
        <v>56.738608012</v>
      </c>
      <c r="AW29" s="31">
        <v>68.847892885999997</v>
      </c>
      <c r="AX29" s="31">
        <v>80.019946537999999</v>
      </c>
      <c r="AY29" s="31">
        <v>189.29423399999999</v>
      </c>
      <c r="AZ29" s="31">
        <v>80.142415282000002</v>
      </c>
      <c r="BA29" s="31">
        <v>35.666199159000001</v>
      </c>
      <c r="BB29" s="31">
        <v>76.059614898000007</v>
      </c>
      <c r="BC29" s="31">
        <v>43.797973190999997</v>
      </c>
      <c r="BD29" s="31">
        <v>39.299876947000001</v>
      </c>
      <c r="BE29" s="31">
        <v>67.971751550999997</v>
      </c>
      <c r="BF29" s="31">
        <v>61.828679231000002</v>
      </c>
      <c r="BG29" s="31">
        <v>13.108351000000001</v>
      </c>
      <c r="BH29" s="31">
        <v>69.635077100000004</v>
      </c>
      <c r="BI29" s="31">
        <v>211.72856770800001</v>
      </c>
      <c r="BJ29" s="31">
        <v>87.553563511999997</v>
      </c>
      <c r="BK29" s="31">
        <v>112.977839265</v>
      </c>
      <c r="BL29" s="31">
        <v>80.019946537999999</v>
      </c>
      <c r="BM29" s="31">
        <v>125.347020165</v>
      </c>
      <c r="BN29" s="31">
        <v>61.828679231000002</v>
      </c>
      <c r="BO29" s="31">
        <v>61.828679231000002</v>
      </c>
      <c r="BP29" s="31">
        <v>65.675566445000001</v>
      </c>
      <c r="BQ29" s="31">
        <v>104.49127300000001</v>
      </c>
      <c r="BR29" s="31">
        <v>53.752058007000002</v>
      </c>
      <c r="BS29" s="31">
        <v>114.49391586500001</v>
      </c>
      <c r="BT29" s="31">
        <v>146.149798172</v>
      </c>
      <c r="BU29" s="31">
        <v>42.933554735000001</v>
      </c>
      <c r="BV29" s="31">
        <v>35.666199159000001</v>
      </c>
      <c r="BW29" s="31">
        <v>98.892192667000003</v>
      </c>
      <c r="BX29" s="31">
        <v>68.369299248999994</v>
      </c>
      <c r="BY29" s="31">
        <v>54.491979305000001</v>
      </c>
      <c r="BZ29" s="31">
        <v>13.108351000000001</v>
      </c>
      <c r="CA29" s="31">
        <v>82.086876798999995</v>
      </c>
      <c r="CB29" s="31">
        <v>215.18469818899999</v>
      </c>
      <c r="CC29" s="31">
        <v>0</v>
      </c>
      <c r="CD29" s="31">
        <v>64.046471187999998</v>
      </c>
      <c r="CE29" s="31">
        <v>5.3156466250000003</v>
      </c>
      <c r="CF29" s="31">
        <v>52.245636500000003</v>
      </c>
      <c r="CG29" s="31">
        <v>111.615921871</v>
      </c>
      <c r="CH29" s="31">
        <v>240.16958505700001</v>
      </c>
      <c r="CI29" s="31">
        <v>27.532434812999998</v>
      </c>
      <c r="CJ29" s="31">
        <v>48.918239681999999</v>
      </c>
      <c r="CK29" s="31">
        <v>162.73161682400001</v>
      </c>
      <c r="CL29" s="31">
        <v>100.593678158</v>
      </c>
      <c r="CM29" s="31">
        <v>74.215120631000005</v>
      </c>
      <c r="CN29" s="31">
        <v>91.624639404000007</v>
      </c>
      <c r="CO29" s="31">
        <v>156.7369095</v>
      </c>
      <c r="CP29" s="31">
        <v>176.97315004699999</v>
      </c>
      <c r="CQ29" s="31">
        <v>63.098078000000001</v>
      </c>
      <c r="CR29" s="31">
        <v>39.908324475000001</v>
      </c>
      <c r="CS29" s="31">
        <v>180.45229104699999</v>
      </c>
      <c r="CT29" s="31">
        <v>141.52961288399999</v>
      </c>
      <c r="CU29" s="31">
        <v>66.712572898999994</v>
      </c>
      <c r="CV29" s="31">
        <v>157.16902438</v>
      </c>
      <c r="CW29" s="31">
        <v>108.31742411499999</v>
      </c>
      <c r="CX29" s="31">
        <v>31.220299874999998</v>
      </c>
      <c r="CY29" s="31">
        <v>5.3156466250000003</v>
      </c>
      <c r="CZ29" s="31">
        <v>75.700850367000001</v>
      </c>
      <c r="DA29" s="31">
        <v>258.57054594900001</v>
      </c>
      <c r="DB29" s="31">
        <v>91.555152750000005</v>
      </c>
      <c r="DC29" s="31">
        <v>182.88860463500001</v>
      </c>
      <c r="DD29" s="31">
        <v>69.635077100000004</v>
      </c>
      <c r="DE29" s="31">
        <v>193.376851738</v>
      </c>
      <c r="DF29" s="31">
        <v>108.707199293</v>
      </c>
      <c r="DG29" s="31">
        <v>109.245774532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
  <sheetViews>
    <sheetView workbookViewId="0">
      <selection activeCell="G23" sqref="G22:G23"/>
    </sheetView>
  </sheetViews>
  <sheetFormatPr defaultRowHeight="15" x14ac:dyDescent="0.25"/>
  <cols>
    <col min="1" max="9" width="16" customWidth="1"/>
  </cols>
  <sheetData>
    <row r="1" spans="1:9" ht="18.75" customHeight="1" x14ac:dyDescent="0.3">
      <c r="A1" s="1" t="s">
        <v>455</v>
      </c>
    </row>
    <row r="2" spans="1:9" x14ac:dyDescent="0.25">
      <c r="A2" s="2" t="s">
        <v>456</v>
      </c>
    </row>
    <row r="4" spans="1:9" x14ac:dyDescent="0.25">
      <c r="A4" s="3" t="s">
        <v>147</v>
      </c>
      <c r="B4" s="3" t="s">
        <v>457</v>
      </c>
      <c r="C4" s="3" t="s">
        <v>458</v>
      </c>
      <c r="D4" s="3" t="s">
        <v>459</v>
      </c>
      <c r="E4" s="3" t="s">
        <v>460</v>
      </c>
      <c r="F4" s="3" t="s">
        <v>461</v>
      </c>
      <c r="G4" s="3" t="s">
        <v>462</v>
      </c>
      <c r="H4" s="3" t="s">
        <v>463</v>
      </c>
      <c r="I4" s="3" t="s">
        <v>464</v>
      </c>
    </row>
    <row r="5" spans="1:9" x14ac:dyDescent="0.25">
      <c r="A5" s="4"/>
      <c r="B5" s="4" t="s">
        <v>177</v>
      </c>
      <c r="C5" s="4" t="s">
        <v>465</v>
      </c>
      <c r="D5" s="4" t="s">
        <v>466</v>
      </c>
      <c r="E5" s="4" t="s">
        <v>467</v>
      </c>
      <c r="F5" s="4" t="s">
        <v>467</v>
      </c>
      <c r="G5" s="4" t="s">
        <v>467</v>
      </c>
      <c r="H5" s="4" t="s">
        <v>454</v>
      </c>
      <c r="I5" s="4" t="s">
        <v>196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
  <sheetViews>
    <sheetView workbookViewId="0">
      <selection activeCell="M23" sqref="M23"/>
    </sheetView>
  </sheetViews>
  <sheetFormatPr defaultRowHeight="15" x14ac:dyDescent="0.25"/>
  <cols>
    <col min="1" max="2" width="16" customWidth="1"/>
  </cols>
  <sheetData>
    <row r="1" spans="1:2" ht="18.75" customHeight="1" x14ac:dyDescent="0.3">
      <c r="A1" s="1" t="s">
        <v>468</v>
      </c>
    </row>
    <row r="2" spans="1:2" x14ac:dyDescent="0.25">
      <c r="A2" s="2" t="s">
        <v>469</v>
      </c>
    </row>
    <row r="4" spans="1:2" x14ac:dyDescent="0.25">
      <c r="A4" s="3" t="s">
        <v>470</v>
      </c>
      <c r="B4" s="3" t="s">
        <v>471</v>
      </c>
    </row>
    <row r="5" spans="1:2" x14ac:dyDescent="0.25">
      <c r="A5" s="4"/>
      <c r="B5"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INSTRUCCIONES</vt:lpstr>
      <vt:lpstr>Config</vt:lpstr>
      <vt:lpstr>Nodos</vt:lpstr>
      <vt:lpstr>Lineas</vt:lpstr>
      <vt:lpstr>Lineas_Cand</vt:lpstr>
      <vt:lpstr>Generadores</vt:lpstr>
      <vt:lpstr>Hidraulicos</vt:lpstr>
      <vt:lpstr>Aportes</vt:lpstr>
      <vt:lpstr>Renovables</vt:lpstr>
      <vt:lpstr>Renov_Perfil</vt:lpstr>
      <vt:lpstr>Demanda</vt:lpstr>
      <vt:lpstr>BESS_Cand</vt:lpstr>
      <vt:lpstr>FACTS_Cand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2026-08-30T23:16:42Z</dcterms:modified>
</cp:coreProperties>
</file>