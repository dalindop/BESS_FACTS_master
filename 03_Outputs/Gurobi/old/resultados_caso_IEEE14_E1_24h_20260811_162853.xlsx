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Gurobi\"/>
    </mc:Choice>
  </mc:AlternateContent>
  <xr:revisionPtr revIDLastSave="0" documentId="13_ncr:1_{828E5DF4-4610-4446-BC5A-77DF1703965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  <sheet name="BESS_operac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 a="1"/>
  <c r="C28" i="3" s="1"/>
  <c r="D28" i="3" a="1"/>
  <c r="D28" i="3" s="1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S28" i="3" a="1"/>
  <c r="S28" i="3" s="1"/>
  <c r="T28" i="3" a="1"/>
  <c r="T28" i="3" s="1"/>
  <c r="U28" i="3" a="1"/>
  <c r="U28" i="3" s="1"/>
  <c r="B28" i="3" a="1"/>
  <c r="B28" i="3" s="1"/>
  <c r="P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Q4" i="2"/>
  <c r="Q28" i="2" s="1"/>
  <c r="P4" i="2"/>
  <c r="O4" i="2"/>
  <c r="O28" i="2" s="1"/>
  <c r="N4" i="2"/>
  <c r="N28" i="2" s="1"/>
  <c r="M4" i="2"/>
  <c r="M28" i="2" s="1"/>
  <c r="L4" i="2"/>
  <c r="F28" i="2"/>
  <c r="E28" i="2"/>
  <c r="D28" i="2"/>
  <c r="C28" i="2"/>
  <c r="B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<sst xmlns="http://schemas.openxmlformats.org/spreadsheetml/2006/main" count="219" uniqueCount="94">
  <si>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</si>
  <si>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</si>
  <si>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</si>
  <si>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</si>
  <si>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</si>
  <si>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</si>
  <si>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</si>
  <si>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</si>
  <si>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</si>
  <si>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</si>
  <si>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gurobi</t>
  </si>
  <si>
    <t>Tiempo total simulacion (s)</t>
  </si>
  <si>
    <t>Costo inversion BESS (USD)</t>
  </si>
  <si>
    <t>Costo inversion FACTS (USD)</t>
  </si>
  <si>
    <t>Despacho termico (MW)</t>
  </si>
  <si>
    <t>hora</t>
  </si>
  <si>
    <t>G1</t>
  </si>
  <si>
    <t>G2</t>
  </si>
  <si>
    <t>G3</t>
  </si>
  <si>
    <t>G4</t>
  </si>
  <si>
    <t>G5</t>
  </si>
  <si>
    <t>u_G1</t>
  </si>
  <si>
    <t>u_G2</t>
  </si>
  <si>
    <t>u_G3</t>
  </si>
  <si>
    <t>u_G4</t>
  </si>
  <si>
    <t>u_G5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</si>
  <si>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</si>
  <si>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</si>
  <si>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</si>
  <si>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</si>
  <si>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</si>
  <si>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</si>
  <si>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</si>
  <si>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</si>
  <si>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</si>
  <si>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</si>
  <si>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</si>
  <si>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</si>
  <si>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</si>
  <si>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</si>
  <si>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</si>
  <si>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</si>
  <si>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</si>
  <si>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</si>
  <si>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</si>
  <si>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</si>
  <si>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</si>
  <si>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</si>
  <si>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</si>
  <si>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</si>
  <si>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</si>
  <si>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</si>
  <si>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</si>
  <si>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</si>
  <si>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</si>
  <si>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</si>
  <si>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</si>
  <si>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</si>
  <si>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</si>
  <si>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</si>
  <si>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</si>
  <si>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</si>
  <si>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</si>
  <si>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</si>
  <si>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</si>
  <si>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</si>
  <si>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</si>
  <si>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</si>
  <si>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BESS</t>
  </si>
  <si>
    <t>0.0 MW</t>
  </si>
  <si>
    <t>0.0 MWh</t>
  </si>
  <si>
    <t>3.0 MW</t>
  </si>
  <si>
    <t>12.0 MWh</t>
  </si>
  <si>
    <t>1.4 MW</t>
  </si>
  <si>
    <t>5.6 MWh</t>
  </si>
  <si>
    <t>BESS en b1</t>
  </si>
  <si>
    <t>carga (MW)</t>
  </si>
  <si>
    <t>descarga (MW)</t>
  </si>
  <si>
    <t>SoC (MWh)</t>
  </si>
  <si>
    <t>BESS en b2</t>
  </si>
  <si>
    <t>BESS en b3</t>
  </si>
  <si>
    <t>BESS en b4</t>
  </si>
  <si>
    <t>BESS en b5</t>
  </si>
  <si>
    <t>BESS en b6</t>
  </si>
  <si>
    <t>BESS en b7</t>
  </si>
  <si>
    <t>BESS en b8</t>
  </si>
  <si>
    <t>BESS en b9</t>
  </si>
  <si>
    <t>BESS en b10</t>
  </si>
  <si>
    <t>BESS en b11</t>
  </si>
  <si>
    <t>BESS en b12</t>
  </si>
  <si>
    <t>BESS en b13</t>
  </si>
  <si>
    <t>BESS en b14</t>
  </si>
  <si>
    <t>Demanda Total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</si>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</sst>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3" fontId="4" fillId="3" borderId="0" xfId="2" applyNumberFormat="1"/>
    <xf numFmtId="0" fontId="4" fillId="3" borderId="0" xfId="2"/>
    <xf numFmtId="44" fontId="4" fillId="3" borderId="0" xfId="2" applyNumberFormat="1"/>
    <xf numFmtId="44" fontId="4" fillId="3" borderId="0" xfId="1" applyFont="1" applyFill="1"/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4" sqref="B4"/>
    </sheetView>
  </sheetViews>
  <sheetFormatPr defaultRowHeight="15" x14ac:dyDescent="0.25"/>
  <cols>
    <col min="1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166995.49</v>
      </c>
    </row>
    <row r="5" spans="1:2" x14ac:dyDescent="0.25">
      <c r="A5" t="s">
        <v>4</v>
      </c>
      <c r="B5">
        <v>5625.6</v>
      </c>
    </row>
    <row r="6" spans="1:2" x14ac:dyDescent="0.25">
      <c r="A6" t="s">
        <v>5</v>
      </c>
      <c r="B6">
        <v>280.94</v>
      </c>
    </row>
    <row r="7" spans="1:2" x14ac:dyDescent="0.25">
      <c r="A7" t="s">
        <v>6</v>
      </c>
      <c r="B7">
        <v>14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27.46</v>
      </c>
    </row>
    <row r="12" spans="1:2" x14ac:dyDescent="0.25">
      <c r="A12" t="s">
        <v>12</v>
      </c>
      <c r="B12">
        <v>57.58</v>
      </c>
    </row>
    <row r="13" spans="1:2" x14ac:dyDescent="0.25">
      <c r="A13" t="s">
        <v>13</v>
      </c>
      <c r="B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tabSelected="1" workbookViewId="0">
      <selection activeCell="D33" sqref="D33"/>
    </sheetView>
  </sheetViews>
  <sheetFormatPr defaultRowHeight="15" x14ac:dyDescent="0.25"/>
  <cols>
    <col min="1" max="11" width="14" customWidth="1"/>
    <col min="12" max="12" width="14.42578125" bestFit="1" customWidth="1"/>
    <col min="13" max="13" width="13.140625" bestFit="1" customWidth="1"/>
    <col min="14" max="15" width="12" bestFit="1" customWidth="1"/>
    <col min="16" max="17" width="6.5703125" bestFit="1" customWidth="1"/>
  </cols>
  <sheetData>
    <row r="1" spans="1:17" ht="17.25" x14ac:dyDescent="0.3">
      <c r="A1" s="1" t="s">
        <v>14</v>
      </c>
    </row>
    <row r="3" spans="1:17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92</v>
      </c>
    </row>
    <row r="4" spans="1:17" x14ac:dyDescent="0.25">
      <c r="A4">
        <v>1</v>
      </c>
      <c r="B4">
        <v>146.74</v>
      </c>
      <c r="C4">
        <v>46.67</v>
      </c>
      <c r="D4">
        <v>8.77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 s="4">
        <f>SUM(B4:F4)</f>
        <v>202.18000000000004</v>
      </c>
      <c r="M4" s="5">
        <f>(0.043029*B4^2+B4*20+B4*0)</f>
        <v>3861.3274330004006</v>
      </c>
      <c r="N4" s="5">
        <f>(0.25*C4^2+C4*20+C4*0)</f>
        <v>1477.9222250000003</v>
      </c>
      <c r="O4" s="5">
        <f>(0.01*D4^2+D4*40+D4*0)</f>
        <v>351.56912899999998</v>
      </c>
      <c r="P4" s="5">
        <f>(0.01*E4^2+E4*40+E4*0)</f>
        <v>0</v>
      </c>
      <c r="Q4" s="5">
        <f>(0.01*F4^2+F4*40+F4*0)</f>
        <v>0</v>
      </c>
    </row>
    <row r="5" spans="1:17" x14ac:dyDescent="0.25">
      <c r="A5">
        <v>2</v>
      </c>
      <c r="B5">
        <v>141.62</v>
      </c>
      <c r="C5">
        <v>46.67</v>
      </c>
      <c r="D5">
        <v>7.52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 s="4">
        <f t="shared" ref="L5:L27" si="0">SUM(B5:F5)</f>
        <v>195.81000000000003</v>
      </c>
      <c r="M5" s="5">
        <f t="shared" ref="M5:M27" si="1">(0.043029*B5^2+B5*20+B5*0)</f>
        <v>3695.3992797076003</v>
      </c>
      <c r="N5" s="5">
        <f t="shared" ref="N5:N27" si="2">(0.25*C5^2+C5*20+C5*0)</f>
        <v>1477.9222250000003</v>
      </c>
      <c r="O5" s="5">
        <f t="shared" ref="O5:Q27" si="3">(0.01*D5^2+D5*40+D5*0)</f>
        <v>301.36550399999993</v>
      </c>
      <c r="P5" s="5">
        <f t="shared" si="3"/>
        <v>0</v>
      </c>
      <c r="Q5" s="5">
        <f t="shared" si="3"/>
        <v>0</v>
      </c>
    </row>
    <row r="6" spans="1:17" x14ac:dyDescent="0.25">
      <c r="A6">
        <v>3</v>
      </c>
      <c r="B6">
        <v>137.75</v>
      </c>
      <c r="C6">
        <v>46.67</v>
      </c>
      <c r="D6">
        <v>6.57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 s="4">
        <f t="shared" si="0"/>
        <v>190.99</v>
      </c>
      <c r="M6" s="5">
        <f t="shared" si="1"/>
        <v>3571.4779643124998</v>
      </c>
      <c r="N6" s="5">
        <f t="shared" si="2"/>
        <v>1477.9222250000003</v>
      </c>
      <c r="O6" s="5">
        <f t="shared" si="3"/>
        <v>263.231649</v>
      </c>
      <c r="P6" s="5">
        <f t="shared" si="3"/>
        <v>0</v>
      </c>
      <c r="Q6" s="5">
        <f t="shared" si="3"/>
        <v>0</v>
      </c>
    </row>
    <row r="7" spans="1:17" x14ac:dyDescent="0.25">
      <c r="A7">
        <v>4</v>
      </c>
      <c r="B7">
        <v>136.07</v>
      </c>
      <c r="C7">
        <v>46.67</v>
      </c>
      <c r="D7">
        <v>6.16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 s="4">
        <f t="shared" si="0"/>
        <v>188.9</v>
      </c>
      <c r="M7" s="5">
        <f t="shared" si="1"/>
        <v>3518.0838670020994</v>
      </c>
      <c r="N7" s="5">
        <f t="shared" si="2"/>
        <v>1477.9222250000003</v>
      </c>
      <c r="O7" s="5">
        <f t="shared" si="3"/>
        <v>246.77945600000001</v>
      </c>
      <c r="P7" s="5">
        <f t="shared" si="3"/>
        <v>0</v>
      </c>
      <c r="Q7" s="5">
        <f t="shared" si="3"/>
        <v>0</v>
      </c>
    </row>
    <row r="8" spans="1:17" x14ac:dyDescent="0.25">
      <c r="A8">
        <v>5</v>
      </c>
      <c r="B8">
        <v>139.83000000000001</v>
      </c>
      <c r="C8">
        <v>46.67</v>
      </c>
      <c r="D8">
        <v>7.08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 s="4">
        <f t="shared" si="0"/>
        <v>193.58</v>
      </c>
      <c r="M8" s="5">
        <f t="shared" si="1"/>
        <v>3637.9214631381005</v>
      </c>
      <c r="N8" s="5">
        <f t="shared" si="2"/>
        <v>1477.9222250000003</v>
      </c>
      <c r="O8" s="5">
        <f t="shared" si="3"/>
        <v>283.70126399999998</v>
      </c>
      <c r="P8" s="5">
        <f t="shared" si="3"/>
        <v>0</v>
      </c>
      <c r="Q8" s="5">
        <f t="shared" si="3"/>
        <v>0</v>
      </c>
    </row>
    <row r="9" spans="1:17" x14ac:dyDescent="0.25">
      <c r="A9">
        <v>6</v>
      </c>
      <c r="B9">
        <v>146.9</v>
      </c>
      <c r="C9">
        <v>46.67</v>
      </c>
      <c r="D9">
        <v>8.8000000000000007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 s="4">
        <f t="shared" si="0"/>
        <v>202.37</v>
      </c>
      <c r="M9" s="5">
        <f t="shared" si="1"/>
        <v>3866.5490386900001</v>
      </c>
      <c r="N9" s="5">
        <f t="shared" si="2"/>
        <v>1477.9222250000003</v>
      </c>
      <c r="O9" s="5">
        <f t="shared" si="3"/>
        <v>352.77440000000001</v>
      </c>
      <c r="P9" s="5">
        <f t="shared" si="3"/>
        <v>0</v>
      </c>
      <c r="Q9" s="5">
        <f t="shared" si="3"/>
        <v>0</v>
      </c>
    </row>
    <row r="10" spans="1:17" x14ac:dyDescent="0.25">
      <c r="A10">
        <v>7</v>
      </c>
      <c r="B10">
        <v>150.72999999999999</v>
      </c>
      <c r="C10">
        <v>46.67</v>
      </c>
      <c r="D10">
        <v>9.0299999999999994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 s="4">
        <f t="shared" si="0"/>
        <v>206.42999999999998</v>
      </c>
      <c r="M10" s="5">
        <f t="shared" si="1"/>
        <v>3992.1987811540998</v>
      </c>
      <c r="N10" s="5">
        <f t="shared" si="2"/>
        <v>1477.9222250000003</v>
      </c>
      <c r="O10" s="5">
        <f t="shared" si="3"/>
        <v>362.01540899999998</v>
      </c>
      <c r="P10" s="5">
        <f t="shared" si="3"/>
        <v>0</v>
      </c>
      <c r="Q10" s="5">
        <f t="shared" si="3"/>
        <v>0</v>
      </c>
    </row>
    <row r="11" spans="1:17" x14ac:dyDescent="0.25">
      <c r="A11">
        <v>8</v>
      </c>
      <c r="B11">
        <v>164.56</v>
      </c>
      <c r="C11">
        <v>46.67</v>
      </c>
      <c r="D11">
        <v>10.26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 s="4">
        <f t="shared" si="0"/>
        <v>221.49</v>
      </c>
      <c r="M11" s="5">
        <f t="shared" si="1"/>
        <v>4456.4250446143997</v>
      </c>
      <c r="N11" s="5">
        <f t="shared" si="2"/>
        <v>1477.9222250000003</v>
      </c>
      <c r="O11" s="5">
        <f t="shared" si="3"/>
        <v>411.452676</v>
      </c>
      <c r="P11" s="5">
        <f t="shared" si="3"/>
        <v>0</v>
      </c>
      <c r="Q11" s="5">
        <f t="shared" si="3"/>
        <v>0</v>
      </c>
    </row>
    <row r="12" spans="1:17" x14ac:dyDescent="0.25">
      <c r="A12">
        <v>9</v>
      </c>
      <c r="B12">
        <v>173.12</v>
      </c>
      <c r="C12">
        <v>46.67</v>
      </c>
      <c r="D12">
        <v>12.62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 s="4">
        <f t="shared" si="0"/>
        <v>232.41000000000003</v>
      </c>
      <c r="M12" s="5">
        <f t="shared" si="1"/>
        <v>4752.0021246976003</v>
      </c>
      <c r="N12" s="5">
        <f t="shared" si="2"/>
        <v>1477.9222250000003</v>
      </c>
      <c r="O12" s="5">
        <f t="shared" si="3"/>
        <v>506.39264399999996</v>
      </c>
      <c r="P12" s="5">
        <f t="shared" si="3"/>
        <v>0</v>
      </c>
      <c r="Q12" s="5">
        <f t="shared" si="3"/>
        <v>0</v>
      </c>
    </row>
    <row r="13" spans="1:17" x14ac:dyDescent="0.25">
      <c r="A13">
        <v>10</v>
      </c>
      <c r="B13">
        <v>177.46</v>
      </c>
      <c r="C13">
        <v>46.67</v>
      </c>
      <c r="D13">
        <v>14.54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 s="4">
        <f t="shared" si="0"/>
        <v>238.67</v>
      </c>
      <c r="M13" s="5">
        <f t="shared" si="1"/>
        <v>4904.2714882964001</v>
      </c>
      <c r="N13" s="5">
        <f t="shared" si="2"/>
        <v>1477.9222250000003</v>
      </c>
      <c r="O13" s="5">
        <f t="shared" si="3"/>
        <v>583.71411599999988</v>
      </c>
      <c r="P13" s="5">
        <f t="shared" si="3"/>
        <v>0</v>
      </c>
      <c r="Q13" s="5">
        <f t="shared" si="3"/>
        <v>0</v>
      </c>
    </row>
    <row r="14" spans="1:17" x14ac:dyDescent="0.25">
      <c r="A14">
        <v>11</v>
      </c>
      <c r="B14">
        <v>181.96</v>
      </c>
      <c r="C14">
        <v>46.67</v>
      </c>
      <c r="D14">
        <v>16.54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 s="4">
        <f t="shared" si="0"/>
        <v>245.17</v>
      </c>
      <c r="M14" s="5">
        <f t="shared" si="1"/>
        <v>5063.8661626064004</v>
      </c>
      <c r="N14" s="5">
        <f t="shared" si="2"/>
        <v>1477.9222250000003</v>
      </c>
      <c r="O14" s="5">
        <f t="shared" si="3"/>
        <v>664.33571599999993</v>
      </c>
      <c r="P14" s="5">
        <f t="shared" si="3"/>
        <v>0</v>
      </c>
      <c r="Q14" s="5">
        <f t="shared" si="3"/>
        <v>0</v>
      </c>
    </row>
    <row r="15" spans="1:17" x14ac:dyDescent="0.25">
      <c r="A15">
        <v>12</v>
      </c>
      <c r="B15">
        <v>185.08</v>
      </c>
      <c r="C15">
        <v>46.67</v>
      </c>
      <c r="D15">
        <v>18.100000000000001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 s="4">
        <f t="shared" si="0"/>
        <v>249.85</v>
      </c>
      <c r="M15" s="5">
        <f t="shared" si="1"/>
        <v>5175.5414587856003</v>
      </c>
      <c r="N15" s="5">
        <f t="shared" si="2"/>
        <v>1477.9222250000003</v>
      </c>
      <c r="O15" s="5">
        <f t="shared" si="3"/>
        <v>727.27610000000004</v>
      </c>
      <c r="P15" s="5">
        <f t="shared" si="3"/>
        <v>0</v>
      </c>
      <c r="Q15" s="5">
        <f t="shared" si="3"/>
        <v>0</v>
      </c>
    </row>
    <row r="16" spans="1:17" x14ac:dyDescent="0.25">
      <c r="A16">
        <v>13</v>
      </c>
      <c r="B16">
        <v>185.46</v>
      </c>
      <c r="C16">
        <v>46.67</v>
      </c>
      <c r="D16">
        <v>18.190000000000001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 s="4">
        <f t="shared" si="0"/>
        <v>250.32</v>
      </c>
      <c r="M16" s="5">
        <f t="shared" si="1"/>
        <v>5189.2001657363999</v>
      </c>
      <c r="N16" s="5">
        <f t="shared" si="2"/>
        <v>1477.9222250000003</v>
      </c>
      <c r="O16" s="5">
        <f t="shared" si="3"/>
        <v>730.90876100000003</v>
      </c>
      <c r="P16" s="5">
        <f t="shared" si="3"/>
        <v>0</v>
      </c>
      <c r="Q16" s="5">
        <f t="shared" si="3"/>
        <v>0</v>
      </c>
    </row>
    <row r="17" spans="1:17" x14ac:dyDescent="0.25">
      <c r="A17">
        <v>14</v>
      </c>
      <c r="B17">
        <v>187.73</v>
      </c>
      <c r="C17">
        <v>46.67</v>
      </c>
      <c r="D17">
        <v>19.059999999999999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 s="4">
        <f t="shared" si="0"/>
        <v>253.45999999999998</v>
      </c>
      <c r="M17" s="5">
        <f t="shared" si="1"/>
        <v>5271.0518087340997</v>
      </c>
      <c r="N17" s="5">
        <f t="shared" si="2"/>
        <v>1477.9222250000003</v>
      </c>
      <c r="O17" s="5">
        <f t="shared" si="3"/>
        <v>766.03283599999997</v>
      </c>
      <c r="P17" s="5">
        <f t="shared" si="3"/>
        <v>0</v>
      </c>
      <c r="Q17" s="5">
        <f t="shared" si="3"/>
        <v>0</v>
      </c>
    </row>
    <row r="18" spans="1:17" x14ac:dyDescent="0.25">
      <c r="A18">
        <v>15</v>
      </c>
      <c r="B18">
        <v>190.85</v>
      </c>
      <c r="C18">
        <v>46.67</v>
      </c>
      <c r="D18">
        <v>20.43</v>
      </c>
      <c r="E18">
        <v>0</v>
      </c>
      <c r="F18">
        <v>0</v>
      </c>
      <c r="G18">
        <v>1</v>
      </c>
      <c r="H18">
        <v>1</v>
      </c>
      <c r="I18">
        <v>1</v>
      </c>
      <c r="J18">
        <v>0</v>
      </c>
      <c r="K18">
        <v>0</v>
      </c>
      <c r="L18" s="4">
        <f t="shared" si="0"/>
        <v>257.95</v>
      </c>
      <c r="M18" s="5">
        <f t="shared" si="1"/>
        <v>5384.2763554525</v>
      </c>
      <c r="N18" s="5">
        <f t="shared" si="2"/>
        <v>1477.9222250000003</v>
      </c>
      <c r="O18" s="5">
        <f t="shared" si="3"/>
        <v>821.37384900000006</v>
      </c>
      <c r="P18" s="5">
        <f t="shared" si="3"/>
        <v>0</v>
      </c>
      <c r="Q18" s="5">
        <f t="shared" si="3"/>
        <v>0</v>
      </c>
    </row>
    <row r="19" spans="1:17" x14ac:dyDescent="0.25">
      <c r="A19">
        <v>16</v>
      </c>
      <c r="B19">
        <v>191.63</v>
      </c>
      <c r="C19">
        <v>46.67</v>
      </c>
      <c r="D19">
        <v>20.77</v>
      </c>
      <c r="E19">
        <v>0</v>
      </c>
      <c r="F19">
        <v>0</v>
      </c>
      <c r="G19">
        <v>1</v>
      </c>
      <c r="H19">
        <v>1</v>
      </c>
      <c r="I19">
        <v>1</v>
      </c>
      <c r="J19">
        <v>0</v>
      </c>
      <c r="K19">
        <v>0</v>
      </c>
      <c r="L19" s="4">
        <f t="shared" si="0"/>
        <v>259.07</v>
      </c>
      <c r="M19" s="5">
        <f t="shared" si="1"/>
        <v>5412.7133863500994</v>
      </c>
      <c r="N19" s="5">
        <f t="shared" si="2"/>
        <v>1477.9222250000003</v>
      </c>
      <c r="O19" s="5">
        <f t="shared" si="3"/>
        <v>835.11392899999998</v>
      </c>
      <c r="P19" s="5">
        <f t="shared" si="3"/>
        <v>0</v>
      </c>
      <c r="Q19" s="5">
        <f t="shared" si="3"/>
        <v>0</v>
      </c>
    </row>
    <row r="20" spans="1:17" x14ac:dyDescent="0.25">
      <c r="A20">
        <v>17</v>
      </c>
      <c r="B20">
        <v>190.96</v>
      </c>
      <c r="C20">
        <v>46.67</v>
      </c>
      <c r="D20">
        <v>20.47</v>
      </c>
      <c r="E20">
        <v>0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 s="4">
        <f t="shared" si="0"/>
        <v>258.10000000000002</v>
      </c>
      <c r="M20" s="5">
        <f t="shared" si="1"/>
        <v>5388.2835347264008</v>
      </c>
      <c r="N20" s="5">
        <f t="shared" si="2"/>
        <v>1477.9222250000003</v>
      </c>
      <c r="O20" s="5">
        <f t="shared" si="3"/>
        <v>822.99020899999994</v>
      </c>
      <c r="P20" s="5">
        <f t="shared" si="3"/>
        <v>0</v>
      </c>
      <c r="Q20" s="5">
        <f t="shared" si="3"/>
        <v>0</v>
      </c>
    </row>
    <row r="21" spans="1:17" x14ac:dyDescent="0.25">
      <c r="A21">
        <v>18</v>
      </c>
      <c r="B21">
        <v>189.1</v>
      </c>
      <c r="C21">
        <v>46.67</v>
      </c>
      <c r="D21">
        <v>19.66</v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0</v>
      </c>
      <c r="L21" s="4">
        <f t="shared" si="0"/>
        <v>255.42999999999998</v>
      </c>
      <c r="M21" s="5">
        <f t="shared" si="1"/>
        <v>5320.6658354900001</v>
      </c>
      <c r="N21" s="5">
        <f t="shared" si="2"/>
        <v>1477.9222250000003</v>
      </c>
      <c r="O21" s="5">
        <f t="shared" si="3"/>
        <v>790.26515599999993</v>
      </c>
      <c r="P21" s="5">
        <f t="shared" si="3"/>
        <v>0</v>
      </c>
      <c r="Q21" s="5">
        <f t="shared" si="3"/>
        <v>0</v>
      </c>
    </row>
    <row r="22" spans="1:17" x14ac:dyDescent="0.25">
      <c r="A22">
        <v>19</v>
      </c>
      <c r="B22">
        <v>195.96</v>
      </c>
      <c r="C22">
        <v>46.67</v>
      </c>
      <c r="D22">
        <v>22.65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 s="4">
        <f t="shared" si="0"/>
        <v>265.27999999999997</v>
      </c>
      <c r="M22" s="5">
        <f t="shared" si="1"/>
        <v>5571.5274381264007</v>
      </c>
      <c r="N22" s="5">
        <f t="shared" si="2"/>
        <v>1477.9222250000003</v>
      </c>
      <c r="O22" s="5">
        <f t="shared" si="3"/>
        <v>911.130225</v>
      </c>
      <c r="P22" s="5">
        <f t="shared" si="3"/>
        <v>0</v>
      </c>
      <c r="Q22" s="5">
        <f t="shared" si="3"/>
        <v>0</v>
      </c>
    </row>
    <row r="23" spans="1:17" x14ac:dyDescent="0.25">
      <c r="A23">
        <v>20</v>
      </c>
      <c r="B23">
        <v>198.45</v>
      </c>
      <c r="C23">
        <v>46.67</v>
      </c>
      <c r="D23">
        <v>23.74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 s="4">
        <f t="shared" si="0"/>
        <v>268.86</v>
      </c>
      <c r="M23" s="5">
        <f t="shared" si="1"/>
        <v>5663.5853971725001</v>
      </c>
      <c r="N23" s="5">
        <f t="shared" si="2"/>
        <v>1477.9222250000003</v>
      </c>
      <c r="O23" s="5">
        <f t="shared" si="3"/>
        <v>955.23587599999996</v>
      </c>
      <c r="P23" s="5">
        <f t="shared" si="3"/>
        <v>0</v>
      </c>
      <c r="Q23" s="5">
        <f t="shared" si="3"/>
        <v>0</v>
      </c>
    </row>
    <row r="24" spans="1:17" x14ac:dyDescent="0.25">
      <c r="A24">
        <v>21</v>
      </c>
      <c r="B24">
        <v>194.97</v>
      </c>
      <c r="C24">
        <v>46.67</v>
      </c>
      <c r="D24">
        <v>22.22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 s="4">
        <f t="shared" si="0"/>
        <v>263.86</v>
      </c>
      <c r="M24" s="5">
        <f t="shared" si="1"/>
        <v>5535.0743244261002</v>
      </c>
      <c r="N24" s="5">
        <f t="shared" si="2"/>
        <v>1477.9222250000003</v>
      </c>
      <c r="O24" s="5">
        <f t="shared" si="3"/>
        <v>893.73728399999993</v>
      </c>
      <c r="P24" s="5">
        <f t="shared" si="3"/>
        <v>0</v>
      </c>
      <c r="Q24" s="5">
        <f t="shared" si="3"/>
        <v>0</v>
      </c>
    </row>
    <row r="25" spans="1:17" x14ac:dyDescent="0.25">
      <c r="A25">
        <v>22</v>
      </c>
      <c r="B25">
        <v>188.31</v>
      </c>
      <c r="C25">
        <v>46.67</v>
      </c>
      <c r="D25">
        <v>19.309999999999999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 s="4">
        <f t="shared" si="0"/>
        <v>254.29000000000002</v>
      </c>
      <c r="M25" s="5">
        <f t="shared" si="1"/>
        <v>5292.0365713269002</v>
      </c>
      <c r="N25" s="5">
        <f t="shared" si="2"/>
        <v>1477.9222250000003</v>
      </c>
      <c r="O25" s="5">
        <f t="shared" si="3"/>
        <v>776.12876099999994</v>
      </c>
      <c r="P25" s="5">
        <f t="shared" si="3"/>
        <v>0</v>
      </c>
      <c r="Q25" s="5">
        <f t="shared" si="3"/>
        <v>0</v>
      </c>
    </row>
    <row r="26" spans="1:17" x14ac:dyDescent="0.25">
      <c r="A26">
        <v>23</v>
      </c>
      <c r="B26">
        <v>178.51</v>
      </c>
      <c r="C26">
        <v>46.67</v>
      </c>
      <c r="D26">
        <v>15.65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 s="4">
        <f t="shared" si="0"/>
        <v>240.83</v>
      </c>
      <c r="M26" s="5">
        <f t="shared" si="1"/>
        <v>4941.3543730828997</v>
      </c>
      <c r="N26" s="5">
        <f t="shared" si="2"/>
        <v>1477.9222250000003</v>
      </c>
      <c r="O26" s="5">
        <f t="shared" si="3"/>
        <v>628.44922499999996</v>
      </c>
      <c r="P26" s="5">
        <f t="shared" si="3"/>
        <v>0</v>
      </c>
      <c r="Q26" s="5">
        <f t="shared" si="3"/>
        <v>0</v>
      </c>
    </row>
    <row r="27" spans="1:17" x14ac:dyDescent="0.25">
      <c r="A27">
        <v>24</v>
      </c>
      <c r="B27">
        <v>171.71</v>
      </c>
      <c r="C27">
        <v>46.67</v>
      </c>
      <c r="D27">
        <v>12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0</v>
      </c>
      <c r="L27" s="4">
        <f t="shared" si="0"/>
        <v>230.38</v>
      </c>
      <c r="M27" s="5">
        <f t="shared" si="1"/>
        <v>4702.8809816989005</v>
      </c>
      <c r="N27" s="5">
        <f t="shared" si="2"/>
        <v>1477.9222250000003</v>
      </c>
      <c r="O27" s="5">
        <f t="shared" si="3"/>
        <v>481.44</v>
      </c>
      <c r="P27" s="5">
        <f t="shared" si="3"/>
        <v>0</v>
      </c>
      <c r="Q27" s="5">
        <f t="shared" si="3"/>
        <v>0</v>
      </c>
    </row>
    <row r="28" spans="1:17" x14ac:dyDescent="0.25">
      <c r="B28" s="3">
        <f>SUM(B4:B27)</f>
        <v>4145.46</v>
      </c>
      <c r="C28" s="3">
        <f t="shared" ref="C28:D28" si="4">SUM(C4:C27)</f>
        <v>1120.08</v>
      </c>
      <c r="D28" s="3">
        <f t="shared" si="4"/>
        <v>360.14000000000004</v>
      </c>
      <c r="E28" s="3">
        <f>SUM(E4:E27)</f>
        <v>0</v>
      </c>
      <c r="F28" s="3">
        <f t="shared" ref="F28" si="5">SUM(F4:F27)</f>
        <v>0</v>
      </c>
      <c r="M28" s="6">
        <f t="shared" ref="M28:Q28" si="6">SUM(M4:M27)</f>
        <v>114167.71427832838</v>
      </c>
      <c r="N28" s="6">
        <f t="shared" si="6"/>
        <v>35470.133400000028</v>
      </c>
      <c r="O28" s="6">
        <f t="shared" si="6"/>
        <v>14467.414174000001</v>
      </c>
      <c r="P28" s="6">
        <f t="shared" si="6"/>
        <v>0</v>
      </c>
      <c r="Q28" s="6">
        <f t="shared" si="6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workbookViewId="0">
      <selection activeCell="G32" sqref="G32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26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94.72</v>
      </c>
      <c r="C4">
        <v>50.08</v>
      </c>
      <c r="D4">
        <v>48.7</v>
      </c>
      <c r="E4">
        <v>41.82</v>
      </c>
      <c r="F4">
        <v>32.01</v>
      </c>
      <c r="G4">
        <v>-13.26</v>
      </c>
      <c r="H4">
        <v>-42.96</v>
      </c>
      <c r="I4">
        <v>22.08</v>
      </c>
      <c r="J4">
        <v>12.67</v>
      </c>
      <c r="K4">
        <v>31.81</v>
      </c>
      <c r="L4">
        <v>4.54</v>
      </c>
      <c r="M4">
        <v>5.71</v>
      </c>
      <c r="N4">
        <v>12.84</v>
      </c>
      <c r="O4">
        <v>0</v>
      </c>
      <c r="P4">
        <v>22.08</v>
      </c>
      <c r="Q4">
        <v>4.95</v>
      </c>
      <c r="R4">
        <v>7.69</v>
      </c>
      <c r="S4">
        <v>-1.83</v>
      </c>
      <c r="T4">
        <v>1.06</v>
      </c>
      <c r="U4">
        <v>3.57</v>
      </c>
    </row>
    <row r="5" spans="1:21" x14ac:dyDescent="0.25">
      <c r="A5">
        <v>2</v>
      </c>
      <c r="B5">
        <v>91.25</v>
      </c>
      <c r="C5">
        <v>48.52</v>
      </c>
      <c r="D5">
        <v>47.73</v>
      </c>
      <c r="E5">
        <v>40.74</v>
      </c>
      <c r="F5">
        <v>31.18</v>
      </c>
      <c r="G5">
        <v>-13.26</v>
      </c>
      <c r="H5">
        <v>-41.81</v>
      </c>
      <c r="I5">
        <v>21.38</v>
      </c>
      <c r="J5">
        <v>12.27</v>
      </c>
      <c r="K5">
        <v>30.83</v>
      </c>
      <c r="L5">
        <v>4.4000000000000004</v>
      </c>
      <c r="M5">
        <v>5.53</v>
      </c>
      <c r="N5">
        <v>12.45</v>
      </c>
      <c r="O5">
        <v>0</v>
      </c>
      <c r="P5">
        <v>21.38</v>
      </c>
      <c r="Q5">
        <v>4.79</v>
      </c>
      <c r="R5">
        <v>7.44</v>
      </c>
      <c r="S5">
        <v>-1.78</v>
      </c>
      <c r="T5">
        <v>1.03</v>
      </c>
      <c r="U5">
        <v>3.46</v>
      </c>
    </row>
    <row r="6" spans="1:21" x14ac:dyDescent="0.25">
      <c r="A6">
        <v>3</v>
      </c>
      <c r="B6">
        <v>88.63</v>
      </c>
      <c r="C6">
        <v>47.34</v>
      </c>
      <c r="D6">
        <v>47.01</v>
      </c>
      <c r="E6">
        <v>39.92</v>
      </c>
      <c r="F6">
        <v>30.57</v>
      </c>
      <c r="G6">
        <v>-13.26</v>
      </c>
      <c r="H6">
        <v>-40.94</v>
      </c>
      <c r="I6">
        <v>20.86</v>
      </c>
      <c r="J6">
        <v>11.97</v>
      </c>
      <c r="K6">
        <v>30.09</v>
      </c>
      <c r="L6">
        <v>4.3</v>
      </c>
      <c r="M6">
        <v>5.4</v>
      </c>
      <c r="N6">
        <v>12.15</v>
      </c>
      <c r="O6">
        <v>0</v>
      </c>
      <c r="P6">
        <v>20.86</v>
      </c>
      <c r="Q6">
        <v>4.67</v>
      </c>
      <c r="R6">
        <v>7.26</v>
      </c>
      <c r="S6">
        <v>-1.74</v>
      </c>
      <c r="T6">
        <v>1</v>
      </c>
      <c r="U6">
        <v>3.38</v>
      </c>
    </row>
    <row r="7" spans="1:21" x14ac:dyDescent="0.25">
      <c r="A7">
        <v>4</v>
      </c>
      <c r="B7">
        <v>87.49</v>
      </c>
      <c r="C7">
        <v>46.83</v>
      </c>
      <c r="D7">
        <v>46.69</v>
      </c>
      <c r="E7">
        <v>39.56</v>
      </c>
      <c r="F7">
        <v>30.3</v>
      </c>
      <c r="G7">
        <v>-13.26</v>
      </c>
      <c r="H7">
        <v>-40.56</v>
      </c>
      <c r="I7">
        <v>20.63</v>
      </c>
      <c r="J7">
        <v>11.84</v>
      </c>
      <c r="K7">
        <v>29.77</v>
      </c>
      <c r="L7">
        <v>4.26</v>
      </c>
      <c r="M7">
        <v>5.34</v>
      </c>
      <c r="N7">
        <v>12.02</v>
      </c>
      <c r="O7">
        <v>0</v>
      </c>
      <c r="P7">
        <v>20.63</v>
      </c>
      <c r="Q7">
        <v>4.6100000000000003</v>
      </c>
      <c r="R7">
        <v>7.18</v>
      </c>
      <c r="S7">
        <v>-1.73</v>
      </c>
      <c r="T7">
        <v>0.99</v>
      </c>
      <c r="U7">
        <v>3.35</v>
      </c>
    </row>
    <row r="8" spans="1:21" x14ac:dyDescent="0.25">
      <c r="A8">
        <v>5</v>
      </c>
      <c r="B8">
        <v>90.04</v>
      </c>
      <c r="C8">
        <v>47.97</v>
      </c>
      <c r="D8">
        <v>47.4</v>
      </c>
      <c r="E8">
        <v>40.36</v>
      </c>
      <c r="F8">
        <v>30.9</v>
      </c>
      <c r="G8">
        <v>-13.26</v>
      </c>
      <c r="H8">
        <v>-41.4</v>
      </c>
      <c r="I8">
        <v>21.14</v>
      </c>
      <c r="J8">
        <v>12.13</v>
      </c>
      <c r="K8">
        <v>30.49</v>
      </c>
      <c r="L8">
        <v>4.3600000000000003</v>
      </c>
      <c r="M8">
        <v>5.47</v>
      </c>
      <c r="N8">
        <v>12.31</v>
      </c>
      <c r="O8">
        <v>0</v>
      </c>
      <c r="P8">
        <v>21.14</v>
      </c>
      <c r="Q8">
        <v>4.7300000000000004</v>
      </c>
      <c r="R8">
        <v>7.36</v>
      </c>
      <c r="S8">
        <v>-1.77</v>
      </c>
      <c r="T8">
        <v>1.02</v>
      </c>
      <c r="U8">
        <v>3.42</v>
      </c>
    </row>
    <row r="9" spans="1:21" x14ac:dyDescent="0.25">
      <c r="A9">
        <v>6</v>
      </c>
      <c r="B9">
        <v>94.83</v>
      </c>
      <c r="C9">
        <v>50.13</v>
      </c>
      <c r="D9">
        <v>48.73</v>
      </c>
      <c r="E9">
        <v>41.86</v>
      </c>
      <c r="F9">
        <v>32.03</v>
      </c>
      <c r="G9">
        <v>-13.26</v>
      </c>
      <c r="H9">
        <v>-42.99</v>
      </c>
      <c r="I9">
        <v>22.1</v>
      </c>
      <c r="J9">
        <v>12.68</v>
      </c>
      <c r="K9">
        <v>31.84</v>
      </c>
      <c r="L9">
        <v>4.54</v>
      </c>
      <c r="M9">
        <v>5.72</v>
      </c>
      <c r="N9">
        <v>12.86</v>
      </c>
      <c r="O9">
        <v>0</v>
      </c>
      <c r="P9">
        <v>22.1</v>
      </c>
      <c r="Q9">
        <v>4.95</v>
      </c>
      <c r="R9">
        <v>7.69</v>
      </c>
      <c r="S9">
        <v>-1.84</v>
      </c>
      <c r="T9">
        <v>1.06</v>
      </c>
      <c r="U9">
        <v>3.57</v>
      </c>
    </row>
    <row r="10" spans="1:21" x14ac:dyDescent="0.25">
      <c r="A10">
        <v>7</v>
      </c>
      <c r="B10">
        <v>97.41</v>
      </c>
      <c r="C10">
        <v>51.31</v>
      </c>
      <c r="D10">
        <v>49.5</v>
      </c>
      <c r="E10">
        <v>42.72</v>
      </c>
      <c r="F10">
        <v>32.67</v>
      </c>
      <c r="G10">
        <v>-13.26</v>
      </c>
      <c r="H10">
        <v>-44</v>
      </c>
      <c r="I10">
        <v>23.1</v>
      </c>
      <c r="J10">
        <v>13.04</v>
      </c>
      <c r="K10">
        <v>32.51</v>
      </c>
      <c r="L10">
        <v>4.74</v>
      </c>
      <c r="M10">
        <v>5.82</v>
      </c>
      <c r="N10">
        <v>13.11</v>
      </c>
      <c r="O10">
        <v>0</v>
      </c>
      <c r="P10">
        <v>22.01</v>
      </c>
      <c r="Q10">
        <v>4.9000000000000004</v>
      </c>
      <c r="R10">
        <v>7.72</v>
      </c>
      <c r="S10">
        <v>-1.99</v>
      </c>
      <c r="T10">
        <v>1.1000000000000001</v>
      </c>
      <c r="U10">
        <v>3.71</v>
      </c>
    </row>
    <row r="11" spans="1:21" x14ac:dyDescent="0.25">
      <c r="A11">
        <v>8</v>
      </c>
      <c r="B11">
        <v>106.74</v>
      </c>
      <c r="C11">
        <v>55.56</v>
      </c>
      <c r="D11">
        <v>52.27</v>
      </c>
      <c r="E11">
        <v>45.83</v>
      </c>
      <c r="F11">
        <v>34.950000000000003</v>
      </c>
      <c r="G11">
        <v>-13.26</v>
      </c>
      <c r="H11">
        <v>-47.57</v>
      </c>
      <c r="I11">
        <v>26.44</v>
      </c>
      <c r="J11">
        <v>14.3</v>
      </c>
      <c r="K11">
        <v>34.97</v>
      </c>
      <c r="L11">
        <v>5.39</v>
      </c>
      <c r="M11">
        <v>6.2</v>
      </c>
      <c r="N11">
        <v>14.03</v>
      </c>
      <c r="O11">
        <v>1.39</v>
      </c>
      <c r="P11">
        <v>22.04</v>
      </c>
      <c r="Q11">
        <v>4.79</v>
      </c>
      <c r="R11">
        <v>7.89</v>
      </c>
      <c r="S11">
        <v>-2.48</v>
      </c>
      <c r="T11">
        <v>1.21</v>
      </c>
      <c r="U11">
        <v>4.16</v>
      </c>
    </row>
    <row r="12" spans="1:21" x14ac:dyDescent="0.25">
      <c r="A12">
        <v>9</v>
      </c>
      <c r="B12">
        <v>112.54</v>
      </c>
      <c r="C12">
        <v>58.17</v>
      </c>
      <c r="D12">
        <v>53.86</v>
      </c>
      <c r="E12">
        <v>47.62</v>
      </c>
      <c r="F12">
        <v>36.31</v>
      </c>
      <c r="G12">
        <v>-13.26</v>
      </c>
      <c r="H12">
        <v>-49.43</v>
      </c>
      <c r="I12">
        <v>27.42</v>
      </c>
      <c r="J12">
        <v>14.95</v>
      </c>
      <c r="K12">
        <v>36.64</v>
      </c>
      <c r="L12">
        <v>5.58</v>
      </c>
      <c r="M12">
        <v>6.51</v>
      </c>
      <c r="N12">
        <v>14.71</v>
      </c>
      <c r="O12">
        <v>0.97</v>
      </c>
      <c r="P12">
        <v>23.44</v>
      </c>
      <c r="Q12">
        <v>5.13</v>
      </c>
      <c r="R12">
        <v>8.36</v>
      </c>
      <c r="S12">
        <v>-2.52</v>
      </c>
      <c r="T12">
        <v>1.26</v>
      </c>
      <c r="U12">
        <v>4.32</v>
      </c>
    </row>
    <row r="13" spans="1:21" x14ac:dyDescent="0.25">
      <c r="A13">
        <v>10</v>
      </c>
      <c r="B13">
        <v>115.5</v>
      </c>
      <c r="C13">
        <v>59.47</v>
      </c>
      <c r="D13">
        <v>54.61</v>
      </c>
      <c r="E13">
        <v>48.46</v>
      </c>
      <c r="F13">
        <v>36.979999999999997</v>
      </c>
      <c r="G13">
        <v>-13.26</v>
      </c>
      <c r="H13">
        <v>-50.22</v>
      </c>
      <c r="I13">
        <v>27.42</v>
      </c>
      <c r="J13">
        <v>15.21</v>
      </c>
      <c r="K13">
        <v>37.549999999999997</v>
      </c>
      <c r="L13">
        <v>5.58</v>
      </c>
      <c r="M13">
        <v>6.7</v>
      </c>
      <c r="N13">
        <v>15.11</v>
      </c>
      <c r="O13">
        <v>1.39</v>
      </c>
      <c r="P13">
        <v>24.77</v>
      </c>
      <c r="Q13">
        <v>5.48</v>
      </c>
      <c r="R13">
        <v>8.76</v>
      </c>
      <c r="S13">
        <v>-2.42</v>
      </c>
      <c r="T13">
        <v>1.28</v>
      </c>
      <c r="U13">
        <v>4.3499999999999996</v>
      </c>
    </row>
    <row r="14" spans="1:21" x14ac:dyDescent="0.25">
      <c r="A14">
        <v>11</v>
      </c>
      <c r="B14">
        <v>118.57</v>
      </c>
      <c r="C14">
        <v>60.82</v>
      </c>
      <c r="D14">
        <v>55.4</v>
      </c>
      <c r="E14">
        <v>49.34</v>
      </c>
      <c r="F14">
        <v>37.67</v>
      </c>
      <c r="G14">
        <v>-13.26</v>
      </c>
      <c r="H14">
        <v>-51.04</v>
      </c>
      <c r="I14">
        <v>27.42</v>
      </c>
      <c r="J14">
        <v>15.48</v>
      </c>
      <c r="K14">
        <v>38.49</v>
      </c>
      <c r="L14">
        <v>5.58</v>
      </c>
      <c r="M14">
        <v>6.89</v>
      </c>
      <c r="N14">
        <v>15.52</v>
      </c>
      <c r="O14">
        <v>0.47</v>
      </c>
      <c r="P14">
        <v>26.16</v>
      </c>
      <c r="Q14">
        <v>5.85</v>
      </c>
      <c r="R14">
        <v>9.18</v>
      </c>
      <c r="S14">
        <v>-2.3199999999999998</v>
      </c>
      <c r="T14">
        <v>1.29</v>
      </c>
      <c r="U14">
        <v>4.37</v>
      </c>
    </row>
    <row r="15" spans="1:21" x14ac:dyDescent="0.25">
      <c r="A15">
        <v>12</v>
      </c>
      <c r="B15">
        <v>120.7</v>
      </c>
      <c r="C15">
        <v>61.76</v>
      </c>
      <c r="D15">
        <v>55.92</v>
      </c>
      <c r="E15">
        <v>49.93</v>
      </c>
      <c r="F15">
        <v>38.14</v>
      </c>
      <c r="G15">
        <v>-13.26</v>
      </c>
      <c r="H15">
        <v>-51.56</v>
      </c>
      <c r="I15">
        <v>27.29</v>
      </c>
      <c r="J15">
        <v>15.66</v>
      </c>
      <c r="K15">
        <v>39.159999999999997</v>
      </c>
      <c r="L15">
        <v>5.55</v>
      </c>
      <c r="M15">
        <v>7.04</v>
      </c>
      <c r="N15">
        <v>15.82</v>
      </c>
      <c r="O15">
        <v>0</v>
      </c>
      <c r="P15">
        <v>27.29</v>
      </c>
      <c r="Q15">
        <v>6.15</v>
      </c>
      <c r="R15">
        <v>9.51</v>
      </c>
      <c r="S15">
        <v>-2.2200000000000002</v>
      </c>
      <c r="T15">
        <v>1.3</v>
      </c>
      <c r="U15">
        <v>4.37</v>
      </c>
    </row>
    <row r="16" spans="1:21" x14ac:dyDescent="0.25">
      <c r="A16">
        <v>13</v>
      </c>
      <c r="B16">
        <v>120.96</v>
      </c>
      <c r="C16">
        <v>61.87</v>
      </c>
      <c r="D16">
        <v>55.99</v>
      </c>
      <c r="E16">
        <v>50.01</v>
      </c>
      <c r="F16">
        <v>38.200000000000003</v>
      </c>
      <c r="G16">
        <v>-13.26</v>
      </c>
      <c r="H16">
        <v>-51.65</v>
      </c>
      <c r="I16">
        <v>27.34</v>
      </c>
      <c r="J16">
        <v>15.69</v>
      </c>
      <c r="K16">
        <v>39.24</v>
      </c>
      <c r="L16">
        <v>5.56</v>
      </c>
      <c r="M16">
        <v>7.05</v>
      </c>
      <c r="N16">
        <v>15.85</v>
      </c>
      <c r="O16">
        <v>0</v>
      </c>
      <c r="P16">
        <v>27.34</v>
      </c>
      <c r="Q16">
        <v>6.16</v>
      </c>
      <c r="R16">
        <v>9.5299999999999994</v>
      </c>
      <c r="S16">
        <v>-2.2200000000000002</v>
      </c>
      <c r="T16">
        <v>1.3</v>
      </c>
      <c r="U16">
        <v>4.38</v>
      </c>
    </row>
    <row r="17" spans="1:21" x14ac:dyDescent="0.25">
      <c r="A17">
        <v>14</v>
      </c>
      <c r="B17">
        <v>122.5</v>
      </c>
      <c r="C17">
        <v>62.55</v>
      </c>
      <c r="D17">
        <v>56.39</v>
      </c>
      <c r="E17">
        <v>50.46</v>
      </c>
      <c r="F17">
        <v>38.549999999999997</v>
      </c>
      <c r="G17">
        <v>-13.26</v>
      </c>
      <c r="H17">
        <v>-52.09</v>
      </c>
      <c r="I17">
        <v>27.42</v>
      </c>
      <c r="J17">
        <v>15.83</v>
      </c>
      <c r="K17">
        <v>39.69</v>
      </c>
      <c r="L17">
        <v>5.58</v>
      </c>
      <c r="M17">
        <v>7.14</v>
      </c>
      <c r="N17">
        <v>16.05</v>
      </c>
      <c r="O17">
        <v>0</v>
      </c>
      <c r="P17">
        <v>27.92</v>
      </c>
      <c r="Q17">
        <v>6.32</v>
      </c>
      <c r="R17">
        <v>9.7100000000000009</v>
      </c>
      <c r="S17">
        <v>-2.19</v>
      </c>
      <c r="T17">
        <v>1.31</v>
      </c>
      <c r="U17">
        <v>4.4000000000000004</v>
      </c>
    </row>
    <row r="18" spans="1:21" x14ac:dyDescent="0.25">
      <c r="A18">
        <v>15</v>
      </c>
      <c r="B18">
        <v>124.63</v>
      </c>
      <c r="C18">
        <v>63.49</v>
      </c>
      <c r="D18">
        <v>56.93</v>
      </c>
      <c r="E18">
        <v>51.07</v>
      </c>
      <c r="F18">
        <v>39.03</v>
      </c>
      <c r="G18">
        <v>-13.26</v>
      </c>
      <c r="H18">
        <v>-52.66</v>
      </c>
      <c r="I18">
        <v>27.42</v>
      </c>
      <c r="J18">
        <v>16.02</v>
      </c>
      <c r="K18">
        <v>40.340000000000003</v>
      </c>
      <c r="L18">
        <v>5.58</v>
      </c>
      <c r="M18">
        <v>7.28</v>
      </c>
      <c r="N18">
        <v>16.329999999999998</v>
      </c>
      <c r="O18">
        <v>0</v>
      </c>
      <c r="P18">
        <v>28.88</v>
      </c>
      <c r="Q18">
        <v>6.57</v>
      </c>
      <c r="R18">
        <v>10</v>
      </c>
      <c r="S18">
        <v>-2.12</v>
      </c>
      <c r="T18">
        <v>1.32</v>
      </c>
      <c r="U18">
        <v>4.42</v>
      </c>
    </row>
    <row r="19" spans="1:21" x14ac:dyDescent="0.25">
      <c r="A19">
        <v>16</v>
      </c>
      <c r="B19">
        <v>125.17</v>
      </c>
      <c r="C19">
        <v>63.73</v>
      </c>
      <c r="D19">
        <v>57.07</v>
      </c>
      <c r="E19">
        <v>51.22</v>
      </c>
      <c r="F19">
        <v>39.15</v>
      </c>
      <c r="G19">
        <v>-13.26</v>
      </c>
      <c r="H19">
        <v>-52.8</v>
      </c>
      <c r="I19">
        <v>27.42</v>
      </c>
      <c r="J19">
        <v>16.07</v>
      </c>
      <c r="K19">
        <v>40.51</v>
      </c>
      <c r="L19">
        <v>5.58</v>
      </c>
      <c r="M19">
        <v>7.31</v>
      </c>
      <c r="N19">
        <v>16.399999999999999</v>
      </c>
      <c r="O19">
        <v>-0.03</v>
      </c>
      <c r="P19">
        <v>29.11</v>
      </c>
      <c r="Q19">
        <v>6.63</v>
      </c>
      <c r="R19">
        <v>10.07</v>
      </c>
      <c r="S19">
        <v>-2.1</v>
      </c>
      <c r="T19">
        <v>1.33</v>
      </c>
      <c r="U19">
        <v>4.42</v>
      </c>
    </row>
    <row r="20" spans="1:21" x14ac:dyDescent="0.25">
      <c r="A20">
        <v>17</v>
      </c>
      <c r="B20">
        <v>124.71</v>
      </c>
      <c r="C20">
        <v>63.52</v>
      </c>
      <c r="D20">
        <v>56.95</v>
      </c>
      <c r="E20">
        <v>51.09</v>
      </c>
      <c r="F20">
        <v>39.049999999999997</v>
      </c>
      <c r="G20">
        <v>-13.26</v>
      </c>
      <c r="H20">
        <v>-52.68</v>
      </c>
      <c r="I20">
        <v>27.42</v>
      </c>
      <c r="J20">
        <v>16.03</v>
      </c>
      <c r="K20">
        <v>40.369999999999997</v>
      </c>
      <c r="L20">
        <v>5.58</v>
      </c>
      <c r="M20">
        <v>7.28</v>
      </c>
      <c r="N20">
        <v>16.34</v>
      </c>
      <c r="O20">
        <v>-1.39</v>
      </c>
      <c r="P20">
        <v>28.91</v>
      </c>
      <c r="Q20">
        <v>6.58</v>
      </c>
      <c r="R20">
        <v>10.01</v>
      </c>
      <c r="S20">
        <v>-2.12</v>
      </c>
      <c r="T20">
        <v>1.32</v>
      </c>
      <c r="U20">
        <v>4.42</v>
      </c>
    </row>
    <row r="21" spans="1:21" x14ac:dyDescent="0.25">
      <c r="A21">
        <v>18</v>
      </c>
      <c r="B21">
        <v>123.44</v>
      </c>
      <c r="C21">
        <v>62.97</v>
      </c>
      <c r="D21">
        <v>56.63</v>
      </c>
      <c r="E21">
        <v>50.73</v>
      </c>
      <c r="F21">
        <v>38.76</v>
      </c>
      <c r="G21">
        <v>-13.26</v>
      </c>
      <c r="H21">
        <v>-52.34</v>
      </c>
      <c r="I21">
        <v>27.42</v>
      </c>
      <c r="J21">
        <v>15.92</v>
      </c>
      <c r="K21">
        <v>39.979999999999997</v>
      </c>
      <c r="L21">
        <v>5.58</v>
      </c>
      <c r="M21">
        <v>7.2</v>
      </c>
      <c r="N21">
        <v>16.170000000000002</v>
      </c>
      <c r="O21">
        <v>-0.92</v>
      </c>
      <c r="P21">
        <v>28.34</v>
      </c>
      <c r="Q21">
        <v>6.43</v>
      </c>
      <c r="R21">
        <v>9.84</v>
      </c>
      <c r="S21">
        <v>-2.16</v>
      </c>
      <c r="T21">
        <v>1.32</v>
      </c>
      <c r="U21">
        <v>4.41</v>
      </c>
    </row>
    <row r="22" spans="1:21" x14ac:dyDescent="0.25">
      <c r="A22">
        <v>19</v>
      </c>
      <c r="B22">
        <v>128.11000000000001</v>
      </c>
      <c r="C22">
        <v>65.02</v>
      </c>
      <c r="D22">
        <v>57.82</v>
      </c>
      <c r="E22">
        <v>52.06</v>
      </c>
      <c r="F22">
        <v>39.81</v>
      </c>
      <c r="G22">
        <v>-13.26</v>
      </c>
      <c r="H22">
        <v>-53.59</v>
      </c>
      <c r="I22">
        <v>27.42</v>
      </c>
      <c r="J22">
        <v>16.329999999999998</v>
      </c>
      <c r="K22">
        <v>41.4</v>
      </c>
      <c r="L22">
        <v>5.57</v>
      </c>
      <c r="M22">
        <v>7.5</v>
      </c>
      <c r="N22">
        <v>16.79</v>
      </c>
      <c r="O22">
        <v>0</v>
      </c>
      <c r="P22">
        <v>30.43</v>
      </c>
      <c r="Q22">
        <v>6.98</v>
      </c>
      <c r="R22">
        <v>10.47</v>
      </c>
      <c r="S22">
        <v>-2</v>
      </c>
      <c r="T22">
        <v>1.34</v>
      </c>
      <c r="U22">
        <v>4.45</v>
      </c>
    </row>
    <row r="23" spans="1:21" x14ac:dyDescent="0.25">
      <c r="A23">
        <v>20</v>
      </c>
      <c r="B23">
        <v>129.81</v>
      </c>
      <c r="C23">
        <v>65.77</v>
      </c>
      <c r="D23">
        <v>58.25</v>
      </c>
      <c r="E23">
        <v>52.54</v>
      </c>
      <c r="F23">
        <v>40.19</v>
      </c>
      <c r="G23">
        <v>-13.26</v>
      </c>
      <c r="H23">
        <v>-54.05</v>
      </c>
      <c r="I23">
        <v>27.42</v>
      </c>
      <c r="J23">
        <v>16.48</v>
      </c>
      <c r="K23">
        <v>41.92</v>
      </c>
      <c r="L23">
        <v>5.57</v>
      </c>
      <c r="M23">
        <v>7.61</v>
      </c>
      <c r="N23">
        <v>17.010000000000002</v>
      </c>
      <c r="O23">
        <v>-1.39</v>
      </c>
      <c r="P23">
        <v>31.19</v>
      </c>
      <c r="Q23">
        <v>7.19</v>
      </c>
      <c r="R23">
        <v>10.7</v>
      </c>
      <c r="S23">
        <v>-1.95</v>
      </c>
      <c r="T23">
        <v>1.35</v>
      </c>
      <c r="U23">
        <v>4.46</v>
      </c>
    </row>
    <row r="24" spans="1:21" x14ac:dyDescent="0.25">
      <c r="A24">
        <v>21</v>
      </c>
      <c r="B24">
        <v>127.44</v>
      </c>
      <c r="C24">
        <v>64.72</v>
      </c>
      <c r="D24">
        <v>57.65</v>
      </c>
      <c r="E24">
        <v>51.87</v>
      </c>
      <c r="F24">
        <v>39.659999999999997</v>
      </c>
      <c r="G24">
        <v>-13.26</v>
      </c>
      <c r="H24">
        <v>-53.41</v>
      </c>
      <c r="I24">
        <v>27.42</v>
      </c>
      <c r="J24">
        <v>16.27</v>
      </c>
      <c r="K24">
        <v>41.2</v>
      </c>
      <c r="L24">
        <v>5.57</v>
      </c>
      <c r="M24">
        <v>7.46</v>
      </c>
      <c r="N24">
        <v>16.7</v>
      </c>
      <c r="O24">
        <v>-1.39</v>
      </c>
      <c r="P24">
        <v>30.13</v>
      </c>
      <c r="Q24">
        <v>6.9</v>
      </c>
      <c r="R24">
        <v>10.38</v>
      </c>
      <c r="S24">
        <v>-2.0299999999999998</v>
      </c>
      <c r="T24">
        <v>1.34</v>
      </c>
      <c r="U24">
        <v>4.4400000000000004</v>
      </c>
    </row>
    <row r="25" spans="1:21" x14ac:dyDescent="0.25">
      <c r="A25">
        <v>22</v>
      </c>
      <c r="B25">
        <v>122.9</v>
      </c>
      <c r="C25">
        <v>62.73</v>
      </c>
      <c r="D25">
        <v>56.49</v>
      </c>
      <c r="E25">
        <v>50.57</v>
      </c>
      <c r="F25">
        <v>38.64</v>
      </c>
      <c r="G25">
        <v>-13.26</v>
      </c>
      <c r="H25">
        <v>-52.2</v>
      </c>
      <c r="I25">
        <v>27.42</v>
      </c>
      <c r="J25">
        <v>15.87</v>
      </c>
      <c r="K25">
        <v>39.82</v>
      </c>
      <c r="L25">
        <v>5.58</v>
      </c>
      <c r="M25">
        <v>7.17</v>
      </c>
      <c r="N25">
        <v>16.100000000000001</v>
      </c>
      <c r="O25">
        <v>0</v>
      </c>
      <c r="P25">
        <v>28.1</v>
      </c>
      <c r="Q25">
        <v>6.37</v>
      </c>
      <c r="R25">
        <v>9.77</v>
      </c>
      <c r="S25">
        <v>-2.1800000000000002</v>
      </c>
      <c r="T25">
        <v>1.32</v>
      </c>
      <c r="U25">
        <v>4.4000000000000004</v>
      </c>
    </row>
    <row r="26" spans="1:21" x14ac:dyDescent="0.25">
      <c r="A26">
        <v>23</v>
      </c>
      <c r="B26">
        <v>116.23</v>
      </c>
      <c r="C26">
        <v>59.77</v>
      </c>
      <c r="D26">
        <v>54.75</v>
      </c>
      <c r="E26">
        <v>48.61</v>
      </c>
      <c r="F26">
        <v>37.119999999999997</v>
      </c>
      <c r="G26">
        <v>-13.26</v>
      </c>
      <c r="H26">
        <v>-50.27</v>
      </c>
      <c r="I26">
        <v>26.98</v>
      </c>
      <c r="J26">
        <v>15.22</v>
      </c>
      <c r="K26">
        <v>37.83</v>
      </c>
      <c r="L26">
        <v>5.49</v>
      </c>
      <c r="M26">
        <v>6.77</v>
      </c>
      <c r="N26">
        <v>15.25</v>
      </c>
      <c r="O26">
        <v>0.42</v>
      </c>
      <c r="P26">
        <v>25.65</v>
      </c>
      <c r="Q26">
        <v>5.73</v>
      </c>
      <c r="R26">
        <v>9.01</v>
      </c>
      <c r="S26">
        <v>-2.29</v>
      </c>
      <c r="T26">
        <v>1.27</v>
      </c>
      <c r="U26">
        <v>4.3</v>
      </c>
    </row>
    <row r="27" spans="1:21" x14ac:dyDescent="0.25">
      <c r="A27">
        <v>24</v>
      </c>
      <c r="B27">
        <v>111.58</v>
      </c>
      <c r="C27">
        <v>57.74</v>
      </c>
      <c r="D27">
        <v>53.62</v>
      </c>
      <c r="E27">
        <v>47.34</v>
      </c>
      <c r="F27">
        <v>36.1</v>
      </c>
      <c r="G27">
        <v>-13.26</v>
      </c>
      <c r="H27">
        <v>-49.17</v>
      </c>
      <c r="I27">
        <v>27.41</v>
      </c>
      <c r="J27">
        <v>14.86</v>
      </c>
      <c r="K27">
        <v>36.340000000000003</v>
      </c>
      <c r="L27">
        <v>5.58</v>
      </c>
      <c r="M27">
        <v>6.44</v>
      </c>
      <c r="N27">
        <v>14.59</v>
      </c>
      <c r="O27">
        <v>1.39</v>
      </c>
      <c r="P27">
        <v>23.01</v>
      </c>
      <c r="Q27">
        <v>5.01</v>
      </c>
      <c r="R27">
        <v>8.23</v>
      </c>
      <c r="S27">
        <v>-2.5499999999999998</v>
      </c>
      <c r="T27">
        <v>1.26</v>
      </c>
      <c r="U27">
        <v>4.3099999999999996</v>
      </c>
    </row>
    <row r="28" spans="1:21" x14ac:dyDescent="0.25">
      <c r="A28" s="4" t="s">
        <v>93</v>
      </c>
      <c r="B28" s="4" cm="1">
        <f t="array" ref="B28">MAX(ABS(B4:B27))</f>
        <v>129.81</v>
      </c>
      <c r="C28" s="4" cm="1">
        <f t="array" ref="C28">MAX(ABS(C4:C27))</f>
        <v>65.77</v>
      </c>
      <c r="D28" s="4" cm="1">
        <f t="array" ref="D28">MAX(ABS(D4:D27))</f>
        <v>58.25</v>
      </c>
      <c r="E28" s="4" cm="1">
        <f t="array" ref="E28">MAX(ABS(E4:E27))</f>
        <v>52.54</v>
      </c>
      <c r="F28" s="4" cm="1">
        <f t="array" ref="F28">MAX(ABS(F4:F27))</f>
        <v>40.19</v>
      </c>
      <c r="G28" s="4" cm="1">
        <f t="array" ref="G28">MAX(ABS(G4:G27))</f>
        <v>13.26</v>
      </c>
      <c r="H28" s="4" cm="1">
        <f t="array" ref="H28">MAX(ABS(H4:H27))</f>
        <v>54.05</v>
      </c>
      <c r="I28" s="4" cm="1">
        <f t="array" ref="I28">MAX(ABS(I4:I27))</f>
        <v>27.42</v>
      </c>
      <c r="J28" s="4" cm="1">
        <f t="array" ref="J28">MAX(ABS(J4:J27))</f>
        <v>16.48</v>
      </c>
      <c r="K28" s="4" cm="1">
        <f t="array" ref="K28">MAX(ABS(K4:K27))</f>
        <v>41.92</v>
      </c>
      <c r="L28" s="4" cm="1">
        <f t="array" ref="L28">MAX(ABS(L4:L27))</f>
        <v>5.58</v>
      </c>
      <c r="M28" s="4" cm="1">
        <f t="array" ref="M28">MAX(ABS(M4:M27))</f>
        <v>7.61</v>
      </c>
      <c r="N28" s="4" cm="1">
        <f t="array" ref="N28">MAX(ABS(N4:N27))</f>
        <v>17.010000000000002</v>
      </c>
      <c r="O28" s="4" cm="1">
        <f t="array" ref="O28">MAX(ABS(O4:O27))</f>
        <v>1.39</v>
      </c>
      <c r="P28" s="4" cm="1">
        <f t="array" ref="P28">MAX(ABS(P4:P27))</f>
        <v>31.19</v>
      </c>
      <c r="Q28" s="4" cm="1">
        <f t="array" ref="Q28">MAX(ABS(Q4:Q27))</f>
        <v>7.19</v>
      </c>
      <c r="R28" s="4" cm="1">
        <f t="array" ref="R28">MAX(ABS(R4:R27))</f>
        <v>10.7</v>
      </c>
      <c r="S28" s="4" cm="1">
        <f t="array" ref="S28">MAX(ABS(S4:S27))</f>
        <v>2.5499999999999998</v>
      </c>
      <c r="T28" s="4" cm="1">
        <f t="array" ref="T28">MAX(ABS(T4:T27))</f>
        <v>1.35</v>
      </c>
      <c r="U28" s="4" cm="1">
        <f t="array" ref="U28">MAX(ABS(U4:U27))</f>
        <v>4.46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workbookViewId="0"/>
  </sheetViews>
  <sheetFormatPr defaultRowHeight="15" x14ac:dyDescent="0.25"/>
  <cols>
    <col min="1" max="21" width="14" customWidth="1"/>
  </cols>
  <sheetData>
    <row r="1" spans="1:21" ht="17.25" x14ac:dyDescent="0.3">
      <c r="A1" s="1" t="s">
        <v>47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2.4449999999999998</v>
      </c>
      <c r="C4">
        <v>1.4370000000000001</v>
      </c>
      <c r="D4">
        <v>1.1359999999999999</v>
      </c>
      <c r="E4">
        <v>1.085</v>
      </c>
      <c r="F4">
        <v>0.82599999999999996</v>
      </c>
      <c r="G4">
        <v>0.39300000000000002</v>
      </c>
      <c r="H4">
        <v>1.08</v>
      </c>
      <c r="I4">
        <v>0</v>
      </c>
      <c r="J4">
        <v>0</v>
      </c>
      <c r="K4">
        <v>0</v>
      </c>
      <c r="L4">
        <v>0.154</v>
      </c>
      <c r="M4">
        <v>0.19500000000000001</v>
      </c>
      <c r="N4">
        <v>0.45200000000000001</v>
      </c>
      <c r="O4">
        <v>0</v>
      </c>
      <c r="P4">
        <v>0</v>
      </c>
      <c r="Q4">
        <v>0.14199999999999999</v>
      </c>
      <c r="R4">
        <v>0.25800000000000001</v>
      </c>
      <c r="S4">
        <v>5.8000000000000003E-2</v>
      </c>
      <c r="T4">
        <v>4.5999999999999999E-2</v>
      </c>
      <c r="U4">
        <v>0.123</v>
      </c>
    </row>
    <row r="5" spans="1:21" x14ac:dyDescent="0.25">
      <c r="A5">
        <v>2</v>
      </c>
      <c r="B5">
        <v>2.355</v>
      </c>
      <c r="C5">
        <v>1.3440000000000001</v>
      </c>
      <c r="D5">
        <v>1.079</v>
      </c>
      <c r="E5">
        <v>1.0569999999999999</v>
      </c>
      <c r="F5">
        <v>0.80500000000000005</v>
      </c>
      <c r="G5">
        <v>0.39300000000000002</v>
      </c>
      <c r="H5">
        <v>1.0509999999999999</v>
      </c>
      <c r="I5">
        <v>0</v>
      </c>
      <c r="J5">
        <v>0</v>
      </c>
      <c r="K5">
        <v>0</v>
      </c>
      <c r="L5">
        <v>0.14899999999999999</v>
      </c>
      <c r="M5">
        <v>0.189</v>
      </c>
      <c r="N5">
        <v>0.438</v>
      </c>
      <c r="O5">
        <v>0</v>
      </c>
      <c r="P5">
        <v>0</v>
      </c>
      <c r="Q5">
        <v>0.13800000000000001</v>
      </c>
      <c r="R5">
        <v>0.25</v>
      </c>
      <c r="S5">
        <v>5.6000000000000001E-2</v>
      </c>
      <c r="T5">
        <v>4.4999999999999998E-2</v>
      </c>
      <c r="U5">
        <v>0.12</v>
      </c>
    </row>
    <row r="6" spans="1:21" x14ac:dyDescent="0.25">
      <c r="A6">
        <v>3</v>
      </c>
      <c r="B6">
        <v>2.2879999999999998</v>
      </c>
      <c r="C6">
        <v>1.2729999999999999</v>
      </c>
      <c r="D6">
        <v>1.036</v>
      </c>
      <c r="E6">
        <v>1.036</v>
      </c>
      <c r="F6">
        <v>0.78900000000000003</v>
      </c>
      <c r="G6">
        <v>0.39300000000000002</v>
      </c>
      <c r="H6">
        <v>1.0289999999999999</v>
      </c>
      <c r="I6">
        <v>0</v>
      </c>
      <c r="J6">
        <v>0</v>
      </c>
      <c r="K6">
        <v>0</v>
      </c>
      <c r="L6">
        <v>0.14599999999999999</v>
      </c>
      <c r="M6">
        <v>0.184</v>
      </c>
      <c r="N6">
        <v>0.42799999999999999</v>
      </c>
      <c r="O6">
        <v>0</v>
      </c>
      <c r="P6">
        <v>0</v>
      </c>
      <c r="Q6">
        <v>0.13400000000000001</v>
      </c>
      <c r="R6">
        <v>0.24399999999999999</v>
      </c>
      <c r="S6">
        <v>5.5E-2</v>
      </c>
      <c r="T6">
        <v>4.3999999999999997E-2</v>
      </c>
      <c r="U6">
        <v>0.11700000000000001</v>
      </c>
    </row>
    <row r="7" spans="1:21" x14ac:dyDescent="0.25">
      <c r="A7">
        <v>4</v>
      </c>
      <c r="B7">
        <v>2.258</v>
      </c>
      <c r="C7">
        <v>1.2430000000000001</v>
      </c>
      <c r="D7">
        <v>1.018</v>
      </c>
      <c r="E7">
        <v>1.026</v>
      </c>
      <c r="F7">
        <v>0.78200000000000003</v>
      </c>
      <c r="G7">
        <v>0.39300000000000002</v>
      </c>
      <c r="H7">
        <v>1.02</v>
      </c>
      <c r="I7">
        <v>0</v>
      </c>
      <c r="J7">
        <v>0</v>
      </c>
      <c r="K7">
        <v>0</v>
      </c>
      <c r="L7">
        <v>0.14399999999999999</v>
      </c>
      <c r="M7">
        <v>0.182</v>
      </c>
      <c r="N7">
        <v>0.42299999999999999</v>
      </c>
      <c r="O7">
        <v>0</v>
      </c>
      <c r="P7">
        <v>0</v>
      </c>
      <c r="Q7">
        <v>0.13300000000000001</v>
      </c>
      <c r="R7">
        <v>0.24099999999999999</v>
      </c>
      <c r="S7">
        <v>5.3999999999999999E-2</v>
      </c>
      <c r="T7">
        <v>4.2999999999999997E-2</v>
      </c>
      <c r="U7">
        <v>0.11600000000000001</v>
      </c>
    </row>
    <row r="8" spans="1:21" x14ac:dyDescent="0.25">
      <c r="A8">
        <v>5</v>
      </c>
      <c r="B8">
        <v>2.3239999999999998</v>
      </c>
      <c r="C8">
        <v>1.3109999999999999</v>
      </c>
      <c r="D8">
        <v>1.0589999999999999</v>
      </c>
      <c r="E8">
        <v>1.0469999999999999</v>
      </c>
      <c r="F8">
        <v>0.79800000000000004</v>
      </c>
      <c r="G8">
        <v>0.39300000000000002</v>
      </c>
      <c r="H8">
        <v>1.0409999999999999</v>
      </c>
      <c r="I8">
        <v>0</v>
      </c>
      <c r="J8">
        <v>0</v>
      </c>
      <c r="K8">
        <v>0</v>
      </c>
      <c r="L8">
        <v>0.14799999999999999</v>
      </c>
      <c r="M8">
        <v>0.186</v>
      </c>
      <c r="N8">
        <v>0.434</v>
      </c>
      <c r="O8">
        <v>0</v>
      </c>
      <c r="P8">
        <v>0</v>
      </c>
      <c r="Q8">
        <v>0.13600000000000001</v>
      </c>
      <c r="R8">
        <v>0.247</v>
      </c>
      <c r="S8">
        <v>5.6000000000000001E-2</v>
      </c>
      <c r="T8">
        <v>4.3999999999999997E-2</v>
      </c>
      <c r="U8">
        <v>0.11799999999999999</v>
      </c>
    </row>
    <row r="9" spans="1:21" x14ac:dyDescent="0.25">
      <c r="A9">
        <v>6</v>
      </c>
      <c r="B9">
        <v>2.448</v>
      </c>
      <c r="C9">
        <v>1.44</v>
      </c>
      <c r="D9">
        <v>1.1379999999999999</v>
      </c>
      <c r="E9">
        <v>1.0860000000000001</v>
      </c>
      <c r="F9">
        <v>0.82699999999999996</v>
      </c>
      <c r="G9">
        <v>0.39300000000000002</v>
      </c>
      <c r="H9">
        <v>1.081</v>
      </c>
      <c r="I9">
        <v>0</v>
      </c>
      <c r="J9">
        <v>0</v>
      </c>
      <c r="K9">
        <v>0</v>
      </c>
      <c r="L9">
        <v>0.154</v>
      </c>
      <c r="M9">
        <v>0.19500000000000001</v>
      </c>
      <c r="N9">
        <v>0.45300000000000001</v>
      </c>
      <c r="O9">
        <v>0</v>
      </c>
      <c r="P9">
        <v>0</v>
      </c>
      <c r="Q9">
        <v>0.14299999999999999</v>
      </c>
      <c r="R9">
        <v>0.25900000000000001</v>
      </c>
      <c r="S9">
        <v>5.8000000000000003E-2</v>
      </c>
      <c r="T9">
        <v>4.5999999999999999E-2</v>
      </c>
      <c r="U9">
        <v>0.123</v>
      </c>
    </row>
    <row r="10" spans="1:21" x14ac:dyDescent="0.25">
      <c r="A10">
        <v>7</v>
      </c>
      <c r="B10">
        <v>2.5150000000000001</v>
      </c>
      <c r="C10">
        <v>1.5109999999999999</v>
      </c>
      <c r="D10">
        <v>1.1830000000000001</v>
      </c>
      <c r="E10">
        <v>1.1080000000000001</v>
      </c>
      <c r="F10">
        <v>0.84299999999999997</v>
      </c>
      <c r="G10">
        <v>0.39300000000000002</v>
      </c>
      <c r="H10">
        <v>1.1060000000000001</v>
      </c>
      <c r="I10">
        <v>0</v>
      </c>
      <c r="J10">
        <v>0</v>
      </c>
      <c r="K10">
        <v>0</v>
      </c>
      <c r="L10">
        <v>0.161</v>
      </c>
      <c r="M10">
        <v>0.19800000000000001</v>
      </c>
      <c r="N10">
        <v>0.46200000000000002</v>
      </c>
      <c r="O10">
        <v>0</v>
      </c>
      <c r="P10">
        <v>0</v>
      </c>
      <c r="Q10">
        <v>0.14099999999999999</v>
      </c>
      <c r="R10">
        <v>0.25900000000000001</v>
      </c>
      <c r="S10">
        <v>6.3E-2</v>
      </c>
      <c r="T10">
        <v>4.8000000000000001E-2</v>
      </c>
      <c r="U10">
        <v>0.128</v>
      </c>
    </row>
    <row r="11" spans="1:21" x14ac:dyDescent="0.25">
      <c r="A11">
        <v>8</v>
      </c>
      <c r="B11">
        <v>2.7549999999999999</v>
      </c>
      <c r="C11">
        <v>1.766</v>
      </c>
      <c r="D11">
        <v>1.3460000000000001</v>
      </c>
      <c r="E11">
        <v>1.1890000000000001</v>
      </c>
      <c r="F11">
        <v>0.90200000000000002</v>
      </c>
      <c r="G11">
        <v>0.39300000000000002</v>
      </c>
      <c r="H11">
        <v>1.196</v>
      </c>
      <c r="I11">
        <v>0</v>
      </c>
      <c r="J11">
        <v>0</v>
      </c>
      <c r="K11">
        <v>0</v>
      </c>
      <c r="L11">
        <v>0.183</v>
      </c>
      <c r="M11">
        <v>0.21099999999999999</v>
      </c>
      <c r="N11">
        <v>0.49399999999999999</v>
      </c>
      <c r="O11">
        <v>0</v>
      </c>
      <c r="P11">
        <v>0</v>
      </c>
      <c r="Q11">
        <v>0.13800000000000001</v>
      </c>
      <c r="R11">
        <v>0.26500000000000001</v>
      </c>
      <c r="S11">
        <v>7.8E-2</v>
      </c>
      <c r="T11">
        <v>5.2999999999999999E-2</v>
      </c>
      <c r="U11">
        <v>0.14399999999999999</v>
      </c>
    </row>
    <row r="12" spans="1:21" x14ac:dyDescent="0.25">
      <c r="A12">
        <v>9</v>
      </c>
      <c r="B12">
        <v>2.9049999999999998</v>
      </c>
      <c r="C12">
        <v>1.9219999999999999</v>
      </c>
      <c r="D12">
        <v>1.44</v>
      </c>
      <c r="E12">
        <v>1.2350000000000001</v>
      </c>
      <c r="F12">
        <v>0.93700000000000006</v>
      </c>
      <c r="G12">
        <v>0.39300000000000002</v>
      </c>
      <c r="H12">
        <v>1.2430000000000001</v>
      </c>
      <c r="I12">
        <v>0</v>
      </c>
      <c r="J12">
        <v>0</v>
      </c>
      <c r="K12">
        <v>0</v>
      </c>
      <c r="L12">
        <v>0.189</v>
      </c>
      <c r="M12">
        <v>0.222</v>
      </c>
      <c r="N12">
        <v>0.51800000000000002</v>
      </c>
      <c r="O12">
        <v>0</v>
      </c>
      <c r="P12">
        <v>0</v>
      </c>
      <c r="Q12">
        <v>0.14699999999999999</v>
      </c>
      <c r="R12">
        <v>0.28100000000000003</v>
      </c>
      <c r="S12">
        <v>7.9000000000000001E-2</v>
      </c>
      <c r="T12">
        <v>5.5E-2</v>
      </c>
      <c r="U12">
        <v>0.14899999999999999</v>
      </c>
    </row>
    <row r="13" spans="1:21" x14ac:dyDescent="0.25">
      <c r="A13">
        <v>10</v>
      </c>
      <c r="B13">
        <v>2.9809999999999999</v>
      </c>
      <c r="C13">
        <v>2</v>
      </c>
      <c r="D13">
        <v>1.484</v>
      </c>
      <c r="E13">
        <v>1.2569999999999999</v>
      </c>
      <c r="F13">
        <v>0.95499999999999996</v>
      </c>
      <c r="G13">
        <v>0.39300000000000002</v>
      </c>
      <c r="H13">
        <v>1.262</v>
      </c>
      <c r="I13">
        <v>0</v>
      </c>
      <c r="J13">
        <v>0</v>
      </c>
      <c r="K13">
        <v>0</v>
      </c>
      <c r="L13">
        <v>0.189</v>
      </c>
      <c r="M13">
        <v>0.22800000000000001</v>
      </c>
      <c r="N13">
        <v>0.53200000000000003</v>
      </c>
      <c r="O13">
        <v>0</v>
      </c>
      <c r="P13">
        <v>0</v>
      </c>
      <c r="Q13">
        <v>0.158</v>
      </c>
      <c r="R13">
        <v>0.29399999999999998</v>
      </c>
      <c r="S13">
        <v>7.5999999999999998E-2</v>
      </c>
      <c r="T13">
        <v>5.6000000000000001E-2</v>
      </c>
      <c r="U13">
        <v>0.15</v>
      </c>
    </row>
    <row r="14" spans="1:21" x14ac:dyDescent="0.25">
      <c r="A14">
        <v>11</v>
      </c>
      <c r="B14">
        <v>3.0609999999999999</v>
      </c>
      <c r="C14">
        <v>2.081</v>
      </c>
      <c r="D14">
        <v>1.53</v>
      </c>
      <c r="E14">
        <v>1.28</v>
      </c>
      <c r="F14">
        <v>0.97199999999999998</v>
      </c>
      <c r="G14">
        <v>0.39300000000000002</v>
      </c>
      <c r="H14">
        <v>1.2829999999999999</v>
      </c>
      <c r="I14">
        <v>0</v>
      </c>
      <c r="J14">
        <v>0</v>
      </c>
      <c r="K14">
        <v>0</v>
      </c>
      <c r="L14">
        <v>0.189</v>
      </c>
      <c r="M14">
        <v>0.23499999999999999</v>
      </c>
      <c r="N14">
        <v>0.54700000000000004</v>
      </c>
      <c r="O14">
        <v>0</v>
      </c>
      <c r="P14">
        <v>0</v>
      </c>
      <c r="Q14">
        <v>0.16800000000000001</v>
      </c>
      <c r="R14">
        <v>0.309</v>
      </c>
      <c r="S14">
        <v>7.2999999999999995E-2</v>
      </c>
      <c r="T14">
        <v>5.6000000000000001E-2</v>
      </c>
      <c r="U14">
        <v>0.151</v>
      </c>
    </row>
    <row r="15" spans="1:21" x14ac:dyDescent="0.25">
      <c r="A15">
        <v>12</v>
      </c>
      <c r="B15">
        <v>3.1160000000000001</v>
      </c>
      <c r="C15">
        <v>2.137</v>
      </c>
      <c r="D15">
        <v>1.5609999999999999</v>
      </c>
      <c r="E15">
        <v>1.3180000000000001</v>
      </c>
      <c r="F15">
        <v>0.98499999999999999</v>
      </c>
      <c r="G15">
        <v>0.39300000000000002</v>
      </c>
      <c r="H15">
        <v>1.296</v>
      </c>
      <c r="I15">
        <v>0</v>
      </c>
      <c r="J15">
        <v>0</v>
      </c>
      <c r="K15">
        <v>0</v>
      </c>
      <c r="L15">
        <v>0.188</v>
      </c>
      <c r="M15">
        <v>0.24</v>
      </c>
      <c r="N15">
        <v>0.55700000000000005</v>
      </c>
      <c r="O15">
        <v>0</v>
      </c>
      <c r="P15">
        <v>0</v>
      </c>
      <c r="Q15">
        <v>0.17699999999999999</v>
      </c>
      <c r="R15">
        <v>0.32</v>
      </c>
      <c r="S15">
        <v>7.0000000000000007E-2</v>
      </c>
      <c r="T15">
        <v>5.7000000000000002E-2</v>
      </c>
      <c r="U15">
        <v>0.151</v>
      </c>
    </row>
    <row r="16" spans="1:21" x14ac:dyDescent="0.25">
      <c r="A16">
        <v>13</v>
      </c>
      <c r="B16">
        <v>3.1219999999999999</v>
      </c>
      <c r="C16">
        <v>2.1440000000000001</v>
      </c>
      <c r="D16">
        <v>1.5649999999999999</v>
      </c>
      <c r="E16">
        <v>1.3240000000000001</v>
      </c>
      <c r="F16">
        <v>0.98599999999999999</v>
      </c>
      <c r="G16">
        <v>0.39300000000000002</v>
      </c>
      <c r="H16">
        <v>1.298</v>
      </c>
      <c r="I16">
        <v>0</v>
      </c>
      <c r="J16">
        <v>0</v>
      </c>
      <c r="K16">
        <v>0</v>
      </c>
      <c r="L16">
        <v>0.189</v>
      </c>
      <c r="M16">
        <v>0.24</v>
      </c>
      <c r="N16">
        <v>0.55800000000000005</v>
      </c>
      <c r="O16">
        <v>0</v>
      </c>
      <c r="P16">
        <v>0</v>
      </c>
      <c r="Q16">
        <v>0.17699999999999999</v>
      </c>
      <c r="R16">
        <v>0.32</v>
      </c>
      <c r="S16">
        <v>7.0000000000000007E-2</v>
      </c>
      <c r="T16">
        <v>5.7000000000000002E-2</v>
      </c>
      <c r="U16">
        <v>0.151</v>
      </c>
    </row>
    <row r="17" spans="1:21" x14ac:dyDescent="0.25">
      <c r="A17">
        <v>14</v>
      </c>
      <c r="B17">
        <v>3.1619999999999999</v>
      </c>
      <c r="C17">
        <v>2.1850000000000001</v>
      </c>
      <c r="D17">
        <v>1.589</v>
      </c>
      <c r="E17">
        <v>1.359</v>
      </c>
      <c r="F17">
        <v>0.995</v>
      </c>
      <c r="G17">
        <v>0.39300000000000002</v>
      </c>
      <c r="H17">
        <v>1.31</v>
      </c>
      <c r="I17">
        <v>0</v>
      </c>
      <c r="J17">
        <v>0</v>
      </c>
      <c r="K17">
        <v>0</v>
      </c>
      <c r="L17">
        <v>0.189</v>
      </c>
      <c r="M17">
        <v>0.24299999999999999</v>
      </c>
      <c r="N17">
        <v>0.56499999999999995</v>
      </c>
      <c r="O17">
        <v>0</v>
      </c>
      <c r="P17">
        <v>0</v>
      </c>
      <c r="Q17">
        <v>0.182</v>
      </c>
      <c r="R17">
        <v>0.32600000000000001</v>
      </c>
      <c r="S17">
        <v>6.9000000000000006E-2</v>
      </c>
      <c r="T17">
        <v>5.7000000000000002E-2</v>
      </c>
      <c r="U17">
        <v>0.152</v>
      </c>
    </row>
    <row r="18" spans="1:21" x14ac:dyDescent="0.25">
      <c r="A18">
        <v>15</v>
      </c>
      <c r="B18">
        <v>3.2170000000000001</v>
      </c>
      <c r="C18">
        <v>2.2410000000000001</v>
      </c>
      <c r="D18">
        <v>1.62</v>
      </c>
      <c r="E18">
        <v>1.4059999999999999</v>
      </c>
      <c r="F18">
        <v>1.0069999999999999</v>
      </c>
      <c r="G18">
        <v>0.39300000000000002</v>
      </c>
      <c r="H18">
        <v>1.3240000000000001</v>
      </c>
      <c r="I18">
        <v>0</v>
      </c>
      <c r="J18">
        <v>0</v>
      </c>
      <c r="K18">
        <v>0</v>
      </c>
      <c r="L18">
        <v>0.189</v>
      </c>
      <c r="M18">
        <v>0.248</v>
      </c>
      <c r="N18">
        <v>0.57499999999999996</v>
      </c>
      <c r="O18">
        <v>0</v>
      </c>
      <c r="P18">
        <v>0</v>
      </c>
      <c r="Q18">
        <v>0.189</v>
      </c>
      <c r="R18">
        <v>0.33600000000000002</v>
      </c>
      <c r="S18">
        <v>6.7000000000000004E-2</v>
      </c>
      <c r="T18">
        <v>5.8000000000000003E-2</v>
      </c>
      <c r="U18">
        <v>0.153</v>
      </c>
    </row>
    <row r="19" spans="1:21" x14ac:dyDescent="0.25">
      <c r="A19">
        <v>16</v>
      </c>
      <c r="B19">
        <v>3.2309999999999999</v>
      </c>
      <c r="C19">
        <v>2.2549999999999999</v>
      </c>
      <c r="D19">
        <v>1.6279999999999999</v>
      </c>
      <c r="E19">
        <v>1.4179999999999999</v>
      </c>
      <c r="F19">
        <v>1.0109999999999999</v>
      </c>
      <c r="G19">
        <v>0.39300000000000002</v>
      </c>
      <c r="H19">
        <v>1.327</v>
      </c>
      <c r="I19">
        <v>0</v>
      </c>
      <c r="J19">
        <v>0</v>
      </c>
      <c r="K19">
        <v>0</v>
      </c>
      <c r="L19">
        <v>0.189</v>
      </c>
      <c r="M19">
        <v>0.249</v>
      </c>
      <c r="N19">
        <v>0.57799999999999996</v>
      </c>
      <c r="O19">
        <v>0</v>
      </c>
      <c r="P19">
        <v>0</v>
      </c>
      <c r="Q19">
        <v>0.191</v>
      </c>
      <c r="R19">
        <v>0.33800000000000002</v>
      </c>
      <c r="S19">
        <v>6.6000000000000003E-2</v>
      </c>
      <c r="T19">
        <v>5.8000000000000003E-2</v>
      </c>
      <c r="U19">
        <v>0.153</v>
      </c>
    </row>
    <row r="20" spans="1:21" x14ac:dyDescent="0.25">
      <c r="A20">
        <v>17</v>
      </c>
      <c r="B20">
        <v>3.2189999999999999</v>
      </c>
      <c r="C20">
        <v>2.2429999999999999</v>
      </c>
      <c r="D20">
        <v>1.6220000000000001</v>
      </c>
      <c r="E20">
        <v>1.4079999999999999</v>
      </c>
      <c r="F20">
        <v>1.008</v>
      </c>
      <c r="G20">
        <v>0.39300000000000002</v>
      </c>
      <c r="H20">
        <v>1.3240000000000001</v>
      </c>
      <c r="I20">
        <v>0</v>
      </c>
      <c r="J20">
        <v>0</v>
      </c>
      <c r="K20">
        <v>0</v>
      </c>
      <c r="L20">
        <v>0.189</v>
      </c>
      <c r="M20">
        <v>0.248</v>
      </c>
      <c r="N20">
        <v>0.57599999999999996</v>
      </c>
      <c r="O20">
        <v>0</v>
      </c>
      <c r="P20">
        <v>0</v>
      </c>
      <c r="Q20">
        <v>0.189</v>
      </c>
      <c r="R20">
        <v>0.33600000000000002</v>
      </c>
      <c r="S20">
        <v>6.7000000000000004E-2</v>
      </c>
      <c r="T20">
        <v>5.8000000000000003E-2</v>
      </c>
      <c r="U20">
        <v>0.153</v>
      </c>
    </row>
    <row r="21" spans="1:21" x14ac:dyDescent="0.25">
      <c r="A21">
        <v>18</v>
      </c>
      <c r="B21">
        <v>3.1859999999999999</v>
      </c>
      <c r="C21">
        <v>2.2090000000000001</v>
      </c>
      <c r="D21">
        <v>1.603</v>
      </c>
      <c r="E21">
        <v>1.38</v>
      </c>
      <c r="F21">
        <v>1.0009999999999999</v>
      </c>
      <c r="G21">
        <v>0.39300000000000002</v>
      </c>
      <c r="H21">
        <v>1.3160000000000001</v>
      </c>
      <c r="I21">
        <v>0</v>
      </c>
      <c r="J21">
        <v>0</v>
      </c>
      <c r="K21">
        <v>0</v>
      </c>
      <c r="L21">
        <v>0.189</v>
      </c>
      <c r="M21">
        <v>0.245</v>
      </c>
      <c r="N21">
        <v>0.56999999999999995</v>
      </c>
      <c r="O21">
        <v>0</v>
      </c>
      <c r="P21">
        <v>0</v>
      </c>
      <c r="Q21">
        <v>0.185</v>
      </c>
      <c r="R21">
        <v>0.33100000000000002</v>
      </c>
      <c r="S21">
        <v>6.8000000000000005E-2</v>
      </c>
      <c r="T21">
        <v>5.7000000000000002E-2</v>
      </c>
      <c r="U21">
        <v>0.152</v>
      </c>
    </row>
    <row r="22" spans="1:21" x14ac:dyDescent="0.25">
      <c r="A22">
        <v>19</v>
      </c>
      <c r="B22">
        <v>3.3069999999999999</v>
      </c>
      <c r="C22">
        <v>2.3330000000000002</v>
      </c>
      <c r="D22">
        <v>1.6719999999999999</v>
      </c>
      <c r="E22">
        <v>1.484</v>
      </c>
      <c r="F22">
        <v>1.028</v>
      </c>
      <c r="G22">
        <v>0.39300000000000002</v>
      </c>
      <c r="H22">
        <v>1.347</v>
      </c>
      <c r="I22">
        <v>0</v>
      </c>
      <c r="J22">
        <v>0</v>
      </c>
      <c r="K22">
        <v>0</v>
      </c>
      <c r="L22">
        <v>0.189</v>
      </c>
      <c r="M22">
        <v>0.25600000000000001</v>
      </c>
      <c r="N22">
        <v>0.59099999999999997</v>
      </c>
      <c r="O22">
        <v>0</v>
      </c>
      <c r="P22">
        <v>0</v>
      </c>
      <c r="Q22">
        <v>0.20100000000000001</v>
      </c>
      <c r="R22">
        <v>0.35199999999999998</v>
      </c>
      <c r="S22">
        <v>6.3E-2</v>
      </c>
      <c r="T22">
        <v>5.8000000000000003E-2</v>
      </c>
      <c r="U22">
        <v>0.154</v>
      </c>
    </row>
    <row r="23" spans="1:21" x14ac:dyDescent="0.25">
      <c r="A23">
        <v>20</v>
      </c>
      <c r="B23">
        <v>3.351</v>
      </c>
      <c r="C23">
        <v>2.3769999999999998</v>
      </c>
      <c r="D23">
        <v>1.698</v>
      </c>
      <c r="E23">
        <v>1.5209999999999999</v>
      </c>
      <c r="F23">
        <v>1.0369999999999999</v>
      </c>
      <c r="G23">
        <v>0.39300000000000002</v>
      </c>
      <c r="H23">
        <v>1.359</v>
      </c>
      <c r="I23">
        <v>0</v>
      </c>
      <c r="J23">
        <v>0</v>
      </c>
      <c r="K23">
        <v>0</v>
      </c>
      <c r="L23">
        <v>0.189</v>
      </c>
      <c r="M23">
        <v>0.25900000000000001</v>
      </c>
      <c r="N23">
        <v>0.59899999999999998</v>
      </c>
      <c r="O23">
        <v>0</v>
      </c>
      <c r="P23">
        <v>0</v>
      </c>
      <c r="Q23">
        <v>0.20699999999999999</v>
      </c>
      <c r="R23">
        <v>0.35899999999999999</v>
      </c>
      <c r="S23">
        <v>6.0999999999999999E-2</v>
      </c>
      <c r="T23">
        <v>5.8999999999999997E-2</v>
      </c>
      <c r="U23">
        <v>0.154</v>
      </c>
    </row>
    <row r="24" spans="1:21" x14ac:dyDescent="0.25">
      <c r="A24">
        <v>21</v>
      </c>
      <c r="B24">
        <v>3.29</v>
      </c>
      <c r="C24">
        <v>2.3149999999999999</v>
      </c>
      <c r="D24">
        <v>1.6619999999999999</v>
      </c>
      <c r="E24">
        <v>1.4690000000000001</v>
      </c>
      <c r="F24">
        <v>1.024</v>
      </c>
      <c r="G24">
        <v>0.39300000000000002</v>
      </c>
      <c r="H24">
        <v>1.343</v>
      </c>
      <c r="I24">
        <v>0</v>
      </c>
      <c r="J24">
        <v>0</v>
      </c>
      <c r="K24">
        <v>0</v>
      </c>
      <c r="L24">
        <v>0.189</v>
      </c>
      <c r="M24">
        <v>0.254</v>
      </c>
      <c r="N24">
        <v>0.58799999999999997</v>
      </c>
      <c r="O24">
        <v>0</v>
      </c>
      <c r="P24">
        <v>0</v>
      </c>
      <c r="Q24">
        <v>0.19900000000000001</v>
      </c>
      <c r="R24">
        <v>0.34899999999999998</v>
      </c>
      <c r="S24">
        <v>6.4000000000000001E-2</v>
      </c>
      <c r="T24">
        <v>5.8000000000000003E-2</v>
      </c>
      <c r="U24">
        <v>0.153</v>
      </c>
    </row>
    <row r="25" spans="1:21" x14ac:dyDescent="0.25">
      <c r="A25">
        <v>22</v>
      </c>
      <c r="B25">
        <v>3.1720000000000002</v>
      </c>
      <c r="C25">
        <v>2.1949999999999998</v>
      </c>
      <c r="D25">
        <v>1.595</v>
      </c>
      <c r="E25">
        <v>1.3680000000000001</v>
      </c>
      <c r="F25">
        <v>0.997</v>
      </c>
      <c r="G25">
        <v>0.39300000000000002</v>
      </c>
      <c r="H25">
        <v>1.3120000000000001</v>
      </c>
      <c r="I25">
        <v>0</v>
      </c>
      <c r="J25">
        <v>0</v>
      </c>
      <c r="K25">
        <v>0</v>
      </c>
      <c r="L25">
        <v>0.189</v>
      </c>
      <c r="M25">
        <v>0.24399999999999999</v>
      </c>
      <c r="N25">
        <v>0.56699999999999995</v>
      </c>
      <c r="O25">
        <v>0</v>
      </c>
      <c r="P25">
        <v>0</v>
      </c>
      <c r="Q25">
        <v>0.183</v>
      </c>
      <c r="R25">
        <v>0.32800000000000001</v>
      </c>
      <c r="S25">
        <v>6.9000000000000006E-2</v>
      </c>
      <c r="T25">
        <v>5.7000000000000002E-2</v>
      </c>
      <c r="U25">
        <v>0.152</v>
      </c>
    </row>
    <row r="26" spans="1:21" x14ac:dyDescent="0.25">
      <c r="A26">
        <v>23</v>
      </c>
      <c r="B26">
        <v>3</v>
      </c>
      <c r="C26">
        <v>2.0179999999999998</v>
      </c>
      <c r="D26">
        <v>1.492</v>
      </c>
      <c r="E26">
        <v>1.2609999999999999</v>
      </c>
      <c r="F26">
        <v>0.95799999999999996</v>
      </c>
      <c r="G26">
        <v>0.39300000000000002</v>
      </c>
      <c r="H26">
        <v>1.264</v>
      </c>
      <c r="I26">
        <v>0</v>
      </c>
      <c r="J26">
        <v>0</v>
      </c>
      <c r="K26">
        <v>0</v>
      </c>
      <c r="L26">
        <v>0.186</v>
      </c>
      <c r="M26">
        <v>0.23100000000000001</v>
      </c>
      <c r="N26">
        <v>0.53700000000000003</v>
      </c>
      <c r="O26">
        <v>0</v>
      </c>
      <c r="P26">
        <v>0</v>
      </c>
      <c r="Q26">
        <v>0.16500000000000001</v>
      </c>
      <c r="R26">
        <v>0.30299999999999999</v>
      </c>
      <c r="S26">
        <v>7.1999999999999995E-2</v>
      </c>
      <c r="T26">
        <v>5.5E-2</v>
      </c>
      <c r="U26">
        <v>0.14899999999999999</v>
      </c>
    </row>
    <row r="27" spans="1:21" x14ac:dyDescent="0.25">
      <c r="A27">
        <v>24</v>
      </c>
      <c r="B27">
        <v>2.88</v>
      </c>
      <c r="C27">
        <v>1.8959999999999999</v>
      </c>
      <c r="D27">
        <v>1.425</v>
      </c>
      <c r="E27">
        <v>1.228</v>
      </c>
      <c r="F27">
        <v>0.93200000000000005</v>
      </c>
      <c r="G27">
        <v>0.39300000000000002</v>
      </c>
      <c r="H27">
        <v>1.236</v>
      </c>
      <c r="I27">
        <v>0</v>
      </c>
      <c r="J27">
        <v>0</v>
      </c>
      <c r="K27">
        <v>0</v>
      </c>
      <c r="L27">
        <v>0.189</v>
      </c>
      <c r="M27">
        <v>0.22</v>
      </c>
      <c r="N27">
        <v>0.51400000000000001</v>
      </c>
      <c r="O27">
        <v>0</v>
      </c>
      <c r="P27">
        <v>0</v>
      </c>
      <c r="Q27">
        <v>0.14399999999999999</v>
      </c>
      <c r="R27">
        <v>0.27700000000000002</v>
      </c>
      <c r="S27">
        <v>0.08</v>
      </c>
      <c r="T27">
        <v>5.5E-2</v>
      </c>
      <c r="U27">
        <v>0.14899999999999999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48</v>
      </c>
    </row>
    <row r="3" spans="1:15" x14ac:dyDescent="0.25">
      <c r="A3" s="2" t="s">
        <v>15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</row>
    <row r="4" spans="1:15" x14ac:dyDescent="0.25">
      <c r="A4">
        <v>1</v>
      </c>
      <c r="B4">
        <v>0</v>
      </c>
      <c r="C4">
        <v>-3.2111999999999998</v>
      </c>
      <c r="D4">
        <v>-8.7352000000000007</v>
      </c>
      <c r="E4">
        <v>-7.4362000000000004</v>
      </c>
      <c r="F4">
        <v>-6.3997999999999999</v>
      </c>
      <c r="G4">
        <v>-10.993499999999999</v>
      </c>
      <c r="H4">
        <v>-10.0815</v>
      </c>
      <c r="I4">
        <v>-10.0815</v>
      </c>
      <c r="J4">
        <v>-11.473000000000001</v>
      </c>
      <c r="K4">
        <v>-11.7127</v>
      </c>
      <c r="L4">
        <v>-11.5108</v>
      </c>
      <c r="M4">
        <v>-11.8307</v>
      </c>
      <c r="N4">
        <v>-11.952199999999999</v>
      </c>
      <c r="O4">
        <v>-12.6639</v>
      </c>
    </row>
    <row r="5" spans="1:15" x14ac:dyDescent="0.25">
      <c r="A5">
        <v>2</v>
      </c>
      <c r="B5">
        <v>0</v>
      </c>
      <c r="C5">
        <v>-3.0935000000000001</v>
      </c>
      <c r="D5">
        <v>-8.5079999999999991</v>
      </c>
      <c r="E5">
        <v>-7.2089999999999996</v>
      </c>
      <c r="F5">
        <v>-6.2003000000000004</v>
      </c>
      <c r="G5">
        <v>-10.652100000000001</v>
      </c>
      <c r="H5">
        <v>-9.7707999999999995</v>
      </c>
      <c r="I5">
        <v>-9.7707999999999995</v>
      </c>
      <c r="J5">
        <v>-11.118399999999999</v>
      </c>
      <c r="K5">
        <v>-11.350300000000001</v>
      </c>
      <c r="L5">
        <v>-11.154</v>
      </c>
      <c r="M5">
        <v>-11.4633</v>
      </c>
      <c r="N5">
        <v>-11.581099999999999</v>
      </c>
      <c r="O5">
        <v>-12.2714</v>
      </c>
    </row>
    <row r="6" spans="1:15" x14ac:dyDescent="0.25">
      <c r="A6">
        <v>3</v>
      </c>
      <c r="B6">
        <v>0</v>
      </c>
      <c r="C6">
        <v>-3.0047999999999999</v>
      </c>
      <c r="D6">
        <v>-8.3366000000000007</v>
      </c>
      <c r="E6">
        <v>-7.0376000000000003</v>
      </c>
      <c r="F6">
        <v>-6.0499000000000001</v>
      </c>
      <c r="G6">
        <v>-10.394600000000001</v>
      </c>
      <c r="H6">
        <v>-9.5364000000000004</v>
      </c>
      <c r="I6">
        <v>-9.5364000000000004</v>
      </c>
      <c r="J6">
        <v>-10.850899999999999</v>
      </c>
      <c r="K6">
        <v>-11.0769</v>
      </c>
      <c r="L6">
        <v>-10.8849</v>
      </c>
      <c r="M6">
        <v>-11.186199999999999</v>
      </c>
      <c r="N6">
        <v>-11.3012</v>
      </c>
      <c r="O6">
        <v>-11.9754</v>
      </c>
    </row>
    <row r="7" spans="1:15" x14ac:dyDescent="0.25">
      <c r="A7">
        <v>4</v>
      </c>
      <c r="B7">
        <v>0</v>
      </c>
      <c r="C7">
        <v>-2.9661</v>
      </c>
      <c r="D7">
        <v>-8.2620000000000005</v>
      </c>
      <c r="E7">
        <v>-6.9630999999999998</v>
      </c>
      <c r="F7">
        <v>-5.9843999999999999</v>
      </c>
      <c r="G7">
        <v>-10.2826</v>
      </c>
      <c r="H7">
        <v>-9.4344999999999999</v>
      </c>
      <c r="I7">
        <v>-9.4344999999999999</v>
      </c>
      <c r="J7">
        <v>-10.7346</v>
      </c>
      <c r="K7">
        <v>-10.958</v>
      </c>
      <c r="L7">
        <v>-10.767799999999999</v>
      </c>
      <c r="M7">
        <v>-11.0656</v>
      </c>
      <c r="N7">
        <v>-11.179399999999999</v>
      </c>
      <c r="O7">
        <v>-11.8466</v>
      </c>
    </row>
    <row r="8" spans="1:15" x14ac:dyDescent="0.25">
      <c r="A8">
        <v>5</v>
      </c>
      <c r="B8">
        <v>0</v>
      </c>
      <c r="C8">
        <v>-3.0524</v>
      </c>
      <c r="D8">
        <v>-8.4285999999999994</v>
      </c>
      <c r="E8">
        <v>-7.1295999999999999</v>
      </c>
      <c r="F8">
        <v>-6.1307</v>
      </c>
      <c r="G8">
        <v>-10.5329</v>
      </c>
      <c r="H8">
        <v>-9.6622000000000003</v>
      </c>
      <c r="I8">
        <v>-9.6622000000000003</v>
      </c>
      <c r="J8">
        <v>-10.9945</v>
      </c>
      <c r="K8">
        <v>-11.223599999999999</v>
      </c>
      <c r="L8">
        <v>-11.029400000000001</v>
      </c>
      <c r="M8">
        <v>-11.334899999999999</v>
      </c>
      <c r="N8">
        <v>-11.451499999999999</v>
      </c>
      <c r="O8">
        <v>-12.1343</v>
      </c>
    </row>
    <row r="9" spans="1:15" x14ac:dyDescent="0.25">
      <c r="A9">
        <v>6</v>
      </c>
      <c r="B9">
        <v>0</v>
      </c>
      <c r="C9">
        <v>-3.2149000000000001</v>
      </c>
      <c r="D9">
        <v>-8.7422000000000004</v>
      </c>
      <c r="E9">
        <v>-7.4432</v>
      </c>
      <c r="F9">
        <v>-6.4059999999999997</v>
      </c>
      <c r="G9">
        <v>-11.004099999999999</v>
      </c>
      <c r="H9">
        <v>-10.091100000000001</v>
      </c>
      <c r="I9">
        <v>-10.091100000000001</v>
      </c>
      <c r="J9">
        <v>-11.484</v>
      </c>
      <c r="K9">
        <v>-11.7239</v>
      </c>
      <c r="L9">
        <v>-11.5219</v>
      </c>
      <c r="M9">
        <v>-11.842000000000001</v>
      </c>
      <c r="N9">
        <v>-11.963699999999999</v>
      </c>
      <c r="O9">
        <v>-12.676</v>
      </c>
    </row>
    <row r="10" spans="1:15" x14ac:dyDescent="0.25">
      <c r="A10">
        <v>7</v>
      </c>
      <c r="B10">
        <v>0</v>
      </c>
      <c r="C10">
        <v>-3.3024</v>
      </c>
      <c r="D10">
        <v>-8.9176000000000002</v>
      </c>
      <c r="E10">
        <v>-7.6186999999999996</v>
      </c>
      <c r="F10">
        <v>-6.5570000000000004</v>
      </c>
      <c r="G10">
        <v>-11.251899999999999</v>
      </c>
      <c r="H10">
        <v>-10.3866</v>
      </c>
      <c r="I10">
        <v>-10.3866</v>
      </c>
      <c r="J10">
        <v>-11.773899999999999</v>
      </c>
      <c r="K10">
        <v>-12.010899999999999</v>
      </c>
      <c r="L10">
        <v>-11.792</v>
      </c>
      <c r="M10">
        <v>-12.1045</v>
      </c>
      <c r="N10">
        <v>-12.2301</v>
      </c>
      <c r="O10">
        <v>-12.9694</v>
      </c>
    </row>
    <row r="11" spans="1:15" x14ac:dyDescent="0.25">
      <c r="A11">
        <v>8</v>
      </c>
      <c r="B11">
        <v>0</v>
      </c>
      <c r="C11">
        <v>-3.6185999999999998</v>
      </c>
      <c r="D11">
        <v>-9.5474999999999994</v>
      </c>
      <c r="E11">
        <v>-8.2484999999999999</v>
      </c>
      <c r="F11">
        <v>-7.1007999999999996</v>
      </c>
      <c r="G11">
        <v>-12.150499999999999</v>
      </c>
      <c r="H11">
        <v>-11.416600000000001</v>
      </c>
      <c r="I11">
        <v>-11.5572</v>
      </c>
      <c r="J11">
        <v>-12.8057</v>
      </c>
      <c r="K11">
        <v>-13.0375</v>
      </c>
      <c r="L11">
        <v>-12.764900000000001</v>
      </c>
      <c r="M11">
        <v>-13.0587</v>
      </c>
      <c r="N11">
        <v>-13.197800000000001</v>
      </c>
      <c r="O11">
        <v>-14.028</v>
      </c>
    </row>
    <row r="12" spans="1:15" x14ac:dyDescent="0.25">
      <c r="A12">
        <v>9</v>
      </c>
      <c r="B12">
        <v>0</v>
      </c>
      <c r="C12">
        <v>-3.8153999999999999</v>
      </c>
      <c r="D12">
        <v>-9.9247999999999994</v>
      </c>
      <c r="E12">
        <v>-8.6258999999999997</v>
      </c>
      <c r="F12">
        <v>-7.4332000000000003</v>
      </c>
      <c r="G12">
        <v>-12.7235</v>
      </c>
      <c r="H12">
        <v>-11.911300000000001</v>
      </c>
      <c r="I12">
        <v>-12.009600000000001</v>
      </c>
      <c r="J12">
        <v>-13.388500000000001</v>
      </c>
      <c r="K12">
        <v>-13.636699999999999</v>
      </c>
      <c r="L12">
        <v>-13.3596</v>
      </c>
      <c r="M12">
        <v>-13.677099999999999</v>
      </c>
      <c r="N12">
        <v>-13.8218</v>
      </c>
      <c r="O12">
        <v>-14.6836</v>
      </c>
    </row>
    <row r="13" spans="1:15" x14ac:dyDescent="0.25">
      <c r="A13">
        <v>10</v>
      </c>
      <c r="B13">
        <v>0</v>
      </c>
      <c r="C13">
        <v>-3.9155000000000002</v>
      </c>
      <c r="D13">
        <v>-10.1104</v>
      </c>
      <c r="E13">
        <v>-8.8114000000000008</v>
      </c>
      <c r="F13">
        <v>-7.5997000000000003</v>
      </c>
      <c r="G13">
        <v>-13.021599999999999</v>
      </c>
      <c r="H13">
        <v>-12.0968</v>
      </c>
      <c r="I13">
        <v>-12.237399999999999</v>
      </c>
      <c r="J13">
        <v>-13.658300000000001</v>
      </c>
      <c r="K13">
        <v>-13.9237</v>
      </c>
      <c r="L13">
        <v>-13.657400000000001</v>
      </c>
      <c r="M13">
        <v>-14.003</v>
      </c>
      <c r="N13">
        <v>-14.1495</v>
      </c>
      <c r="O13">
        <v>-15.0159</v>
      </c>
    </row>
    <row r="14" spans="1:15" x14ac:dyDescent="0.25">
      <c r="A14">
        <v>11</v>
      </c>
      <c r="B14">
        <v>0</v>
      </c>
      <c r="C14">
        <v>-4.0195999999999996</v>
      </c>
      <c r="D14">
        <v>-10.303100000000001</v>
      </c>
      <c r="E14">
        <v>-9.0040999999999993</v>
      </c>
      <c r="F14">
        <v>-7.7727000000000004</v>
      </c>
      <c r="G14">
        <v>-13.331200000000001</v>
      </c>
      <c r="H14">
        <v>-12.2895</v>
      </c>
      <c r="I14">
        <v>-12.337300000000001</v>
      </c>
      <c r="J14">
        <v>-13.938599999999999</v>
      </c>
      <c r="K14">
        <v>-14.2218</v>
      </c>
      <c r="L14">
        <v>-13.966799999999999</v>
      </c>
      <c r="M14">
        <v>-14.3416</v>
      </c>
      <c r="N14">
        <v>-14.489800000000001</v>
      </c>
      <c r="O14">
        <v>-15.3611</v>
      </c>
    </row>
    <row r="15" spans="1:15" x14ac:dyDescent="0.25">
      <c r="A15">
        <v>12</v>
      </c>
      <c r="B15">
        <v>0</v>
      </c>
      <c r="C15">
        <v>-4.0918999999999999</v>
      </c>
      <c r="D15">
        <v>-10.435</v>
      </c>
      <c r="E15">
        <v>-9.1359999999999992</v>
      </c>
      <c r="F15">
        <v>-7.8918999999999997</v>
      </c>
      <c r="G15">
        <v>-13.546900000000001</v>
      </c>
      <c r="H15">
        <v>-12.4054</v>
      </c>
      <c r="I15">
        <v>-12.4054</v>
      </c>
      <c r="J15">
        <v>-14.125299999999999</v>
      </c>
      <c r="K15">
        <v>-14.4232</v>
      </c>
      <c r="L15">
        <v>-14.179399999999999</v>
      </c>
      <c r="M15">
        <v>-14.5785</v>
      </c>
      <c r="N15">
        <v>-14.727600000000001</v>
      </c>
      <c r="O15">
        <v>-15.599299999999999</v>
      </c>
    </row>
    <row r="16" spans="1:15" x14ac:dyDescent="0.25">
      <c r="A16">
        <v>13</v>
      </c>
      <c r="B16">
        <v>0</v>
      </c>
      <c r="C16">
        <v>-4.1006999999999998</v>
      </c>
      <c r="D16">
        <v>-10.452</v>
      </c>
      <c r="E16">
        <v>-9.1530000000000005</v>
      </c>
      <c r="F16">
        <v>-7.9067999999999996</v>
      </c>
      <c r="G16">
        <v>-13.5723</v>
      </c>
      <c r="H16">
        <v>-12.428800000000001</v>
      </c>
      <c r="I16">
        <v>-12.429</v>
      </c>
      <c r="J16">
        <v>-14.1518</v>
      </c>
      <c r="K16">
        <v>-14.4503</v>
      </c>
      <c r="L16">
        <v>-14.206</v>
      </c>
      <c r="M16">
        <v>-14.6058</v>
      </c>
      <c r="N16">
        <v>-14.7552</v>
      </c>
      <c r="O16">
        <v>-15.628500000000001</v>
      </c>
    </row>
    <row r="17" spans="1:15" x14ac:dyDescent="0.25">
      <c r="A17">
        <v>14</v>
      </c>
      <c r="B17">
        <v>0</v>
      </c>
      <c r="C17">
        <v>-4.1528999999999998</v>
      </c>
      <c r="D17">
        <v>-10.5496</v>
      </c>
      <c r="E17">
        <v>-9.2506000000000004</v>
      </c>
      <c r="F17">
        <v>-7.9938000000000002</v>
      </c>
      <c r="G17">
        <v>-13.7255</v>
      </c>
      <c r="H17">
        <v>-12.536</v>
      </c>
      <c r="I17">
        <v>-12.536</v>
      </c>
      <c r="J17">
        <v>-14.295999999999999</v>
      </c>
      <c r="K17">
        <v>-14.601900000000001</v>
      </c>
      <c r="L17">
        <v>-14.361000000000001</v>
      </c>
      <c r="M17">
        <v>-14.7727</v>
      </c>
      <c r="N17">
        <v>-14.9231</v>
      </c>
      <c r="O17">
        <v>-15.800700000000001</v>
      </c>
    </row>
    <row r="18" spans="1:15" x14ac:dyDescent="0.25">
      <c r="A18">
        <v>15</v>
      </c>
      <c r="B18">
        <v>0</v>
      </c>
      <c r="C18">
        <v>-4.2252999999999998</v>
      </c>
      <c r="D18">
        <v>-10.683299999999999</v>
      </c>
      <c r="E18">
        <v>-9.3842999999999996</v>
      </c>
      <c r="F18">
        <v>-8.1136999999999997</v>
      </c>
      <c r="G18">
        <v>-13.939299999999999</v>
      </c>
      <c r="H18">
        <v>-12.669700000000001</v>
      </c>
      <c r="I18">
        <v>-12.669700000000001</v>
      </c>
      <c r="J18">
        <v>-14.489699999999999</v>
      </c>
      <c r="K18">
        <v>-14.8078</v>
      </c>
      <c r="L18">
        <v>-14.5747</v>
      </c>
      <c r="M18">
        <v>-15.0063</v>
      </c>
      <c r="N18">
        <v>-15.157999999999999</v>
      </c>
      <c r="O18">
        <v>-16.038900000000002</v>
      </c>
    </row>
    <row r="19" spans="1:15" x14ac:dyDescent="0.25">
      <c r="A19">
        <v>16</v>
      </c>
      <c r="B19">
        <v>0</v>
      </c>
      <c r="C19">
        <v>-4.2432999999999996</v>
      </c>
      <c r="D19">
        <v>-10.7166</v>
      </c>
      <c r="E19">
        <v>-9.4176000000000002</v>
      </c>
      <c r="F19">
        <v>-8.1435999999999993</v>
      </c>
      <c r="G19">
        <v>-13.992599999999999</v>
      </c>
      <c r="H19">
        <v>-12.702999999999999</v>
      </c>
      <c r="I19">
        <v>-12.6997</v>
      </c>
      <c r="J19">
        <v>-14.538</v>
      </c>
      <c r="K19">
        <v>-14.8592</v>
      </c>
      <c r="L19">
        <v>-14.628</v>
      </c>
      <c r="M19">
        <v>-15.0646</v>
      </c>
      <c r="N19">
        <v>-15.2165</v>
      </c>
      <c r="O19">
        <v>-16.098299999999998</v>
      </c>
    </row>
    <row r="20" spans="1:15" x14ac:dyDescent="0.25">
      <c r="A20">
        <v>17</v>
      </c>
      <c r="B20">
        <v>0</v>
      </c>
      <c r="C20">
        <v>-4.2278000000000002</v>
      </c>
      <c r="D20">
        <v>-10.687799999999999</v>
      </c>
      <c r="E20">
        <v>-9.3888999999999996</v>
      </c>
      <c r="F20">
        <v>-8.1178000000000008</v>
      </c>
      <c r="G20">
        <v>-13.9466</v>
      </c>
      <c r="H20">
        <v>-12.674200000000001</v>
      </c>
      <c r="I20">
        <v>-12.5336</v>
      </c>
      <c r="J20">
        <v>-14.4963</v>
      </c>
      <c r="K20">
        <v>-14.8149</v>
      </c>
      <c r="L20">
        <v>-14.582000000000001</v>
      </c>
      <c r="M20">
        <v>-15.0143</v>
      </c>
      <c r="N20">
        <v>-15.166</v>
      </c>
      <c r="O20">
        <v>-16.0471</v>
      </c>
    </row>
    <row r="21" spans="1:15" x14ac:dyDescent="0.25">
      <c r="A21">
        <v>18</v>
      </c>
      <c r="B21">
        <v>0</v>
      </c>
      <c r="C21">
        <v>-4.1848000000000001</v>
      </c>
      <c r="D21">
        <v>-10.6084</v>
      </c>
      <c r="E21">
        <v>-9.3094000000000001</v>
      </c>
      <c r="F21">
        <v>-8.0465999999999998</v>
      </c>
      <c r="G21">
        <v>-13.819599999999999</v>
      </c>
      <c r="H21">
        <v>-12.594799999999999</v>
      </c>
      <c r="I21">
        <v>-12.501799999999999</v>
      </c>
      <c r="J21">
        <v>-14.3812</v>
      </c>
      <c r="K21">
        <v>-14.692500000000001</v>
      </c>
      <c r="L21">
        <v>-14.4551</v>
      </c>
      <c r="M21">
        <v>-14.875500000000001</v>
      </c>
      <c r="N21">
        <v>-15.0265</v>
      </c>
      <c r="O21">
        <v>-15.9055</v>
      </c>
    </row>
    <row r="22" spans="1:15" x14ac:dyDescent="0.25">
      <c r="A22">
        <v>19</v>
      </c>
      <c r="B22">
        <v>0</v>
      </c>
      <c r="C22">
        <v>-4.3433000000000002</v>
      </c>
      <c r="D22">
        <v>-10.901400000000001</v>
      </c>
      <c r="E22">
        <v>-9.6023999999999994</v>
      </c>
      <c r="F22">
        <v>-8.3093000000000004</v>
      </c>
      <c r="G22">
        <v>-14.288</v>
      </c>
      <c r="H22">
        <v>-12.8878</v>
      </c>
      <c r="I22">
        <v>-12.8878</v>
      </c>
      <c r="J22">
        <v>-14.8058</v>
      </c>
      <c r="K22">
        <v>-15.1439</v>
      </c>
      <c r="L22">
        <v>-14.923299999999999</v>
      </c>
      <c r="M22">
        <v>-15.387499999999999</v>
      </c>
      <c r="N22">
        <v>-15.5411</v>
      </c>
      <c r="O22">
        <v>-16.427600000000002</v>
      </c>
    </row>
    <row r="23" spans="1:15" x14ac:dyDescent="0.25">
      <c r="A23">
        <v>20</v>
      </c>
      <c r="B23">
        <v>0</v>
      </c>
      <c r="C23">
        <v>-4.4009</v>
      </c>
      <c r="D23">
        <v>-11.0078</v>
      </c>
      <c r="E23">
        <v>-9.7088999999999999</v>
      </c>
      <c r="F23">
        <v>-8.4047999999999998</v>
      </c>
      <c r="G23">
        <v>-14.4582</v>
      </c>
      <c r="H23">
        <v>-12.994199999999999</v>
      </c>
      <c r="I23">
        <v>-12.8536</v>
      </c>
      <c r="J23">
        <v>-14.96</v>
      </c>
      <c r="K23">
        <v>-15.3079</v>
      </c>
      <c r="L23">
        <v>-15.093400000000001</v>
      </c>
      <c r="M23">
        <v>-15.573499999999999</v>
      </c>
      <c r="N23">
        <v>-15.7281</v>
      </c>
      <c r="O23">
        <v>-16.6173</v>
      </c>
    </row>
    <row r="24" spans="1:15" x14ac:dyDescent="0.25">
      <c r="A24">
        <v>21</v>
      </c>
      <c r="B24">
        <v>0</v>
      </c>
      <c r="C24">
        <v>-4.3204000000000002</v>
      </c>
      <c r="D24">
        <v>-10.859</v>
      </c>
      <c r="E24">
        <v>-9.5601000000000003</v>
      </c>
      <c r="F24">
        <v>-8.2713999999999999</v>
      </c>
      <c r="G24">
        <v>-14.2203</v>
      </c>
      <c r="H24">
        <v>-12.845499999999999</v>
      </c>
      <c r="I24">
        <v>-12.7049</v>
      </c>
      <c r="J24">
        <v>-14.744400000000001</v>
      </c>
      <c r="K24">
        <v>-15.0787</v>
      </c>
      <c r="L24">
        <v>-14.855700000000001</v>
      </c>
      <c r="M24">
        <v>-15.313499999999999</v>
      </c>
      <c r="N24">
        <v>-15.466799999999999</v>
      </c>
      <c r="O24">
        <v>-16.3522</v>
      </c>
    </row>
    <row r="25" spans="1:15" x14ac:dyDescent="0.25">
      <c r="A25">
        <v>22</v>
      </c>
      <c r="B25">
        <v>0</v>
      </c>
      <c r="C25">
        <v>-4.1664000000000003</v>
      </c>
      <c r="D25">
        <v>-10.5745</v>
      </c>
      <c r="E25">
        <v>-9.2754999999999992</v>
      </c>
      <c r="F25">
        <v>-8.0161999999999995</v>
      </c>
      <c r="G25">
        <v>-13.7654</v>
      </c>
      <c r="H25">
        <v>-12.5609</v>
      </c>
      <c r="I25">
        <v>-12.5609</v>
      </c>
      <c r="J25">
        <v>-14.332100000000001</v>
      </c>
      <c r="K25">
        <v>-14.6402</v>
      </c>
      <c r="L25">
        <v>-14.4009</v>
      </c>
      <c r="M25">
        <v>-14.8162</v>
      </c>
      <c r="N25">
        <v>-14.966900000000001</v>
      </c>
      <c r="O25">
        <v>-15.8451</v>
      </c>
    </row>
    <row r="26" spans="1:15" x14ac:dyDescent="0.25">
      <c r="A26">
        <v>23</v>
      </c>
      <c r="B26">
        <v>0</v>
      </c>
      <c r="C26">
        <v>-3.9403000000000001</v>
      </c>
      <c r="D26">
        <v>-10.150399999999999</v>
      </c>
      <c r="E26">
        <v>-8.8513999999999999</v>
      </c>
      <c r="F26">
        <v>-7.6384999999999996</v>
      </c>
      <c r="G26">
        <v>-13.1008</v>
      </c>
      <c r="H26">
        <v>-12.0844</v>
      </c>
      <c r="I26">
        <v>-12.126799999999999</v>
      </c>
      <c r="J26">
        <v>-13.7014</v>
      </c>
      <c r="K26">
        <v>-13.9788</v>
      </c>
      <c r="L26">
        <v>-13.726800000000001</v>
      </c>
      <c r="M26">
        <v>-14.093400000000001</v>
      </c>
      <c r="N26">
        <v>-14.2392</v>
      </c>
      <c r="O26">
        <v>-15.0968</v>
      </c>
    </row>
    <row r="27" spans="1:15" x14ac:dyDescent="0.25">
      <c r="A27">
        <v>24</v>
      </c>
      <c r="B27">
        <v>0</v>
      </c>
      <c r="C27">
        <v>-3.7827000000000002</v>
      </c>
      <c r="D27">
        <v>-9.8642000000000003</v>
      </c>
      <c r="E27">
        <v>-8.5653000000000006</v>
      </c>
      <c r="F27">
        <v>-7.3788999999999998</v>
      </c>
      <c r="G27">
        <v>-12.6264</v>
      </c>
      <c r="H27">
        <v>-11.8498</v>
      </c>
      <c r="I27">
        <v>-11.990399999999999</v>
      </c>
      <c r="J27">
        <v>-13.3001</v>
      </c>
      <c r="K27">
        <v>-13.5428</v>
      </c>
      <c r="L27">
        <v>-13.2623</v>
      </c>
      <c r="M27">
        <v>-13.571</v>
      </c>
      <c r="N27">
        <v>-13.7151</v>
      </c>
      <c r="O27">
        <v>-14.575200000000001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selection activeCell="C10" sqref="C10:D11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63</v>
      </c>
    </row>
    <row r="3" spans="1:4" x14ac:dyDescent="0.25">
      <c r="A3" s="2" t="s">
        <v>64</v>
      </c>
      <c r="B3" s="2" t="s">
        <v>65</v>
      </c>
      <c r="C3" s="2" t="s">
        <v>66</v>
      </c>
      <c r="D3" s="2" t="s">
        <v>67</v>
      </c>
    </row>
    <row r="4" spans="1:4" x14ac:dyDescent="0.25">
      <c r="A4" t="s">
        <v>68</v>
      </c>
      <c r="B4" t="s">
        <v>49</v>
      </c>
      <c r="C4" t="s">
        <v>69</v>
      </c>
      <c r="D4" t="s">
        <v>70</v>
      </c>
    </row>
    <row r="5" spans="1:4" x14ac:dyDescent="0.25">
      <c r="A5" t="s">
        <v>68</v>
      </c>
      <c r="B5" t="s">
        <v>50</v>
      </c>
      <c r="C5" t="s">
        <v>69</v>
      </c>
      <c r="D5" t="s">
        <v>70</v>
      </c>
    </row>
    <row r="6" spans="1:4" x14ac:dyDescent="0.25">
      <c r="A6" t="s">
        <v>68</v>
      </c>
      <c r="B6" t="s">
        <v>51</v>
      </c>
      <c r="C6" t="s">
        <v>69</v>
      </c>
      <c r="D6" t="s">
        <v>70</v>
      </c>
    </row>
    <row r="7" spans="1:4" x14ac:dyDescent="0.25">
      <c r="A7" t="s">
        <v>68</v>
      </c>
      <c r="B7" t="s">
        <v>52</v>
      </c>
      <c r="C7" t="s">
        <v>69</v>
      </c>
      <c r="D7" t="s">
        <v>70</v>
      </c>
    </row>
    <row r="8" spans="1:4" x14ac:dyDescent="0.25">
      <c r="A8" t="s">
        <v>68</v>
      </c>
      <c r="B8" t="s">
        <v>53</v>
      </c>
      <c r="C8" t="s">
        <v>69</v>
      </c>
      <c r="D8" t="s">
        <v>70</v>
      </c>
    </row>
    <row r="9" spans="1:4" x14ac:dyDescent="0.25">
      <c r="A9" t="s">
        <v>68</v>
      </c>
      <c r="B9" t="s">
        <v>54</v>
      </c>
      <c r="C9" t="s">
        <v>69</v>
      </c>
      <c r="D9" t="s">
        <v>70</v>
      </c>
    </row>
    <row r="10" spans="1:4" x14ac:dyDescent="0.25">
      <c r="A10" t="s">
        <v>68</v>
      </c>
      <c r="B10" t="s">
        <v>55</v>
      </c>
      <c r="C10" t="s">
        <v>71</v>
      </c>
      <c r="D10" t="s">
        <v>72</v>
      </c>
    </row>
    <row r="11" spans="1:4" x14ac:dyDescent="0.25">
      <c r="A11" t="s">
        <v>68</v>
      </c>
      <c r="B11" t="s">
        <v>56</v>
      </c>
      <c r="C11" t="s">
        <v>73</v>
      </c>
      <c r="D11" t="s">
        <v>74</v>
      </c>
    </row>
    <row r="12" spans="1:4" x14ac:dyDescent="0.25">
      <c r="A12" t="s">
        <v>68</v>
      </c>
      <c r="B12" t="s">
        <v>57</v>
      </c>
      <c r="C12" t="s">
        <v>69</v>
      </c>
      <c r="D12" t="s">
        <v>70</v>
      </c>
    </row>
    <row r="13" spans="1:4" x14ac:dyDescent="0.25">
      <c r="A13" t="s">
        <v>68</v>
      </c>
      <c r="B13" t="s">
        <v>58</v>
      </c>
      <c r="C13" t="s">
        <v>69</v>
      </c>
      <c r="D13" t="s">
        <v>70</v>
      </c>
    </row>
    <row r="14" spans="1:4" x14ac:dyDescent="0.25">
      <c r="A14" t="s">
        <v>68</v>
      </c>
      <c r="B14" t="s">
        <v>59</v>
      </c>
      <c r="C14" t="s">
        <v>69</v>
      </c>
      <c r="D14" t="s">
        <v>70</v>
      </c>
    </row>
    <row r="15" spans="1:4" x14ac:dyDescent="0.25">
      <c r="A15" t="s">
        <v>68</v>
      </c>
      <c r="B15" t="s">
        <v>60</v>
      </c>
      <c r="C15" t="s">
        <v>69</v>
      </c>
      <c r="D15" t="s">
        <v>70</v>
      </c>
    </row>
    <row r="16" spans="1:4" x14ac:dyDescent="0.25">
      <c r="A16" t="s">
        <v>68</v>
      </c>
      <c r="B16" t="s">
        <v>61</v>
      </c>
      <c r="C16" t="s">
        <v>69</v>
      </c>
      <c r="D16" t="s">
        <v>70</v>
      </c>
    </row>
    <row r="17" spans="1:4" x14ac:dyDescent="0.25">
      <c r="A17" t="s">
        <v>68</v>
      </c>
      <c r="B17" t="s">
        <v>62</v>
      </c>
      <c r="C17" t="s">
        <v>69</v>
      </c>
      <c r="D17" t="s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0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75</v>
      </c>
    </row>
    <row r="3" spans="1:4" x14ac:dyDescent="0.25">
      <c r="A3" s="2" t="s">
        <v>15</v>
      </c>
      <c r="B3" s="2" t="s">
        <v>76</v>
      </c>
      <c r="C3" s="2" t="s">
        <v>77</v>
      </c>
      <c r="D3" s="2" t="s">
        <v>78</v>
      </c>
    </row>
    <row r="4" spans="1:4" x14ac:dyDescent="0.25">
      <c r="A4">
        <v>1</v>
      </c>
      <c r="B4">
        <v>0</v>
      </c>
      <c r="C4">
        <v>0</v>
      </c>
      <c r="D4">
        <v>0</v>
      </c>
    </row>
    <row r="5" spans="1:4" x14ac:dyDescent="0.25">
      <c r="A5">
        <v>2</v>
      </c>
      <c r="B5">
        <v>0</v>
      </c>
      <c r="C5">
        <v>0</v>
      </c>
      <c r="D5">
        <v>0</v>
      </c>
    </row>
    <row r="6" spans="1:4" x14ac:dyDescent="0.25">
      <c r="A6">
        <v>3</v>
      </c>
      <c r="B6">
        <v>0</v>
      </c>
      <c r="C6">
        <v>0</v>
      </c>
      <c r="D6">
        <v>0</v>
      </c>
    </row>
    <row r="7" spans="1:4" x14ac:dyDescent="0.25">
      <c r="A7">
        <v>4</v>
      </c>
      <c r="B7">
        <v>0</v>
      </c>
      <c r="C7">
        <v>0</v>
      </c>
      <c r="D7">
        <v>0</v>
      </c>
    </row>
    <row r="8" spans="1:4" x14ac:dyDescent="0.25">
      <c r="A8">
        <v>5</v>
      </c>
      <c r="B8">
        <v>0</v>
      </c>
      <c r="C8">
        <v>0</v>
      </c>
      <c r="D8">
        <v>0</v>
      </c>
    </row>
    <row r="9" spans="1:4" x14ac:dyDescent="0.25">
      <c r="A9">
        <v>6</v>
      </c>
      <c r="B9">
        <v>0</v>
      </c>
      <c r="C9">
        <v>0</v>
      </c>
      <c r="D9">
        <v>0</v>
      </c>
    </row>
    <row r="10" spans="1:4" x14ac:dyDescent="0.25">
      <c r="A10">
        <v>7</v>
      </c>
      <c r="B10">
        <v>0</v>
      </c>
      <c r="C10">
        <v>0</v>
      </c>
      <c r="D10">
        <v>0</v>
      </c>
    </row>
    <row r="11" spans="1:4" x14ac:dyDescent="0.25">
      <c r="A11">
        <v>8</v>
      </c>
      <c r="B11">
        <v>0</v>
      </c>
      <c r="C11">
        <v>0</v>
      </c>
      <c r="D11">
        <v>0</v>
      </c>
    </row>
    <row r="12" spans="1:4" x14ac:dyDescent="0.25">
      <c r="A12">
        <v>9</v>
      </c>
      <c r="B12">
        <v>0</v>
      </c>
      <c r="C12">
        <v>0</v>
      </c>
      <c r="D12">
        <v>0</v>
      </c>
    </row>
    <row r="13" spans="1:4" x14ac:dyDescent="0.25">
      <c r="A13">
        <v>10</v>
      </c>
      <c r="B13">
        <v>0</v>
      </c>
      <c r="C13">
        <v>0</v>
      </c>
      <c r="D13">
        <v>0</v>
      </c>
    </row>
    <row r="14" spans="1:4" x14ac:dyDescent="0.25">
      <c r="A14">
        <v>11</v>
      </c>
      <c r="B14">
        <v>0</v>
      </c>
      <c r="C14">
        <v>0</v>
      </c>
      <c r="D14">
        <v>0</v>
      </c>
    </row>
    <row r="15" spans="1:4" x14ac:dyDescent="0.25">
      <c r="A15">
        <v>12</v>
      </c>
      <c r="B15">
        <v>0</v>
      </c>
      <c r="C15">
        <v>0</v>
      </c>
      <c r="D15">
        <v>0</v>
      </c>
    </row>
    <row r="16" spans="1:4" x14ac:dyDescent="0.25">
      <c r="A16">
        <v>13</v>
      </c>
      <c r="B16">
        <v>0</v>
      </c>
      <c r="C16">
        <v>0</v>
      </c>
      <c r="D16">
        <v>0</v>
      </c>
    </row>
    <row r="17" spans="1:4" x14ac:dyDescent="0.25">
      <c r="A17">
        <v>14</v>
      </c>
      <c r="B17">
        <v>0</v>
      </c>
      <c r="C17">
        <v>0</v>
      </c>
      <c r="D17">
        <v>0</v>
      </c>
    </row>
    <row r="18" spans="1:4" x14ac:dyDescent="0.25">
      <c r="A18">
        <v>15</v>
      </c>
      <c r="B18">
        <v>0</v>
      </c>
      <c r="C18">
        <v>0</v>
      </c>
      <c r="D18">
        <v>0</v>
      </c>
    </row>
    <row r="19" spans="1:4" x14ac:dyDescent="0.25">
      <c r="A19">
        <v>16</v>
      </c>
      <c r="B19">
        <v>0</v>
      </c>
      <c r="C19">
        <v>0</v>
      </c>
      <c r="D19">
        <v>0</v>
      </c>
    </row>
    <row r="20" spans="1:4" x14ac:dyDescent="0.25">
      <c r="A20">
        <v>17</v>
      </c>
      <c r="B20">
        <v>0</v>
      </c>
      <c r="C20">
        <v>0</v>
      </c>
      <c r="D20">
        <v>0</v>
      </c>
    </row>
    <row r="21" spans="1:4" x14ac:dyDescent="0.25">
      <c r="A21">
        <v>18</v>
      </c>
      <c r="B21">
        <v>0</v>
      </c>
      <c r="C21">
        <v>0</v>
      </c>
      <c r="D21">
        <v>0</v>
      </c>
    </row>
    <row r="22" spans="1:4" x14ac:dyDescent="0.25">
      <c r="A22">
        <v>19</v>
      </c>
      <c r="B22">
        <v>0</v>
      </c>
      <c r="C22">
        <v>0</v>
      </c>
      <c r="D22">
        <v>0</v>
      </c>
    </row>
    <row r="23" spans="1:4" x14ac:dyDescent="0.25">
      <c r="A23">
        <v>20</v>
      </c>
      <c r="B23">
        <v>0</v>
      </c>
      <c r="C23">
        <v>0</v>
      </c>
      <c r="D23">
        <v>0</v>
      </c>
    </row>
    <row r="24" spans="1:4" x14ac:dyDescent="0.25">
      <c r="A24">
        <v>21</v>
      </c>
      <c r="B24">
        <v>0</v>
      </c>
      <c r="C24">
        <v>0</v>
      </c>
      <c r="D24">
        <v>0</v>
      </c>
    </row>
    <row r="25" spans="1:4" x14ac:dyDescent="0.25">
      <c r="A25">
        <v>22</v>
      </c>
      <c r="B25">
        <v>0</v>
      </c>
      <c r="C25">
        <v>0</v>
      </c>
      <c r="D25">
        <v>0</v>
      </c>
    </row>
    <row r="26" spans="1:4" x14ac:dyDescent="0.25">
      <c r="A26">
        <v>23</v>
      </c>
      <c r="B26">
        <v>0</v>
      </c>
      <c r="C26">
        <v>0</v>
      </c>
      <c r="D26">
        <v>0</v>
      </c>
    </row>
    <row r="27" spans="1:4" x14ac:dyDescent="0.25">
      <c r="A27">
        <v>24</v>
      </c>
      <c r="B27">
        <v>0</v>
      </c>
      <c r="C27">
        <v>0</v>
      </c>
      <c r="D27">
        <v>0</v>
      </c>
    </row>
    <row r="30" spans="1:4" ht="17.25" x14ac:dyDescent="0.3">
      <c r="A30" s="1" t="s">
        <v>79</v>
      </c>
    </row>
    <row r="32" spans="1:4" x14ac:dyDescent="0.25">
      <c r="A32" s="2" t="s">
        <v>15</v>
      </c>
      <c r="B32" s="2" t="s">
        <v>76</v>
      </c>
      <c r="C32" s="2" t="s">
        <v>77</v>
      </c>
      <c r="D32" s="2" t="s">
        <v>78</v>
      </c>
    </row>
    <row r="33" spans="1:4" x14ac:dyDescent="0.25">
      <c r="A33">
        <v>1</v>
      </c>
      <c r="B33">
        <v>0</v>
      </c>
      <c r="C33">
        <v>0</v>
      </c>
      <c r="D33">
        <v>0</v>
      </c>
    </row>
    <row r="34" spans="1:4" x14ac:dyDescent="0.25">
      <c r="A34">
        <v>2</v>
      </c>
      <c r="B34">
        <v>0</v>
      </c>
      <c r="C34">
        <v>0</v>
      </c>
      <c r="D34">
        <v>0</v>
      </c>
    </row>
    <row r="35" spans="1:4" x14ac:dyDescent="0.25">
      <c r="A35">
        <v>3</v>
      </c>
      <c r="B35">
        <v>0</v>
      </c>
      <c r="C35">
        <v>0</v>
      </c>
      <c r="D35">
        <v>0</v>
      </c>
    </row>
    <row r="36" spans="1:4" x14ac:dyDescent="0.25">
      <c r="A36">
        <v>4</v>
      </c>
      <c r="B36">
        <v>0</v>
      </c>
      <c r="C36">
        <v>0</v>
      </c>
      <c r="D36">
        <v>0</v>
      </c>
    </row>
    <row r="37" spans="1:4" x14ac:dyDescent="0.25">
      <c r="A37">
        <v>5</v>
      </c>
      <c r="B37">
        <v>0</v>
      </c>
      <c r="C37">
        <v>0</v>
      </c>
      <c r="D37">
        <v>0</v>
      </c>
    </row>
    <row r="38" spans="1:4" x14ac:dyDescent="0.25">
      <c r="A38">
        <v>6</v>
      </c>
      <c r="B38">
        <v>0</v>
      </c>
      <c r="C38">
        <v>0</v>
      </c>
      <c r="D38">
        <v>0</v>
      </c>
    </row>
    <row r="39" spans="1:4" x14ac:dyDescent="0.25">
      <c r="A39">
        <v>7</v>
      </c>
      <c r="B39">
        <v>0</v>
      </c>
      <c r="C39">
        <v>0</v>
      </c>
      <c r="D39">
        <v>0</v>
      </c>
    </row>
    <row r="40" spans="1:4" x14ac:dyDescent="0.25">
      <c r="A40">
        <v>8</v>
      </c>
      <c r="B40">
        <v>0</v>
      </c>
      <c r="C40">
        <v>0</v>
      </c>
      <c r="D40">
        <v>0</v>
      </c>
    </row>
    <row r="41" spans="1:4" x14ac:dyDescent="0.25">
      <c r="A41">
        <v>9</v>
      </c>
      <c r="B41">
        <v>0</v>
      </c>
      <c r="C41">
        <v>0</v>
      </c>
      <c r="D41">
        <v>0</v>
      </c>
    </row>
    <row r="42" spans="1:4" x14ac:dyDescent="0.25">
      <c r="A42">
        <v>10</v>
      </c>
      <c r="B42">
        <v>0</v>
      </c>
      <c r="C42">
        <v>0</v>
      </c>
      <c r="D42">
        <v>0</v>
      </c>
    </row>
    <row r="43" spans="1:4" x14ac:dyDescent="0.25">
      <c r="A43">
        <v>11</v>
      </c>
      <c r="B43">
        <v>0</v>
      </c>
      <c r="C43">
        <v>0</v>
      </c>
      <c r="D43">
        <v>0</v>
      </c>
    </row>
    <row r="44" spans="1:4" x14ac:dyDescent="0.25">
      <c r="A44">
        <v>12</v>
      </c>
      <c r="B44">
        <v>0</v>
      </c>
      <c r="C44">
        <v>0</v>
      </c>
      <c r="D44">
        <v>0</v>
      </c>
    </row>
    <row r="45" spans="1:4" x14ac:dyDescent="0.25">
      <c r="A45">
        <v>13</v>
      </c>
      <c r="B45">
        <v>0</v>
      </c>
      <c r="C45">
        <v>0</v>
      </c>
      <c r="D45">
        <v>0</v>
      </c>
    </row>
    <row r="46" spans="1:4" x14ac:dyDescent="0.25">
      <c r="A46">
        <v>14</v>
      </c>
      <c r="B46">
        <v>0</v>
      </c>
      <c r="C46">
        <v>0</v>
      </c>
      <c r="D46">
        <v>0</v>
      </c>
    </row>
    <row r="47" spans="1:4" x14ac:dyDescent="0.25">
      <c r="A47">
        <v>15</v>
      </c>
      <c r="B47">
        <v>0</v>
      </c>
      <c r="C47">
        <v>0</v>
      </c>
      <c r="D47">
        <v>0</v>
      </c>
    </row>
    <row r="48" spans="1:4" x14ac:dyDescent="0.25">
      <c r="A48">
        <v>16</v>
      </c>
      <c r="B48">
        <v>0</v>
      </c>
      <c r="C48">
        <v>0</v>
      </c>
      <c r="D48">
        <v>0</v>
      </c>
    </row>
    <row r="49" spans="1:4" x14ac:dyDescent="0.25">
      <c r="A49">
        <v>17</v>
      </c>
      <c r="B49">
        <v>0</v>
      </c>
      <c r="C49">
        <v>0</v>
      </c>
      <c r="D49">
        <v>0</v>
      </c>
    </row>
    <row r="50" spans="1:4" x14ac:dyDescent="0.25">
      <c r="A50">
        <v>18</v>
      </c>
      <c r="B50">
        <v>0</v>
      </c>
      <c r="C50">
        <v>0</v>
      </c>
      <c r="D50">
        <v>0</v>
      </c>
    </row>
    <row r="51" spans="1:4" x14ac:dyDescent="0.25">
      <c r="A51">
        <v>19</v>
      </c>
      <c r="B51">
        <v>0</v>
      </c>
      <c r="C51">
        <v>0</v>
      </c>
      <c r="D51">
        <v>0</v>
      </c>
    </row>
    <row r="52" spans="1:4" x14ac:dyDescent="0.25">
      <c r="A52">
        <v>20</v>
      </c>
      <c r="B52">
        <v>0</v>
      </c>
      <c r="C52">
        <v>0</v>
      </c>
      <c r="D52">
        <v>0</v>
      </c>
    </row>
    <row r="53" spans="1:4" x14ac:dyDescent="0.25">
      <c r="A53">
        <v>21</v>
      </c>
      <c r="B53">
        <v>0</v>
      </c>
      <c r="C53">
        <v>0</v>
      </c>
      <c r="D53">
        <v>0</v>
      </c>
    </row>
    <row r="54" spans="1:4" x14ac:dyDescent="0.25">
      <c r="A54">
        <v>22</v>
      </c>
      <c r="B54">
        <v>0</v>
      </c>
      <c r="C54">
        <v>0</v>
      </c>
      <c r="D54">
        <v>0</v>
      </c>
    </row>
    <row r="55" spans="1:4" x14ac:dyDescent="0.25">
      <c r="A55">
        <v>23</v>
      </c>
      <c r="B55">
        <v>0</v>
      </c>
      <c r="C55">
        <v>0</v>
      </c>
      <c r="D55">
        <v>0</v>
      </c>
    </row>
    <row r="56" spans="1:4" x14ac:dyDescent="0.25">
      <c r="A56">
        <v>24</v>
      </c>
      <c r="B56">
        <v>0</v>
      </c>
      <c r="C56">
        <v>0</v>
      </c>
      <c r="D56">
        <v>0</v>
      </c>
    </row>
    <row r="59" spans="1:4" ht="17.25" x14ac:dyDescent="0.3">
      <c r="A59" s="1" t="s">
        <v>80</v>
      </c>
    </row>
    <row r="61" spans="1:4" x14ac:dyDescent="0.25">
      <c r="A61" s="2" t="s">
        <v>15</v>
      </c>
      <c r="B61" s="2" t="s">
        <v>76</v>
      </c>
      <c r="C61" s="2" t="s">
        <v>77</v>
      </c>
      <c r="D61" s="2" t="s">
        <v>78</v>
      </c>
    </row>
    <row r="62" spans="1:4" x14ac:dyDescent="0.25">
      <c r="A62">
        <v>1</v>
      </c>
      <c r="B62">
        <v>0</v>
      </c>
      <c r="C62">
        <v>0</v>
      </c>
      <c r="D62">
        <v>0</v>
      </c>
    </row>
    <row r="63" spans="1:4" x14ac:dyDescent="0.25">
      <c r="A63">
        <v>2</v>
      </c>
      <c r="B63">
        <v>0</v>
      </c>
      <c r="C63">
        <v>0</v>
      </c>
      <c r="D63">
        <v>0</v>
      </c>
    </row>
    <row r="64" spans="1:4" x14ac:dyDescent="0.25">
      <c r="A64">
        <v>3</v>
      </c>
      <c r="B64">
        <v>0</v>
      </c>
      <c r="C64">
        <v>0</v>
      </c>
      <c r="D64">
        <v>0</v>
      </c>
    </row>
    <row r="65" spans="1:4" x14ac:dyDescent="0.25">
      <c r="A65">
        <v>4</v>
      </c>
      <c r="B65">
        <v>0</v>
      </c>
      <c r="C65">
        <v>0</v>
      </c>
      <c r="D65">
        <v>0</v>
      </c>
    </row>
    <row r="66" spans="1:4" x14ac:dyDescent="0.25">
      <c r="A66">
        <v>5</v>
      </c>
      <c r="B66">
        <v>0</v>
      </c>
      <c r="C66">
        <v>0</v>
      </c>
      <c r="D66">
        <v>0</v>
      </c>
    </row>
    <row r="67" spans="1:4" x14ac:dyDescent="0.25">
      <c r="A67">
        <v>6</v>
      </c>
      <c r="B67">
        <v>0</v>
      </c>
      <c r="C67">
        <v>0</v>
      </c>
      <c r="D67">
        <v>0</v>
      </c>
    </row>
    <row r="68" spans="1:4" x14ac:dyDescent="0.25">
      <c r="A68">
        <v>7</v>
      </c>
      <c r="B68">
        <v>0</v>
      </c>
      <c r="C68">
        <v>0</v>
      </c>
      <c r="D68">
        <v>0</v>
      </c>
    </row>
    <row r="69" spans="1:4" x14ac:dyDescent="0.25">
      <c r="A69">
        <v>8</v>
      </c>
      <c r="B69">
        <v>0</v>
      </c>
      <c r="C69">
        <v>0</v>
      </c>
      <c r="D69">
        <v>0</v>
      </c>
    </row>
    <row r="70" spans="1:4" x14ac:dyDescent="0.25">
      <c r="A70">
        <v>9</v>
      </c>
      <c r="B70">
        <v>0</v>
      </c>
      <c r="C70">
        <v>0</v>
      </c>
      <c r="D70">
        <v>0</v>
      </c>
    </row>
    <row r="71" spans="1:4" x14ac:dyDescent="0.25">
      <c r="A71">
        <v>10</v>
      </c>
      <c r="B71">
        <v>0</v>
      </c>
      <c r="C71">
        <v>0</v>
      </c>
      <c r="D71">
        <v>0</v>
      </c>
    </row>
    <row r="72" spans="1:4" x14ac:dyDescent="0.25">
      <c r="A72">
        <v>11</v>
      </c>
      <c r="B72">
        <v>0</v>
      </c>
      <c r="C72">
        <v>0</v>
      </c>
      <c r="D72">
        <v>0</v>
      </c>
    </row>
    <row r="73" spans="1:4" x14ac:dyDescent="0.25">
      <c r="A73">
        <v>12</v>
      </c>
      <c r="B73">
        <v>0</v>
      </c>
      <c r="C73">
        <v>0</v>
      </c>
      <c r="D73">
        <v>0</v>
      </c>
    </row>
    <row r="74" spans="1:4" x14ac:dyDescent="0.25">
      <c r="A74">
        <v>13</v>
      </c>
      <c r="B74">
        <v>0</v>
      </c>
      <c r="C74">
        <v>0</v>
      </c>
      <c r="D74">
        <v>0</v>
      </c>
    </row>
    <row r="75" spans="1:4" x14ac:dyDescent="0.25">
      <c r="A75">
        <v>14</v>
      </c>
      <c r="B75">
        <v>0</v>
      </c>
      <c r="C75">
        <v>0</v>
      </c>
      <c r="D75">
        <v>0</v>
      </c>
    </row>
    <row r="76" spans="1:4" x14ac:dyDescent="0.25">
      <c r="A76">
        <v>15</v>
      </c>
      <c r="B76">
        <v>0</v>
      </c>
      <c r="C76">
        <v>0</v>
      </c>
      <c r="D76">
        <v>0</v>
      </c>
    </row>
    <row r="77" spans="1:4" x14ac:dyDescent="0.25">
      <c r="A77">
        <v>16</v>
      </c>
      <c r="B77">
        <v>0</v>
      </c>
      <c r="C77">
        <v>0</v>
      </c>
      <c r="D77">
        <v>0</v>
      </c>
    </row>
    <row r="78" spans="1:4" x14ac:dyDescent="0.25">
      <c r="A78">
        <v>17</v>
      </c>
      <c r="B78">
        <v>0</v>
      </c>
      <c r="C78">
        <v>0</v>
      </c>
      <c r="D78">
        <v>0</v>
      </c>
    </row>
    <row r="79" spans="1:4" x14ac:dyDescent="0.25">
      <c r="A79">
        <v>18</v>
      </c>
      <c r="B79">
        <v>0</v>
      </c>
      <c r="C79">
        <v>0</v>
      </c>
      <c r="D79">
        <v>0</v>
      </c>
    </row>
    <row r="80" spans="1:4" x14ac:dyDescent="0.25">
      <c r="A80">
        <v>19</v>
      </c>
      <c r="B80">
        <v>0</v>
      </c>
      <c r="C80">
        <v>0</v>
      </c>
      <c r="D80">
        <v>0</v>
      </c>
    </row>
    <row r="81" spans="1:4" x14ac:dyDescent="0.25">
      <c r="A81">
        <v>20</v>
      </c>
      <c r="B81">
        <v>0</v>
      </c>
      <c r="C81">
        <v>0</v>
      </c>
      <c r="D81">
        <v>0</v>
      </c>
    </row>
    <row r="82" spans="1:4" x14ac:dyDescent="0.25">
      <c r="A82">
        <v>21</v>
      </c>
      <c r="B82">
        <v>0</v>
      </c>
      <c r="C82">
        <v>0</v>
      </c>
      <c r="D82">
        <v>0</v>
      </c>
    </row>
    <row r="83" spans="1:4" x14ac:dyDescent="0.25">
      <c r="A83">
        <v>22</v>
      </c>
      <c r="B83">
        <v>0</v>
      </c>
      <c r="C83">
        <v>0</v>
      </c>
      <c r="D83">
        <v>0</v>
      </c>
    </row>
    <row r="84" spans="1:4" x14ac:dyDescent="0.25">
      <c r="A84">
        <v>23</v>
      </c>
      <c r="B84">
        <v>0</v>
      </c>
      <c r="C84">
        <v>0</v>
      </c>
      <c r="D84">
        <v>0</v>
      </c>
    </row>
    <row r="85" spans="1:4" x14ac:dyDescent="0.25">
      <c r="A85">
        <v>24</v>
      </c>
      <c r="B85">
        <v>0</v>
      </c>
      <c r="C85">
        <v>0</v>
      </c>
      <c r="D85">
        <v>0</v>
      </c>
    </row>
    <row r="88" spans="1:4" ht="17.25" x14ac:dyDescent="0.3">
      <c r="A88" s="1" t="s">
        <v>81</v>
      </c>
    </row>
    <row r="90" spans="1:4" x14ac:dyDescent="0.25">
      <c r="A90" s="2" t="s">
        <v>15</v>
      </c>
      <c r="B90" s="2" t="s">
        <v>76</v>
      </c>
      <c r="C90" s="2" t="s">
        <v>77</v>
      </c>
      <c r="D90" s="2" t="s">
        <v>78</v>
      </c>
    </row>
    <row r="91" spans="1:4" x14ac:dyDescent="0.25">
      <c r="A91">
        <v>1</v>
      </c>
      <c r="B91">
        <v>0</v>
      </c>
      <c r="C91">
        <v>0</v>
      </c>
      <c r="D91">
        <v>0</v>
      </c>
    </row>
    <row r="92" spans="1:4" x14ac:dyDescent="0.25">
      <c r="A92">
        <v>2</v>
      </c>
      <c r="B92">
        <v>0</v>
      </c>
      <c r="C92">
        <v>0</v>
      </c>
      <c r="D92">
        <v>0</v>
      </c>
    </row>
    <row r="93" spans="1:4" x14ac:dyDescent="0.25">
      <c r="A93">
        <v>3</v>
      </c>
      <c r="B93">
        <v>0</v>
      </c>
      <c r="C93">
        <v>0</v>
      </c>
      <c r="D93">
        <v>0</v>
      </c>
    </row>
    <row r="94" spans="1:4" x14ac:dyDescent="0.25">
      <c r="A94">
        <v>4</v>
      </c>
      <c r="B94">
        <v>0</v>
      </c>
      <c r="C94">
        <v>0</v>
      </c>
      <c r="D94">
        <v>0</v>
      </c>
    </row>
    <row r="95" spans="1:4" x14ac:dyDescent="0.25">
      <c r="A95">
        <v>5</v>
      </c>
      <c r="B95">
        <v>0</v>
      </c>
      <c r="C95">
        <v>0</v>
      </c>
      <c r="D95">
        <v>0</v>
      </c>
    </row>
    <row r="96" spans="1:4" x14ac:dyDescent="0.25">
      <c r="A96">
        <v>6</v>
      </c>
      <c r="B96">
        <v>0</v>
      </c>
      <c r="C96">
        <v>0</v>
      </c>
      <c r="D96">
        <v>0</v>
      </c>
    </row>
    <row r="97" spans="1:4" x14ac:dyDescent="0.25">
      <c r="A97">
        <v>7</v>
      </c>
      <c r="B97">
        <v>0</v>
      </c>
      <c r="C97">
        <v>0</v>
      </c>
      <c r="D97">
        <v>0</v>
      </c>
    </row>
    <row r="98" spans="1:4" x14ac:dyDescent="0.25">
      <c r="A98">
        <v>8</v>
      </c>
      <c r="B98">
        <v>0</v>
      </c>
      <c r="C98">
        <v>0</v>
      </c>
      <c r="D98">
        <v>0</v>
      </c>
    </row>
    <row r="99" spans="1:4" x14ac:dyDescent="0.25">
      <c r="A99">
        <v>9</v>
      </c>
      <c r="B99">
        <v>0</v>
      </c>
      <c r="C99">
        <v>0</v>
      </c>
      <c r="D99">
        <v>0</v>
      </c>
    </row>
    <row r="100" spans="1:4" x14ac:dyDescent="0.25">
      <c r="A100">
        <v>10</v>
      </c>
      <c r="B100">
        <v>0</v>
      </c>
      <c r="C100">
        <v>0</v>
      </c>
      <c r="D100">
        <v>0</v>
      </c>
    </row>
    <row r="101" spans="1:4" x14ac:dyDescent="0.25">
      <c r="A101">
        <v>11</v>
      </c>
      <c r="B101">
        <v>0</v>
      </c>
      <c r="C101">
        <v>0</v>
      </c>
      <c r="D101">
        <v>0</v>
      </c>
    </row>
    <row r="102" spans="1:4" x14ac:dyDescent="0.25">
      <c r="A102">
        <v>12</v>
      </c>
      <c r="B102">
        <v>0</v>
      </c>
      <c r="C102">
        <v>0</v>
      </c>
      <c r="D102">
        <v>0</v>
      </c>
    </row>
    <row r="103" spans="1:4" x14ac:dyDescent="0.25">
      <c r="A103">
        <v>13</v>
      </c>
      <c r="B103">
        <v>0</v>
      </c>
      <c r="C103">
        <v>0</v>
      </c>
      <c r="D103">
        <v>0</v>
      </c>
    </row>
    <row r="104" spans="1:4" x14ac:dyDescent="0.25">
      <c r="A104">
        <v>14</v>
      </c>
      <c r="B104">
        <v>0</v>
      </c>
      <c r="C104">
        <v>0</v>
      </c>
      <c r="D104">
        <v>0</v>
      </c>
    </row>
    <row r="105" spans="1:4" x14ac:dyDescent="0.25">
      <c r="A105">
        <v>15</v>
      </c>
      <c r="B105">
        <v>0</v>
      </c>
      <c r="C105">
        <v>0</v>
      </c>
      <c r="D105">
        <v>0</v>
      </c>
    </row>
    <row r="106" spans="1:4" x14ac:dyDescent="0.25">
      <c r="A106">
        <v>16</v>
      </c>
      <c r="B106">
        <v>0</v>
      </c>
      <c r="C106">
        <v>0</v>
      </c>
      <c r="D106">
        <v>0</v>
      </c>
    </row>
    <row r="107" spans="1:4" x14ac:dyDescent="0.25">
      <c r="A107">
        <v>17</v>
      </c>
      <c r="B107">
        <v>0</v>
      </c>
      <c r="C107">
        <v>0</v>
      </c>
      <c r="D107">
        <v>0</v>
      </c>
    </row>
    <row r="108" spans="1:4" x14ac:dyDescent="0.25">
      <c r="A108">
        <v>18</v>
      </c>
      <c r="B108">
        <v>0</v>
      </c>
      <c r="C108">
        <v>0</v>
      </c>
      <c r="D108">
        <v>0</v>
      </c>
    </row>
    <row r="109" spans="1:4" x14ac:dyDescent="0.25">
      <c r="A109">
        <v>19</v>
      </c>
      <c r="B109">
        <v>0</v>
      </c>
      <c r="C109">
        <v>0</v>
      </c>
      <c r="D109">
        <v>0</v>
      </c>
    </row>
    <row r="110" spans="1:4" x14ac:dyDescent="0.25">
      <c r="A110">
        <v>20</v>
      </c>
      <c r="B110">
        <v>0</v>
      </c>
      <c r="C110">
        <v>0</v>
      </c>
      <c r="D110">
        <v>0</v>
      </c>
    </row>
    <row r="111" spans="1:4" x14ac:dyDescent="0.25">
      <c r="A111">
        <v>21</v>
      </c>
      <c r="B111">
        <v>0</v>
      </c>
      <c r="C111">
        <v>0</v>
      </c>
      <c r="D111">
        <v>0</v>
      </c>
    </row>
    <row r="112" spans="1:4" x14ac:dyDescent="0.25">
      <c r="A112">
        <v>22</v>
      </c>
      <c r="B112">
        <v>0</v>
      </c>
      <c r="C112">
        <v>0</v>
      </c>
      <c r="D112">
        <v>0</v>
      </c>
    </row>
    <row r="113" spans="1:4" x14ac:dyDescent="0.25">
      <c r="A113">
        <v>23</v>
      </c>
      <c r="B113">
        <v>0</v>
      </c>
      <c r="C113">
        <v>0</v>
      </c>
      <c r="D113">
        <v>0</v>
      </c>
    </row>
    <row r="114" spans="1:4" x14ac:dyDescent="0.25">
      <c r="A114">
        <v>24</v>
      </c>
      <c r="B114">
        <v>0</v>
      </c>
      <c r="C114">
        <v>0</v>
      </c>
      <c r="D114">
        <v>0</v>
      </c>
    </row>
    <row r="117" spans="1:4" ht="17.25" x14ac:dyDescent="0.3">
      <c r="A117" s="1" t="s">
        <v>82</v>
      </c>
    </row>
    <row r="119" spans="1:4" x14ac:dyDescent="0.25">
      <c r="A119" s="2" t="s">
        <v>15</v>
      </c>
      <c r="B119" s="2" t="s">
        <v>76</v>
      </c>
      <c r="C119" s="2" t="s">
        <v>77</v>
      </c>
      <c r="D119" s="2" t="s">
        <v>78</v>
      </c>
    </row>
    <row r="120" spans="1:4" x14ac:dyDescent="0.25">
      <c r="A120">
        <v>1</v>
      </c>
      <c r="B120">
        <v>0</v>
      </c>
      <c r="C120">
        <v>0</v>
      </c>
      <c r="D120">
        <v>0</v>
      </c>
    </row>
    <row r="121" spans="1:4" x14ac:dyDescent="0.25">
      <c r="A121">
        <v>2</v>
      </c>
      <c r="B121">
        <v>0</v>
      </c>
      <c r="C121">
        <v>0</v>
      </c>
      <c r="D121">
        <v>0</v>
      </c>
    </row>
    <row r="122" spans="1:4" x14ac:dyDescent="0.25">
      <c r="A122">
        <v>3</v>
      </c>
      <c r="B122">
        <v>0</v>
      </c>
      <c r="C122">
        <v>0</v>
      </c>
      <c r="D122">
        <v>0</v>
      </c>
    </row>
    <row r="123" spans="1:4" x14ac:dyDescent="0.25">
      <c r="A123">
        <v>4</v>
      </c>
      <c r="B123">
        <v>0</v>
      </c>
      <c r="C123">
        <v>0</v>
      </c>
      <c r="D123">
        <v>0</v>
      </c>
    </row>
    <row r="124" spans="1:4" x14ac:dyDescent="0.25">
      <c r="A124">
        <v>5</v>
      </c>
      <c r="B124">
        <v>0</v>
      </c>
      <c r="C124">
        <v>0</v>
      </c>
      <c r="D124">
        <v>0</v>
      </c>
    </row>
    <row r="125" spans="1:4" x14ac:dyDescent="0.25">
      <c r="A125">
        <v>6</v>
      </c>
      <c r="B125">
        <v>0</v>
      </c>
      <c r="C125">
        <v>0</v>
      </c>
      <c r="D125">
        <v>0</v>
      </c>
    </row>
    <row r="126" spans="1:4" x14ac:dyDescent="0.25">
      <c r="A126">
        <v>7</v>
      </c>
      <c r="B126">
        <v>0</v>
      </c>
      <c r="C126">
        <v>0</v>
      </c>
      <c r="D126">
        <v>0</v>
      </c>
    </row>
    <row r="127" spans="1:4" x14ac:dyDescent="0.25">
      <c r="A127">
        <v>8</v>
      </c>
      <c r="B127">
        <v>0</v>
      </c>
      <c r="C127">
        <v>0</v>
      </c>
      <c r="D127">
        <v>0</v>
      </c>
    </row>
    <row r="128" spans="1:4" x14ac:dyDescent="0.25">
      <c r="A128">
        <v>9</v>
      </c>
      <c r="B128">
        <v>0</v>
      </c>
      <c r="C128">
        <v>0</v>
      </c>
      <c r="D128">
        <v>0</v>
      </c>
    </row>
    <row r="129" spans="1:4" x14ac:dyDescent="0.25">
      <c r="A129">
        <v>10</v>
      </c>
      <c r="B129">
        <v>0</v>
      </c>
      <c r="C129">
        <v>0</v>
      </c>
      <c r="D129">
        <v>0</v>
      </c>
    </row>
    <row r="130" spans="1:4" x14ac:dyDescent="0.25">
      <c r="A130">
        <v>11</v>
      </c>
      <c r="B130">
        <v>0</v>
      </c>
      <c r="C130">
        <v>0</v>
      </c>
      <c r="D130">
        <v>0</v>
      </c>
    </row>
    <row r="131" spans="1:4" x14ac:dyDescent="0.25">
      <c r="A131">
        <v>12</v>
      </c>
      <c r="B131">
        <v>0</v>
      </c>
      <c r="C131">
        <v>0</v>
      </c>
      <c r="D131">
        <v>0</v>
      </c>
    </row>
    <row r="132" spans="1:4" x14ac:dyDescent="0.25">
      <c r="A132">
        <v>13</v>
      </c>
      <c r="B132">
        <v>0</v>
      </c>
      <c r="C132">
        <v>0</v>
      </c>
      <c r="D132">
        <v>0</v>
      </c>
    </row>
    <row r="133" spans="1:4" x14ac:dyDescent="0.25">
      <c r="A133">
        <v>14</v>
      </c>
      <c r="B133">
        <v>0</v>
      </c>
      <c r="C133">
        <v>0</v>
      </c>
      <c r="D133">
        <v>0</v>
      </c>
    </row>
    <row r="134" spans="1:4" x14ac:dyDescent="0.25">
      <c r="A134">
        <v>15</v>
      </c>
      <c r="B134">
        <v>0</v>
      </c>
      <c r="C134">
        <v>0</v>
      </c>
      <c r="D134">
        <v>0</v>
      </c>
    </row>
    <row r="135" spans="1:4" x14ac:dyDescent="0.25">
      <c r="A135">
        <v>16</v>
      </c>
      <c r="B135">
        <v>0</v>
      </c>
      <c r="C135">
        <v>0</v>
      </c>
      <c r="D135">
        <v>0</v>
      </c>
    </row>
    <row r="136" spans="1:4" x14ac:dyDescent="0.25">
      <c r="A136">
        <v>17</v>
      </c>
      <c r="B136">
        <v>0</v>
      </c>
      <c r="C136">
        <v>0</v>
      </c>
      <c r="D136">
        <v>0</v>
      </c>
    </row>
    <row r="137" spans="1:4" x14ac:dyDescent="0.25">
      <c r="A137">
        <v>18</v>
      </c>
      <c r="B137">
        <v>0</v>
      </c>
      <c r="C137">
        <v>0</v>
      </c>
      <c r="D137">
        <v>0</v>
      </c>
    </row>
    <row r="138" spans="1:4" x14ac:dyDescent="0.25">
      <c r="A138">
        <v>19</v>
      </c>
      <c r="B138">
        <v>0</v>
      </c>
      <c r="C138">
        <v>0</v>
      </c>
      <c r="D138">
        <v>0</v>
      </c>
    </row>
    <row r="139" spans="1:4" x14ac:dyDescent="0.25">
      <c r="A139">
        <v>20</v>
      </c>
      <c r="B139">
        <v>0</v>
      </c>
      <c r="C139">
        <v>0</v>
      </c>
      <c r="D139">
        <v>0</v>
      </c>
    </row>
    <row r="140" spans="1:4" x14ac:dyDescent="0.25">
      <c r="A140">
        <v>21</v>
      </c>
      <c r="B140">
        <v>0</v>
      </c>
      <c r="C140">
        <v>0</v>
      </c>
      <c r="D140">
        <v>0</v>
      </c>
    </row>
    <row r="141" spans="1:4" x14ac:dyDescent="0.25">
      <c r="A141">
        <v>22</v>
      </c>
      <c r="B141">
        <v>0</v>
      </c>
      <c r="C141">
        <v>0</v>
      </c>
      <c r="D141">
        <v>0</v>
      </c>
    </row>
    <row r="142" spans="1:4" x14ac:dyDescent="0.25">
      <c r="A142">
        <v>23</v>
      </c>
      <c r="B142">
        <v>0</v>
      </c>
      <c r="C142">
        <v>0</v>
      </c>
      <c r="D142">
        <v>0</v>
      </c>
    </row>
    <row r="143" spans="1:4" x14ac:dyDescent="0.25">
      <c r="A143">
        <v>24</v>
      </c>
      <c r="B143">
        <v>0</v>
      </c>
      <c r="C143">
        <v>0</v>
      </c>
      <c r="D143">
        <v>0</v>
      </c>
    </row>
    <row r="146" spans="1:4" ht="17.25" x14ac:dyDescent="0.3">
      <c r="A146" s="1" t="s">
        <v>83</v>
      </c>
    </row>
    <row r="148" spans="1:4" x14ac:dyDescent="0.25">
      <c r="A148" s="2" t="s">
        <v>15</v>
      </c>
      <c r="B148" s="2" t="s">
        <v>76</v>
      </c>
      <c r="C148" s="2" t="s">
        <v>77</v>
      </c>
      <c r="D148" s="2" t="s">
        <v>78</v>
      </c>
    </row>
    <row r="149" spans="1:4" x14ac:dyDescent="0.25">
      <c r="A149">
        <v>1</v>
      </c>
      <c r="B149">
        <v>0</v>
      </c>
      <c r="C149">
        <v>0</v>
      </c>
      <c r="D149">
        <v>0</v>
      </c>
    </row>
    <row r="150" spans="1:4" x14ac:dyDescent="0.25">
      <c r="A150">
        <v>2</v>
      </c>
      <c r="B150">
        <v>0</v>
      </c>
      <c r="C150">
        <v>0</v>
      </c>
      <c r="D150">
        <v>0</v>
      </c>
    </row>
    <row r="151" spans="1:4" x14ac:dyDescent="0.25">
      <c r="A151">
        <v>3</v>
      </c>
      <c r="B151">
        <v>0</v>
      </c>
      <c r="C151">
        <v>0</v>
      </c>
      <c r="D151">
        <v>0</v>
      </c>
    </row>
    <row r="152" spans="1:4" x14ac:dyDescent="0.25">
      <c r="A152">
        <v>4</v>
      </c>
      <c r="B152">
        <v>0</v>
      </c>
      <c r="C152">
        <v>0</v>
      </c>
      <c r="D152">
        <v>0</v>
      </c>
    </row>
    <row r="153" spans="1:4" x14ac:dyDescent="0.25">
      <c r="A153">
        <v>5</v>
      </c>
      <c r="B153">
        <v>0</v>
      </c>
      <c r="C153">
        <v>0</v>
      </c>
      <c r="D153">
        <v>0</v>
      </c>
    </row>
    <row r="154" spans="1:4" x14ac:dyDescent="0.25">
      <c r="A154">
        <v>6</v>
      </c>
      <c r="B154">
        <v>0</v>
      </c>
      <c r="C154">
        <v>0</v>
      </c>
      <c r="D154">
        <v>0</v>
      </c>
    </row>
    <row r="155" spans="1:4" x14ac:dyDescent="0.25">
      <c r="A155">
        <v>7</v>
      </c>
      <c r="B155">
        <v>0</v>
      </c>
      <c r="C155">
        <v>0</v>
      </c>
      <c r="D155">
        <v>0</v>
      </c>
    </row>
    <row r="156" spans="1:4" x14ac:dyDescent="0.25">
      <c r="A156">
        <v>8</v>
      </c>
      <c r="B156">
        <v>0</v>
      </c>
      <c r="C156">
        <v>0</v>
      </c>
      <c r="D156">
        <v>0</v>
      </c>
    </row>
    <row r="157" spans="1:4" x14ac:dyDescent="0.25">
      <c r="A157">
        <v>9</v>
      </c>
      <c r="B157">
        <v>0</v>
      </c>
      <c r="C157">
        <v>0</v>
      </c>
      <c r="D157">
        <v>0</v>
      </c>
    </row>
    <row r="158" spans="1:4" x14ac:dyDescent="0.25">
      <c r="A158">
        <v>10</v>
      </c>
      <c r="B158">
        <v>0</v>
      </c>
      <c r="C158">
        <v>0</v>
      </c>
      <c r="D158">
        <v>0</v>
      </c>
    </row>
    <row r="159" spans="1:4" x14ac:dyDescent="0.25">
      <c r="A159">
        <v>11</v>
      </c>
      <c r="B159">
        <v>0</v>
      </c>
      <c r="C159">
        <v>0</v>
      </c>
      <c r="D159">
        <v>0</v>
      </c>
    </row>
    <row r="160" spans="1:4" x14ac:dyDescent="0.25">
      <c r="A160">
        <v>12</v>
      </c>
      <c r="B160">
        <v>0</v>
      </c>
      <c r="C160">
        <v>0</v>
      </c>
      <c r="D160">
        <v>0</v>
      </c>
    </row>
    <row r="161" spans="1:4" x14ac:dyDescent="0.25">
      <c r="A161">
        <v>13</v>
      </c>
      <c r="B161">
        <v>0</v>
      </c>
      <c r="C161">
        <v>0</v>
      </c>
      <c r="D161">
        <v>0</v>
      </c>
    </row>
    <row r="162" spans="1:4" x14ac:dyDescent="0.25">
      <c r="A162">
        <v>14</v>
      </c>
      <c r="B162">
        <v>0</v>
      </c>
      <c r="C162">
        <v>0</v>
      </c>
      <c r="D162">
        <v>0</v>
      </c>
    </row>
    <row r="163" spans="1:4" x14ac:dyDescent="0.25">
      <c r="A163">
        <v>15</v>
      </c>
      <c r="B163">
        <v>0</v>
      </c>
      <c r="C163">
        <v>0</v>
      </c>
      <c r="D163">
        <v>0</v>
      </c>
    </row>
    <row r="164" spans="1:4" x14ac:dyDescent="0.25">
      <c r="A164">
        <v>16</v>
      </c>
      <c r="B164">
        <v>0</v>
      </c>
      <c r="C164">
        <v>0</v>
      </c>
      <c r="D164">
        <v>0</v>
      </c>
    </row>
    <row r="165" spans="1:4" x14ac:dyDescent="0.25">
      <c r="A165">
        <v>17</v>
      </c>
      <c r="B165">
        <v>0</v>
      </c>
      <c r="C165">
        <v>0</v>
      </c>
      <c r="D165">
        <v>0</v>
      </c>
    </row>
    <row r="166" spans="1:4" x14ac:dyDescent="0.25">
      <c r="A166">
        <v>18</v>
      </c>
      <c r="B166">
        <v>0</v>
      </c>
      <c r="C166">
        <v>0</v>
      </c>
      <c r="D166">
        <v>0</v>
      </c>
    </row>
    <row r="167" spans="1:4" x14ac:dyDescent="0.25">
      <c r="A167">
        <v>19</v>
      </c>
      <c r="B167">
        <v>0</v>
      </c>
      <c r="C167">
        <v>0</v>
      </c>
      <c r="D167">
        <v>0</v>
      </c>
    </row>
    <row r="168" spans="1:4" x14ac:dyDescent="0.25">
      <c r="A168">
        <v>20</v>
      </c>
      <c r="B168">
        <v>0</v>
      </c>
      <c r="C168">
        <v>0</v>
      </c>
      <c r="D168">
        <v>0</v>
      </c>
    </row>
    <row r="169" spans="1:4" x14ac:dyDescent="0.25">
      <c r="A169">
        <v>21</v>
      </c>
      <c r="B169">
        <v>0</v>
      </c>
      <c r="C169">
        <v>0</v>
      </c>
      <c r="D169">
        <v>0</v>
      </c>
    </row>
    <row r="170" spans="1:4" x14ac:dyDescent="0.25">
      <c r="A170">
        <v>22</v>
      </c>
      <c r="B170">
        <v>0</v>
      </c>
      <c r="C170">
        <v>0</v>
      </c>
      <c r="D170">
        <v>0</v>
      </c>
    </row>
    <row r="171" spans="1:4" x14ac:dyDescent="0.25">
      <c r="A171">
        <v>23</v>
      </c>
      <c r="B171">
        <v>0</v>
      </c>
      <c r="C171">
        <v>0</v>
      </c>
      <c r="D171">
        <v>0</v>
      </c>
    </row>
    <row r="172" spans="1:4" x14ac:dyDescent="0.25">
      <c r="A172">
        <v>24</v>
      </c>
      <c r="B172">
        <v>0</v>
      </c>
      <c r="C172">
        <v>0</v>
      </c>
      <c r="D172">
        <v>0</v>
      </c>
    </row>
    <row r="175" spans="1:4" ht="17.25" x14ac:dyDescent="0.3">
      <c r="A175" s="1" t="s">
        <v>84</v>
      </c>
    </row>
    <row r="177" spans="1:4" x14ac:dyDescent="0.25">
      <c r="A177" s="2" t="s">
        <v>15</v>
      </c>
      <c r="B177" s="2" t="s">
        <v>76</v>
      </c>
      <c r="C177" s="2" t="s">
        <v>77</v>
      </c>
      <c r="D177" s="2" t="s">
        <v>78</v>
      </c>
    </row>
    <row r="178" spans="1:4" x14ac:dyDescent="0.25">
      <c r="A178">
        <v>1</v>
      </c>
      <c r="B178">
        <v>0</v>
      </c>
      <c r="C178">
        <v>0</v>
      </c>
      <c r="D178">
        <v>3.61</v>
      </c>
    </row>
    <row r="179" spans="1:4" x14ac:dyDescent="0.25">
      <c r="A179">
        <v>2</v>
      </c>
      <c r="B179">
        <v>0</v>
      </c>
      <c r="C179">
        <v>0</v>
      </c>
      <c r="D179">
        <v>3.61</v>
      </c>
    </row>
    <row r="180" spans="1:4" x14ac:dyDescent="0.25">
      <c r="A180">
        <v>3</v>
      </c>
      <c r="B180">
        <v>0</v>
      </c>
      <c r="C180">
        <v>0</v>
      </c>
      <c r="D180">
        <v>3.61</v>
      </c>
    </row>
    <row r="181" spans="1:4" x14ac:dyDescent="0.25">
      <c r="A181">
        <v>4</v>
      </c>
      <c r="B181">
        <v>0</v>
      </c>
      <c r="C181">
        <v>0</v>
      </c>
      <c r="D181">
        <v>3.61</v>
      </c>
    </row>
    <row r="182" spans="1:4" x14ac:dyDescent="0.25">
      <c r="A182">
        <v>5</v>
      </c>
      <c r="B182">
        <v>0</v>
      </c>
      <c r="C182">
        <v>0</v>
      </c>
      <c r="D182">
        <v>3.61</v>
      </c>
    </row>
    <row r="183" spans="1:4" x14ac:dyDescent="0.25">
      <c r="A183">
        <v>6</v>
      </c>
      <c r="B183">
        <v>0</v>
      </c>
      <c r="C183">
        <v>0</v>
      </c>
      <c r="D183">
        <v>3.61</v>
      </c>
    </row>
    <row r="184" spans="1:4" x14ac:dyDescent="0.25">
      <c r="A184">
        <v>7</v>
      </c>
      <c r="B184">
        <v>1.0900000000000001</v>
      </c>
      <c r="C184">
        <v>0</v>
      </c>
      <c r="D184">
        <v>4.62</v>
      </c>
    </row>
    <row r="185" spans="1:4" x14ac:dyDescent="0.25">
      <c r="A185">
        <v>8</v>
      </c>
      <c r="B185">
        <v>3.01</v>
      </c>
      <c r="C185">
        <v>0</v>
      </c>
      <c r="D185">
        <v>7.39</v>
      </c>
    </row>
    <row r="186" spans="1:4" x14ac:dyDescent="0.25">
      <c r="A186">
        <v>9</v>
      </c>
      <c r="B186">
        <v>3.01</v>
      </c>
      <c r="C186">
        <v>0</v>
      </c>
      <c r="D186">
        <v>10.16</v>
      </c>
    </row>
    <row r="187" spans="1:4" x14ac:dyDescent="0.25">
      <c r="A187">
        <v>10</v>
      </c>
      <c r="B187">
        <v>1.25</v>
      </c>
      <c r="C187">
        <v>0</v>
      </c>
      <c r="D187">
        <v>11.32</v>
      </c>
    </row>
    <row r="188" spans="1:4" x14ac:dyDescent="0.25">
      <c r="A188">
        <v>11</v>
      </c>
      <c r="B188">
        <v>0.78</v>
      </c>
      <c r="C188">
        <v>0</v>
      </c>
      <c r="D188">
        <v>12.04</v>
      </c>
    </row>
    <row r="189" spans="1:4" x14ac:dyDescent="0.25">
      <c r="A189">
        <v>12</v>
      </c>
      <c r="B189">
        <v>0</v>
      </c>
      <c r="C189">
        <v>0</v>
      </c>
      <c r="D189">
        <v>12.03</v>
      </c>
    </row>
    <row r="190" spans="1:4" x14ac:dyDescent="0.25">
      <c r="A190">
        <v>13</v>
      </c>
      <c r="B190">
        <v>0</v>
      </c>
      <c r="C190">
        <v>0</v>
      </c>
      <c r="D190">
        <v>12.04</v>
      </c>
    </row>
    <row r="191" spans="1:4" x14ac:dyDescent="0.25">
      <c r="A191">
        <v>14</v>
      </c>
      <c r="B191">
        <v>0</v>
      </c>
      <c r="C191">
        <v>0.5</v>
      </c>
      <c r="D191">
        <v>11.49</v>
      </c>
    </row>
    <row r="192" spans="1:4" x14ac:dyDescent="0.25">
      <c r="A192">
        <v>15</v>
      </c>
      <c r="B192">
        <v>0</v>
      </c>
      <c r="C192">
        <v>1.46</v>
      </c>
      <c r="D192">
        <v>9.91</v>
      </c>
    </row>
    <row r="193" spans="1:4" x14ac:dyDescent="0.25">
      <c r="A193">
        <v>16</v>
      </c>
      <c r="B193">
        <v>0</v>
      </c>
      <c r="C193">
        <v>1.66</v>
      </c>
      <c r="D193">
        <v>8.11</v>
      </c>
    </row>
    <row r="194" spans="1:4" x14ac:dyDescent="0.25">
      <c r="A194">
        <v>17</v>
      </c>
      <c r="B194">
        <v>0</v>
      </c>
      <c r="C194">
        <v>0.09</v>
      </c>
      <c r="D194">
        <v>8.01</v>
      </c>
    </row>
    <row r="195" spans="1:4" x14ac:dyDescent="0.25">
      <c r="A195">
        <v>18</v>
      </c>
      <c r="B195">
        <v>0</v>
      </c>
      <c r="C195">
        <v>0</v>
      </c>
      <c r="D195">
        <v>8</v>
      </c>
    </row>
    <row r="196" spans="1:4" x14ac:dyDescent="0.25">
      <c r="A196">
        <v>19</v>
      </c>
      <c r="B196">
        <v>0</v>
      </c>
      <c r="C196">
        <v>3.01</v>
      </c>
      <c r="D196">
        <v>4.74</v>
      </c>
    </row>
    <row r="197" spans="1:4" x14ac:dyDescent="0.25">
      <c r="A197">
        <v>20</v>
      </c>
      <c r="B197">
        <v>0</v>
      </c>
      <c r="C197">
        <v>2.37</v>
      </c>
      <c r="D197">
        <v>2.16</v>
      </c>
    </row>
    <row r="198" spans="1:4" x14ac:dyDescent="0.25">
      <c r="A198">
        <v>21</v>
      </c>
      <c r="B198">
        <v>0</v>
      </c>
      <c r="C198">
        <v>1.31</v>
      </c>
      <c r="D198">
        <v>0.74</v>
      </c>
    </row>
    <row r="199" spans="1:4" x14ac:dyDescent="0.25">
      <c r="A199">
        <v>22</v>
      </c>
      <c r="B199">
        <v>0</v>
      </c>
      <c r="C199">
        <v>0.68</v>
      </c>
      <c r="D199">
        <v>0</v>
      </c>
    </row>
    <row r="200" spans="1:4" x14ac:dyDescent="0.25">
      <c r="A200">
        <v>23</v>
      </c>
      <c r="B200">
        <v>0.91</v>
      </c>
      <c r="C200">
        <v>0</v>
      </c>
      <c r="D200">
        <v>0.84</v>
      </c>
    </row>
    <row r="201" spans="1:4" x14ac:dyDescent="0.25">
      <c r="A201">
        <v>24</v>
      </c>
      <c r="B201">
        <v>3.01</v>
      </c>
      <c r="C201">
        <v>0</v>
      </c>
      <c r="D201">
        <v>3.61</v>
      </c>
    </row>
    <row r="204" spans="1:4" ht="17.25" x14ac:dyDescent="0.3">
      <c r="A204" s="1" t="s">
        <v>85</v>
      </c>
    </row>
    <row r="206" spans="1:4" x14ac:dyDescent="0.25">
      <c r="A206" s="2" t="s">
        <v>15</v>
      </c>
      <c r="B206" s="2" t="s">
        <v>76</v>
      </c>
      <c r="C206" s="2" t="s">
        <v>77</v>
      </c>
      <c r="D206" s="2" t="s">
        <v>78</v>
      </c>
    </row>
    <row r="207" spans="1:4" x14ac:dyDescent="0.25">
      <c r="A207">
        <v>1</v>
      </c>
      <c r="B207">
        <v>0</v>
      </c>
      <c r="C207">
        <v>0</v>
      </c>
      <c r="D207">
        <v>1.67</v>
      </c>
    </row>
    <row r="208" spans="1:4" x14ac:dyDescent="0.25">
      <c r="A208">
        <v>2</v>
      </c>
      <c r="B208">
        <v>0</v>
      </c>
      <c r="C208">
        <v>0</v>
      </c>
      <c r="D208">
        <v>1.67</v>
      </c>
    </row>
    <row r="209" spans="1:4" x14ac:dyDescent="0.25">
      <c r="A209">
        <v>3</v>
      </c>
      <c r="B209">
        <v>0</v>
      </c>
      <c r="C209">
        <v>0</v>
      </c>
      <c r="D209">
        <v>1.67</v>
      </c>
    </row>
    <row r="210" spans="1:4" x14ac:dyDescent="0.25">
      <c r="A210">
        <v>4</v>
      </c>
      <c r="B210">
        <v>0</v>
      </c>
      <c r="C210">
        <v>0</v>
      </c>
      <c r="D210">
        <v>1.67</v>
      </c>
    </row>
    <row r="211" spans="1:4" x14ac:dyDescent="0.25">
      <c r="A211">
        <v>5</v>
      </c>
      <c r="B211">
        <v>0</v>
      </c>
      <c r="C211">
        <v>0</v>
      </c>
      <c r="D211">
        <v>1.67</v>
      </c>
    </row>
    <row r="212" spans="1:4" x14ac:dyDescent="0.25">
      <c r="A212">
        <v>6</v>
      </c>
      <c r="B212">
        <v>0</v>
      </c>
      <c r="C212">
        <v>0</v>
      </c>
      <c r="D212">
        <v>1.67</v>
      </c>
    </row>
    <row r="213" spans="1:4" x14ac:dyDescent="0.25">
      <c r="A213">
        <v>7</v>
      </c>
      <c r="B213">
        <v>0</v>
      </c>
      <c r="C213">
        <v>0</v>
      </c>
      <c r="D213">
        <v>1.67</v>
      </c>
    </row>
    <row r="214" spans="1:4" x14ac:dyDescent="0.25">
      <c r="A214">
        <v>8</v>
      </c>
      <c r="B214">
        <v>1.39</v>
      </c>
      <c r="C214">
        <v>0</v>
      </c>
      <c r="D214">
        <v>2.95</v>
      </c>
    </row>
    <row r="215" spans="1:4" x14ac:dyDescent="0.25">
      <c r="A215">
        <v>9</v>
      </c>
      <c r="B215">
        <v>0.97</v>
      </c>
      <c r="C215">
        <v>0</v>
      </c>
      <c r="D215">
        <v>3.85</v>
      </c>
    </row>
    <row r="216" spans="1:4" x14ac:dyDescent="0.25">
      <c r="A216">
        <v>10</v>
      </c>
      <c r="B216">
        <v>1.39</v>
      </c>
      <c r="C216">
        <v>0</v>
      </c>
      <c r="D216">
        <v>5.14</v>
      </c>
    </row>
    <row r="217" spans="1:4" x14ac:dyDescent="0.25">
      <c r="A217">
        <v>11</v>
      </c>
      <c r="B217">
        <v>0.47</v>
      </c>
      <c r="C217">
        <v>0</v>
      </c>
      <c r="D217">
        <v>5.57</v>
      </c>
    </row>
    <row r="218" spans="1:4" x14ac:dyDescent="0.25">
      <c r="A218">
        <v>12</v>
      </c>
      <c r="B218">
        <v>0</v>
      </c>
      <c r="C218">
        <v>0</v>
      </c>
      <c r="D218">
        <v>5.57</v>
      </c>
    </row>
    <row r="219" spans="1:4" x14ac:dyDescent="0.25">
      <c r="A219">
        <v>13</v>
      </c>
      <c r="B219">
        <v>0</v>
      </c>
      <c r="C219">
        <v>0</v>
      </c>
      <c r="D219">
        <v>5.57</v>
      </c>
    </row>
    <row r="220" spans="1:4" x14ac:dyDescent="0.25">
      <c r="A220">
        <v>14</v>
      </c>
      <c r="B220">
        <v>0</v>
      </c>
      <c r="C220">
        <v>0</v>
      </c>
      <c r="D220">
        <v>5.57</v>
      </c>
    </row>
    <row r="221" spans="1:4" x14ac:dyDescent="0.25">
      <c r="A221">
        <v>15</v>
      </c>
      <c r="B221">
        <v>0</v>
      </c>
      <c r="C221">
        <v>0</v>
      </c>
      <c r="D221">
        <v>5.57</v>
      </c>
    </row>
    <row r="222" spans="1:4" x14ac:dyDescent="0.25">
      <c r="A222">
        <v>16</v>
      </c>
      <c r="B222">
        <v>0</v>
      </c>
      <c r="C222">
        <v>0.03</v>
      </c>
      <c r="D222">
        <v>5.54</v>
      </c>
    </row>
    <row r="223" spans="1:4" x14ac:dyDescent="0.25">
      <c r="A223">
        <v>17</v>
      </c>
      <c r="B223">
        <v>0</v>
      </c>
      <c r="C223">
        <v>1.39</v>
      </c>
      <c r="D223">
        <v>4.0199999999999996</v>
      </c>
    </row>
    <row r="224" spans="1:4" x14ac:dyDescent="0.25">
      <c r="A224">
        <v>18</v>
      </c>
      <c r="B224">
        <v>0</v>
      </c>
      <c r="C224">
        <v>0.92</v>
      </c>
      <c r="D224">
        <v>3.02</v>
      </c>
    </row>
    <row r="225" spans="1:4" x14ac:dyDescent="0.25">
      <c r="A225">
        <v>19</v>
      </c>
      <c r="B225">
        <v>0</v>
      </c>
      <c r="C225">
        <v>0</v>
      </c>
      <c r="D225">
        <v>3.02</v>
      </c>
    </row>
    <row r="226" spans="1:4" x14ac:dyDescent="0.25">
      <c r="A226">
        <v>20</v>
      </c>
      <c r="B226">
        <v>0</v>
      </c>
      <c r="C226">
        <v>1.39</v>
      </c>
      <c r="D226">
        <v>1.51</v>
      </c>
    </row>
    <row r="227" spans="1:4" x14ac:dyDescent="0.25">
      <c r="A227">
        <v>21</v>
      </c>
      <c r="B227">
        <v>0</v>
      </c>
      <c r="C227">
        <v>1.39</v>
      </c>
      <c r="D227">
        <v>0</v>
      </c>
    </row>
    <row r="228" spans="1:4" x14ac:dyDescent="0.25">
      <c r="A228">
        <v>22</v>
      </c>
      <c r="B228">
        <v>0</v>
      </c>
      <c r="C228">
        <v>0</v>
      </c>
      <c r="D228">
        <v>0</v>
      </c>
    </row>
    <row r="229" spans="1:4" x14ac:dyDescent="0.25">
      <c r="A229">
        <v>23</v>
      </c>
      <c r="B229">
        <v>0.42</v>
      </c>
      <c r="C229">
        <v>0</v>
      </c>
      <c r="D229">
        <v>0.39</v>
      </c>
    </row>
    <row r="230" spans="1:4" x14ac:dyDescent="0.25">
      <c r="A230">
        <v>24</v>
      </c>
      <c r="B230">
        <v>1.39</v>
      </c>
      <c r="C230">
        <v>0</v>
      </c>
      <c r="D230">
        <v>1.67</v>
      </c>
    </row>
    <row r="233" spans="1:4" ht="17.25" x14ac:dyDescent="0.3">
      <c r="A233" s="1" t="s">
        <v>86</v>
      </c>
    </row>
    <row r="235" spans="1:4" x14ac:dyDescent="0.25">
      <c r="A235" s="2" t="s">
        <v>15</v>
      </c>
      <c r="B235" s="2" t="s">
        <v>76</v>
      </c>
      <c r="C235" s="2" t="s">
        <v>77</v>
      </c>
      <c r="D235" s="2" t="s">
        <v>78</v>
      </c>
    </row>
    <row r="236" spans="1:4" x14ac:dyDescent="0.25">
      <c r="A236">
        <v>1</v>
      </c>
      <c r="B236">
        <v>0</v>
      </c>
      <c r="C236">
        <v>0</v>
      </c>
      <c r="D236">
        <v>0</v>
      </c>
    </row>
    <row r="237" spans="1:4" x14ac:dyDescent="0.25">
      <c r="A237">
        <v>2</v>
      </c>
      <c r="B237">
        <v>0</v>
      </c>
      <c r="C237">
        <v>0</v>
      </c>
      <c r="D237">
        <v>0</v>
      </c>
    </row>
    <row r="238" spans="1:4" x14ac:dyDescent="0.25">
      <c r="A238">
        <v>3</v>
      </c>
      <c r="B238">
        <v>0</v>
      </c>
      <c r="C238">
        <v>0</v>
      </c>
      <c r="D238">
        <v>0</v>
      </c>
    </row>
    <row r="239" spans="1:4" x14ac:dyDescent="0.25">
      <c r="A239">
        <v>4</v>
      </c>
      <c r="B239">
        <v>0</v>
      </c>
      <c r="C239">
        <v>0</v>
      </c>
      <c r="D239">
        <v>0</v>
      </c>
    </row>
    <row r="240" spans="1:4" x14ac:dyDescent="0.25">
      <c r="A240">
        <v>5</v>
      </c>
      <c r="B240">
        <v>0</v>
      </c>
      <c r="C240">
        <v>0</v>
      </c>
      <c r="D240">
        <v>0</v>
      </c>
    </row>
    <row r="241" spans="1:4" x14ac:dyDescent="0.25">
      <c r="A241">
        <v>6</v>
      </c>
      <c r="B241">
        <v>0</v>
      </c>
      <c r="C241">
        <v>0</v>
      </c>
      <c r="D241">
        <v>0</v>
      </c>
    </row>
    <row r="242" spans="1:4" x14ac:dyDescent="0.25">
      <c r="A242">
        <v>7</v>
      </c>
      <c r="B242">
        <v>0</v>
      </c>
      <c r="C242">
        <v>0</v>
      </c>
      <c r="D242">
        <v>0</v>
      </c>
    </row>
    <row r="243" spans="1:4" x14ac:dyDescent="0.25">
      <c r="A243">
        <v>8</v>
      </c>
      <c r="B243">
        <v>0</v>
      </c>
      <c r="C243">
        <v>0</v>
      </c>
      <c r="D243">
        <v>0</v>
      </c>
    </row>
    <row r="244" spans="1:4" x14ac:dyDescent="0.25">
      <c r="A244">
        <v>9</v>
      </c>
      <c r="B244">
        <v>0</v>
      </c>
      <c r="C244">
        <v>0</v>
      </c>
      <c r="D244">
        <v>0</v>
      </c>
    </row>
    <row r="245" spans="1:4" x14ac:dyDescent="0.25">
      <c r="A245">
        <v>10</v>
      </c>
      <c r="B245">
        <v>0</v>
      </c>
      <c r="C245">
        <v>0</v>
      </c>
      <c r="D245">
        <v>0</v>
      </c>
    </row>
    <row r="246" spans="1:4" x14ac:dyDescent="0.25">
      <c r="A246">
        <v>11</v>
      </c>
      <c r="B246">
        <v>0</v>
      </c>
      <c r="C246">
        <v>0</v>
      </c>
      <c r="D246">
        <v>0</v>
      </c>
    </row>
    <row r="247" spans="1:4" x14ac:dyDescent="0.25">
      <c r="A247">
        <v>12</v>
      </c>
      <c r="B247">
        <v>0</v>
      </c>
      <c r="C247">
        <v>0</v>
      </c>
      <c r="D247">
        <v>0</v>
      </c>
    </row>
    <row r="248" spans="1:4" x14ac:dyDescent="0.25">
      <c r="A248">
        <v>13</v>
      </c>
      <c r="B248">
        <v>0</v>
      </c>
      <c r="C248">
        <v>0</v>
      </c>
      <c r="D248">
        <v>0</v>
      </c>
    </row>
    <row r="249" spans="1:4" x14ac:dyDescent="0.25">
      <c r="A249">
        <v>14</v>
      </c>
      <c r="B249">
        <v>0</v>
      </c>
      <c r="C249">
        <v>0</v>
      </c>
      <c r="D249">
        <v>0</v>
      </c>
    </row>
    <row r="250" spans="1:4" x14ac:dyDescent="0.25">
      <c r="A250">
        <v>15</v>
      </c>
      <c r="B250">
        <v>0</v>
      </c>
      <c r="C250">
        <v>0</v>
      </c>
      <c r="D250">
        <v>0</v>
      </c>
    </row>
    <row r="251" spans="1:4" x14ac:dyDescent="0.25">
      <c r="A251">
        <v>16</v>
      </c>
      <c r="B251">
        <v>0</v>
      </c>
      <c r="C251">
        <v>0</v>
      </c>
      <c r="D251">
        <v>0</v>
      </c>
    </row>
    <row r="252" spans="1:4" x14ac:dyDescent="0.25">
      <c r="A252">
        <v>17</v>
      </c>
      <c r="B252">
        <v>0</v>
      </c>
      <c r="C252">
        <v>0</v>
      </c>
      <c r="D252">
        <v>0</v>
      </c>
    </row>
    <row r="253" spans="1:4" x14ac:dyDescent="0.25">
      <c r="A253">
        <v>18</v>
      </c>
      <c r="B253">
        <v>0</v>
      </c>
      <c r="C253">
        <v>0</v>
      </c>
      <c r="D253">
        <v>0</v>
      </c>
    </row>
    <row r="254" spans="1:4" x14ac:dyDescent="0.25">
      <c r="A254">
        <v>19</v>
      </c>
      <c r="B254">
        <v>0</v>
      </c>
      <c r="C254">
        <v>0</v>
      </c>
      <c r="D254">
        <v>0</v>
      </c>
    </row>
    <row r="255" spans="1:4" x14ac:dyDescent="0.25">
      <c r="A255">
        <v>20</v>
      </c>
      <c r="B255">
        <v>0</v>
      </c>
      <c r="C255">
        <v>0</v>
      </c>
      <c r="D255">
        <v>0</v>
      </c>
    </row>
    <row r="256" spans="1:4" x14ac:dyDescent="0.25">
      <c r="A256">
        <v>21</v>
      </c>
      <c r="B256">
        <v>0</v>
      </c>
      <c r="C256">
        <v>0</v>
      </c>
      <c r="D256">
        <v>0</v>
      </c>
    </row>
    <row r="257" spans="1:4" x14ac:dyDescent="0.25">
      <c r="A257">
        <v>22</v>
      </c>
      <c r="B257">
        <v>0</v>
      </c>
      <c r="C257">
        <v>0</v>
      </c>
      <c r="D257">
        <v>0</v>
      </c>
    </row>
    <row r="258" spans="1:4" x14ac:dyDescent="0.25">
      <c r="A258">
        <v>23</v>
      </c>
      <c r="B258">
        <v>0</v>
      </c>
      <c r="C258">
        <v>0</v>
      </c>
      <c r="D258">
        <v>0</v>
      </c>
    </row>
    <row r="259" spans="1:4" x14ac:dyDescent="0.25">
      <c r="A259">
        <v>24</v>
      </c>
      <c r="B259">
        <v>0</v>
      </c>
      <c r="C259">
        <v>0</v>
      </c>
      <c r="D259">
        <v>0</v>
      </c>
    </row>
    <row r="262" spans="1:4" ht="17.25" x14ac:dyDescent="0.3">
      <c r="A262" s="1" t="s">
        <v>87</v>
      </c>
    </row>
    <row r="264" spans="1:4" x14ac:dyDescent="0.25">
      <c r="A264" s="2" t="s">
        <v>15</v>
      </c>
      <c r="B264" s="2" t="s">
        <v>76</v>
      </c>
      <c r="C264" s="2" t="s">
        <v>77</v>
      </c>
      <c r="D264" s="2" t="s">
        <v>78</v>
      </c>
    </row>
    <row r="265" spans="1:4" x14ac:dyDescent="0.25">
      <c r="A265">
        <v>1</v>
      </c>
      <c r="B265">
        <v>0</v>
      </c>
      <c r="C265">
        <v>0</v>
      </c>
      <c r="D265">
        <v>0</v>
      </c>
    </row>
    <row r="266" spans="1:4" x14ac:dyDescent="0.25">
      <c r="A266">
        <v>2</v>
      </c>
      <c r="B266">
        <v>0</v>
      </c>
      <c r="C266">
        <v>0</v>
      </c>
      <c r="D266">
        <v>0</v>
      </c>
    </row>
    <row r="267" spans="1:4" x14ac:dyDescent="0.25">
      <c r="A267">
        <v>3</v>
      </c>
      <c r="B267">
        <v>0</v>
      </c>
      <c r="C267">
        <v>0</v>
      </c>
      <c r="D267">
        <v>0</v>
      </c>
    </row>
    <row r="268" spans="1:4" x14ac:dyDescent="0.25">
      <c r="A268">
        <v>4</v>
      </c>
      <c r="B268">
        <v>0</v>
      </c>
      <c r="C268">
        <v>0</v>
      </c>
      <c r="D268">
        <v>0</v>
      </c>
    </row>
    <row r="269" spans="1:4" x14ac:dyDescent="0.25">
      <c r="A269">
        <v>5</v>
      </c>
      <c r="B269">
        <v>0</v>
      </c>
      <c r="C269">
        <v>0</v>
      </c>
      <c r="D269">
        <v>0</v>
      </c>
    </row>
    <row r="270" spans="1:4" x14ac:dyDescent="0.25">
      <c r="A270">
        <v>6</v>
      </c>
      <c r="B270">
        <v>0</v>
      </c>
      <c r="C270">
        <v>0</v>
      </c>
      <c r="D270">
        <v>0</v>
      </c>
    </row>
    <row r="271" spans="1:4" x14ac:dyDescent="0.25">
      <c r="A271">
        <v>7</v>
      </c>
      <c r="B271">
        <v>0</v>
      </c>
      <c r="C271">
        <v>0</v>
      </c>
      <c r="D271">
        <v>0</v>
      </c>
    </row>
    <row r="272" spans="1:4" x14ac:dyDescent="0.25">
      <c r="A272">
        <v>8</v>
      </c>
      <c r="B272">
        <v>0</v>
      </c>
      <c r="C272">
        <v>0</v>
      </c>
      <c r="D272">
        <v>0</v>
      </c>
    </row>
    <row r="273" spans="1:4" x14ac:dyDescent="0.25">
      <c r="A273">
        <v>9</v>
      </c>
      <c r="B273">
        <v>0</v>
      </c>
      <c r="C273">
        <v>0</v>
      </c>
      <c r="D273">
        <v>0</v>
      </c>
    </row>
    <row r="274" spans="1:4" x14ac:dyDescent="0.25">
      <c r="A274">
        <v>10</v>
      </c>
      <c r="B274">
        <v>0</v>
      </c>
      <c r="C274">
        <v>0</v>
      </c>
      <c r="D274">
        <v>0</v>
      </c>
    </row>
    <row r="275" spans="1:4" x14ac:dyDescent="0.25">
      <c r="A275">
        <v>11</v>
      </c>
      <c r="B275">
        <v>0</v>
      </c>
      <c r="C275">
        <v>0</v>
      </c>
      <c r="D275">
        <v>0</v>
      </c>
    </row>
    <row r="276" spans="1:4" x14ac:dyDescent="0.25">
      <c r="A276">
        <v>12</v>
      </c>
      <c r="B276">
        <v>0</v>
      </c>
      <c r="C276">
        <v>0</v>
      </c>
      <c r="D276">
        <v>0</v>
      </c>
    </row>
    <row r="277" spans="1:4" x14ac:dyDescent="0.25">
      <c r="A277">
        <v>13</v>
      </c>
      <c r="B277">
        <v>0</v>
      </c>
      <c r="C277">
        <v>0</v>
      </c>
      <c r="D277">
        <v>0</v>
      </c>
    </row>
    <row r="278" spans="1:4" x14ac:dyDescent="0.25">
      <c r="A278">
        <v>14</v>
      </c>
      <c r="B278">
        <v>0</v>
      </c>
      <c r="C278">
        <v>0</v>
      </c>
      <c r="D278">
        <v>0</v>
      </c>
    </row>
    <row r="279" spans="1:4" x14ac:dyDescent="0.25">
      <c r="A279">
        <v>15</v>
      </c>
      <c r="B279">
        <v>0</v>
      </c>
      <c r="C279">
        <v>0</v>
      </c>
      <c r="D279">
        <v>0</v>
      </c>
    </row>
    <row r="280" spans="1:4" x14ac:dyDescent="0.25">
      <c r="A280">
        <v>16</v>
      </c>
      <c r="B280">
        <v>0</v>
      </c>
      <c r="C280">
        <v>0</v>
      </c>
      <c r="D280">
        <v>0</v>
      </c>
    </row>
    <row r="281" spans="1:4" x14ac:dyDescent="0.25">
      <c r="A281">
        <v>17</v>
      </c>
      <c r="B281">
        <v>0</v>
      </c>
      <c r="C281">
        <v>0</v>
      </c>
      <c r="D281">
        <v>0</v>
      </c>
    </row>
    <row r="282" spans="1:4" x14ac:dyDescent="0.25">
      <c r="A282">
        <v>18</v>
      </c>
      <c r="B282">
        <v>0</v>
      </c>
      <c r="C282">
        <v>0</v>
      </c>
      <c r="D282">
        <v>0</v>
      </c>
    </row>
    <row r="283" spans="1:4" x14ac:dyDescent="0.25">
      <c r="A283">
        <v>19</v>
      </c>
      <c r="B283">
        <v>0</v>
      </c>
      <c r="C283">
        <v>0</v>
      </c>
      <c r="D283">
        <v>0</v>
      </c>
    </row>
    <row r="284" spans="1:4" x14ac:dyDescent="0.25">
      <c r="A284">
        <v>20</v>
      </c>
      <c r="B284">
        <v>0</v>
      </c>
      <c r="C284">
        <v>0</v>
      </c>
      <c r="D284">
        <v>0</v>
      </c>
    </row>
    <row r="285" spans="1:4" x14ac:dyDescent="0.25">
      <c r="A285">
        <v>21</v>
      </c>
      <c r="B285">
        <v>0</v>
      </c>
      <c r="C285">
        <v>0</v>
      </c>
      <c r="D285">
        <v>0</v>
      </c>
    </row>
    <row r="286" spans="1:4" x14ac:dyDescent="0.25">
      <c r="A286">
        <v>22</v>
      </c>
      <c r="B286">
        <v>0</v>
      </c>
      <c r="C286">
        <v>0</v>
      </c>
      <c r="D286">
        <v>0</v>
      </c>
    </row>
    <row r="287" spans="1:4" x14ac:dyDescent="0.25">
      <c r="A287">
        <v>23</v>
      </c>
      <c r="B287">
        <v>0</v>
      </c>
      <c r="C287">
        <v>0</v>
      </c>
      <c r="D287">
        <v>0</v>
      </c>
    </row>
    <row r="288" spans="1:4" x14ac:dyDescent="0.25">
      <c r="A288">
        <v>24</v>
      </c>
      <c r="B288">
        <v>0</v>
      </c>
      <c r="C288">
        <v>0</v>
      </c>
      <c r="D288">
        <v>0</v>
      </c>
    </row>
    <row r="291" spans="1:4" ht="17.25" x14ac:dyDescent="0.3">
      <c r="A291" s="1" t="s">
        <v>88</v>
      </c>
    </row>
    <row r="293" spans="1:4" x14ac:dyDescent="0.25">
      <c r="A293" s="2" t="s">
        <v>15</v>
      </c>
      <c r="B293" s="2" t="s">
        <v>76</v>
      </c>
      <c r="C293" s="2" t="s">
        <v>77</v>
      </c>
      <c r="D293" s="2" t="s">
        <v>78</v>
      </c>
    </row>
    <row r="294" spans="1:4" x14ac:dyDescent="0.25">
      <c r="A294">
        <v>1</v>
      </c>
      <c r="B294">
        <v>0</v>
      </c>
      <c r="C294">
        <v>0</v>
      </c>
      <c r="D294">
        <v>0</v>
      </c>
    </row>
    <row r="295" spans="1:4" x14ac:dyDescent="0.25">
      <c r="A295">
        <v>2</v>
      </c>
      <c r="B295">
        <v>0</v>
      </c>
      <c r="C295">
        <v>0</v>
      </c>
      <c r="D295">
        <v>0</v>
      </c>
    </row>
    <row r="296" spans="1:4" x14ac:dyDescent="0.25">
      <c r="A296">
        <v>3</v>
      </c>
      <c r="B296">
        <v>0</v>
      </c>
      <c r="C296">
        <v>0</v>
      </c>
      <c r="D296">
        <v>0</v>
      </c>
    </row>
    <row r="297" spans="1:4" x14ac:dyDescent="0.25">
      <c r="A297">
        <v>4</v>
      </c>
      <c r="B297">
        <v>0</v>
      </c>
      <c r="C297">
        <v>0</v>
      </c>
      <c r="D297">
        <v>0</v>
      </c>
    </row>
    <row r="298" spans="1:4" x14ac:dyDescent="0.25">
      <c r="A298">
        <v>5</v>
      </c>
      <c r="B298">
        <v>0</v>
      </c>
      <c r="C298">
        <v>0</v>
      </c>
      <c r="D298">
        <v>0</v>
      </c>
    </row>
    <row r="299" spans="1:4" x14ac:dyDescent="0.25">
      <c r="A299">
        <v>6</v>
      </c>
      <c r="B299">
        <v>0</v>
      </c>
      <c r="C299">
        <v>0</v>
      </c>
      <c r="D299">
        <v>0</v>
      </c>
    </row>
    <row r="300" spans="1:4" x14ac:dyDescent="0.25">
      <c r="A300">
        <v>7</v>
      </c>
      <c r="B300">
        <v>0</v>
      </c>
      <c r="C300">
        <v>0</v>
      </c>
      <c r="D300">
        <v>0</v>
      </c>
    </row>
    <row r="301" spans="1:4" x14ac:dyDescent="0.25">
      <c r="A301">
        <v>8</v>
      </c>
      <c r="B301">
        <v>0</v>
      </c>
      <c r="C301">
        <v>0</v>
      </c>
      <c r="D301">
        <v>0</v>
      </c>
    </row>
    <row r="302" spans="1:4" x14ac:dyDescent="0.25">
      <c r="A302">
        <v>9</v>
      </c>
      <c r="B302">
        <v>0</v>
      </c>
      <c r="C302">
        <v>0</v>
      </c>
      <c r="D302">
        <v>0</v>
      </c>
    </row>
    <row r="303" spans="1:4" x14ac:dyDescent="0.25">
      <c r="A303">
        <v>10</v>
      </c>
      <c r="B303">
        <v>0</v>
      </c>
      <c r="C303">
        <v>0</v>
      </c>
      <c r="D303">
        <v>0</v>
      </c>
    </row>
    <row r="304" spans="1:4" x14ac:dyDescent="0.25">
      <c r="A304">
        <v>11</v>
      </c>
      <c r="B304">
        <v>0</v>
      </c>
      <c r="C304">
        <v>0</v>
      </c>
      <c r="D304">
        <v>0</v>
      </c>
    </row>
    <row r="305" spans="1:4" x14ac:dyDescent="0.25">
      <c r="A305">
        <v>12</v>
      </c>
      <c r="B305">
        <v>0</v>
      </c>
      <c r="C305">
        <v>0</v>
      </c>
      <c r="D305">
        <v>0</v>
      </c>
    </row>
    <row r="306" spans="1:4" x14ac:dyDescent="0.25">
      <c r="A306">
        <v>13</v>
      </c>
      <c r="B306">
        <v>0</v>
      </c>
      <c r="C306">
        <v>0</v>
      </c>
      <c r="D306">
        <v>0</v>
      </c>
    </row>
    <row r="307" spans="1:4" x14ac:dyDescent="0.25">
      <c r="A307">
        <v>14</v>
      </c>
      <c r="B307">
        <v>0</v>
      </c>
      <c r="C307">
        <v>0</v>
      </c>
      <c r="D307">
        <v>0</v>
      </c>
    </row>
    <row r="308" spans="1:4" x14ac:dyDescent="0.25">
      <c r="A308">
        <v>15</v>
      </c>
      <c r="B308">
        <v>0</v>
      </c>
      <c r="C308">
        <v>0</v>
      </c>
      <c r="D308">
        <v>0</v>
      </c>
    </row>
    <row r="309" spans="1:4" x14ac:dyDescent="0.25">
      <c r="A309">
        <v>16</v>
      </c>
      <c r="B309">
        <v>0</v>
      </c>
      <c r="C309">
        <v>0</v>
      </c>
      <c r="D309">
        <v>0</v>
      </c>
    </row>
    <row r="310" spans="1:4" x14ac:dyDescent="0.25">
      <c r="A310">
        <v>17</v>
      </c>
      <c r="B310">
        <v>0</v>
      </c>
      <c r="C310">
        <v>0</v>
      </c>
      <c r="D310">
        <v>0</v>
      </c>
    </row>
    <row r="311" spans="1:4" x14ac:dyDescent="0.25">
      <c r="A311">
        <v>18</v>
      </c>
      <c r="B311">
        <v>0</v>
      </c>
      <c r="C311">
        <v>0</v>
      </c>
      <c r="D311">
        <v>0</v>
      </c>
    </row>
    <row r="312" spans="1:4" x14ac:dyDescent="0.25">
      <c r="A312">
        <v>19</v>
      </c>
      <c r="B312">
        <v>0</v>
      </c>
      <c r="C312">
        <v>0</v>
      </c>
      <c r="D312">
        <v>0</v>
      </c>
    </row>
    <row r="313" spans="1:4" x14ac:dyDescent="0.25">
      <c r="A313">
        <v>20</v>
      </c>
      <c r="B313">
        <v>0</v>
      </c>
      <c r="C313">
        <v>0</v>
      </c>
      <c r="D313">
        <v>0</v>
      </c>
    </row>
    <row r="314" spans="1:4" x14ac:dyDescent="0.25">
      <c r="A314">
        <v>21</v>
      </c>
      <c r="B314">
        <v>0</v>
      </c>
      <c r="C314">
        <v>0</v>
      </c>
      <c r="D314">
        <v>0</v>
      </c>
    </row>
    <row r="315" spans="1:4" x14ac:dyDescent="0.25">
      <c r="A315">
        <v>22</v>
      </c>
      <c r="B315">
        <v>0</v>
      </c>
      <c r="C315">
        <v>0</v>
      </c>
      <c r="D315">
        <v>0</v>
      </c>
    </row>
    <row r="316" spans="1:4" x14ac:dyDescent="0.25">
      <c r="A316">
        <v>23</v>
      </c>
      <c r="B316">
        <v>0</v>
      </c>
      <c r="C316">
        <v>0</v>
      </c>
      <c r="D316">
        <v>0</v>
      </c>
    </row>
    <row r="317" spans="1:4" x14ac:dyDescent="0.25">
      <c r="A317">
        <v>24</v>
      </c>
      <c r="B317">
        <v>0</v>
      </c>
      <c r="C317">
        <v>0</v>
      </c>
      <c r="D317">
        <v>0</v>
      </c>
    </row>
    <row r="320" spans="1:4" ht="17.25" x14ac:dyDescent="0.3">
      <c r="A320" s="1" t="s">
        <v>89</v>
      </c>
    </row>
    <row r="322" spans="1:4" x14ac:dyDescent="0.25">
      <c r="A322" s="2" t="s">
        <v>15</v>
      </c>
      <c r="B322" s="2" t="s">
        <v>76</v>
      </c>
      <c r="C322" s="2" t="s">
        <v>77</v>
      </c>
      <c r="D322" s="2" t="s">
        <v>78</v>
      </c>
    </row>
    <row r="323" spans="1:4" x14ac:dyDescent="0.25">
      <c r="A323">
        <v>1</v>
      </c>
      <c r="B323">
        <v>0</v>
      </c>
      <c r="C323">
        <v>0</v>
      </c>
      <c r="D323">
        <v>0</v>
      </c>
    </row>
    <row r="324" spans="1:4" x14ac:dyDescent="0.25">
      <c r="A324">
        <v>2</v>
      </c>
      <c r="B324">
        <v>0</v>
      </c>
      <c r="C324">
        <v>0</v>
      </c>
      <c r="D324">
        <v>0</v>
      </c>
    </row>
    <row r="325" spans="1:4" x14ac:dyDescent="0.25">
      <c r="A325">
        <v>3</v>
      </c>
      <c r="B325">
        <v>0</v>
      </c>
      <c r="C325">
        <v>0</v>
      </c>
      <c r="D325">
        <v>0</v>
      </c>
    </row>
    <row r="326" spans="1:4" x14ac:dyDescent="0.25">
      <c r="A326">
        <v>4</v>
      </c>
      <c r="B326">
        <v>0</v>
      </c>
      <c r="C326">
        <v>0</v>
      </c>
      <c r="D326">
        <v>0</v>
      </c>
    </row>
    <row r="327" spans="1:4" x14ac:dyDescent="0.25">
      <c r="A327">
        <v>5</v>
      </c>
      <c r="B327">
        <v>0</v>
      </c>
      <c r="C327">
        <v>0</v>
      </c>
      <c r="D327">
        <v>0</v>
      </c>
    </row>
    <row r="328" spans="1:4" x14ac:dyDescent="0.25">
      <c r="A328">
        <v>6</v>
      </c>
      <c r="B328">
        <v>0</v>
      </c>
      <c r="C328">
        <v>0</v>
      </c>
      <c r="D328">
        <v>0</v>
      </c>
    </row>
    <row r="329" spans="1:4" x14ac:dyDescent="0.25">
      <c r="A329">
        <v>7</v>
      </c>
      <c r="B329">
        <v>0</v>
      </c>
      <c r="C329">
        <v>0</v>
      </c>
      <c r="D329">
        <v>0</v>
      </c>
    </row>
    <row r="330" spans="1:4" x14ac:dyDescent="0.25">
      <c r="A330">
        <v>8</v>
      </c>
      <c r="B330">
        <v>0</v>
      </c>
      <c r="C330">
        <v>0</v>
      </c>
      <c r="D330">
        <v>0</v>
      </c>
    </row>
    <row r="331" spans="1:4" x14ac:dyDescent="0.25">
      <c r="A331">
        <v>9</v>
      </c>
      <c r="B331">
        <v>0</v>
      </c>
      <c r="C331">
        <v>0</v>
      </c>
      <c r="D331">
        <v>0</v>
      </c>
    </row>
    <row r="332" spans="1:4" x14ac:dyDescent="0.25">
      <c r="A332">
        <v>10</v>
      </c>
      <c r="B332">
        <v>0</v>
      </c>
      <c r="C332">
        <v>0</v>
      </c>
      <c r="D332">
        <v>0</v>
      </c>
    </row>
    <row r="333" spans="1:4" x14ac:dyDescent="0.25">
      <c r="A333">
        <v>11</v>
      </c>
      <c r="B333">
        <v>0</v>
      </c>
      <c r="C333">
        <v>0</v>
      </c>
      <c r="D333">
        <v>0</v>
      </c>
    </row>
    <row r="334" spans="1:4" x14ac:dyDescent="0.25">
      <c r="A334">
        <v>12</v>
      </c>
      <c r="B334">
        <v>0</v>
      </c>
      <c r="C334">
        <v>0</v>
      </c>
      <c r="D334">
        <v>0</v>
      </c>
    </row>
    <row r="335" spans="1:4" x14ac:dyDescent="0.25">
      <c r="A335">
        <v>13</v>
      </c>
      <c r="B335">
        <v>0</v>
      </c>
      <c r="C335">
        <v>0</v>
      </c>
      <c r="D335">
        <v>0</v>
      </c>
    </row>
    <row r="336" spans="1:4" x14ac:dyDescent="0.25">
      <c r="A336">
        <v>14</v>
      </c>
      <c r="B336">
        <v>0</v>
      </c>
      <c r="C336">
        <v>0</v>
      </c>
      <c r="D336">
        <v>0</v>
      </c>
    </row>
    <row r="337" spans="1:4" x14ac:dyDescent="0.25">
      <c r="A337">
        <v>15</v>
      </c>
      <c r="B337">
        <v>0</v>
      </c>
      <c r="C337">
        <v>0</v>
      </c>
      <c r="D337">
        <v>0</v>
      </c>
    </row>
    <row r="338" spans="1:4" x14ac:dyDescent="0.25">
      <c r="A338">
        <v>16</v>
      </c>
      <c r="B338">
        <v>0</v>
      </c>
      <c r="C338">
        <v>0</v>
      </c>
      <c r="D338">
        <v>0</v>
      </c>
    </row>
    <row r="339" spans="1:4" x14ac:dyDescent="0.25">
      <c r="A339">
        <v>17</v>
      </c>
      <c r="B339">
        <v>0</v>
      </c>
      <c r="C339">
        <v>0</v>
      </c>
      <c r="D339">
        <v>0</v>
      </c>
    </row>
    <row r="340" spans="1:4" x14ac:dyDescent="0.25">
      <c r="A340">
        <v>18</v>
      </c>
      <c r="B340">
        <v>0</v>
      </c>
      <c r="C340">
        <v>0</v>
      </c>
      <c r="D340">
        <v>0</v>
      </c>
    </row>
    <row r="341" spans="1:4" x14ac:dyDescent="0.25">
      <c r="A341">
        <v>19</v>
      </c>
      <c r="B341">
        <v>0</v>
      </c>
      <c r="C341">
        <v>0</v>
      </c>
      <c r="D341">
        <v>0</v>
      </c>
    </row>
    <row r="342" spans="1:4" x14ac:dyDescent="0.25">
      <c r="A342">
        <v>20</v>
      </c>
      <c r="B342">
        <v>0</v>
      </c>
      <c r="C342">
        <v>0</v>
      </c>
      <c r="D342">
        <v>0</v>
      </c>
    </row>
    <row r="343" spans="1:4" x14ac:dyDescent="0.25">
      <c r="A343">
        <v>21</v>
      </c>
      <c r="B343">
        <v>0</v>
      </c>
      <c r="C343">
        <v>0</v>
      </c>
      <c r="D343">
        <v>0</v>
      </c>
    </row>
    <row r="344" spans="1:4" x14ac:dyDescent="0.25">
      <c r="A344">
        <v>22</v>
      </c>
      <c r="B344">
        <v>0</v>
      </c>
      <c r="C344">
        <v>0</v>
      </c>
      <c r="D344">
        <v>0</v>
      </c>
    </row>
    <row r="345" spans="1:4" x14ac:dyDescent="0.25">
      <c r="A345">
        <v>23</v>
      </c>
      <c r="B345">
        <v>0</v>
      </c>
      <c r="C345">
        <v>0</v>
      </c>
      <c r="D345">
        <v>0</v>
      </c>
    </row>
    <row r="346" spans="1:4" x14ac:dyDescent="0.25">
      <c r="A346">
        <v>24</v>
      </c>
      <c r="B346">
        <v>0</v>
      </c>
      <c r="C346">
        <v>0</v>
      </c>
      <c r="D346">
        <v>0</v>
      </c>
    </row>
    <row r="349" spans="1:4" ht="17.25" x14ac:dyDescent="0.3">
      <c r="A349" s="1" t="s">
        <v>90</v>
      </c>
    </row>
    <row r="351" spans="1:4" x14ac:dyDescent="0.25">
      <c r="A351" s="2" t="s">
        <v>15</v>
      </c>
      <c r="B351" s="2" t="s">
        <v>76</v>
      </c>
      <c r="C351" s="2" t="s">
        <v>77</v>
      </c>
      <c r="D351" s="2" t="s">
        <v>78</v>
      </c>
    </row>
    <row r="352" spans="1:4" x14ac:dyDescent="0.25">
      <c r="A352">
        <v>1</v>
      </c>
      <c r="B352">
        <v>0</v>
      </c>
      <c r="C352">
        <v>0</v>
      </c>
      <c r="D352">
        <v>0</v>
      </c>
    </row>
    <row r="353" spans="1:4" x14ac:dyDescent="0.25">
      <c r="A353">
        <v>2</v>
      </c>
      <c r="B353">
        <v>0</v>
      </c>
      <c r="C353">
        <v>0</v>
      </c>
      <c r="D353">
        <v>0</v>
      </c>
    </row>
    <row r="354" spans="1:4" x14ac:dyDescent="0.25">
      <c r="A354">
        <v>3</v>
      </c>
      <c r="B354">
        <v>0</v>
      </c>
      <c r="C354">
        <v>0</v>
      </c>
      <c r="D354">
        <v>0</v>
      </c>
    </row>
    <row r="355" spans="1:4" x14ac:dyDescent="0.25">
      <c r="A355">
        <v>4</v>
      </c>
      <c r="B355">
        <v>0</v>
      </c>
      <c r="C355">
        <v>0</v>
      </c>
      <c r="D355">
        <v>0</v>
      </c>
    </row>
    <row r="356" spans="1:4" x14ac:dyDescent="0.25">
      <c r="A356">
        <v>5</v>
      </c>
      <c r="B356">
        <v>0</v>
      </c>
      <c r="C356">
        <v>0</v>
      </c>
      <c r="D356">
        <v>0</v>
      </c>
    </row>
    <row r="357" spans="1:4" x14ac:dyDescent="0.25">
      <c r="A357">
        <v>6</v>
      </c>
      <c r="B357">
        <v>0</v>
      </c>
      <c r="C357">
        <v>0</v>
      </c>
      <c r="D357">
        <v>0</v>
      </c>
    </row>
    <row r="358" spans="1:4" x14ac:dyDescent="0.25">
      <c r="A358">
        <v>7</v>
      </c>
      <c r="B358">
        <v>0</v>
      </c>
      <c r="C358">
        <v>0</v>
      </c>
      <c r="D358">
        <v>0</v>
      </c>
    </row>
    <row r="359" spans="1:4" x14ac:dyDescent="0.25">
      <c r="A359">
        <v>8</v>
      </c>
      <c r="B359">
        <v>0</v>
      </c>
      <c r="C359">
        <v>0</v>
      </c>
      <c r="D359">
        <v>0</v>
      </c>
    </row>
    <row r="360" spans="1:4" x14ac:dyDescent="0.25">
      <c r="A360">
        <v>9</v>
      </c>
      <c r="B360">
        <v>0</v>
      </c>
      <c r="C360">
        <v>0</v>
      </c>
      <c r="D360">
        <v>0</v>
      </c>
    </row>
    <row r="361" spans="1:4" x14ac:dyDescent="0.25">
      <c r="A361">
        <v>10</v>
      </c>
      <c r="B361">
        <v>0</v>
      </c>
      <c r="C361">
        <v>0</v>
      </c>
      <c r="D361">
        <v>0</v>
      </c>
    </row>
    <row r="362" spans="1:4" x14ac:dyDescent="0.25">
      <c r="A362">
        <v>11</v>
      </c>
      <c r="B362">
        <v>0</v>
      </c>
      <c r="C362">
        <v>0</v>
      </c>
      <c r="D362">
        <v>0</v>
      </c>
    </row>
    <row r="363" spans="1:4" x14ac:dyDescent="0.25">
      <c r="A363">
        <v>12</v>
      </c>
      <c r="B363">
        <v>0</v>
      </c>
      <c r="C363">
        <v>0</v>
      </c>
      <c r="D363">
        <v>0</v>
      </c>
    </row>
    <row r="364" spans="1:4" x14ac:dyDescent="0.25">
      <c r="A364">
        <v>13</v>
      </c>
      <c r="B364">
        <v>0</v>
      </c>
      <c r="C364">
        <v>0</v>
      </c>
      <c r="D364">
        <v>0</v>
      </c>
    </row>
    <row r="365" spans="1:4" x14ac:dyDescent="0.25">
      <c r="A365">
        <v>14</v>
      </c>
      <c r="B365">
        <v>0</v>
      </c>
      <c r="C365">
        <v>0</v>
      </c>
      <c r="D365">
        <v>0</v>
      </c>
    </row>
    <row r="366" spans="1:4" x14ac:dyDescent="0.25">
      <c r="A366">
        <v>15</v>
      </c>
      <c r="B366">
        <v>0</v>
      </c>
      <c r="C366">
        <v>0</v>
      </c>
      <c r="D366">
        <v>0</v>
      </c>
    </row>
    <row r="367" spans="1:4" x14ac:dyDescent="0.25">
      <c r="A367">
        <v>16</v>
      </c>
      <c r="B367">
        <v>0</v>
      </c>
      <c r="C367">
        <v>0</v>
      </c>
      <c r="D367">
        <v>0</v>
      </c>
    </row>
    <row r="368" spans="1:4" x14ac:dyDescent="0.25">
      <c r="A368">
        <v>17</v>
      </c>
      <c r="B368">
        <v>0</v>
      </c>
      <c r="C368">
        <v>0</v>
      </c>
      <c r="D368">
        <v>0</v>
      </c>
    </row>
    <row r="369" spans="1:4" x14ac:dyDescent="0.25">
      <c r="A369">
        <v>18</v>
      </c>
      <c r="B369">
        <v>0</v>
      </c>
      <c r="C369">
        <v>0</v>
      </c>
      <c r="D369">
        <v>0</v>
      </c>
    </row>
    <row r="370" spans="1:4" x14ac:dyDescent="0.25">
      <c r="A370">
        <v>19</v>
      </c>
      <c r="B370">
        <v>0</v>
      </c>
      <c r="C370">
        <v>0</v>
      </c>
      <c r="D370">
        <v>0</v>
      </c>
    </row>
    <row r="371" spans="1:4" x14ac:dyDescent="0.25">
      <c r="A371">
        <v>20</v>
      </c>
      <c r="B371">
        <v>0</v>
      </c>
      <c r="C371">
        <v>0</v>
      </c>
      <c r="D371">
        <v>0</v>
      </c>
    </row>
    <row r="372" spans="1:4" x14ac:dyDescent="0.25">
      <c r="A372">
        <v>21</v>
      </c>
      <c r="B372">
        <v>0</v>
      </c>
      <c r="C372">
        <v>0</v>
      </c>
      <c r="D372">
        <v>0</v>
      </c>
    </row>
    <row r="373" spans="1:4" x14ac:dyDescent="0.25">
      <c r="A373">
        <v>22</v>
      </c>
      <c r="B373">
        <v>0</v>
      </c>
      <c r="C373">
        <v>0</v>
      </c>
      <c r="D373">
        <v>0</v>
      </c>
    </row>
    <row r="374" spans="1:4" x14ac:dyDescent="0.25">
      <c r="A374">
        <v>23</v>
      </c>
      <c r="B374">
        <v>0</v>
      </c>
      <c r="C374">
        <v>0</v>
      </c>
      <c r="D374">
        <v>0</v>
      </c>
    </row>
    <row r="375" spans="1:4" x14ac:dyDescent="0.25">
      <c r="A375">
        <v>24</v>
      </c>
      <c r="B375">
        <v>0</v>
      </c>
      <c r="C375">
        <v>0</v>
      </c>
      <c r="D375">
        <v>0</v>
      </c>
    </row>
    <row r="378" spans="1:4" ht="17.25" x14ac:dyDescent="0.3">
      <c r="A378" s="1" t="s">
        <v>91</v>
      </c>
    </row>
    <row r="380" spans="1:4" x14ac:dyDescent="0.25">
      <c r="A380" s="2" t="s">
        <v>15</v>
      </c>
      <c r="B380" s="2" t="s">
        <v>76</v>
      </c>
      <c r="C380" s="2" t="s">
        <v>77</v>
      </c>
      <c r="D380" s="2" t="s">
        <v>78</v>
      </c>
    </row>
    <row r="381" spans="1:4" x14ac:dyDescent="0.25">
      <c r="A381">
        <v>1</v>
      </c>
      <c r="B381">
        <v>0</v>
      </c>
      <c r="C381">
        <v>0</v>
      </c>
      <c r="D381">
        <v>0</v>
      </c>
    </row>
    <row r="382" spans="1:4" x14ac:dyDescent="0.25">
      <c r="A382">
        <v>2</v>
      </c>
      <c r="B382">
        <v>0</v>
      </c>
      <c r="C382">
        <v>0</v>
      </c>
      <c r="D382">
        <v>0</v>
      </c>
    </row>
    <row r="383" spans="1:4" x14ac:dyDescent="0.25">
      <c r="A383">
        <v>3</v>
      </c>
      <c r="B383">
        <v>0</v>
      </c>
      <c r="C383">
        <v>0</v>
      </c>
      <c r="D383">
        <v>0</v>
      </c>
    </row>
    <row r="384" spans="1:4" x14ac:dyDescent="0.25">
      <c r="A384">
        <v>4</v>
      </c>
      <c r="B384">
        <v>0</v>
      </c>
      <c r="C384">
        <v>0</v>
      </c>
      <c r="D384">
        <v>0</v>
      </c>
    </row>
    <row r="385" spans="1:4" x14ac:dyDescent="0.25">
      <c r="A385">
        <v>5</v>
      </c>
      <c r="B385">
        <v>0</v>
      </c>
      <c r="C385">
        <v>0</v>
      </c>
      <c r="D385">
        <v>0</v>
      </c>
    </row>
    <row r="386" spans="1:4" x14ac:dyDescent="0.25">
      <c r="A386">
        <v>6</v>
      </c>
      <c r="B386">
        <v>0</v>
      </c>
      <c r="C386">
        <v>0</v>
      </c>
      <c r="D386">
        <v>0</v>
      </c>
    </row>
    <row r="387" spans="1:4" x14ac:dyDescent="0.25">
      <c r="A387">
        <v>7</v>
      </c>
      <c r="B387">
        <v>0</v>
      </c>
      <c r="C387">
        <v>0</v>
      </c>
      <c r="D387">
        <v>0</v>
      </c>
    </row>
    <row r="388" spans="1:4" x14ac:dyDescent="0.25">
      <c r="A388">
        <v>8</v>
      </c>
      <c r="B388">
        <v>0</v>
      </c>
      <c r="C388">
        <v>0</v>
      </c>
      <c r="D388">
        <v>0</v>
      </c>
    </row>
    <row r="389" spans="1:4" x14ac:dyDescent="0.25">
      <c r="A389">
        <v>9</v>
      </c>
      <c r="B389">
        <v>0</v>
      </c>
      <c r="C389">
        <v>0</v>
      </c>
      <c r="D389">
        <v>0</v>
      </c>
    </row>
    <row r="390" spans="1:4" x14ac:dyDescent="0.25">
      <c r="A390">
        <v>10</v>
      </c>
      <c r="B390">
        <v>0</v>
      </c>
      <c r="C390">
        <v>0</v>
      </c>
      <c r="D390">
        <v>0</v>
      </c>
    </row>
    <row r="391" spans="1:4" x14ac:dyDescent="0.25">
      <c r="A391">
        <v>11</v>
      </c>
      <c r="B391">
        <v>0</v>
      </c>
      <c r="C391">
        <v>0</v>
      </c>
      <c r="D391">
        <v>0</v>
      </c>
    </row>
    <row r="392" spans="1:4" x14ac:dyDescent="0.25">
      <c r="A392">
        <v>12</v>
      </c>
      <c r="B392">
        <v>0</v>
      </c>
      <c r="C392">
        <v>0</v>
      </c>
      <c r="D392">
        <v>0</v>
      </c>
    </row>
    <row r="393" spans="1:4" x14ac:dyDescent="0.25">
      <c r="A393">
        <v>13</v>
      </c>
      <c r="B393">
        <v>0</v>
      </c>
      <c r="C393">
        <v>0</v>
      </c>
      <c r="D393">
        <v>0</v>
      </c>
    </row>
    <row r="394" spans="1:4" x14ac:dyDescent="0.25">
      <c r="A394">
        <v>14</v>
      </c>
      <c r="B394">
        <v>0</v>
      </c>
      <c r="C394">
        <v>0</v>
      </c>
      <c r="D394">
        <v>0</v>
      </c>
    </row>
    <row r="395" spans="1:4" x14ac:dyDescent="0.25">
      <c r="A395">
        <v>15</v>
      </c>
      <c r="B395">
        <v>0</v>
      </c>
      <c r="C395">
        <v>0</v>
      </c>
      <c r="D395">
        <v>0</v>
      </c>
    </row>
    <row r="396" spans="1:4" x14ac:dyDescent="0.25">
      <c r="A396">
        <v>16</v>
      </c>
      <c r="B396">
        <v>0</v>
      </c>
      <c r="C396">
        <v>0</v>
      </c>
      <c r="D396">
        <v>0</v>
      </c>
    </row>
    <row r="397" spans="1:4" x14ac:dyDescent="0.25">
      <c r="A397">
        <v>17</v>
      </c>
      <c r="B397">
        <v>0</v>
      </c>
      <c r="C397">
        <v>0</v>
      </c>
      <c r="D397">
        <v>0</v>
      </c>
    </row>
    <row r="398" spans="1:4" x14ac:dyDescent="0.25">
      <c r="A398">
        <v>18</v>
      </c>
      <c r="B398">
        <v>0</v>
      </c>
      <c r="C398">
        <v>0</v>
      </c>
      <c r="D398">
        <v>0</v>
      </c>
    </row>
    <row r="399" spans="1:4" x14ac:dyDescent="0.25">
      <c r="A399">
        <v>19</v>
      </c>
      <c r="B399">
        <v>0</v>
      </c>
      <c r="C399">
        <v>0</v>
      </c>
      <c r="D399">
        <v>0</v>
      </c>
    </row>
    <row r="400" spans="1:4" x14ac:dyDescent="0.25">
      <c r="A400">
        <v>20</v>
      </c>
      <c r="B400">
        <v>0</v>
      </c>
      <c r="C400">
        <v>0</v>
      </c>
      <c r="D400">
        <v>0</v>
      </c>
    </row>
    <row r="401" spans="1:4" x14ac:dyDescent="0.25">
      <c r="A401">
        <v>21</v>
      </c>
      <c r="B401">
        <v>0</v>
      </c>
      <c r="C401">
        <v>0</v>
      </c>
      <c r="D401">
        <v>0</v>
      </c>
    </row>
    <row r="402" spans="1:4" x14ac:dyDescent="0.25">
      <c r="A402">
        <v>22</v>
      </c>
      <c r="B402">
        <v>0</v>
      </c>
      <c r="C402">
        <v>0</v>
      </c>
      <c r="D402">
        <v>0</v>
      </c>
    </row>
    <row r="403" spans="1:4" x14ac:dyDescent="0.25">
      <c r="A403">
        <v>23</v>
      </c>
      <c r="B403">
        <v>0</v>
      </c>
      <c r="C403">
        <v>0</v>
      </c>
      <c r="D403">
        <v>0</v>
      </c>
    </row>
    <row r="404" spans="1:4" x14ac:dyDescent="0.25">
      <c r="A404">
        <v>24</v>
      </c>
      <c r="B404">
        <v>0</v>
      </c>
      <c r="C404">
        <v>0</v>
      </c>
      <c r="D4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Despacho</vt:lpstr>
      <vt:lpstr>Flujos</vt:lpstr>
      <vt:lpstr>Perdidas</vt:lpstr>
      <vt:lpstr>Angulos</vt:lpstr>
      <vt:lpstr>Inversiones</vt:lpstr>
      <vt:lpstr>BESS_operacion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2026-08-11T21:28:57Z</dcterms:created>
  <dcterms:modified xsi:type="dcterms:W3CDTF">2026-08-11T21:34:33Z</dcterms:modified>
</cp:coreProperties>
</file>