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Gurobi\"/>
    </mc:Choice>
  </mc:AlternateContent>
  <xr:revisionPtr revIDLastSave="0" documentId="13_ncr:1_{F3576B8F-AFDF-4AE5-B1F9-34688D6F230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 a="1"/>
  <c r="C28" i="3" s="1"/>
  <c r="D28" i="3" a="1"/>
  <c r="D28" i="3"/>
  <c r="E28" i="3" a="1"/>
  <c r="E28" i="3" s="1"/>
  <c r="F28" i="3" a="1"/>
  <c r="F28" i="3" s="1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S28" i="3" a="1"/>
  <c r="S28" i="3" s="1"/>
  <c r="T28" i="3" a="1"/>
  <c r="T28" i="3" s="1"/>
  <c r="U28" i="3" a="1"/>
  <c r="U28" i="3" s="1"/>
  <c r="B28" i="3" a="1"/>
  <c r="B28" i="3" s="1"/>
  <c r="F28" i="2"/>
  <c r="E28" i="2"/>
  <c r="D28" i="2"/>
  <c r="C28" i="2"/>
  <c r="B28" i="2"/>
  <c r="P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Q4" i="2"/>
  <c r="Q28" i="2" s="1"/>
  <c r="P4" i="2"/>
  <c r="O4" i="2"/>
  <c r="O28" i="2" s="1"/>
  <c r="N4" i="2"/>
  <c r="N28" i="2" s="1"/>
  <c r="M4" i="2"/>
  <c r="M28" i="2" s="1"/>
  <c r="L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<sst xmlns="http://schemas.openxmlformats.org/spreadsheetml/2006/main" count="114" uniqueCount="72">
  <si>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</si>
  <si>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</si>
  <si>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</si>
  <si>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</si>
  <si>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</si>
  <si>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</si>
  <si>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</si>
  <si>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</si>
  <si>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</si>
  <si>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</si>
  <si>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gurobi</t>
  </si>
  <si>
    <t>Tiempo total simulacion (s)</t>
  </si>
  <si>
    <t>Costo inversion BESS (USD)</t>
  </si>
  <si>
    <t>Costo inversion FACTS (USD)</t>
  </si>
  <si>
    <t>Despacho termico (MW)</t>
  </si>
  <si>
    <t>hora</t>
  </si>
  <si>
    <t>G1</t>
  </si>
  <si>
    <t>G2</t>
  </si>
  <si>
    <t>G3</t>
  </si>
  <si>
    <t>G4</t>
  </si>
  <si>
    <t>G5</t>
  </si>
  <si>
    <t>u_G1</t>
  </si>
  <si>
    <t>u_G2</t>
  </si>
  <si>
    <t>u_G3</t>
  </si>
  <si>
    <t>u_G4</t>
  </si>
  <si>
    <t>u_G5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</si>
  <si>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</si>
  <si>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</si>
  <si>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</si>
  <si>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</si>
  <si>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</si>
  <si>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</si>
  <si>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</si>
  <si>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</si>
  <si>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</si>
  <si>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</si>
  <si>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</si>
  <si>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</si>
  <si>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</si>
  <si>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</si>
  <si>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</si>
  <si>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</si>
  <si>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</si>
  <si>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</si>
  <si>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</si>
  <si>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</si>
  <si>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</si>
  <si>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</si>
  <si>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</si>
  <si>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</si>
  <si>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</si>
  <si>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</si>
  <si>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</si>
  <si>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</si>
  <si>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</si>
  <si>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</si>
  <si>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</si>
  <si>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</si>
  <si>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</si>
  <si>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</si>
  <si>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</si>
  <si>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</si>
  <si>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</si>
  <si>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</si>
  <si>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</si>
  <si>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</si>
  <si>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</si>
  <si>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</si>
  <si>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FACTS</t>
  </si>
  <si>
    <t>dB=0.2</t>
  </si>
  <si>
    <t>Demanda Total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</si>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</sst>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2"/>
    <xf numFmtId="44" fontId="4" fillId="3" borderId="0" xfId="2" applyNumberFormat="1"/>
    <xf numFmtId="44" fontId="4" fillId="3" borderId="0" xfId="1" applyFont="1" applyFill="1"/>
    <xf numFmtId="43" fontId="4" fillId="3" borderId="0" xfId="2" applyNumberFormat="1"/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3" sqref="B13"/>
    </sheetView>
  </sheetViews>
  <sheetFormatPr defaultRowHeight="15" x14ac:dyDescent="0.25"/>
  <cols>
    <col min="1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166598.32</v>
      </c>
    </row>
    <row r="5" spans="1:2" x14ac:dyDescent="0.25">
      <c r="A5" t="s">
        <v>4</v>
      </c>
      <c r="B5">
        <v>5619</v>
      </c>
    </row>
    <row r="6" spans="1:2" x14ac:dyDescent="0.25">
      <c r="A6" t="s">
        <v>5</v>
      </c>
      <c r="B6">
        <v>277.20999999999998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7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78.319999999999993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124.37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workbookViewId="0">
      <selection activeCell="M28" sqref="M28:Q28"/>
    </sheetView>
  </sheetViews>
  <sheetFormatPr defaultRowHeight="15" x14ac:dyDescent="0.25"/>
  <cols>
    <col min="1" max="11" width="14" customWidth="1"/>
    <col min="12" max="12" width="14.42578125" bestFit="1" customWidth="1"/>
    <col min="13" max="13" width="13.140625" bestFit="1" customWidth="1"/>
    <col min="14" max="15" width="12" bestFit="1" customWidth="1"/>
    <col min="16" max="16" width="6.5703125" bestFit="1" customWidth="1"/>
    <col min="17" max="17" width="8.42578125" bestFit="1" customWidth="1"/>
  </cols>
  <sheetData>
    <row r="1" spans="1:17" ht="17.25" x14ac:dyDescent="0.3">
      <c r="A1" s="1" t="s">
        <v>14</v>
      </c>
    </row>
    <row r="3" spans="1:17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3" t="s">
        <v>70</v>
      </c>
    </row>
    <row r="4" spans="1:17" x14ac:dyDescent="0.25">
      <c r="A4">
        <v>1</v>
      </c>
      <c r="B4">
        <v>149.12</v>
      </c>
      <c r="C4">
        <v>46.67</v>
      </c>
      <c r="D4">
        <v>6.31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 s="4">
        <f>SUM(B4:F4)</f>
        <v>202.10000000000002</v>
      </c>
      <c r="M4" s="5">
        <f>(0.043029*B4^2+B4*20+B4*0)</f>
        <v>3939.2261656576002</v>
      </c>
      <c r="N4" s="5">
        <f>(0.25*C4^2+C4*20+C4*0)</f>
        <v>1477.9222250000003</v>
      </c>
      <c r="O4" s="5">
        <f>(0.01*D4^2+D4*40+D4*0)</f>
        <v>252.79816099999996</v>
      </c>
      <c r="P4" s="5">
        <f>(0.01*E4^2+E4*40+E4*0)</f>
        <v>0</v>
      </c>
      <c r="Q4" s="5">
        <f>(0.01*F4^2+F4*40+F4*0)</f>
        <v>0</v>
      </c>
    </row>
    <row r="5" spans="1:17" x14ac:dyDescent="0.25">
      <c r="A5">
        <v>2</v>
      </c>
      <c r="B5">
        <v>143.97999999999999</v>
      </c>
      <c r="C5">
        <v>46.67</v>
      </c>
      <c r="D5">
        <v>5.07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 s="4">
        <f t="shared" ref="L5:L27" si="0">SUM(B5:F5)</f>
        <v>195.71999999999997</v>
      </c>
      <c r="M5" s="5">
        <f t="shared" ref="M5:M27" si="1">(0.043029*B5^2+B5*20+B5*0)</f>
        <v>3771.6015141715998</v>
      </c>
      <c r="N5" s="5">
        <f t="shared" ref="N5:N27" si="2">(0.25*C5^2+C5*20+C5*0)</f>
        <v>1477.9222250000003</v>
      </c>
      <c r="O5" s="5">
        <f t="shared" ref="O5:Q27" si="3">(0.01*D5^2+D5*40+D5*0)</f>
        <v>203.05704900000001</v>
      </c>
      <c r="P5" s="5">
        <f t="shared" si="3"/>
        <v>0</v>
      </c>
      <c r="Q5" s="5">
        <f t="shared" si="3"/>
        <v>0</v>
      </c>
    </row>
    <row r="6" spans="1:17" x14ac:dyDescent="0.25">
      <c r="A6">
        <v>3</v>
      </c>
      <c r="B6">
        <v>140.11000000000001</v>
      </c>
      <c r="C6">
        <v>46.67</v>
      </c>
      <c r="D6">
        <v>4.1399999999999997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 s="4">
        <f t="shared" si="0"/>
        <v>190.92000000000002</v>
      </c>
      <c r="M6" s="5">
        <f t="shared" si="1"/>
        <v>3646.8942138509001</v>
      </c>
      <c r="N6" s="5">
        <f t="shared" si="2"/>
        <v>1477.9222250000003</v>
      </c>
      <c r="O6" s="5">
        <f t="shared" si="3"/>
        <v>165.77139599999998</v>
      </c>
      <c r="P6" s="5">
        <f t="shared" si="3"/>
        <v>0</v>
      </c>
      <c r="Q6" s="5">
        <f t="shared" si="3"/>
        <v>0</v>
      </c>
    </row>
    <row r="7" spans="1:17" x14ac:dyDescent="0.25">
      <c r="A7">
        <v>4</v>
      </c>
      <c r="B7">
        <v>138.43</v>
      </c>
      <c r="C7">
        <v>46.67</v>
      </c>
      <c r="D7">
        <v>3.74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 s="4">
        <f t="shared" si="0"/>
        <v>188.84000000000003</v>
      </c>
      <c r="M7" s="5">
        <f t="shared" si="1"/>
        <v>3593.1589137821002</v>
      </c>
      <c r="N7" s="5">
        <f t="shared" si="2"/>
        <v>1477.9222250000003</v>
      </c>
      <c r="O7" s="5">
        <f t="shared" si="3"/>
        <v>149.73987600000001</v>
      </c>
      <c r="P7" s="5">
        <f t="shared" si="3"/>
        <v>0</v>
      </c>
      <c r="Q7" s="5">
        <f t="shared" si="3"/>
        <v>0</v>
      </c>
    </row>
    <row r="8" spans="1:17" x14ac:dyDescent="0.25">
      <c r="A8">
        <v>5</v>
      </c>
      <c r="B8">
        <v>142.19</v>
      </c>
      <c r="C8">
        <v>46.67</v>
      </c>
      <c r="D8">
        <v>4.6399999999999997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 s="4">
        <f t="shared" si="0"/>
        <v>193.5</v>
      </c>
      <c r="M8" s="5">
        <f t="shared" si="1"/>
        <v>3713.7601541869003</v>
      </c>
      <c r="N8" s="5">
        <f t="shared" si="2"/>
        <v>1477.9222250000003</v>
      </c>
      <c r="O8" s="5">
        <f t="shared" si="3"/>
        <v>185.81529599999999</v>
      </c>
      <c r="P8" s="5">
        <f t="shared" si="3"/>
        <v>0</v>
      </c>
      <c r="Q8" s="5">
        <f t="shared" si="3"/>
        <v>0</v>
      </c>
    </row>
    <row r="9" spans="1:17" x14ac:dyDescent="0.25">
      <c r="A9">
        <v>6</v>
      </c>
      <c r="B9">
        <v>149.27000000000001</v>
      </c>
      <c r="C9">
        <v>46.67</v>
      </c>
      <c r="D9">
        <v>6.34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 s="4">
        <f t="shared" si="0"/>
        <v>202.28</v>
      </c>
      <c r="M9" s="5">
        <f t="shared" si="1"/>
        <v>3944.1520791541002</v>
      </c>
      <c r="N9" s="5">
        <f t="shared" si="2"/>
        <v>1477.9222250000003</v>
      </c>
      <c r="O9" s="5">
        <f t="shared" si="3"/>
        <v>254.00195600000001</v>
      </c>
      <c r="P9" s="5">
        <f t="shared" si="3"/>
        <v>0</v>
      </c>
      <c r="Q9" s="5">
        <f t="shared" si="3"/>
        <v>0</v>
      </c>
    </row>
    <row r="10" spans="1:17" x14ac:dyDescent="0.25">
      <c r="A10">
        <v>7</v>
      </c>
      <c r="B10">
        <v>151.57</v>
      </c>
      <c r="C10">
        <v>46.67</v>
      </c>
      <c r="D10">
        <v>6.9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 s="4">
        <f t="shared" si="0"/>
        <v>205.14000000000001</v>
      </c>
      <c r="M10" s="5">
        <f t="shared" si="1"/>
        <v>4019.9252211820994</v>
      </c>
      <c r="N10" s="5">
        <f t="shared" si="2"/>
        <v>1477.9222250000003</v>
      </c>
      <c r="O10" s="5">
        <f t="shared" si="3"/>
        <v>276.47609999999997</v>
      </c>
      <c r="P10" s="5">
        <f t="shared" si="3"/>
        <v>0</v>
      </c>
      <c r="Q10" s="5">
        <f t="shared" si="3"/>
        <v>0</v>
      </c>
    </row>
    <row r="11" spans="1:17" x14ac:dyDescent="0.25">
      <c r="A11">
        <v>8</v>
      </c>
      <c r="B11">
        <v>160.75</v>
      </c>
      <c r="C11">
        <v>46.67</v>
      </c>
      <c r="D11">
        <v>9.1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 s="4">
        <f t="shared" si="0"/>
        <v>216.52</v>
      </c>
      <c r="M11" s="5">
        <f t="shared" si="1"/>
        <v>4326.8935638125004</v>
      </c>
      <c r="N11" s="5">
        <f t="shared" si="2"/>
        <v>1477.9222250000003</v>
      </c>
      <c r="O11" s="5">
        <f t="shared" si="3"/>
        <v>364.82810000000001</v>
      </c>
      <c r="P11" s="5">
        <f t="shared" si="3"/>
        <v>0</v>
      </c>
      <c r="Q11" s="5">
        <f t="shared" si="3"/>
        <v>0</v>
      </c>
    </row>
    <row r="12" spans="1:17" x14ac:dyDescent="0.25">
      <c r="A12">
        <v>9</v>
      </c>
      <c r="B12">
        <v>169.91</v>
      </c>
      <c r="C12">
        <v>46.67</v>
      </c>
      <c r="D12">
        <v>11.3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 s="4">
        <f t="shared" si="0"/>
        <v>227.88</v>
      </c>
      <c r="M12" s="5">
        <f t="shared" si="1"/>
        <v>4640.4217611348995</v>
      </c>
      <c r="N12" s="5">
        <f t="shared" si="2"/>
        <v>1477.9222250000003</v>
      </c>
      <c r="O12" s="5">
        <f t="shared" si="3"/>
        <v>453.27690000000001</v>
      </c>
      <c r="P12" s="5">
        <f t="shared" si="3"/>
        <v>0</v>
      </c>
      <c r="Q12" s="5">
        <f t="shared" si="3"/>
        <v>0</v>
      </c>
    </row>
    <row r="13" spans="1:17" x14ac:dyDescent="0.25">
      <c r="A13">
        <v>10</v>
      </c>
      <c r="B13">
        <v>176.13</v>
      </c>
      <c r="C13">
        <v>46.67</v>
      </c>
      <c r="D13">
        <v>12.81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 s="4">
        <f t="shared" si="0"/>
        <v>235.61</v>
      </c>
      <c r="M13" s="5">
        <f t="shared" si="1"/>
        <v>4857.4360382301002</v>
      </c>
      <c r="N13" s="5">
        <f t="shared" si="2"/>
        <v>1477.9222250000003</v>
      </c>
      <c r="O13" s="5">
        <f t="shared" si="3"/>
        <v>514.04096099999992</v>
      </c>
      <c r="P13" s="5">
        <f t="shared" si="3"/>
        <v>0</v>
      </c>
      <c r="Q13" s="5">
        <f t="shared" si="3"/>
        <v>0</v>
      </c>
    </row>
    <row r="14" spans="1:17" x14ac:dyDescent="0.25">
      <c r="A14">
        <v>11</v>
      </c>
      <c r="B14">
        <v>182.56</v>
      </c>
      <c r="C14">
        <v>46.67</v>
      </c>
      <c r="D14">
        <v>14.41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 s="4">
        <f t="shared" si="0"/>
        <v>243.64000000000001</v>
      </c>
      <c r="M14" s="5">
        <f t="shared" si="1"/>
        <v>5085.2771212543994</v>
      </c>
      <c r="N14" s="5">
        <f t="shared" si="2"/>
        <v>1477.9222250000003</v>
      </c>
      <c r="O14" s="5">
        <f t="shared" si="3"/>
        <v>578.47648099999992</v>
      </c>
      <c r="P14" s="5">
        <f t="shared" si="3"/>
        <v>0</v>
      </c>
      <c r="Q14" s="5">
        <f t="shared" si="3"/>
        <v>0</v>
      </c>
    </row>
    <row r="15" spans="1:17" x14ac:dyDescent="0.25">
      <c r="A15">
        <v>12</v>
      </c>
      <c r="B15">
        <v>187.4</v>
      </c>
      <c r="C15">
        <v>46.67</v>
      </c>
      <c r="D15">
        <v>15.62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 s="4">
        <f t="shared" si="0"/>
        <v>249.69</v>
      </c>
      <c r="M15" s="5">
        <f t="shared" si="1"/>
        <v>5259.1251240399997</v>
      </c>
      <c r="N15" s="5">
        <f t="shared" si="2"/>
        <v>1477.9222250000003</v>
      </c>
      <c r="O15" s="5">
        <f t="shared" si="3"/>
        <v>627.23984399999995</v>
      </c>
      <c r="P15" s="5">
        <f t="shared" si="3"/>
        <v>0</v>
      </c>
      <c r="Q15" s="5">
        <f t="shared" si="3"/>
        <v>0</v>
      </c>
    </row>
    <row r="16" spans="1:17" x14ac:dyDescent="0.25">
      <c r="A16">
        <v>13</v>
      </c>
      <c r="B16">
        <v>187.77</v>
      </c>
      <c r="C16">
        <v>46.67</v>
      </c>
      <c r="D16">
        <v>15.71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 s="4">
        <f t="shared" si="0"/>
        <v>250.15</v>
      </c>
      <c r="M16" s="5">
        <f t="shared" si="1"/>
        <v>5272.4981043141006</v>
      </c>
      <c r="N16" s="5">
        <f t="shared" si="2"/>
        <v>1477.9222250000003</v>
      </c>
      <c r="O16" s="5">
        <f t="shared" si="3"/>
        <v>630.86804100000006</v>
      </c>
      <c r="P16" s="5">
        <f t="shared" si="3"/>
        <v>0</v>
      </c>
      <c r="Q16" s="5">
        <f t="shared" si="3"/>
        <v>0</v>
      </c>
    </row>
    <row r="17" spans="1:17" x14ac:dyDescent="0.25">
      <c r="A17">
        <v>14</v>
      </c>
      <c r="B17">
        <v>190.67</v>
      </c>
      <c r="C17">
        <v>46.67</v>
      </c>
      <c r="D17">
        <v>16.48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 s="4">
        <f t="shared" si="0"/>
        <v>253.81999999999996</v>
      </c>
      <c r="M17" s="5">
        <f t="shared" si="1"/>
        <v>5377.7213991180997</v>
      </c>
      <c r="N17" s="5">
        <f t="shared" si="2"/>
        <v>1477.9222250000003</v>
      </c>
      <c r="O17" s="5">
        <f t="shared" si="3"/>
        <v>661.91590400000007</v>
      </c>
      <c r="P17" s="5">
        <f t="shared" si="3"/>
        <v>0</v>
      </c>
      <c r="Q17" s="5">
        <f t="shared" si="3"/>
        <v>0</v>
      </c>
    </row>
    <row r="18" spans="1:17" x14ac:dyDescent="0.25">
      <c r="A18">
        <v>15</v>
      </c>
      <c r="B18">
        <v>195.04</v>
      </c>
      <c r="C18">
        <v>46.67</v>
      </c>
      <c r="D18">
        <v>17.649999999999999</v>
      </c>
      <c r="E18">
        <v>0</v>
      </c>
      <c r="F18">
        <v>0</v>
      </c>
      <c r="G18">
        <v>1</v>
      </c>
      <c r="H18">
        <v>1</v>
      </c>
      <c r="I18">
        <v>1</v>
      </c>
      <c r="J18">
        <v>0</v>
      </c>
      <c r="K18">
        <v>0</v>
      </c>
      <c r="L18" s="4">
        <f t="shared" si="0"/>
        <v>259.35999999999996</v>
      </c>
      <c r="M18" s="5">
        <f t="shared" si="1"/>
        <v>5537.6490462463989</v>
      </c>
      <c r="N18" s="5">
        <f t="shared" si="2"/>
        <v>1477.9222250000003</v>
      </c>
      <c r="O18" s="5">
        <f t="shared" si="3"/>
        <v>709.11522500000001</v>
      </c>
      <c r="P18" s="5">
        <f t="shared" si="3"/>
        <v>0</v>
      </c>
      <c r="Q18" s="5">
        <f t="shared" si="3"/>
        <v>0</v>
      </c>
    </row>
    <row r="19" spans="1:17" x14ac:dyDescent="0.25">
      <c r="A19">
        <v>16</v>
      </c>
      <c r="B19">
        <v>196.14</v>
      </c>
      <c r="C19">
        <v>46.67</v>
      </c>
      <c r="D19">
        <v>17.940000000000001</v>
      </c>
      <c r="E19">
        <v>0</v>
      </c>
      <c r="F19">
        <v>0</v>
      </c>
      <c r="G19">
        <v>1</v>
      </c>
      <c r="H19">
        <v>1</v>
      </c>
      <c r="I19">
        <v>1</v>
      </c>
      <c r="J19">
        <v>0</v>
      </c>
      <c r="K19">
        <v>0</v>
      </c>
      <c r="L19" s="4">
        <f t="shared" si="0"/>
        <v>260.75</v>
      </c>
      <c r="M19" s="5">
        <f t="shared" si="1"/>
        <v>5578.1643388883995</v>
      </c>
      <c r="N19" s="5">
        <f t="shared" si="2"/>
        <v>1477.9222250000003</v>
      </c>
      <c r="O19" s="5">
        <f t="shared" si="3"/>
        <v>720.81843600000002</v>
      </c>
      <c r="P19" s="5">
        <f t="shared" si="3"/>
        <v>0</v>
      </c>
      <c r="Q19" s="5">
        <f t="shared" si="3"/>
        <v>0</v>
      </c>
    </row>
    <row r="20" spans="1:17" x14ac:dyDescent="0.25">
      <c r="A20">
        <v>17</v>
      </c>
      <c r="B20">
        <v>195.19</v>
      </c>
      <c r="C20">
        <v>46.67</v>
      </c>
      <c r="D20">
        <v>17.690000000000001</v>
      </c>
      <c r="E20">
        <v>0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 s="4">
        <f t="shared" si="0"/>
        <v>259.55</v>
      </c>
      <c r="M20" s="5">
        <f t="shared" si="1"/>
        <v>5543.1677272468996</v>
      </c>
      <c r="N20" s="5">
        <f t="shared" si="2"/>
        <v>1477.9222250000003</v>
      </c>
      <c r="O20" s="5">
        <f t="shared" si="3"/>
        <v>710.72936100000004</v>
      </c>
      <c r="P20" s="5">
        <f t="shared" si="3"/>
        <v>0</v>
      </c>
      <c r="Q20" s="5">
        <f t="shared" si="3"/>
        <v>0</v>
      </c>
    </row>
    <row r="21" spans="1:17" x14ac:dyDescent="0.25">
      <c r="A21">
        <v>18</v>
      </c>
      <c r="B21">
        <v>192.58</v>
      </c>
      <c r="C21">
        <v>46.67</v>
      </c>
      <c r="D21">
        <v>17</v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0</v>
      </c>
      <c r="L21" s="4">
        <f t="shared" si="0"/>
        <v>256.25</v>
      </c>
      <c r="M21" s="5">
        <f t="shared" si="1"/>
        <v>5447.4189498356009</v>
      </c>
      <c r="N21" s="5">
        <f t="shared" si="2"/>
        <v>1477.9222250000003</v>
      </c>
      <c r="O21" s="5">
        <f t="shared" si="3"/>
        <v>682.89</v>
      </c>
      <c r="P21" s="5">
        <f t="shared" si="3"/>
        <v>0</v>
      </c>
      <c r="Q21" s="5">
        <f t="shared" si="3"/>
        <v>0</v>
      </c>
    </row>
    <row r="22" spans="1:17" x14ac:dyDescent="0.25">
      <c r="A22">
        <v>19</v>
      </c>
      <c r="B22">
        <v>202.02</v>
      </c>
      <c r="C22">
        <v>46.67</v>
      </c>
      <c r="D22">
        <v>19.579999999999998</v>
      </c>
      <c r="E22">
        <v>0</v>
      </c>
      <c r="F22">
        <v>0.14000000000000001</v>
      </c>
      <c r="G22">
        <v>1</v>
      </c>
      <c r="H22">
        <v>1</v>
      </c>
      <c r="I22">
        <v>1</v>
      </c>
      <c r="J22">
        <v>0</v>
      </c>
      <c r="K22">
        <v>1</v>
      </c>
      <c r="L22" s="4">
        <f t="shared" si="0"/>
        <v>268.40999999999997</v>
      </c>
      <c r="M22" s="5">
        <f t="shared" si="1"/>
        <v>5796.5030075316008</v>
      </c>
      <c r="N22" s="5">
        <f t="shared" si="2"/>
        <v>1477.9222250000003</v>
      </c>
      <c r="O22" s="5">
        <f t="shared" si="3"/>
        <v>787.03376399999991</v>
      </c>
      <c r="P22" s="5">
        <f t="shared" si="3"/>
        <v>0</v>
      </c>
      <c r="Q22" s="5">
        <f t="shared" si="3"/>
        <v>5.6001960000000004</v>
      </c>
    </row>
    <row r="23" spans="1:17" x14ac:dyDescent="0.25">
      <c r="A23">
        <v>20</v>
      </c>
      <c r="B23">
        <v>204.61</v>
      </c>
      <c r="C23">
        <v>46.67</v>
      </c>
      <c r="D23">
        <v>20.65</v>
      </c>
      <c r="E23">
        <v>0</v>
      </c>
      <c r="F23">
        <v>0.82</v>
      </c>
      <c r="G23">
        <v>1</v>
      </c>
      <c r="H23">
        <v>1</v>
      </c>
      <c r="I23">
        <v>1</v>
      </c>
      <c r="J23">
        <v>0</v>
      </c>
      <c r="K23">
        <v>1</v>
      </c>
      <c r="L23" s="4">
        <f t="shared" si="0"/>
        <v>272.75</v>
      </c>
      <c r="M23" s="5">
        <f t="shared" si="1"/>
        <v>5893.6199326108999</v>
      </c>
      <c r="N23" s="5">
        <f t="shared" si="2"/>
        <v>1477.9222250000003</v>
      </c>
      <c r="O23" s="5">
        <f t="shared" si="3"/>
        <v>830.26422500000001</v>
      </c>
      <c r="P23" s="5">
        <f t="shared" si="3"/>
        <v>0</v>
      </c>
      <c r="Q23" s="5">
        <f t="shared" si="3"/>
        <v>32.806723999999996</v>
      </c>
    </row>
    <row r="24" spans="1:17" x14ac:dyDescent="0.25">
      <c r="A24">
        <v>21</v>
      </c>
      <c r="B24">
        <v>200.82</v>
      </c>
      <c r="C24">
        <v>46.67</v>
      </c>
      <c r="D24">
        <v>19.18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 s="4">
        <f t="shared" si="0"/>
        <v>266.67</v>
      </c>
      <c r="M24" s="5">
        <f t="shared" si="1"/>
        <v>5751.7024446995993</v>
      </c>
      <c r="N24" s="5">
        <f t="shared" si="2"/>
        <v>1477.9222250000003</v>
      </c>
      <c r="O24" s="5">
        <f t="shared" si="3"/>
        <v>770.87872400000003</v>
      </c>
      <c r="P24" s="5">
        <f t="shared" si="3"/>
        <v>0</v>
      </c>
      <c r="Q24" s="5">
        <f t="shared" si="3"/>
        <v>0</v>
      </c>
    </row>
    <row r="25" spans="1:17" x14ac:dyDescent="0.25">
      <c r="A25">
        <v>22</v>
      </c>
      <c r="B25">
        <v>191.48</v>
      </c>
      <c r="C25">
        <v>46.67</v>
      </c>
      <c r="D25">
        <v>16.7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 s="4">
        <f t="shared" si="0"/>
        <v>254.84999999999997</v>
      </c>
      <c r="M25" s="5">
        <f t="shared" si="1"/>
        <v>5407.2406603215995</v>
      </c>
      <c r="N25" s="5">
        <f t="shared" si="2"/>
        <v>1477.9222250000003</v>
      </c>
      <c r="O25" s="5">
        <f t="shared" si="3"/>
        <v>670.78890000000001</v>
      </c>
      <c r="P25" s="5">
        <f t="shared" si="3"/>
        <v>0</v>
      </c>
      <c r="Q25" s="5">
        <f t="shared" si="3"/>
        <v>0</v>
      </c>
    </row>
    <row r="26" spans="1:17" x14ac:dyDescent="0.25">
      <c r="A26">
        <v>23</v>
      </c>
      <c r="B26">
        <v>179.03</v>
      </c>
      <c r="C26">
        <v>46.67</v>
      </c>
      <c r="D26">
        <v>13.53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 s="4">
        <f t="shared" si="0"/>
        <v>239.23</v>
      </c>
      <c r="M26" s="5">
        <f t="shared" si="1"/>
        <v>4959.7543591860995</v>
      </c>
      <c r="N26" s="5">
        <f t="shared" si="2"/>
        <v>1477.9222250000003</v>
      </c>
      <c r="O26" s="5">
        <f t="shared" si="3"/>
        <v>543.03060899999991</v>
      </c>
      <c r="P26" s="5">
        <f t="shared" si="3"/>
        <v>0</v>
      </c>
      <c r="Q26" s="5">
        <f t="shared" si="3"/>
        <v>0</v>
      </c>
    </row>
    <row r="27" spans="1:17" x14ac:dyDescent="0.25">
      <c r="A27">
        <v>24</v>
      </c>
      <c r="B27">
        <v>167.91</v>
      </c>
      <c r="C27">
        <v>46.67</v>
      </c>
      <c r="D27">
        <v>10.82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 s="4">
        <f t="shared" si="0"/>
        <v>225.39999999999998</v>
      </c>
      <c r="M27" s="5">
        <f t="shared" si="1"/>
        <v>4571.3496475748998</v>
      </c>
      <c r="N27" s="5">
        <f t="shared" si="2"/>
        <v>1477.9222250000003</v>
      </c>
      <c r="O27" s="5">
        <f t="shared" si="3"/>
        <v>433.97072400000002</v>
      </c>
      <c r="P27" s="5">
        <f t="shared" si="3"/>
        <v>0</v>
      </c>
      <c r="Q27" s="5">
        <f t="shared" si="3"/>
        <v>0</v>
      </c>
    </row>
    <row r="28" spans="1:17" x14ac:dyDescent="0.25">
      <c r="B28" s="7">
        <f>SUM(B4:B27)</f>
        <v>4194.68</v>
      </c>
      <c r="C28" s="7">
        <f t="shared" ref="C28:D28" si="4">SUM(C4:C27)</f>
        <v>1120.08</v>
      </c>
      <c r="D28" s="7">
        <f t="shared" si="4"/>
        <v>303.30999999999995</v>
      </c>
      <c r="E28" s="7">
        <f>SUM(E4:E27)</f>
        <v>0</v>
      </c>
      <c r="F28" s="7">
        <f t="shared" ref="F28" si="5">SUM(F4:F27)</f>
        <v>0.96</v>
      </c>
      <c r="M28" s="6">
        <f t="shared" ref="M28:Q28" si="6">SUM(M4:M27)</f>
        <v>115934.6614880314</v>
      </c>
      <c r="N28" s="6">
        <f t="shared" si="6"/>
        <v>35470.133400000028</v>
      </c>
      <c r="O28" s="6">
        <f t="shared" si="6"/>
        <v>12177.826033000001</v>
      </c>
      <c r="P28" s="6">
        <f t="shared" si="6"/>
        <v>0</v>
      </c>
      <c r="Q28" s="6">
        <f t="shared" si="6"/>
        <v>38.40692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workbookViewId="0">
      <selection activeCell="B28" sqref="B28:U28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26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96.07</v>
      </c>
      <c r="C4">
        <v>51.13</v>
      </c>
      <c r="D4">
        <v>51.23</v>
      </c>
      <c r="E4">
        <v>42.19</v>
      </c>
      <c r="F4">
        <v>30.48</v>
      </c>
      <c r="G4">
        <v>-13.23</v>
      </c>
      <c r="H4">
        <v>-44.79</v>
      </c>
      <c r="I4">
        <v>23.7</v>
      </c>
      <c r="J4">
        <v>13.24</v>
      </c>
      <c r="K4">
        <v>29.53</v>
      </c>
      <c r="L4">
        <v>3.2</v>
      </c>
      <c r="M4">
        <v>5.51</v>
      </c>
      <c r="N4">
        <v>12.15</v>
      </c>
      <c r="O4">
        <v>0</v>
      </c>
      <c r="P4">
        <v>23.7</v>
      </c>
      <c r="Q4">
        <v>6.24</v>
      </c>
      <c r="R4">
        <v>8.5500000000000007</v>
      </c>
      <c r="S4">
        <v>-0.54</v>
      </c>
      <c r="T4">
        <v>0.87</v>
      </c>
      <c r="U4">
        <v>2.71</v>
      </c>
    </row>
    <row r="5" spans="1:21" x14ac:dyDescent="0.25">
      <c r="A5">
        <v>2</v>
      </c>
      <c r="B5">
        <v>92.62</v>
      </c>
      <c r="C5">
        <v>49.55</v>
      </c>
      <c r="D5">
        <v>50.25</v>
      </c>
      <c r="E5">
        <v>41.09</v>
      </c>
      <c r="F5">
        <v>29.69</v>
      </c>
      <c r="G5">
        <v>-13.23</v>
      </c>
      <c r="H5">
        <v>-43.58</v>
      </c>
      <c r="I5">
        <v>22.95</v>
      </c>
      <c r="J5">
        <v>12.82</v>
      </c>
      <c r="K5">
        <v>28.62</v>
      </c>
      <c r="L5">
        <v>3.11</v>
      </c>
      <c r="M5">
        <v>5.34</v>
      </c>
      <c r="N5">
        <v>11.77</v>
      </c>
      <c r="O5">
        <v>0</v>
      </c>
      <c r="P5">
        <v>22.95</v>
      </c>
      <c r="Q5">
        <v>6.04</v>
      </c>
      <c r="R5">
        <v>8.2799999999999994</v>
      </c>
      <c r="S5">
        <v>-0.53</v>
      </c>
      <c r="T5">
        <v>0.84</v>
      </c>
      <c r="U5">
        <v>2.63</v>
      </c>
    </row>
    <row r="6" spans="1:21" x14ac:dyDescent="0.25">
      <c r="A6">
        <v>3</v>
      </c>
      <c r="B6">
        <v>90.01</v>
      </c>
      <c r="C6">
        <v>48.35</v>
      </c>
      <c r="D6">
        <v>49.51</v>
      </c>
      <c r="E6">
        <v>40.26</v>
      </c>
      <c r="F6">
        <v>29.1</v>
      </c>
      <c r="G6">
        <v>-13.23</v>
      </c>
      <c r="H6">
        <v>-42.67</v>
      </c>
      <c r="I6">
        <v>22.39</v>
      </c>
      <c r="J6">
        <v>12.51</v>
      </c>
      <c r="K6">
        <v>27.93</v>
      </c>
      <c r="L6">
        <v>3.04</v>
      </c>
      <c r="M6">
        <v>5.21</v>
      </c>
      <c r="N6">
        <v>11.49</v>
      </c>
      <c r="O6">
        <v>0</v>
      </c>
      <c r="P6">
        <v>22.39</v>
      </c>
      <c r="Q6">
        <v>5.89</v>
      </c>
      <c r="R6">
        <v>8.07</v>
      </c>
      <c r="S6">
        <v>-0.52</v>
      </c>
      <c r="T6">
        <v>0.82</v>
      </c>
      <c r="U6">
        <v>2.56</v>
      </c>
    </row>
    <row r="7" spans="1:21" x14ac:dyDescent="0.25">
      <c r="A7">
        <v>4</v>
      </c>
      <c r="B7">
        <v>88.87</v>
      </c>
      <c r="C7">
        <v>47.83</v>
      </c>
      <c r="D7">
        <v>49.19</v>
      </c>
      <c r="E7">
        <v>39.9</v>
      </c>
      <c r="F7">
        <v>28.85</v>
      </c>
      <c r="G7">
        <v>-13.23</v>
      </c>
      <c r="H7">
        <v>-42.28</v>
      </c>
      <c r="I7">
        <v>22.14</v>
      </c>
      <c r="J7">
        <v>12.37</v>
      </c>
      <c r="K7">
        <v>27.63</v>
      </c>
      <c r="L7">
        <v>3</v>
      </c>
      <c r="M7">
        <v>5.15</v>
      </c>
      <c r="N7">
        <v>11.36</v>
      </c>
      <c r="O7">
        <v>0</v>
      </c>
      <c r="P7">
        <v>22.14</v>
      </c>
      <c r="Q7">
        <v>5.83</v>
      </c>
      <c r="R7">
        <v>7.99</v>
      </c>
      <c r="S7">
        <v>-0.52</v>
      </c>
      <c r="T7">
        <v>0.81</v>
      </c>
      <c r="U7">
        <v>2.54</v>
      </c>
    </row>
    <row r="8" spans="1:21" x14ac:dyDescent="0.25">
      <c r="A8">
        <v>5</v>
      </c>
      <c r="B8">
        <v>91.41</v>
      </c>
      <c r="C8">
        <v>48.99</v>
      </c>
      <c r="D8">
        <v>49.91</v>
      </c>
      <c r="E8">
        <v>40.71</v>
      </c>
      <c r="F8">
        <v>29.42</v>
      </c>
      <c r="G8">
        <v>-13.23</v>
      </c>
      <c r="H8">
        <v>-43.16</v>
      </c>
      <c r="I8">
        <v>22.69</v>
      </c>
      <c r="J8">
        <v>12.68</v>
      </c>
      <c r="K8">
        <v>28.3</v>
      </c>
      <c r="L8">
        <v>3.07</v>
      </c>
      <c r="M8">
        <v>5.28</v>
      </c>
      <c r="N8">
        <v>11.64</v>
      </c>
      <c r="O8">
        <v>0</v>
      </c>
      <c r="P8">
        <v>22.69</v>
      </c>
      <c r="Q8">
        <v>5.97</v>
      </c>
      <c r="R8">
        <v>8.18</v>
      </c>
      <c r="S8">
        <v>-0.52</v>
      </c>
      <c r="T8">
        <v>0.83</v>
      </c>
      <c r="U8">
        <v>2.6</v>
      </c>
    </row>
    <row r="9" spans="1:21" x14ac:dyDescent="0.25">
      <c r="A9">
        <v>6</v>
      </c>
      <c r="B9">
        <v>96.18</v>
      </c>
      <c r="C9">
        <v>51.18</v>
      </c>
      <c r="D9">
        <v>51.26</v>
      </c>
      <c r="E9">
        <v>42.22</v>
      </c>
      <c r="F9">
        <v>30.5</v>
      </c>
      <c r="G9">
        <v>-13.23</v>
      </c>
      <c r="H9">
        <v>-44.83</v>
      </c>
      <c r="I9">
        <v>23.72</v>
      </c>
      <c r="J9">
        <v>13.25</v>
      </c>
      <c r="K9">
        <v>29.56</v>
      </c>
      <c r="L9">
        <v>3.2</v>
      </c>
      <c r="M9">
        <v>5.51</v>
      </c>
      <c r="N9">
        <v>12.16</v>
      </c>
      <c r="O9">
        <v>0</v>
      </c>
      <c r="P9">
        <v>23.72</v>
      </c>
      <c r="Q9">
        <v>6.25</v>
      </c>
      <c r="R9">
        <v>8.56</v>
      </c>
      <c r="S9">
        <v>-0.54</v>
      </c>
      <c r="T9">
        <v>0.87</v>
      </c>
      <c r="U9">
        <v>2.71</v>
      </c>
    </row>
    <row r="10" spans="1:21" x14ac:dyDescent="0.25">
      <c r="A10">
        <v>7</v>
      </c>
      <c r="B10">
        <v>97.73</v>
      </c>
      <c r="C10">
        <v>51.89</v>
      </c>
      <c r="D10">
        <v>51.7</v>
      </c>
      <c r="E10">
        <v>42.71</v>
      </c>
      <c r="F10">
        <v>30.85</v>
      </c>
      <c r="G10">
        <v>-13.23</v>
      </c>
      <c r="H10">
        <v>-45.37</v>
      </c>
      <c r="I10">
        <v>24.05</v>
      </c>
      <c r="J10">
        <v>13.44</v>
      </c>
      <c r="K10">
        <v>29.97</v>
      </c>
      <c r="L10">
        <v>3.24</v>
      </c>
      <c r="M10">
        <v>5.59</v>
      </c>
      <c r="N10">
        <v>12.33</v>
      </c>
      <c r="O10">
        <v>0</v>
      </c>
      <c r="P10">
        <v>24.05</v>
      </c>
      <c r="Q10">
        <v>6.34</v>
      </c>
      <c r="R10">
        <v>8.68</v>
      </c>
      <c r="S10">
        <v>-0.54</v>
      </c>
      <c r="T10">
        <v>0.88</v>
      </c>
      <c r="U10">
        <v>2.74</v>
      </c>
    </row>
    <row r="11" spans="1:21" x14ac:dyDescent="0.25">
      <c r="A11">
        <v>8</v>
      </c>
      <c r="B11">
        <v>103.92</v>
      </c>
      <c r="C11">
        <v>54.72</v>
      </c>
      <c r="D11">
        <v>53.45</v>
      </c>
      <c r="E11">
        <v>44.67</v>
      </c>
      <c r="F11">
        <v>32.25</v>
      </c>
      <c r="G11">
        <v>-13.23</v>
      </c>
      <c r="H11">
        <v>-47.52</v>
      </c>
      <c r="I11">
        <v>25.39</v>
      </c>
      <c r="J11">
        <v>14.19</v>
      </c>
      <c r="K11">
        <v>31.6</v>
      </c>
      <c r="L11">
        <v>3.41</v>
      </c>
      <c r="M11">
        <v>5.9</v>
      </c>
      <c r="N11">
        <v>13</v>
      </c>
      <c r="O11">
        <v>0</v>
      </c>
      <c r="P11">
        <v>25.39</v>
      </c>
      <c r="Q11">
        <v>6.7</v>
      </c>
      <c r="R11">
        <v>9.16</v>
      </c>
      <c r="S11">
        <v>-0.56000000000000005</v>
      </c>
      <c r="T11">
        <v>0.93</v>
      </c>
      <c r="U11">
        <v>2.89</v>
      </c>
    </row>
    <row r="12" spans="1:21" x14ac:dyDescent="0.25">
      <c r="A12">
        <v>9</v>
      </c>
      <c r="B12">
        <v>110.09</v>
      </c>
      <c r="C12">
        <v>57.55</v>
      </c>
      <c r="D12">
        <v>55.2</v>
      </c>
      <c r="E12">
        <v>46.63</v>
      </c>
      <c r="F12">
        <v>33.64</v>
      </c>
      <c r="G12">
        <v>-13.23</v>
      </c>
      <c r="H12">
        <v>-49.68</v>
      </c>
      <c r="I12">
        <v>26.72</v>
      </c>
      <c r="J12">
        <v>14.93</v>
      </c>
      <c r="K12">
        <v>33.229999999999997</v>
      </c>
      <c r="L12">
        <v>3.58</v>
      </c>
      <c r="M12">
        <v>6.2</v>
      </c>
      <c r="N12">
        <v>13.67</v>
      </c>
      <c r="O12">
        <v>0</v>
      </c>
      <c r="P12">
        <v>26.72</v>
      </c>
      <c r="Q12">
        <v>7.06</v>
      </c>
      <c r="R12">
        <v>9.65</v>
      </c>
      <c r="S12">
        <v>-0.57999999999999996</v>
      </c>
      <c r="T12">
        <v>0.97</v>
      </c>
      <c r="U12">
        <v>3.03</v>
      </c>
    </row>
    <row r="13" spans="1:21" x14ac:dyDescent="0.25">
      <c r="A13">
        <v>10</v>
      </c>
      <c r="B13">
        <v>114.27</v>
      </c>
      <c r="C13">
        <v>59.48</v>
      </c>
      <c r="D13">
        <v>56.38</v>
      </c>
      <c r="E13">
        <v>47.95</v>
      </c>
      <c r="F13">
        <v>34.6</v>
      </c>
      <c r="G13">
        <v>-13.23</v>
      </c>
      <c r="H13">
        <v>-51.05</v>
      </c>
      <c r="I13">
        <v>27.42</v>
      </c>
      <c r="J13">
        <v>15.55</v>
      </c>
      <c r="K13">
        <v>34.44</v>
      </c>
      <c r="L13">
        <v>3.75</v>
      </c>
      <c r="M13">
        <v>6.42</v>
      </c>
      <c r="N13">
        <v>14.16</v>
      </c>
      <c r="O13">
        <v>0</v>
      </c>
      <c r="P13">
        <v>27.42</v>
      </c>
      <c r="Q13">
        <v>7.25</v>
      </c>
      <c r="R13">
        <v>9.94</v>
      </c>
      <c r="S13">
        <v>-0.65</v>
      </c>
      <c r="T13">
        <v>1.01</v>
      </c>
      <c r="U13">
        <v>3.17</v>
      </c>
    </row>
    <row r="14" spans="1:21" x14ac:dyDescent="0.25">
      <c r="A14">
        <v>11</v>
      </c>
      <c r="B14">
        <v>118.57</v>
      </c>
      <c r="C14">
        <v>61.49</v>
      </c>
      <c r="D14">
        <v>57.57</v>
      </c>
      <c r="E14">
        <v>49.28</v>
      </c>
      <c r="F14">
        <v>35.630000000000003</v>
      </c>
      <c r="G14">
        <v>-13.23</v>
      </c>
      <c r="H14">
        <v>-52.18</v>
      </c>
      <c r="I14">
        <v>27.42</v>
      </c>
      <c r="J14">
        <v>16.579999999999998</v>
      </c>
      <c r="K14">
        <v>36.049999999999997</v>
      </c>
      <c r="L14">
        <v>4.1399999999999997</v>
      </c>
      <c r="M14">
        <v>6.68</v>
      </c>
      <c r="N14">
        <v>14.77</v>
      </c>
      <c r="O14">
        <v>0</v>
      </c>
      <c r="P14">
        <v>27.42</v>
      </c>
      <c r="Q14">
        <v>7.24</v>
      </c>
      <c r="R14">
        <v>10.11</v>
      </c>
      <c r="S14">
        <v>-0.93</v>
      </c>
      <c r="T14">
        <v>1.08</v>
      </c>
      <c r="U14">
        <v>3.44</v>
      </c>
    </row>
    <row r="15" spans="1:21" x14ac:dyDescent="0.25">
      <c r="A15">
        <v>12</v>
      </c>
      <c r="B15">
        <v>121.81</v>
      </c>
      <c r="C15">
        <v>63.01</v>
      </c>
      <c r="D15">
        <v>58.47</v>
      </c>
      <c r="E15">
        <v>50.28</v>
      </c>
      <c r="F15">
        <v>36.409999999999997</v>
      </c>
      <c r="G15">
        <v>-13.23</v>
      </c>
      <c r="H15">
        <v>-53.04</v>
      </c>
      <c r="I15">
        <v>27.42</v>
      </c>
      <c r="J15">
        <v>17.36</v>
      </c>
      <c r="K15">
        <v>37.25</v>
      </c>
      <c r="L15">
        <v>4.43</v>
      </c>
      <c r="M15">
        <v>6.87</v>
      </c>
      <c r="N15">
        <v>15.23</v>
      </c>
      <c r="O15">
        <v>0</v>
      </c>
      <c r="P15">
        <v>27.42</v>
      </c>
      <c r="Q15">
        <v>7.24</v>
      </c>
      <c r="R15">
        <v>10.24</v>
      </c>
      <c r="S15">
        <v>-1.1299999999999999</v>
      </c>
      <c r="T15">
        <v>1.1399999999999999</v>
      </c>
      <c r="U15">
        <v>3.65</v>
      </c>
    </row>
    <row r="16" spans="1:21" x14ac:dyDescent="0.25">
      <c r="A16">
        <v>13</v>
      </c>
      <c r="B16">
        <v>122.06</v>
      </c>
      <c r="C16">
        <v>63.13</v>
      </c>
      <c r="D16">
        <v>58.54</v>
      </c>
      <c r="E16">
        <v>50.36</v>
      </c>
      <c r="F16">
        <v>36.46</v>
      </c>
      <c r="G16">
        <v>-13.23</v>
      </c>
      <c r="H16">
        <v>-53.1</v>
      </c>
      <c r="I16">
        <v>27.42</v>
      </c>
      <c r="J16">
        <v>17.420000000000002</v>
      </c>
      <c r="K16">
        <v>37.35</v>
      </c>
      <c r="L16">
        <v>4.45</v>
      </c>
      <c r="M16">
        <v>6.88</v>
      </c>
      <c r="N16">
        <v>15.27</v>
      </c>
      <c r="O16">
        <v>0</v>
      </c>
      <c r="P16">
        <v>27.42</v>
      </c>
      <c r="Q16">
        <v>7.24</v>
      </c>
      <c r="R16">
        <v>10.25</v>
      </c>
      <c r="S16">
        <v>-1.1499999999999999</v>
      </c>
      <c r="T16">
        <v>1.1399999999999999</v>
      </c>
      <c r="U16">
        <v>3.66</v>
      </c>
    </row>
    <row r="17" spans="1:21" x14ac:dyDescent="0.25">
      <c r="A17">
        <v>14</v>
      </c>
      <c r="B17">
        <v>123.97</v>
      </c>
      <c r="C17">
        <v>64.06</v>
      </c>
      <c r="D17">
        <v>59.04</v>
      </c>
      <c r="E17">
        <v>50.92</v>
      </c>
      <c r="F17">
        <v>36.97</v>
      </c>
      <c r="G17">
        <v>-13.23</v>
      </c>
      <c r="H17">
        <v>-53.27</v>
      </c>
      <c r="I17">
        <v>27.42</v>
      </c>
      <c r="J17">
        <v>17.5</v>
      </c>
      <c r="K17">
        <v>38.479999999999997</v>
      </c>
      <c r="L17">
        <v>4.8600000000000003</v>
      </c>
      <c r="M17">
        <v>7.04</v>
      </c>
      <c r="N17">
        <v>15.67</v>
      </c>
      <c r="O17">
        <v>0</v>
      </c>
      <c r="P17">
        <v>27.42</v>
      </c>
      <c r="Q17">
        <v>7.01</v>
      </c>
      <c r="R17">
        <v>10.17</v>
      </c>
      <c r="S17">
        <v>-1.5</v>
      </c>
      <c r="T17">
        <v>1.21</v>
      </c>
      <c r="U17">
        <v>3.94</v>
      </c>
    </row>
    <row r="18" spans="1:21" x14ac:dyDescent="0.25">
      <c r="A18">
        <v>15</v>
      </c>
      <c r="B18">
        <v>126.85</v>
      </c>
      <c r="C18">
        <v>65.48</v>
      </c>
      <c r="D18">
        <v>59.78</v>
      </c>
      <c r="E18">
        <v>51.75</v>
      </c>
      <c r="F18">
        <v>37.75</v>
      </c>
      <c r="G18">
        <v>-13.23</v>
      </c>
      <c r="H18">
        <v>-53.43</v>
      </c>
      <c r="I18">
        <v>27.42</v>
      </c>
      <c r="J18">
        <v>17.5</v>
      </c>
      <c r="K18">
        <v>40.32</v>
      </c>
      <c r="L18">
        <v>5.56</v>
      </c>
      <c r="M18">
        <v>7.28</v>
      </c>
      <c r="N18">
        <v>16.32</v>
      </c>
      <c r="O18">
        <v>0</v>
      </c>
      <c r="P18">
        <v>27.42</v>
      </c>
      <c r="Q18">
        <v>6.59</v>
      </c>
      <c r="R18">
        <v>10.01</v>
      </c>
      <c r="S18">
        <v>-2.1</v>
      </c>
      <c r="T18">
        <v>1.32</v>
      </c>
      <c r="U18">
        <v>4.41</v>
      </c>
    </row>
    <row r="19" spans="1:21" x14ac:dyDescent="0.25">
      <c r="A19">
        <v>16</v>
      </c>
      <c r="B19">
        <v>127.57</v>
      </c>
      <c r="C19">
        <v>65.84</v>
      </c>
      <c r="D19">
        <v>59.97</v>
      </c>
      <c r="E19">
        <v>51.96</v>
      </c>
      <c r="F19">
        <v>37.94</v>
      </c>
      <c r="G19">
        <v>-13.23</v>
      </c>
      <c r="H19">
        <v>-53.47</v>
      </c>
      <c r="I19">
        <v>27.42</v>
      </c>
      <c r="J19">
        <v>17.5</v>
      </c>
      <c r="K19">
        <v>40.78</v>
      </c>
      <c r="L19">
        <v>5.73</v>
      </c>
      <c r="M19">
        <v>7.34</v>
      </c>
      <c r="N19">
        <v>16.48</v>
      </c>
      <c r="O19">
        <v>0</v>
      </c>
      <c r="P19">
        <v>27.42</v>
      </c>
      <c r="Q19">
        <v>6.48</v>
      </c>
      <c r="R19">
        <v>9.9700000000000006</v>
      </c>
      <c r="S19">
        <v>-2.25</v>
      </c>
      <c r="T19">
        <v>1.35</v>
      </c>
      <c r="U19">
        <v>4.5199999999999996</v>
      </c>
    </row>
    <row r="20" spans="1:21" x14ac:dyDescent="0.25">
      <c r="A20">
        <v>17</v>
      </c>
      <c r="B20">
        <v>126.94</v>
      </c>
      <c r="C20">
        <v>65.53</v>
      </c>
      <c r="D20">
        <v>59.81</v>
      </c>
      <c r="E20">
        <v>51.78</v>
      </c>
      <c r="F20">
        <v>37.78</v>
      </c>
      <c r="G20">
        <v>-13.23</v>
      </c>
      <c r="H20">
        <v>-53.43</v>
      </c>
      <c r="I20">
        <v>27.42</v>
      </c>
      <c r="J20">
        <v>17.5</v>
      </c>
      <c r="K20">
        <v>40.380000000000003</v>
      </c>
      <c r="L20">
        <v>5.58</v>
      </c>
      <c r="M20">
        <v>7.29</v>
      </c>
      <c r="N20">
        <v>16.34</v>
      </c>
      <c r="O20">
        <v>0</v>
      </c>
      <c r="P20">
        <v>27.42</v>
      </c>
      <c r="Q20">
        <v>6.57</v>
      </c>
      <c r="R20">
        <v>10</v>
      </c>
      <c r="S20">
        <v>-2.12</v>
      </c>
      <c r="T20">
        <v>1.33</v>
      </c>
      <c r="U20">
        <v>4.42</v>
      </c>
    </row>
    <row r="21" spans="1:21" x14ac:dyDescent="0.25">
      <c r="A21">
        <v>18</v>
      </c>
      <c r="B21">
        <v>125.23</v>
      </c>
      <c r="C21">
        <v>64.680000000000007</v>
      </c>
      <c r="D21">
        <v>59.36</v>
      </c>
      <c r="E21">
        <v>51.28</v>
      </c>
      <c r="F21">
        <v>37.31</v>
      </c>
      <c r="G21">
        <v>-13.23</v>
      </c>
      <c r="H21">
        <v>-53.34</v>
      </c>
      <c r="I21">
        <v>27.42</v>
      </c>
      <c r="J21">
        <v>17.5</v>
      </c>
      <c r="K21">
        <v>39.29</v>
      </c>
      <c r="L21">
        <v>5.17</v>
      </c>
      <c r="M21">
        <v>7.14</v>
      </c>
      <c r="N21">
        <v>15.96</v>
      </c>
      <c r="O21">
        <v>0</v>
      </c>
      <c r="P21">
        <v>27.42</v>
      </c>
      <c r="Q21">
        <v>6.82</v>
      </c>
      <c r="R21">
        <v>10.1</v>
      </c>
      <c r="S21">
        <v>-1.76</v>
      </c>
      <c r="T21">
        <v>1.26</v>
      </c>
      <c r="U21">
        <v>4.1500000000000004</v>
      </c>
    </row>
    <row r="22" spans="1:21" x14ac:dyDescent="0.25">
      <c r="A22">
        <v>19</v>
      </c>
      <c r="B22">
        <v>131.44999999999999</v>
      </c>
      <c r="C22">
        <v>67.739999999999995</v>
      </c>
      <c r="D22">
        <v>60.97</v>
      </c>
      <c r="E22">
        <v>53.07</v>
      </c>
      <c r="F22">
        <v>38.97</v>
      </c>
      <c r="G22">
        <v>-13.23</v>
      </c>
      <c r="H22">
        <v>-53.75</v>
      </c>
      <c r="I22">
        <v>27.42</v>
      </c>
      <c r="J22">
        <v>17.53</v>
      </c>
      <c r="K22">
        <v>43.14</v>
      </c>
      <c r="L22">
        <v>6.59</v>
      </c>
      <c r="M22">
        <v>7.66</v>
      </c>
      <c r="N22">
        <v>17.32</v>
      </c>
      <c r="O22">
        <v>-0.14000000000000001</v>
      </c>
      <c r="P22">
        <v>27.56</v>
      </c>
      <c r="Q22">
        <v>6</v>
      </c>
      <c r="R22">
        <v>9.81</v>
      </c>
      <c r="S22">
        <v>-2.99</v>
      </c>
      <c r="T22">
        <v>1.49</v>
      </c>
      <c r="U22">
        <v>5.0999999999999996</v>
      </c>
    </row>
    <row r="23" spans="1:21" x14ac:dyDescent="0.25">
      <c r="A23">
        <v>20</v>
      </c>
      <c r="B23">
        <v>133.19999999999999</v>
      </c>
      <c r="C23">
        <v>68.53</v>
      </c>
      <c r="D23">
        <v>61.42</v>
      </c>
      <c r="E23">
        <v>53.58</v>
      </c>
      <c r="F23">
        <v>39.36</v>
      </c>
      <c r="G23">
        <v>-13.23</v>
      </c>
      <c r="H23">
        <v>-54.17</v>
      </c>
      <c r="I23">
        <v>27.42</v>
      </c>
      <c r="J23">
        <v>17.66</v>
      </c>
      <c r="K23">
        <v>43.75</v>
      </c>
      <c r="L23">
        <v>6.65</v>
      </c>
      <c r="M23">
        <v>7.77</v>
      </c>
      <c r="N23">
        <v>17.579999999999998</v>
      </c>
      <c r="O23">
        <v>-0.82</v>
      </c>
      <c r="P23">
        <v>28.24</v>
      </c>
      <c r="Q23">
        <v>6.15</v>
      </c>
      <c r="R23">
        <v>10.01</v>
      </c>
      <c r="S23">
        <v>-2.99</v>
      </c>
      <c r="T23">
        <v>1.51</v>
      </c>
      <c r="U23">
        <v>5.15</v>
      </c>
    </row>
    <row r="24" spans="1:21" x14ac:dyDescent="0.25">
      <c r="A24">
        <v>21</v>
      </c>
      <c r="B24">
        <v>130.65</v>
      </c>
      <c r="C24">
        <v>67.36</v>
      </c>
      <c r="D24">
        <v>60.76</v>
      </c>
      <c r="E24">
        <v>52.84</v>
      </c>
      <c r="F24">
        <v>38.770000000000003</v>
      </c>
      <c r="G24">
        <v>-13.23</v>
      </c>
      <c r="H24">
        <v>-53.64</v>
      </c>
      <c r="I24">
        <v>27.42</v>
      </c>
      <c r="J24">
        <v>17.5</v>
      </c>
      <c r="K24">
        <v>42.73</v>
      </c>
      <c r="L24">
        <v>6.48</v>
      </c>
      <c r="M24">
        <v>7.6</v>
      </c>
      <c r="N24">
        <v>17.170000000000002</v>
      </c>
      <c r="O24">
        <v>0</v>
      </c>
      <c r="P24">
        <v>27.42</v>
      </c>
      <c r="Q24">
        <v>6.03</v>
      </c>
      <c r="R24">
        <v>9.8000000000000007</v>
      </c>
      <c r="S24">
        <v>-2.9</v>
      </c>
      <c r="T24">
        <v>1.47</v>
      </c>
      <c r="U24">
        <v>5.0199999999999996</v>
      </c>
    </row>
    <row r="25" spans="1:21" x14ac:dyDescent="0.25">
      <c r="A25">
        <v>22</v>
      </c>
      <c r="B25">
        <v>124.5</v>
      </c>
      <c r="C25">
        <v>64.319999999999993</v>
      </c>
      <c r="D25">
        <v>59.17</v>
      </c>
      <c r="E25">
        <v>51.07</v>
      </c>
      <c r="F25">
        <v>37.119999999999997</v>
      </c>
      <c r="G25">
        <v>-13.23</v>
      </c>
      <c r="H25">
        <v>-53.3</v>
      </c>
      <c r="I25">
        <v>27.42</v>
      </c>
      <c r="J25">
        <v>17.5</v>
      </c>
      <c r="K25">
        <v>38.82</v>
      </c>
      <c r="L25">
        <v>4.99</v>
      </c>
      <c r="M25">
        <v>7.08</v>
      </c>
      <c r="N25">
        <v>15.79</v>
      </c>
      <c r="O25">
        <v>0</v>
      </c>
      <c r="P25">
        <v>27.42</v>
      </c>
      <c r="Q25">
        <v>6.93</v>
      </c>
      <c r="R25">
        <v>10.14</v>
      </c>
      <c r="S25">
        <v>-1.61</v>
      </c>
      <c r="T25">
        <v>1.23</v>
      </c>
      <c r="U25">
        <v>4.03</v>
      </c>
    </row>
    <row r="26" spans="1:21" x14ac:dyDescent="0.25">
      <c r="A26">
        <v>23</v>
      </c>
      <c r="B26">
        <v>116.21</v>
      </c>
      <c r="C26">
        <v>60.38</v>
      </c>
      <c r="D26">
        <v>56.92</v>
      </c>
      <c r="E26">
        <v>48.55</v>
      </c>
      <c r="F26">
        <v>35.07</v>
      </c>
      <c r="G26">
        <v>-13.23</v>
      </c>
      <c r="H26">
        <v>-51.56</v>
      </c>
      <c r="I26">
        <v>27.42</v>
      </c>
      <c r="J26">
        <v>16.010000000000002</v>
      </c>
      <c r="K26">
        <v>35.159999999999997</v>
      </c>
      <c r="L26">
        <v>3.93</v>
      </c>
      <c r="M26">
        <v>6.53</v>
      </c>
      <c r="N26">
        <v>14.43</v>
      </c>
      <c r="O26">
        <v>0</v>
      </c>
      <c r="P26">
        <v>27.42</v>
      </c>
      <c r="Q26">
        <v>7.24</v>
      </c>
      <c r="R26">
        <v>10.02</v>
      </c>
      <c r="S26">
        <v>-0.78</v>
      </c>
      <c r="T26">
        <v>1.04</v>
      </c>
      <c r="U26">
        <v>3.29</v>
      </c>
    </row>
    <row r="27" spans="1:21" x14ac:dyDescent="0.25">
      <c r="A27">
        <v>24</v>
      </c>
      <c r="B27">
        <v>108.74</v>
      </c>
      <c r="C27">
        <v>56.93</v>
      </c>
      <c r="D27">
        <v>54.82</v>
      </c>
      <c r="E27">
        <v>46.2</v>
      </c>
      <c r="F27">
        <v>33.340000000000003</v>
      </c>
      <c r="G27">
        <v>-13.23</v>
      </c>
      <c r="H27">
        <v>-49.21</v>
      </c>
      <c r="I27">
        <v>26.43</v>
      </c>
      <c r="J27">
        <v>14.77</v>
      </c>
      <c r="K27">
        <v>32.869999999999997</v>
      </c>
      <c r="L27">
        <v>3.54</v>
      </c>
      <c r="M27">
        <v>6.14</v>
      </c>
      <c r="N27">
        <v>13.52</v>
      </c>
      <c r="O27">
        <v>0</v>
      </c>
      <c r="P27">
        <v>26.43</v>
      </c>
      <c r="Q27">
        <v>6.98</v>
      </c>
      <c r="R27">
        <v>9.5399999999999991</v>
      </c>
      <c r="S27">
        <v>-0.57999999999999996</v>
      </c>
      <c r="T27">
        <v>0.96</v>
      </c>
      <c r="U27">
        <v>3</v>
      </c>
    </row>
    <row r="28" spans="1:21" x14ac:dyDescent="0.25">
      <c r="A28" s="4" t="s">
        <v>71</v>
      </c>
      <c r="B28" s="4" cm="1">
        <f t="array" ref="B28">MAX(ABS(B4:B27))</f>
        <v>133.19999999999999</v>
      </c>
      <c r="C28" s="4" cm="1">
        <f t="array" ref="C28">MAX(ABS(C4:C27))</f>
        <v>68.53</v>
      </c>
      <c r="D28" s="4" cm="1">
        <f t="array" ref="D28">MAX(ABS(D4:D27))</f>
        <v>61.42</v>
      </c>
      <c r="E28" s="4" cm="1">
        <f t="array" ref="E28">MAX(ABS(E4:E27))</f>
        <v>53.58</v>
      </c>
      <c r="F28" s="4" cm="1">
        <f t="array" ref="F28">MAX(ABS(F4:F27))</f>
        <v>39.36</v>
      </c>
      <c r="G28" s="4" cm="1">
        <f t="array" ref="G28">MAX(ABS(G4:G27))</f>
        <v>13.23</v>
      </c>
      <c r="H28" s="4" cm="1">
        <f t="array" ref="H28">MAX(ABS(H4:H27))</f>
        <v>54.17</v>
      </c>
      <c r="I28" s="4" cm="1">
        <f t="array" ref="I28">MAX(ABS(I4:I27))</f>
        <v>27.42</v>
      </c>
      <c r="J28" s="4" cm="1">
        <f t="array" ref="J28">MAX(ABS(J4:J27))</f>
        <v>17.66</v>
      </c>
      <c r="K28" s="4" cm="1">
        <f t="array" ref="K28">MAX(ABS(K4:K27))</f>
        <v>43.75</v>
      </c>
      <c r="L28" s="4" cm="1">
        <f t="array" ref="L28">MAX(ABS(L4:L27))</f>
        <v>6.65</v>
      </c>
      <c r="M28" s="4" cm="1">
        <f t="array" ref="M28">MAX(ABS(M4:M27))</f>
        <v>7.77</v>
      </c>
      <c r="N28" s="4" cm="1">
        <f t="array" ref="N28">MAX(ABS(N4:N27))</f>
        <v>17.579999999999998</v>
      </c>
      <c r="O28" s="4" cm="1">
        <f t="array" ref="O28">MAX(ABS(O4:O27))</f>
        <v>0.82</v>
      </c>
      <c r="P28" s="4" cm="1">
        <f t="array" ref="P28">MAX(ABS(P4:P27))</f>
        <v>28.24</v>
      </c>
      <c r="Q28" s="4" cm="1">
        <f t="array" ref="Q28">MAX(ABS(Q4:Q27))</f>
        <v>7.25</v>
      </c>
      <c r="R28" s="4" cm="1">
        <f t="array" ref="R28">MAX(ABS(R4:R27))</f>
        <v>10.25</v>
      </c>
      <c r="S28" s="4" cm="1">
        <f t="array" ref="S28">MAX(ABS(S4:S27))</f>
        <v>2.99</v>
      </c>
      <c r="T28" s="4" cm="1">
        <f t="array" ref="T28">MAX(ABS(T4:T27))</f>
        <v>1.51</v>
      </c>
      <c r="U28" s="4" cm="1">
        <f t="array" ref="U28">MAX(ABS(U4:U27))</f>
        <v>5.15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workbookViewId="0"/>
  </sheetViews>
  <sheetFormatPr defaultRowHeight="15" x14ac:dyDescent="0.25"/>
  <cols>
    <col min="1" max="21" width="14" customWidth="1"/>
  </cols>
  <sheetData>
    <row r="1" spans="1:21" ht="17.25" x14ac:dyDescent="0.3">
      <c r="A1" s="1" t="s">
        <v>47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2.4510000000000001</v>
      </c>
      <c r="C4">
        <v>1.37</v>
      </c>
      <c r="D4">
        <v>1.17</v>
      </c>
      <c r="E4">
        <v>1.0569999999999999</v>
      </c>
      <c r="F4">
        <v>0.78700000000000003</v>
      </c>
      <c r="G4">
        <v>0.44500000000000001</v>
      </c>
      <c r="H4">
        <v>1.1259999999999999</v>
      </c>
      <c r="I4">
        <v>0</v>
      </c>
      <c r="J4">
        <v>0</v>
      </c>
      <c r="K4">
        <v>0</v>
      </c>
      <c r="L4">
        <v>0.109</v>
      </c>
      <c r="M4">
        <v>0.188</v>
      </c>
      <c r="N4">
        <v>0.42799999999999999</v>
      </c>
      <c r="O4">
        <v>0</v>
      </c>
      <c r="P4">
        <v>0</v>
      </c>
      <c r="Q4">
        <v>0.18</v>
      </c>
      <c r="R4">
        <v>0.28699999999999998</v>
      </c>
      <c r="S4">
        <v>1.7000000000000001E-2</v>
      </c>
      <c r="T4">
        <v>3.7999999999999999E-2</v>
      </c>
      <c r="U4">
        <v>9.2999999999999999E-2</v>
      </c>
    </row>
    <row r="5" spans="1:21" x14ac:dyDescent="0.25">
      <c r="A5">
        <v>2</v>
      </c>
      <c r="B5">
        <v>2.363</v>
      </c>
      <c r="C5">
        <v>1.2789999999999999</v>
      </c>
      <c r="D5">
        <v>1.115</v>
      </c>
      <c r="E5">
        <v>1.03</v>
      </c>
      <c r="F5">
        <v>0.76600000000000001</v>
      </c>
      <c r="G5">
        <v>0.44500000000000001</v>
      </c>
      <c r="H5">
        <v>1.0960000000000001</v>
      </c>
      <c r="I5">
        <v>0</v>
      </c>
      <c r="J5">
        <v>0</v>
      </c>
      <c r="K5">
        <v>0</v>
      </c>
      <c r="L5">
        <v>0.105</v>
      </c>
      <c r="M5">
        <v>0.182</v>
      </c>
      <c r="N5">
        <v>0.41499999999999998</v>
      </c>
      <c r="O5">
        <v>0</v>
      </c>
      <c r="P5">
        <v>0</v>
      </c>
      <c r="Q5">
        <v>0.17399999999999999</v>
      </c>
      <c r="R5">
        <v>0.27800000000000002</v>
      </c>
      <c r="S5">
        <v>1.7000000000000001E-2</v>
      </c>
      <c r="T5">
        <v>3.5999999999999997E-2</v>
      </c>
      <c r="U5">
        <v>9.0999999999999998E-2</v>
      </c>
    </row>
    <row r="6" spans="1:21" x14ac:dyDescent="0.25">
      <c r="A6">
        <v>3</v>
      </c>
      <c r="B6">
        <v>2.2959999999999998</v>
      </c>
      <c r="C6">
        <v>1.21</v>
      </c>
      <c r="D6">
        <v>1.073</v>
      </c>
      <c r="E6">
        <v>1.0089999999999999</v>
      </c>
      <c r="F6">
        <v>0.751</v>
      </c>
      <c r="G6">
        <v>0.44500000000000001</v>
      </c>
      <c r="H6">
        <v>1.073</v>
      </c>
      <c r="I6">
        <v>0</v>
      </c>
      <c r="J6">
        <v>0</v>
      </c>
      <c r="K6">
        <v>0</v>
      </c>
      <c r="L6">
        <v>0.10299999999999999</v>
      </c>
      <c r="M6">
        <v>0.17699999999999999</v>
      </c>
      <c r="N6">
        <v>0.40500000000000003</v>
      </c>
      <c r="O6">
        <v>0</v>
      </c>
      <c r="P6">
        <v>0</v>
      </c>
      <c r="Q6">
        <v>0.17</v>
      </c>
      <c r="R6">
        <v>0.27100000000000002</v>
      </c>
      <c r="S6">
        <v>1.6E-2</v>
      </c>
      <c r="T6">
        <v>3.5999999999999997E-2</v>
      </c>
      <c r="U6">
        <v>8.8999999999999996E-2</v>
      </c>
    </row>
    <row r="7" spans="1:21" x14ac:dyDescent="0.25">
      <c r="A7">
        <v>4</v>
      </c>
      <c r="B7">
        <v>2.2669999999999999</v>
      </c>
      <c r="C7">
        <v>1.181</v>
      </c>
      <c r="D7">
        <v>1.0549999999999999</v>
      </c>
      <c r="E7">
        <v>1</v>
      </c>
      <c r="F7">
        <v>0.745</v>
      </c>
      <c r="G7">
        <v>0.44500000000000001</v>
      </c>
      <c r="H7">
        <v>1.0629999999999999</v>
      </c>
      <c r="I7">
        <v>0</v>
      </c>
      <c r="J7">
        <v>0</v>
      </c>
      <c r="K7">
        <v>0</v>
      </c>
      <c r="L7">
        <v>0.10199999999999999</v>
      </c>
      <c r="M7">
        <v>0.17599999999999999</v>
      </c>
      <c r="N7">
        <v>0.4</v>
      </c>
      <c r="O7">
        <v>0</v>
      </c>
      <c r="P7">
        <v>0</v>
      </c>
      <c r="Q7">
        <v>0.16800000000000001</v>
      </c>
      <c r="R7">
        <v>0.26800000000000002</v>
      </c>
      <c r="S7">
        <v>1.6E-2</v>
      </c>
      <c r="T7">
        <v>3.5000000000000003E-2</v>
      </c>
      <c r="U7">
        <v>8.7999999999999995E-2</v>
      </c>
    </row>
    <row r="8" spans="1:21" x14ac:dyDescent="0.25">
      <c r="A8">
        <v>5</v>
      </c>
      <c r="B8">
        <v>2.3319999999999999</v>
      </c>
      <c r="C8">
        <v>1.2470000000000001</v>
      </c>
      <c r="D8">
        <v>1.095</v>
      </c>
      <c r="E8">
        <v>1.02</v>
      </c>
      <c r="F8">
        <v>0.75900000000000001</v>
      </c>
      <c r="G8">
        <v>0.44500000000000001</v>
      </c>
      <c r="H8">
        <v>1.085</v>
      </c>
      <c r="I8">
        <v>0</v>
      </c>
      <c r="J8">
        <v>0</v>
      </c>
      <c r="K8">
        <v>0</v>
      </c>
      <c r="L8">
        <v>0.104</v>
      </c>
      <c r="M8">
        <v>0.18</v>
      </c>
      <c r="N8">
        <v>0.41</v>
      </c>
      <c r="O8">
        <v>0</v>
      </c>
      <c r="P8">
        <v>0</v>
      </c>
      <c r="Q8">
        <v>0.17199999999999999</v>
      </c>
      <c r="R8">
        <v>0.27500000000000002</v>
      </c>
      <c r="S8">
        <v>1.6E-2</v>
      </c>
      <c r="T8">
        <v>3.5999999999999997E-2</v>
      </c>
      <c r="U8">
        <v>0.09</v>
      </c>
    </row>
    <row r="9" spans="1:21" x14ac:dyDescent="0.25">
      <c r="A9">
        <v>6</v>
      </c>
      <c r="B9">
        <v>2.4540000000000002</v>
      </c>
      <c r="C9">
        <v>1.3720000000000001</v>
      </c>
      <c r="D9">
        <v>1.1719999999999999</v>
      </c>
      <c r="E9">
        <v>1.0580000000000001</v>
      </c>
      <c r="F9">
        <v>0.78700000000000003</v>
      </c>
      <c r="G9">
        <v>0.44500000000000001</v>
      </c>
      <c r="H9">
        <v>1.127</v>
      </c>
      <c r="I9">
        <v>0</v>
      </c>
      <c r="J9">
        <v>0</v>
      </c>
      <c r="K9">
        <v>0</v>
      </c>
      <c r="L9">
        <v>0.109</v>
      </c>
      <c r="M9">
        <v>0.188</v>
      </c>
      <c r="N9">
        <v>0.42799999999999999</v>
      </c>
      <c r="O9">
        <v>0</v>
      </c>
      <c r="P9">
        <v>0</v>
      </c>
      <c r="Q9">
        <v>0.18</v>
      </c>
      <c r="R9">
        <v>0.28799999999999998</v>
      </c>
      <c r="S9">
        <v>1.7000000000000001E-2</v>
      </c>
      <c r="T9">
        <v>3.7999999999999999E-2</v>
      </c>
      <c r="U9">
        <v>9.4E-2</v>
      </c>
    </row>
    <row r="10" spans="1:21" x14ac:dyDescent="0.25">
      <c r="A10">
        <v>7</v>
      </c>
      <c r="B10">
        <v>2.4929999999999999</v>
      </c>
      <c r="C10">
        <v>1.413</v>
      </c>
      <c r="D10">
        <v>1.1970000000000001</v>
      </c>
      <c r="E10">
        <v>1.07</v>
      </c>
      <c r="F10">
        <v>0.79600000000000004</v>
      </c>
      <c r="G10">
        <v>0.44500000000000001</v>
      </c>
      <c r="H10">
        <v>1.1399999999999999</v>
      </c>
      <c r="I10">
        <v>0</v>
      </c>
      <c r="J10">
        <v>0</v>
      </c>
      <c r="K10">
        <v>0</v>
      </c>
      <c r="L10">
        <v>0.11</v>
      </c>
      <c r="M10">
        <v>0.19</v>
      </c>
      <c r="N10">
        <v>0.434</v>
      </c>
      <c r="O10">
        <v>0</v>
      </c>
      <c r="P10">
        <v>0</v>
      </c>
      <c r="Q10">
        <v>0.182</v>
      </c>
      <c r="R10">
        <v>0.29199999999999998</v>
      </c>
      <c r="S10">
        <v>1.7000000000000001E-2</v>
      </c>
      <c r="T10">
        <v>3.7999999999999999E-2</v>
      </c>
      <c r="U10">
        <v>9.5000000000000001E-2</v>
      </c>
    </row>
    <row r="11" spans="1:21" x14ac:dyDescent="0.25">
      <c r="A11">
        <v>8</v>
      </c>
      <c r="B11">
        <v>2.6509999999999998</v>
      </c>
      <c r="C11">
        <v>1.5760000000000001</v>
      </c>
      <c r="D11">
        <v>1.296</v>
      </c>
      <c r="E11">
        <v>1.119</v>
      </c>
      <c r="F11">
        <v>0.83199999999999996</v>
      </c>
      <c r="G11">
        <v>0.44500000000000001</v>
      </c>
      <c r="H11">
        <v>1.1950000000000001</v>
      </c>
      <c r="I11">
        <v>0</v>
      </c>
      <c r="J11">
        <v>0</v>
      </c>
      <c r="K11">
        <v>0</v>
      </c>
      <c r="L11">
        <v>0.11600000000000001</v>
      </c>
      <c r="M11">
        <v>0.20100000000000001</v>
      </c>
      <c r="N11">
        <v>0.45800000000000002</v>
      </c>
      <c r="O11">
        <v>0</v>
      </c>
      <c r="P11">
        <v>0</v>
      </c>
      <c r="Q11">
        <v>0.193</v>
      </c>
      <c r="R11">
        <v>0.308</v>
      </c>
      <c r="S11">
        <v>1.7999999999999999E-2</v>
      </c>
      <c r="T11">
        <v>0.04</v>
      </c>
      <c r="U11">
        <v>0.1</v>
      </c>
    </row>
    <row r="12" spans="1:21" x14ac:dyDescent="0.25">
      <c r="A12">
        <v>9</v>
      </c>
      <c r="B12">
        <v>2.8090000000000002</v>
      </c>
      <c r="C12">
        <v>1.738</v>
      </c>
      <c r="D12">
        <v>1.395</v>
      </c>
      <c r="E12">
        <v>1.169</v>
      </c>
      <c r="F12">
        <v>0.86799999999999999</v>
      </c>
      <c r="G12">
        <v>0.44500000000000001</v>
      </c>
      <c r="H12">
        <v>1.2490000000000001</v>
      </c>
      <c r="I12">
        <v>0</v>
      </c>
      <c r="J12">
        <v>0</v>
      </c>
      <c r="K12">
        <v>0</v>
      </c>
      <c r="L12">
        <v>0.121</v>
      </c>
      <c r="M12">
        <v>0.21099999999999999</v>
      </c>
      <c r="N12">
        <v>0.48199999999999998</v>
      </c>
      <c r="O12">
        <v>0</v>
      </c>
      <c r="P12">
        <v>0</v>
      </c>
      <c r="Q12">
        <v>0.20300000000000001</v>
      </c>
      <c r="R12">
        <v>0.32400000000000001</v>
      </c>
      <c r="S12">
        <v>1.7999999999999999E-2</v>
      </c>
      <c r="T12">
        <v>4.2000000000000003E-2</v>
      </c>
      <c r="U12">
        <v>0.105</v>
      </c>
    </row>
    <row r="13" spans="1:21" x14ac:dyDescent="0.25">
      <c r="A13">
        <v>10</v>
      </c>
      <c r="B13">
        <v>2.915</v>
      </c>
      <c r="C13">
        <v>1.8480000000000001</v>
      </c>
      <c r="D13">
        <v>1.462</v>
      </c>
      <c r="E13">
        <v>1.202</v>
      </c>
      <c r="F13">
        <v>0.89300000000000002</v>
      </c>
      <c r="G13">
        <v>0.44500000000000001</v>
      </c>
      <c r="H13">
        <v>1.2829999999999999</v>
      </c>
      <c r="I13">
        <v>0</v>
      </c>
      <c r="J13">
        <v>0</v>
      </c>
      <c r="K13">
        <v>0</v>
      </c>
      <c r="L13">
        <v>0.127</v>
      </c>
      <c r="M13">
        <v>0.219</v>
      </c>
      <c r="N13">
        <v>0.499</v>
      </c>
      <c r="O13">
        <v>0</v>
      </c>
      <c r="P13">
        <v>0</v>
      </c>
      <c r="Q13">
        <v>0.20799999999999999</v>
      </c>
      <c r="R13">
        <v>0.33400000000000002</v>
      </c>
      <c r="S13">
        <v>2.1000000000000001E-2</v>
      </c>
      <c r="T13">
        <v>4.3999999999999997E-2</v>
      </c>
      <c r="U13">
        <v>0.109</v>
      </c>
    </row>
    <row r="14" spans="1:21" x14ac:dyDescent="0.25">
      <c r="A14">
        <v>11</v>
      </c>
      <c r="B14">
        <v>3.0249999999999999</v>
      </c>
      <c r="C14">
        <v>1.964</v>
      </c>
      <c r="D14">
        <v>1.5289999999999999</v>
      </c>
      <c r="E14">
        <v>1.2350000000000001</v>
      </c>
      <c r="F14">
        <v>0.92</v>
      </c>
      <c r="G14">
        <v>0.44500000000000001</v>
      </c>
      <c r="H14">
        <v>1.3120000000000001</v>
      </c>
      <c r="I14">
        <v>0</v>
      </c>
      <c r="J14">
        <v>0</v>
      </c>
      <c r="K14">
        <v>0</v>
      </c>
      <c r="L14">
        <v>0.14000000000000001</v>
      </c>
      <c r="M14">
        <v>0.22700000000000001</v>
      </c>
      <c r="N14">
        <v>0.52</v>
      </c>
      <c r="O14">
        <v>0</v>
      </c>
      <c r="P14">
        <v>0</v>
      </c>
      <c r="Q14">
        <v>0.20799999999999999</v>
      </c>
      <c r="R14">
        <v>0.34</v>
      </c>
      <c r="S14">
        <v>2.9000000000000001E-2</v>
      </c>
      <c r="T14">
        <v>4.7E-2</v>
      </c>
      <c r="U14">
        <v>0.11899999999999999</v>
      </c>
    </row>
    <row r="15" spans="1:21" x14ac:dyDescent="0.25">
      <c r="A15">
        <v>12</v>
      </c>
      <c r="B15">
        <v>3.1080000000000001</v>
      </c>
      <c r="C15">
        <v>2.0510000000000002</v>
      </c>
      <c r="D15">
        <v>1.58</v>
      </c>
      <c r="E15">
        <v>1.26</v>
      </c>
      <c r="F15">
        <v>0.94</v>
      </c>
      <c r="G15">
        <v>0.44500000000000001</v>
      </c>
      <c r="H15">
        <v>1.333</v>
      </c>
      <c r="I15">
        <v>0</v>
      </c>
      <c r="J15">
        <v>0</v>
      </c>
      <c r="K15">
        <v>0</v>
      </c>
      <c r="L15">
        <v>0.15</v>
      </c>
      <c r="M15">
        <v>0.23400000000000001</v>
      </c>
      <c r="N15">
        <v>0.53700000000000003</v>
      </c>
      <c r="O15">
        <v>0</v>
      </c>
      <c r="P15">
        <v>0</v>
      </c>
      <c r="Q15">
        <v>0.20799999999999999</v>
      </c>
      <c r="R15">
        <v>0.34399999999999997</v>
      </c>
      <c r="S15">
        <v>3.5999999999999997E-2</v>
      </c>
      <c r="T15">
        <v>4.9000000000000002E-2</v>
      </c>
      <c r="U15">
        <v>0.126</v>
      </c>
    </row>
    <row r="16" spans="1:21" x14ac:dyDescent="0.25">
      <c r="A16">
        <v>13</v>
      </c>
      <c r="B16">
        <v>3.1139999999999999</v>
      </c>
      <c r="C16">
        <v>2.0569999999999999</v>
      </c>
      <c r="D16">
        <v>1.5840000000000001</v>
      </c>
      <c r="E16">
        <v>1.262</v>
      </c>
      <c r="F16">
        <v>0.94099999999999995</v>
      </c>
      <c r="G16">
        <v>0.44500000000000001</v>
      </c>
      <c r="H16">
        <v>1.335</v>
      </c>
      <c r="I16">
        <v>0</v>
      </c>
      <c r="J16">
        <v>0</v>
      </c>
      <c r="K16">
        <v>0</v>
      </c>
      <c r="L16">
        <v>0.151</v>
      </c>
      <c r="M16">
        <v>0.23400000000000001</v>
      </c>
      <c r="N16">
        <v>0.53800000000000003</v>
      </c>
      <c r="O16">
        <v>0</v>
      </c>
      <c r="P16">
        <v>0</v>
      </c>
      <c r="Q16">
        <v>0.20799999999999999</v>
      </c>
      <c r="R16">
        <v>0.34399999999999997</v>
      </c>
      <c r="S16">
        <v>3.5999999999999997E-2</v>
      </c>
      <c r="T16">
        <v>0.05</v>
      </c>
      <c r="U16">
        <v>0.127</v>
      </c>
    </row>
    <row r="17" spans="1:21" x14ac:dyDescent="0.25">
      <c r="A17">
        <v>14</v>
      </c>
      <c r="B17">
        <v>3.1629999999999998</v>
      </c>
      <c r="C17">
        <v>2.1110000000000002</v>
      </c>
      <c r="D17">
        <v>1.6120000000000001</v>
      </c>
      <c r="E17">
        <v>1.276</v>
      </c>
      <c r="F17">
        <v>0.95399999999999996</v>
      </c>
      <c r="G17">
        <v>0.44500000000000001</v>
      </c>
      <c r="H17">
        <v>1.339</v>
      </c>
      <c r="I17">
        <v>0</v>
      </c>
      <c r="J17">
        <v>0</v>
      </c>
      <c r="K17">
        <v>0</v>
      </c>
      <c r="L17">
        <v>0.16500000000000001</v>
      </c>
      <c r="M17">
        <v>0.24</v>
      </c>
      <c r="N17">
        <v>0.55200000000000005</v>
      </c>
      <c r="O17">
        <v>0</v>
      </c>
      <c r="P17">
        <v>0</v>
      </c>
      <c r="Q17">
        <v>0.20200000000000001</v>
      </c>
      <c r="R17">
        <v>0.34200000000000003</v>
      </c>
      <c r="S17">
        <v>4.7E-2</v>
      </c>
      <c r="T17">
        <v>5.2999999999999999E-2</v>
      </c>
      <c r="U17">
        <v>0.13600000000000001</v>
      </c>
    </row>
    <row r="18" spans="1:21" x14ac:dyDescent="0.25">
      <c r="A18">
        <v>15</v>
      </c>
      <c r="B18">
        <v>3.2360000000000002</v>
      </c>
      <c r="C18">
        <v>2.1930000000000001</v>
      </c>
      <c r="D18">
        <v>1.6539999999999999</v>
      </c>
      <c r="E18">
        <v>1.3220000000000001</v>
      </c>
      <c r="F18">
        <v>0.97399999999999998</v>
      </c>
      <c r="G18">
        <v>0.44500000000000001</v>
      </c>
      <c r="H18">
        <v>1.343</v>
      </c>
      <c r="I18">
        <v>0</v>
      </c>
      <c r="J18">
        <v>0</v>
      </c>
      <c r="K18">
        <v>0</v>
      </c>
      <c r="L18">
        <v>0.189</v>
      </c>
      <c r="M18">
        <v>0.248</v>
      </c>
      <c r="N18">
        <v>0.57499999999999996</v>
      </c>
      <c r="O18">
        <v>0</v>
      </c>
      <c r="P18">
        <v>0</v>
      </c>
      <c r="Q18">
        <v>0.189</v>
      </c>
      <c r="R18">
        <v>0.33600000000000002</v>
      </c>
      <c r="S18">
        <v>6.6000000000000003E-2</v>
      </c>
      <c r="T18">
        <v>5.7000000000000002E-2</v>
      </c>
      <c r="U18">
        <v>0.152</v>
      </c>
    </row>
    <row r="19" spans="1:21" x14ac:dyDescent="0.25">
      <c r="A19">
        <v>16</v>
      </c>
      <c r="B19">
        <v>3.254</v>
      </c>
      <c r="C19">
        <v>2.2130000000000001</v>
      </c>
      <c r="D19">
        <v>1.6639999999999999</v>
      </c>
      <c r="E19">
        <v>1.3380000000000001</v>
      </c>
      <c r="F19">
        <v>0.97899999999999998</v>
      </c>
      <c r="G19">
        <v>0.44500000000000001</v>
      </c>
      <c r="H19">
        <v>1.3440000000000001</v>
      </c>
      <c r="I19">
        <v>0</v>
      </c>
      <c r="J19">
        <v>0</v>
      </c>
      <c r="K19">
        <v>0</v>
      </c>
      <c r="L19">
        <v>0.19500000000000001</v>
      </c>
      <c r="M19">
        <v>0.25</v>
      </c>
      <c r="N19">
        <v>0.58099999999999996</v>
      </c>
      <c r="O19">
        <v>0</v>
      </c>
      <c r="P19">
        <v>0</v>
      </c>
      <c r="Q19">
        <v>0.186</v>
      </c>
      <c r="R19">
        <v>0.33500000000000002</v>
      </c>
      <c r="S19">
        <v>7.0999999999999994E-2</v>
      </c>
      <c r="T19">
        <v>5.8999999999999997E-2</v>
      </c>
      <c r="U19">
        <v>0.156</v>
      </c>
    </row>
    <row r="20" spans="1:21" x14ac:dyDescent="0.25">
      <c r="A20">
        <v>17</v>
      </c>
      <c r="B20">
        <v>3.2389999999999999</v>
      </c>
      <c r="C20">
        <v>2.1949999999999998</v>
      </c>
      <c r="D20">
        <v>1.655</v>
      </c>
      <c r="E20">
        <v>1.3240000000000001</v>
      </c>
      <c r="F20">
        <v>0.97499999999999998</v>
      </c>
      <c r="G20">
        <v>0.44500000000000001</v>
      </c>
      <c r="H20">
        <v>1.343</v>
      </c>
      <c r="I20">
        <v>0</v>
      </c>
      <c r="J20">
        <v>0</v>
      </c>
      <c r="K20">
        <v>0</v>
      </c>
      <c r="L20">
        <v>0.189</v>
      </c>
      <c r="M20">
        <v>0.248</v>
      </c>
      <c r="N20">
        <v>0.57599999999999996</v>
      </c>
      <c r="O20">
        <v>0</v>
      </c>
      <c r="P20">
        <v>0</v>
      </c>
      <c r="Q20">
        <v>0.189</v>
      </c>
      <c r="R20">
        <v>0.33600000000000002</v>
      </c>
      <c r="S20">
        <v>6.7000000000000004E-2</v>
      </c>
      <c r="T20">
        <v>5.8000000000000003E-2</v>
      </c>
      <c r="U20">
        <v>0.153</v>
      </c>
    </row>
    <row r="21" spans="1:21" x14ac:dyDescent="0.25">
      <c r="A21">
        <v>18</v>
      </c>
      <c r="B21">
        <v>3.1949999999999998</v>
      </c>
      <c r="C21">
        <v>2.1469999999999998</v>
      </c>
      <c r="D21">
        <v>1.63</v>
      </c>
      <c r="E21">
        <v>1.2869999999999999</v>
      </c>
      <c r="F21">
        <v>0.96299999999999997</v>
      </c>
      <c r="G21">
        <v>0.44500000000000001</v>
      </c>
      <c r="H21">
        <v>1.341</v>
      </c>
      <c r="I21">
        <v>0</v>
      </c>
      <c r="J21">
        <v>0</v>
      </c>
      <c r="K21">
        <v>0</v>
      </c>
      <c r="L21">
        <v>0.17499999999999999</v>
      </c>
      <c r="M21">
        <v>0.24299999999999999</v>
      </c>
      <c r="N21">
        <v>0.56200000000000006</v>
      </c>
      <c r="O21">
        <v>0</v>
      </c>
      <c r="P21">
        <v>0</v>
      </c>
      <c r="Q21">
        <v>0.19600000000000001</v>
      </c>
      <c r="R21">
        <v>0.33900000000000002</v>
      </c>
      <c r="S21">
        <v>5.6000000000000001E-2</v>
      </c>
      <c r="T21">
        <v>5.5E-2</v>
      </c>
      <c r="U21">
        <v>0.14299999999999999</v>
      </c>
    </row>
    <row r="22" spans="1:21" x14ac:dyDescent="0.25">
      <c r="A22">
        <v>19</v>
      </c>
      <c r="B22">
        <v>3.3530000000000002</v>
      </c>
      <c r="C22">
        <v>2.3220000000000001</v>
      </c>
      <c r="D22">
        <v>1.7210000000000001</v>
      </c>
      <c r="E22">
        <v>1.4219999999999999</v>
      </c>
      <c r="F22">
        <v>1.006</v>
      </c>
      <c r="G22">
        <v>0.44500000000000001</v>
      </c>
      <c r="H22">
        <v>1.351</v>
      </c>
      <c r="I22">
        <v>0</v>
      </c>
      <c r="J22">
        <v>0</v>
      </c>
      <c r="K22">
        <v>0</v>
      </c>
      <c r="L22">
        <v>0.224</v>
      </c>
      <c r="M22">
        <v>0.26100000000000001</v>
      </c>
      <c r="N22">
        <v>0.61</v>
      </c>
      <c r="O22">
        <v>0</v>
      </c>
      <c r="P22">
        <v>0</v>
      </c>
      <c r="Q22">
        <v>0.17299999999999999</v>
      </c>
      <c r="R22">
        <v>0.33</v>
      </c>
      <c r="S22">
        <v>9.4E-2</v>
      </c>
      <c r="T22">
        <v>6.5000000000000002E-2</v>
      </c>
      <c r="U22">
        <v>0.17599999999999999</v>
      </c>
    </row>
    <row r="23" spans="1:21" x14ac:dyDescent="0.25">
      <c r="A23">
        <v>20</v>
      </c>
      <c r="B23">
        <v>3.3980000000000001</v>
      </c>
      <c r="C23">
        <v>2.3679999999999999</v>
      </c>
      <c r="D23">
        <v>1.7470000000000001</v>
      </c>
      <c r="E23">
        <v>1.46</v>
      </c>
      <c r="F23">
        <v>1.016</v>
      </c>
      <c r="G23">
        <v>0.44500000000000001</v>
      </c>
      <c r="H23">
        <v>1.3620000000000001</v>
      </c>
      <c r="I23">
        <v>0</v>
      </c>
      <c r="J23">
        <v>0</v>
      </c>
      <c r="K23">
        <v>0</v>
      </c>
      <c r="L23">
        <v>0.22600000000000001</v>
      </c>
      <c r="M23">
        <v>0.26500000000000001</v>
      </c>
      <c r="N23">
        <v>0.61899999999999999</v>
      </c>
      <c r="O23">
        <v>0</v>
      </c>
      <c r="P23">
        <v>0</v>
      </c>
      <c r="Q23">
        <v>0.17699999999999999</v>
      </c>
      <c r="R23">
        <v>0.33600000000000002</v>
      </c>
      <c r="S23">
        <v>9.4E-2</v>
      </c>
      <c r="T23">
        <v>6.5000000000000002E-2</v>
      </c>
      <c r="U23">
        <v>0.17799999999999999</v>
      </c>
    </row>
    <row r="24" spans="1:21" x14ac:dyDescent="0.25">
      <c r="A24">
        <v>21</v>
      </c>
      <c r="B24">
        <v>3.3330000000000002</v>
      </c>
      <c r="C24">
        <v>2.2999999999999998</v>
      </c>
      <c r="D24">
        <v>1.7090000000000001</v>
      </c>
      <c r="E24">
        <v>1.405</v>
      </c>
      <c r="F24">
        <v>1.0009999999999999</v>
      </c>
      <c r="G24">
        <v>0.44500000000000001</v>
      </c>
      <c r="H24">
        <v>1.3480000000000001</v>
      </c>
      <c r="I24">
        <v>0</v>
      </c>
      <c r="J24">
        <v>0</v>
      </c>
      <c r="K24">
        <v>0</v>
      </c>
      <c r="L24">
        <v>0.22</v>
      </c>
      <c r="M24">
        <v>0.25900000000000001</v>
      </c>
      <c r="N24">
        <v>0.60499999999999998</v>
      </c>
      <c r="O24">
        <v>0</v>
      </c>
      <c r="P24">
        <v>0</v>
      </c>
      <c r="Q24">
        <v>0.17399999999999999</v>
      </c>
      <c r="R24">
        <v>0.32900000000000001</v>
      </c>
      <c r="S24">
        <v>9.0999999999999998E-2</v>
      </c>
      <c r="T24">
        <v>6.4000000000000001E-2</v>
      </c>
      <c r="U24">
        <v>0.17299999999999999</v>
      </c>
    </row>
    <row r="25" spans="1:21" x14ac:dyDescent="0.25">
      <c r="A25">
        <v>22</v>
      </c>
      <c r="B25">
        <v>3.1760000000000002</v>
      </c>
      <c r="C25">
        <v>2.1259999999999999</v>
      </c>
      <c r="D25">
        <v>1.62</v>
      </c>
      <c r="E25">
        <v>1.28</v>
      </c>
      <c r="F25">
        <v>0.95799999999999996</v>
      </c>
      <c r="G25">
        <v>0.44500000000000001</v>
      </c>
      <c r="H25">
        <v>1.34</v>
      </c>
      <c r="I25">
        <v>0</v>
      </c>
      <c r="J25">
        <v>0</v>
      </c>
      <c r="K25">
        <v>0</v>
      </c>
      <c r="L25">
        <v>0.16900000000000001</v>
      </c>
      <c r="M25">
        <v>0.24099999999999999</v>
      </c>
      <c r="N25">
        <v>0.55600000000000005</v>
      </c>
      <c r="O25">
        <v>0</v>
      </c>
      <c r="P25">
        <v>0</v>
      </c>
      <c r="Q25">
        <v>0.19900000000000001</v>
      </c>
      <c r="R25">
        <v>0.34100000000000003</v>
      </c>
      <c r="S25">
        <v>5.0999999999999997E-2</v>
      </c>
      <c r="T25">
        <v>5.2999999999999999E-2</v>
      </c>
      <c r="U25">
        <v>0.13900000000000001</v>
      </c>
    </row>
    <row r="26" spans="1:21" x14ac:dyDescent="0.25">
      <c r="A26">
        <v>23</v>
      </c>
      <c r="B26">
        <v>2.9649999999999999</v>
      </c>
      <c r="C26">
        <v>1.9</v>
      </c>
      <c r="D26">
        <v>1.492</v>
      </c>
      <c r="E26">
        <v>1.2170000000000001</v>
      </c>
      <c r="F26">
        <v>0.90500000000000003</v>
      </c>
      <c r="G26">
        <v>0.44500000000000001</v>
      </c>
      <c r="H26">
        <v>1.296</v>
      </c>
      <c r="I26">
        <v>0</v>
      </c>
      <c r="J26">
        <v>0</v>
      </c>
      <c r="K26">
        <v>0</v>
      </c>
      <c r="L26">
        <v>0.13300000000000001</v>
      </c>
      <c r="M26">
        <v>0.223</v>
      </c>
      <c r="N26">
        <v>0.50900000000000001</v>
      </c>
      <c r="O26">
        <v>0</v>
      </c>
      <c r="P26">
        <v>0</v>
      </c>
      <c r="Q26">
        <v>0.20799999999999999</v>
      </c>
      <c r="R26">
        <v>0.33700000000000002</v>
      </c>
      <c r="S26">
        <v>2.4E-2</v>
      </c>
      <c r="T26">
        <v>4.4999999999999998E-2</v>
      </c>
      <c r="U26">
        <v>0.114</v>
      </c>
    </row>
    <row r="27" spans="1:21" x14ac:dyDescent="0.25">
      <c r="A27">
        <v>24</v>
      </c>
      <c r="B27">
        <v>2.774</v>
      </c>
      <c r="C27">
        <v>1.702</v>
      </c>
      <c r="D27">
        <v>1.373</v>
      </c>
      <c r="E27">
        <v>1.1579999999999999</v>
      </c>
      <c r="F27">
        <v>0.86099999999999999</v>
      </c>
      <c r="G27">
        <v>0.44500000000000001</v>
      </c>
      <c r="H27">
        <v>1.2370000000000001</v>
      </c>
      <c r="I27">
        <v>0</v>
      </c>
      <c r="J27">
        <v>0</v>
      </c>
      <c r="K27">
        <v>0</v>
      </c>
      <c r="L27">
        <v>0.12</v>
      </c>
      <c r="M27">
        <v>0.20899999999999999</v>
      </c>
      <c r="N27">
        <v>0.47599999999999998</v>
      </c>
      <c r="O27">
        <v>0</v>
      </c>
      <c r="P27">
        <v>0</v>
      </c>
      <c r="Q27">
        <v>0.20100000000000001</v>
      </c>
      <c r="R27">
        <v>0.32100000000000001</v>
      </c>
      <c r="S27">
        <v>1.7999999999999999E-2</v>
      </c>
      <c r="T27">
        <v>4.2000000000000003E-2</v>
      </c>
      <c r="U27">
        <v>0.104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48</v>
      </c>
    </row>
    <row r="3" spans="1:15" x14ac:dyDescent="0.25">
      <c r="A3" s="2" t="s">
        <v>15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</row>
    <row r="4" spans="1:15" x14ac:dyDescent="0.25">
      <c r="A4">
        <v>1</v>
      </c>
      <c r="B4">
        <v>0</v>
      </c>
      <c r="C4">
        <v>-3.2189999999999999</v>
      </c>
      <c r="D4">
        <v>-8.8085000000000004</v>
      </c>
      <c r="E4">
        <v>-7.3357999999999999</v>
      </c>
      <c r="F4">
        <v>-6.2552000000000003</v>
      </c>
      <c r="G4">
        <v>-11.4331</v>
      </c>
      <c r="H4">
        <v>-10.0611</v>
      </c>
      <c r="I4">
        <v>-10.0611</v>
      </c>
      <c r="J4">
        <v>-11.5547</v>
      </c>
      <c r="K4">
        <v>-11.856999999999999</v>
      </c>
      <c r="L4">
        <v>-11.797800000000001</v>
      </c>
      <c r="M4">
        <v>-12.240500000000001</v>
      </c>
      <c r="N4">
        <v>-12.339600000000001</v>
      </c>
      <c r="O4">
        <v>-12.879200000000001</v>
      </c>
    </row>
    <row r="5" spans="1:15" x14ac:dyDescent="0.25">
      <c r="A5">
        <v>2</v>
      </c>
      <c r="B5">
        <v>0</v>
      </c>
      <c r="C5">
        <v>-3.1031</v>
      </c>
      <c r="D5">
        <v>-8.5855999999999995</v>
      </c>
      <c r="E5">
        <v>-7.1130000000000004</v>
      </c>
      <c r="F5">
        <v>-6.0613999999999999</v>
      </c>
      <c r="G5">
        <v>-11.0794</v>
      </c>
      <c r="H5">
        <v>-9.7523</v>
      </c>
      <c r="I5">
        <v>-9.7523</v>
      </c>
      <c r="J5">
        <v>-11.1988</v>
      </c>
      <c r="K5">
        <v>-11.491400000000001</v>
      </c>
      <c r="L5">
        <v>-11.433400000000001</v>
      </c>
      <c r="M5">
        <v>-11.861700000000001</v>
      </c>
      <c r="N5">
        <v>-11.957800000000001</v>
      </c>
      <c r="O5">
        <v>-12.481299999999999</v>
      </c>
    </row>
    <row r="6" spans="1:15" x14ac:dyDescent="0.25">
      <c r="A6">
        <v>3</v>
      </c>
      <c r="B6">
        <v>0</v>
      </c>
      <c r="C6">
        <v>-3.0156999999999998</v>
      </c>
      <c r="D6">
        <v>-8.4176000000000002</v>
      </c>
      <c r="E6">
        <v>-6.9448999999999996</v>
      </c>
      <c r="F6">
        <v>-5.9153000000000002</v>
      </c>
      <c r="G6">
        <v>-10.8126</v>
      </c>
      <c r="H6">
        <v>-9.5193999999999992</v>
      </c>
      <c r="I6">
        <v>-9.5193999999999992</v>
      </c>
      <c r="J6">
        <v>-10.930400000000001</v>
      </c>
      <c r="K6">
        <v>-11.2156</v>
      </c>
      <c r="L6">
        <v>-11.1585</v>
      </c>
      <c r="M6">
        <v>-11.576000000000001</v>
      </c>
      <c r="N6">
        <v>-11.6699</v>
      </c>
      <c r="O6">
        <v>-12.1812</v>
      </c>
    </row>
    <row r="7" spans="1:15" x14ac:dyDescent="0.25">
      <c r="A7">
        <v>4</v>
      </c>
      <c r="B7">
        <v>0</v>
      </c>
      <c r="C7">
        <v>-2.9777</v>
      </c>
      <c r="D7">
        <v>-8.3444000000000003</v>
      </c>
      <c r="E7">
        <v>-6.8716999999999997</v>
      </c>
      <c r="F7">
        <v>-5.8517000000000001</v>
      </c>
      <c r="G7">
        <v>-10.6965</v>
      </c>
      <c r="H7">
        <v>-9.4181000000000008</v>
      </c>
      <c r="I7">
        <v>-9.4181000000000008</v>
      </c>
      <c r="J7">
        <v>-10.813599999999999</v>
      </c>
      <c r="K7">
        <v>-11.095700000000001</v>
      </c>
      <c r="L7">
        <v>-11.0389</v>
      </c>
      <c r="M7">
        <v>-11.451700000000001</v>
      </c>
      <c r="N7">
        <v>-11.544600000000001</v>
      </c>
      <c r="O7">
        <v>-12.050700000000001</v>
      </c>
    </row>
    <row r="8" spans="1:15" x14ac:dyDescent="0.25">
      <c r="A8">
        <v>5</v>
      </c>
      <c r="B8">
        <v>0</v>
      </c>
      <c r="C8">
        <v>-3.0627</v>
      </c>
      <c r="D8">
        <v>-8.5077999999999996</v>
      </c>
      <c r="E8">
        <v>-7.0350999999999999</v>
      </c>
      <c r="F8">
        <v>-5.9936999999999996</v>
      </c>
      <c r="G8">
        <v>-10.9558</v>
      </c>
      <c r="H8">
        <v>-9.6443999999999992</v>
      </c>
      <c r="I8">
        <v>-9.6443999999999992</v>
      </c>
      <c r="J8">
        <v>-11.0745</v>
      </c>
      <c r="K8">
        <v>-11.3637</v>
      </c>
      <c r="L8">
        <v>-11.306100000000001</v>
      </c>
      <c r="M8">
        <v>-11.7294</v>
      </c>
      <c r="N8">
        <v>-11.8245</v>
      </c>
      <c r="O8">
        <v>-12.3423</v>
      </c>
    </row>
    <row r="9" spans="1:15" x14ac:dyDescent="0.25">
      <c r="A9">
        <v>6</v>
      </c>
      <c r="B9">
        <v>0</v>
      </c>
      <c r="C9">
        <v>-3.2225999999999999</v>
      </c>
      <c r="D9">
        <v>-8.8154000000000003</v>
      </c>
      <c r="E9">
        <v>-7.3426999999999998</v>
      </c>
      <c r="F9">
        <v>-6.2611999999999997</v>
      </c>
      <c r="G9">
        <v>-11.444100000000001</v>
      </c>
      <c r="H9">
        <v>-10.070600000000001</v>
      </c>
      <c r="I9">
        <v>-10.070600000000001</v>
      </c>
      <c r="J9">
        <v>-11.5657</v>
      </c>
      <c r="K9">
        <v>-11.8683</v>
      </c>
      <c r="L9">
        <v>-11.808999999999999</v>
      </c>
      <c r="M9">
        <v>-12.2522</v>
      </c>
      <c r="N9">
        <v>-12.3514</v>
      </c>
      <c r="O9">
        <v>-12.891500000000001</v>
      </c>
    </row>
    <row r="10" spans="1:15" x14ac:dyDescent="0.25">
      <c r="A10">
        <v>7</v>
      </c>
      <c r="B10">
        <v>0</v>
      </c>
      <c r="C10">
        <v>-3.2744</v>
      </c>
      <c r="D10">
        <v>-8.9151000000000007</v>
      </c>
      <c r="E10">
        <v>-7.4424999999999999</v>
      </c>
      <c r="F10">
        <v>-6.3479000000000001</v>
      </c>
      <c r="G10">
        <v>-11.602399999999999</v>
      </c>
      <c r="H10">
        <v>-10.2088</v>
      </c>
      <c r="I10">
        <v>-10.2088</v>
      </c>
      <c r="J10">
        <v>-11.7249</v>
      </c>
      <c r="K10">
        <v>-12.0319</v>
      </c>
      <c r="L10">
        <v>-11.972099999999999</v>
      </c>
      <c r="M10">
        <v>-12.4217</v>
      </c>
      <c r="N10">
        <v>-12.5223</v>
      </c>
      <c r="O10">
        <v>-13.0695</v>
      </c>
    </row>
    <row r="11" spans="1:15" x14ac:dyDescent="0.25">
      <c r="A11">
        <v>8</v>
      </c>
      <c r="B11">
        <v>0</v>
      </c>
      <c r="C11">
        <v>-3.4817</v>
      </c>
      <c r="D11">
        <v>-9.3138000000000005</v>
      </c>
      <c r="E11">
        <v>-7.8411999999999997</v>
      </c>
      <c r="F11">
        <v>-6.6944999999999997</v>
      </c>
      <c r="G11">
        <v>-12.235200000000001</v>
      </c>
      <c r="H11">
        <v>-10.761200000000001</v>
      </c>
      <c r="I11">
        <v>-10.761200000000001</v>
      </c>
      <c r="J11">
        <v>-12.361599999999999</v>
      </c>
      <c r="K11">
        <v>-12.686</v>
      </c>
      <c r="L11">
        <v>-12.6241</v>
      </c>
      <c r="M11">
        <v>-13.099500000000001</v>
      </c>
      <c r="N11">
        <v>-13.205399999999999</v>
      </c>
      <c r="O11">
        <v>-13.7814</v>
      </c>
    </row>
    <row r="12" spans="1:15" x14ac:dyDescent="0.25">
      <c r="A12">
        <v>9</v>
      </c>
      <c r="B12">
        <v>0</v>
      </c>
      <c r="C12">
        <v>-3.6886000000000001</v>
      </c>
      <c r="D12">
        <v>-9.7117000000000004</v>
      </c>
      <c r="E12">
        <v>-8.2390000000000008</v>
      </c>
      <c r="F12">
        <v>-7.0404999999999998</v>
      </c>
      <c r="G12">
        <v>-12.8667</v>
      </c>
      <c r="H12">
        <v>-11.3125</v>
      </c>
      <c r="I12">
        <v>-11.3125</v>
      </c>
      <c r="J12">
        <v>-12.9969</v>
      </c>
      <c r="K12">
        <v>-13.338699999999999</v>
      </c>
      <c r="L12">
        <v>-13.274699999999999</v>
      </c>
      <c r="M12">
        <v>-13.7758</v>
      </c>
      <c r="N12">
        <v>-13.887</v>
      </c>
      <c r="O12">
        <v>-14.4917</v>
      </c>
    </row>
    <row r="13" spans="1:15" x14ac:dyDescent="0.25">
      <c r="A13">
        <v>10</v>
      </c>
      <c r="B13">
        <v>0</v>
      </c>
      <c r="C13">
        <v>-3.8288000000000002</v>
      </c>
      <c r="D13">
        <v>-9.9806000000000008</v>
      </c>
      <c r="E13">
        <v>-8.5078999999999994</v>
      </c>
      <c r="F13">
        <v>-7.2760999999999996</v>
      </c>
      <c r="G13">
        <v>-13.314399999999999</v>
      </c>
      <c r="H13">
        <v>-11.7348</v>
      </c>
      <c r="I13">
        <v>-11.7348</v>
      </c>
      <c r="J13">
        <v>-13.463200000000001</v>
      </c>
      <c r="K13">
        <v>-13.814</v>
      </c>
      <c r="L13">
        <v>-13.742100000000001</v>
      </c>
      <c r="M13">
        <v>-14.2552</v>
      </c>
      <c r="N13">
        <v>-14.3711</v>
      </c>
      <c r="O13">
        <v>-15.003</v>
      </c>
    </row>
    <row r="14" spans="1:15" x14ac:dyDescent="0.25">
      <c r="A14">
        <v>11</v>
      </c>
      <c r="B14">
        <v>0</v>
      </c>
      <c r="C14">
        <v>-3.9727999999999999</v>
      </c>
      <c r="D14">
        <v>-10.2544</v>
      </c>
      <c r="E14">
        <v>-8.7817000000000007</v>
      </c>
      <c r="F14">
        <v>-7.5225999999999997</v>
      </c>
      <c r="G14">
        <v>-13.8424</v>
      </c>
      <c r="H14">
        <v>-12.337</v>
      </c>
      <c r="I14">
        <v>-12.337</v>
      </c>
      <c r="J14">
        <v>-14.065300000000001</v>
      </c>
      <c r="K14">
        <v>-14.415900000000001</v>
      </c>
      <c r="L14">
        <v>-14.3141</v>
      </c>
      <c r="M14">
        <v>-14.8208</v>
      </c>
      <c r="N14">
        <v>-14.944900000000001</v>
      </c>
      <c r="O14">
        <v>-15.631399999999999</v>
      </c>
    </row>
    <row r="15" spans="1:15" x14ac:dyDescent="0.25">
      <c r="A15">
        <v>12</v>
      </c>
      <c r="B15">
        <v>0</v>
      </c>
      <c r="C15">
        <v>-4.0812999999999997</v>
      </c>
      <c r="D15">
        <v>-10.460599999999999</v>
      </c>
      <c r="E15">
        <v>-8.9878999999999998</v>
      </c>
      <c r="F15">
        <v>-7.7083000000000004</v>
      </c>
      <c r="G15">
        <v>-14.2399</v>
      </c>
      <c r="H15">
        <v>-12.7905</v>
      </c>
      <c r="I15">
        <v>-12.7905</v>
      </c>
      <c r="J15">
        <v>-14.518800000000001</v>
      </c>
      <c r="K15">
        <v>-14.8691</v>
      </c>
      <c r="L15">
        <v>-14.7448</v>
      </c>
      <c r="M15">
        <v>-15.246700000000001</v>
      </c>
      <c r="N15">
        <v>-15.377000000000001</v>
      </c>
      <c r="O15">
        <v>-16.104600000000001</v>
      </c>
    </row>
    <row r="16" spans="1:15" x14ac:dyDescent="0.25">
      <c r="A16">
        <v>13</v>
      </c>
      <c r="B16">
        <v>0</v>
      </c>
      <c r="C16">
        <v>-4.0895999999999999</v>
      </c>
      <c r="D16">
        <v>-10.4763</v>
      </c>
      <c r="E16">
        <v>-9.0037000000000003</v>
      </c>
      <c r="F16">
        <v>-7.7225000000000001</v>
      </c>
      <c r="G16">
        <v>-14.2704</v>
      </c>
      <c r="H16">
        <v>-12.825200000000001</v>
      </c>
      <c r="I16">
        <v>-12.825200000000001</v>
      </c>
      <c r="J16">
        <v>-14.5535</v>
      </c>
      <c r="K16">
        <v>-14.9039</v>
      </c>
      <c r="L16">
        <v>-14.777699999999999</v>
      </c>
      <c r="M16">
        <v>-15.279299999999999</v>
      </c>
      <c r="N16">
        <v>-15.4101</v>
      </c>
      <c r="O16">
        <v>-16.140799999999999</v>
      </c>
    </row>
    <row r="17" spans="1:15" x14ac:dyDescent="0.25">
      <c r="A17">
        <v>14</v>
      </c>
      <c r="B17">
        <v>0</v>
      </c>
      <c r="C17">
        <v>-4.1536</v>
      </c>
      <c r="D17">
        <v>-10.595000000000001</v>
      </c>
      <c r="E17">
        <v>-9.1224000000000007</v>
      </c>
      <c r="F17">
        <v>-7.8369999999999997</v>
      </c>
      <c r="G17">
        <v>-14.319599999999999</v>
      </c>
      <c r="H17">
        <v>-12.9711</v>
      </c>
      <c r="I17">
        <v>-12.9711</v>
      </c>
      <c r="J17">
        <v>-14.699400000000001</v>
      </c>
      <c r="K17">
        <v>-15.0387</v>
      </c>
      <c r="L17">
        <v>-14.873799999999999</v>
      </c>
      <c r="M17">
        <v>-15.350899999999999</v>
      </c>
      <c r="N17">
        <v>-15.4894</v>
      </c>
      <c r="O17">
        <v>-16.275300000000001</v>
      </c>
    </row>
    <row r="18" spans="1:15" x14ac:dyDescent="0.25">
      <c r="A18">
        <v>15</v>
      </c>
      <c r="B18">
        <v>0</v>
      </c>
      <c r="C18">
        <v>-4.25</v>
      </c>
      <c r="D18">
        <v>-10.772500000000001</v>
      </c>
      <c r="E18">
        <v>-9.2997999999999994</v>
      </c>
      <c r="F18">
        <v>-8.0107999999999997</v>
      </c>
      <c r="G18">
        <v>-14.3306</v>
      </c>
      <c r="H18">
        <v>-13.1486</v>
      </c>
      <c r="I18">
        <v>-13.1486</v>
      </c>
      <c r="J18">
        <v>-14.876899999999999</v>
      </c>
      <c r="K18">
        <v>-15.1958</v>
      </c>
      <c r="L18">
        <v>-14.9643</v>
      </c>
      <c r="M18">
        <v>-15.3973</v>
      </c>
      <c r="N18">
        <v>-15.5487</v>
      </c>
      <c r="O18">
        <v>-16.427700000000002</v>
      </c>
    </row>
    <row r="19" spans="1:15" x14ac:dyDescent="0.25">
      <c r="A19">
        <v>16</v>
      </c>
      <c r="B19">
        <v>0</v>
      </c>
      <c r="C19">
        <v>-4.2742000000000004</v>
      </c>
      <c r="D19">
        <v>-10.8169</v>
      </c>
      <c r="E19">
        <v>-9.3442000000000007</v>
      </c>
      <c r="F19">
        <v>-8.0541999999999998</v>
      </c>
      <c r="G19">
        <v>-14.333500000000001</v>
      </c>
      <c r="H19">
        <v>-13.193</v>
      </c>
      <c r="I19">
        <v>-13.193</v>
      </c>
      <c r="J19">
        <v>-14.9213</v>
      </c>
      <c r="K19">
        <v>-15.235099999999999</v>
      </c>
      <c r="L19">
        <v>-14.987</v>
      </c>
      <c r="M19">
        <v>-15.409000000000001</v>
      </c>
      <c r="N19">
        <v>-15.563700000000001</v>
      </c>
      <c r="O19">
        <v>-16.465800000000002</v>
      </c>
    </row>
    <row r="20" spans="1:15" x14ac:dyDescent="0.25">
      <c r="A20">
        <v>17</v>
      </c>
      <c r="B20">
        <v>0</v>
      </c>
      <c r="C20">
        <v>-4.2533000000000003</v>
      </c>
      <c r="D20">
        <v>-10.778600000000001</v>
      </c>
      <c r="E20">
        <v>-9.3058999999999994</v>
      </c>
      <c r="F20">
        <v>-8.0167000000000002</v>
      </c>
      <c r="G20">
        <v>-14.331</v>
      </c>
      <c r="H20">
        <v>-13.1547</v>
      </c>
      <c r="I20">
        <v>-13.1547</v>
      </c>
      <c r="J20">
        <v>-14.882999999999999</v>
      </c>
      <c r="K20">
        <v>-15.2012</v>
      </c>
      <c r="L20">
        <v>-14.9674</v>
      </c>
      <c r="M20">
        <v>-15.398899999999999</v>
      </c>
      <c r="N20">
        <v>-15.550800000000001</v>
      </c>
      <c r="O20">
        <v>-16.4329</v>
      </c>
    </row>
    <row r="21" spans="1:15" x14ac:dyDescent="0.25">
      <c r="A21">
        <v>18</v>
      </c>
      <c r="B21">
        <v>0</v>
      </c>
      <c r="C21">
        <v>-4.1958000000000002</v>
      </c>
      <c r="D21">
        <v>-10.672700000000001</v>
      </c>
      <c r="E21">
        <v>-9.1999999999999993</v>
      </c>
      <c r="F21">
        <v>-7.9131</v>
      </c>
      <c r="G21">
        <v>-14.324</v>
      </c>
      <c r="H21">
        <v>-13.0488</v>
      </c>
      <c r="I21">
        <v>-13.0488</v>
      </c>
      <c r="J21">
        <v>-14.777100000000001</v>
      </c>
      <c r="K21">
        <v>-15.1074</v>
      </c>
      <c r="L21">
        <v>-14.9132</v>
      </c>
      <c r="M21">
        <v>-15.370900000000001</v>
      </c>
      <c r="N21">
        <v>-15.5151</v>
      </c>
      <c r="O21">
        <v>-16.341899999999999</v>
      </c>
    </row>
    <row r="22" spans="1:15" x14ac:dyDescent="0.25">
      <c r="A22">
        <v>19</v>
      </c>
      <c r="B22">
        <v>0</v>
      </c>
      <c r="C22">
        <v>-4.4042000000000003</v>
      </c>
      <c r="D22">
        <v>-11.055999999999999</v>
      </c>
      <c r="E22">
        <v>-9.5832999999999995</v>
      </c>
      <c r="F22">
        <v>-8.2864000000000004</v>
      </c>
      <c r="G22">
        <v>-14.379899999999999</v>
      </c>
      <c r="H22">
        <v>-13.4321</v>
      </c>
      <c r="I22">
        <v>-13.4175</v>
      </c>
      <c r="J22">
        <v>-15.169499999999999</v>
      </c>
      <c r="K22">
        <v>-15.46</v>
      </c>
      <c r="L22">
        <v>-15.1311</v>
      </c>
      <c r="M22">
        <v>-15.501899999999999</v>
      </c>
      <c r="N22">
        <v>-15.672599999999999</v>
      </c>
      <c r="O22">
        <v>-16.689800000000002</v>
      </c>
    </row>
    <row r="23" spans="1:15" x14ac:dyDescent="0.25">
      <c r="A23">
        <v>20</v>
      </c>
      <c r="B23">
        <v>0</v>
      </c>
      <c r="C23">
        <v>-4.4627999999999997</v>
      </c>
      <c r="D23">
        <v>-11.1637</v>
      </c>
      <c r="E23">
        <v>-9.6911000000000005</v>
      </c>
      <c r="F23">
        <v>-8.3841000000000001</v>
      </c>
      <c r="G23">
        <v>-14.5311</v>
      </c>
      <c r="H23">
        <v>-13.5398</v>
      </c>
      <c r="I23">
        <v>-13.4566</v>
      </c>
      <c r="J23">
        <v>-15.3201</v>
      </c>
      <c r="K23">
        <v>-15.617699999999999</v>
      </c>
      <c r="L23">
        <v>-15.2888</v>
      </c>
      <c r="M23">
        <v>-15.670299999999999</v>
      </c>
      <c r="N23">
        <v>-15.8429</v>
      </c>
      <c r="O23">
        <v>-16.870100000000001</v>
      </c>
    </row>
    <row r="24" spans="1:15" x14ac:dyDescent="0.25">
      <c r="A24">
        <v>21</v>
      </c>
      <c r="B24">
        <v>0</v>
      </c>
      <c r="C24">
        <v>-4.3773999999999997</v>
      </c>
      <c r="D24">
        <v>-11.0068</v>
      </c>
      <c r="E24">
        <v>-9.5341000000000005</v>
      </c>
      <c r="F24">
        <v>-8.24</v>
      </c>
      <c r="G24">
        <v>-14.346</v>
      </c>
      <c r="H24">
        <v>-13.382899999999999</v>
      </c>
      <c r="I24">
        <v>-13.382899999999999</v>
      </c>
      <c r="J24">
        <v>-15.1112</v>
      </c>
      <c r="K24">
        <v>-15.4032</v>
      </c>
      <c r="L24">
        <v>-15.084199999999999</v>
      </c>
      <c r="M24">
        <v>-15.459300000000001</v>
      </c>
      <c r="N24">
        <v>-15.627599999999999</v>
      </c>
      <c r="O24">
        <v>-16.628900000000002</v>
      </c>
    </row>
    <row r="25" spans="1:15" x14ac:dyDescent="0.25">
      <c r="A25">
        <v>22</v>
      </c>
      <c r="B25">
        <v>0</v>
      </c>
      <c r="C25">
        <v>-4.1715</v>
      </c>
      <c r="D25">
        <v>-10.6279</v>
      </c>
      <c r="E25">
        <v>-9.1552000000000007</v>
      </c>
      <c r="F25">
        <v>-7.8692000000000002</v>
      </c>
      <c r="G25">
        <v>-14.321400000000001</v>
      </c>
      <c r="H25">
        <v>-13.004</v>
      </c>
      <c r="I25">
        <v>-13.004</v>
      </c>
      <c r="J25">
        <v>-14.7323</v>
      </c>
      <c r="K25">
        <v>-15.0678</v>
      </c>
      <c r="L25">
        <v>-14.890499999999999</v>
      </c>
      <c r="M25">
        <v>-15.359299999999999</v>
      </c>
      <c r="N25">
        <v>-15.500299999999999</v>
      </c>
      <c r="O25">
        <v>-16.3035</v>
      </c>
    </row>
    <row r="26" spans="1:15" x14ac:dyDescent="0.25">
      <c r="A26">
        <v>23</v>
      </c>
      <c r="B26">
        <v>0</v>
      </c>
      <c r="C26">
        <v>-3.8936000000000002</v>
      </c>
      <c r="D26">
        <v>-10.103899999999999</v>
      </c>
      <c r="E26">
        <v>-8.6311999999999998</v>
      </c>
      <c r="F26">
        <v>-7.3871000000000002</v>
      </c>
      <c r="G26">
        <v>-13.552099999999999</v>
      </c>
      <c r="H26">
        <v>-12.006</v>
      </c>
      <c r="I26">
        <v>-12.006</v>
      </c>
      <c r="J26">
        <v>-13.734299999999999</v>
      </c>
      <c r="K26">
        <v>-14.085000000000001</v>
      </c>
      <c r="L26">
        <v>-13.999700000000001</v>
      </c>
      <c r="M26">
        <v>-14.5099</v>
      </c>
      <c r="N26">
        <v>-14.6295</v>
      </c>
      <c r="O26">
        <v>-15.2859</v>
      </c>
    </row>
    <row r="27" spans="1:15" x14ac:dyDescent="0.25">
      <c r="A27">
        <v>24</v>
      </c>
      <c r="B27">
        <v>0</v>
      </c>
      <c r="C27">
        <v>-3.6433</v>
      </c>
      <c r="D27">
        <v>-9.6245999999999992</v>
      </c>
      <c r="E27">
        <v>-8.1518999999999995</v>
      </c>
      <c r="F27">
        <v>-6.9646999999999997</v>
      </c>
      <c r="G27">
        <v>-12.728300000000001</v>
      </c>
      <c r="H27">
        <v>-11.191700000000001</v>
      </c>
      <c r="I27">
        <v>-11.191700000000001</v>
      </c>
      <c r="J27">
        <v>-12.857699999999999</v>
      </c>
      <c r="K27">
        <v>-13.1957</v>
      </c>
      <c r="L27">
        <v>-13.132099999999999</v>
      </c>
      <c r="M27">
        <v>-13.627599999999999</v>
      </c>
      <c r="N27">
        <v>-13.7377</v>
      </c>
      <c r="O27">
        <v>-14.3361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tabSelected="1" workbookViewId="0">
      <selection activeCell="F16" sqref="F16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63</v>
      </c>
    </row>
    <row r="3" spans="1:4" x14ac:dyDescent="0.25">
      <c r="A3" s="2" t="s">
        <v>64</v>
      </c>
      <c r="B3" s="2" t="s">
        <v>65</v>
      </c>
      <c r="C3" s="2" t="s">
        <v>66</v>
      </c>
      <c r="D3" s="2" t="s">
        <v>67</v>
      </c>
    </row>
    <row r="4" spans="1:4" x14ac:dyDescent="0.25">
      <c r="A4" t="s">
        <v>68</v>
      </c>
      <c r="B4" t="s">
        <v>27</v>
      </c>
      <c r="C4" t="s">
        <v>69</v>
      </c>
    </row>
    <row r="5" spans="1:4" x14ac:dyDescent="0.25">
      <c r="A5" t="s">
        <v>68</v>
      </c>
      <c r="B5" t="s">
        <v>28</v>
      </c>
      <c r="C5" t="s">
        <v>69</v>
      </c>
    </row>
    <row r="6" spans="1:4" x14ac:dyDescent="0.25">
      <c r="A6" t="s">
        <v>68</v>
      </c>
      <c r="B6" t="s">
        <v>29</v>
      </c>
      <c r="C6" t="s">
        <v>69</v>
      </c>
    </row>
    <row r="7" spans="1:4" x14ac:dyDescent="0.25">
      <c r="A7" t="s">
        <v>68</v>
      </c>
      <c r="B7" t="s">
        <v>30</v>
      </c>
      <c r="C7" t="s">
        <v>69</v>
      </c>
    </row>
    <row r="8" spans="1:4" x14ac:dyDescent="0.25">
      <c r="A8" t="s">
        <v>68</v>
      </c>
      <c r="B8" t="s">
        <v>32</v>
      </c>
      <c r="C8" t="s">
        <v>69</v>
      </c>
    </row>
    <row r="9" spans="1:4" x14ac:dyDescent="0.25">
      <c r="A9" t="s">
        <v>68</v>
      </c>
      <c r="B9" t="s">
        <v>34</v>
      </c>
      <c r="C9" t="s">
        <v>69</v>
      </c>
    </row>
    <row r="10" spans="1:4" x14ac:dyDescent="0.25">
      <c r="A10" t="s">
        <v>68</v>
      </c>
      <c r="B10" t="s">
        <v>36</v>
      </c>
      <c r="C10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Despacho</vt:lpstr>
      <vt:lpstr>Flujos</vt:lpstr>
      <vt:lpstr>Perdidas</vt:lpstr>
      <vt:lpstr>Angulos</vt:lpstr>
      <vt:lpstr>Inversiones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2026-08-11T19:59:29Z</dcterms:created>
  <dcterms:modified xsi:type="dcterms:W3CDTF">2026-08-11T20:58:01Z</dcterms:modified>
</cp:coreProperties>
</file>