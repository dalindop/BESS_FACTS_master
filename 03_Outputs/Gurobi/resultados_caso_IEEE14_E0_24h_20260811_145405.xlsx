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Gurobi\"/>
    </mc:Choice>
  </mc:AlternateContent>
  <xr:revisionPtr revIDLastSave="0" documentId="13_ncr:1_{6F4D6523-56C0-4C17-881F-70A1A5E91E6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en" sheetId="1" r:id="rId1"/>
    <sheet name="Despacho" sheetId="2" r:id="rId2"/>
    <sheet name="Perdidas" sheetId="4" r:id="rId3"/>
    <sheet name="Flujos" sheetId="3" r:id="rId4"/>
    <sheet name="Angulos" sheetId="5" r:id="rId5"/>
    <sheet name="Inversiones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 a="1"/>
  <c r="C28" i="3"/>
  <c r="D28" i="3" a="1"/>
  <c r="D28" i="3" s="1"/>
  <c r="E28" i="3" a="1"/>
  <c r="E28" i="3"/>
  <c r="F28" i="3" a="1"/>
  <c r="F28" i="3"/>
  <c r="G28" i="3" a="1"/>
  <c r="G28" i="3"/>
  <c r="H28" i="3" a="1"/>
  <c r="H28" i="3" s="1"/>
  <c r="I28" i="3" a="1"/>
  <c r="I28" i="3"/>
  <c r="J28" i="3" a="1"/>
  <c r="J28" i="3" s="1"/>
  <c r="K28" i="3" a="1"/>
  <c r="K28" i="3"/>
  <c r="L28" i="3" a="1"/>
  <c r="L28" i="3"/>
  <c r="M28" i="3" a="1"/>
  <c r="M28" i="3"/>
  <c r="N28" i="3" a="1"/>
  <c r="N28" i="3" s="1"/>
  <c r="O28" i="3" a="1"/>
  <c r="O28" i="3"/>
  <c r="P28" i="3" a="1"/>
  <c r="P28" i="3" s="1"/>
  <c r="Q28" i="3" a="1"/>
  <c r="Q28" i="3"/>
  <c r="R28" i="3" a="1"/>
  <c r="R28" i="3"/>
  <c r="S28" i="3" a="1"/>
  <c r="S28" i="3"/>
  <c r="T28" i="3" a="1"/>
  <c r="T28" i="3" s="1"/>
  <c r="U28" i="3" a="1"/>
  <c r="U28" i="3"/>
  <c r="B28" i="3" a="1"/>
  <c r="B28" i="3" s="1"/>
  <c r="M28" i="2"/>
  <c r="N28" i="2"/>
  <c r="O28" i="2"/>
  <c r="P28" i="2"/>
  <c r="Q28" i="2"/>
  <c r="L5" i="2"/>
  <c r="M5" i="2"/>
  <c r="N5" i="2"/>
  <c r="O5" i="2"/>
  <c r="P5" i="2"/>
  <c r="Q5" i="2"/>
  <c r="L6" i="2"/>
  <c r="M6" i="2"/>
  <c r="N6" i="2"/>
  <c r="O6" i="2"/>
  <c r="P6" i="2"/>
  <c r="Q6" i="2"/>
  <c r="L7" i="2"/>
  <c r="M7" i="2"/>
  <c r="N7" i="2"/>
  <c r="O7" i="2"/>
  <c r="P7" i="2"/>
  <c r="Q7" i="2"/>
  <c r="L8" i="2"/>
  <c r="M8" i="2"/>
  <c r="N8" i="2"/>
  <c r="O8" i="2"/>
  <c r="P8" i="2"/>
  <c r="Q8" i="2"/>
  <c r="L9" i="2"/>
  <c r="M9" i="2"/>
  <c r="N9" i="2"/>
  <c r="O9" i="2"/>
  <c r="P9" i="2"/>
  <c r="Q9" i="2"/>
  <c r="L10" i="2"/>
  <c r="M10" i="2"/>
  <c r="N10" i="2"/>
  <c r="O10" i="2"/>
  <c r="P10" i="2"/>
  <c r="Q10" i="2"/>
  <c r="L11" i="2"/>
  <c r="M11" i="2"/>
  <c r="N11" i="2"/>
  <c r="O11" i="2"/>
  <c r="P11" i="2"/>
  <c r="Q11" i="2"/>
  <c r="L12" i="2"/>
  <c r="M12" i="2"/>
  <c r="N12" i="2"/>
  <c r="O12" i="2"/>
  <c r="P12" i="2"/>
  <c r="Q12" i="2"/>
  <c r="L13" i="2"/>
  <c r="M13" i="2"/>
  <c r="N13" i="2"/>
  <c r="O13" i="2"/>
  <c r="P13" i="2"/>
  <c r="Q13" i="2"/>
  <c r="L14" i="2"/>
  <c r="M14" i="2"/>
  <c r="N14" i="2"/>
  <c r="O14" i="2"/>
  <c r="P14" i="2"/>
  <c r="Q14" i="2"/>
  <c r="L15" i="2"/>
  <c r="M15" i="2"/>
  <c r="N15" i="2"/>
  <c r="O15" i="2"/>
  <c r="P15" i="2"/>
  <c r="Q15" i="2"/>
  <c r="L16" i="2"/>
  <c r="M16" i="2"/>
  <c r="N16" i="2"/>
  <c r="O16" i="2"/>
  <c r="P16" i="2"/>
  <c r="Q16" i="2"/>
  <c r="L17" i="2"/>
  <c r="M17" i="2"/>
  <c r="N17" i="2"/>
  <c r="O17" i="2"/>
  <c r="P17" i="2"/>
  <c r="Q17" i="2"/>
  <c r="L18" i="2"/>
  <c r="M18" i="2"/>
  <c r="N18" i="2"/>
  <c r="O18" i="2"/>
  <c r="P18" i="2"/>
  <c r="Q18" i="2"/>
  <c r="L19" i="2"/>
  <c r="M19" i="2"/>
  <c r="N19" i="2"/>
  <c r="O19" i="2"/>
  <c r="P19" i="2"/>
  <c r="Q19" i="2"/>
  <c r="L20" i="2"/>
  <c r="M20" i="2"/>
  <c r="N20" i="2"/>
  <c r="O20" i="2"/>
  <c r="P20" i="2"/>
  <c r="Q20" i="2"/>
  <c r="L21" i="2"/>
  <c r="M21" i="2"/>
  <c r="N21" i="2"/>
  <c r="O21" i="2"/>
  <c r="P21" i="2"/>
  <c r="Q21" i="2"/>
  <c r="L22" i="2"/>
  <c r="M22" i="2"/>
  <c r="N22" i="2"/>
  <c r="O22" i="2"/>
  <c r="P22" i="2"/>
  <c r="Q22" i="2"/>
  <c r="L23" i="2"/>
  <c r="M23" i="2"/>
  <c r="N23" i="2"/>
  <c r="O23" i="2"/>
  <c r="P23" i="2"/>
  <c r="Q23" i="2"/>
  <c r="L24" i="2"/>
  <c r="M24" i="2"/>
  <c r="N24" i="2"/>
  <c r="O24" i="2"/>
  <c r="P24" i="2"/>
  <c r="Q24" i="2"/>
  <c r="L25" i="2"/>
  <c r="M25" i="2"/>
  <c r="N25" i="2"/>
  <c r="O25" i="2"/>
  <c r="P25" i="2"/>
  <c r="Q25" i="2"/>
  <c r="L26" i="2"/>
  <c r="M26" i="2"/>
  <c r="N26" i="2"/>
  <c r="O26" i="2"/>
  <c r="P26" i="2"/>
  <c r="Q26" i="2"/>
  <c r="L27" i="2"/>
  <c r="M27" i="2"/>
  <c r="N27" i="2"/>
  <c r="O27" i="2"/>
  <c r="P27" i="2"/>
  <c r="Q27" i="2"/>
  <c r="Q4" i="2"/>
  <c r="P4" i="2"/>
  <c r="O4" i="2"/>
  <c r="N4" i="2"/>
  <c r="M4" i="2"/>
  <c r="L4" i="2"/>
  <c r="E28" i="2"/>
  <c r="F28" i="2"/>
  <c r="C28" i="2"/>
  <c r="D28" i="2"/>
  <c r="B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<sst xmlns="http://schemas.openxmlformats.org/spreadsheetml/2006/main" count="95" uniqueCount="72">
  <si>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</si>
  <si>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</si>
  <si>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</si>
  <si>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</si>
  <si>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</si>
  <si>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</si>
  <si>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</si>
  <si>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</si>
  <si>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</si>
  <si>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</si>
  <si>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gurobi</t>
  </si>
  <si>
    <t>Tiempo total simulacion (s)</t>
  </si>
  <si>
    <t>Costo inversion BESS (USD)</t>
  </si>
  <si>
    <t>Costo inversion FACTS (USD)</t>
  </si>
  <si>
    <t>Despacho termico (MW)</t>
  </si>
  <si>
    <t>hora</t>
  </si>
  <si>
    <t>G1</t>
  </si>
  <si>
    <t>G2</t>
  </si>
  <si>
    <t>G3</t>
  </si>
  <si>
    <t>G4</t>
  </si>
  <si>
    <t>G5</t>
  </si>
  <si>
    <t>u_G1</t>
  </si>
  <si>
    <t>u_G2</t>
  </si>
  <si>
    <t>u_G3</t>
  </si>
  <si>
    <t>u_G4</t>
  </si>
  <si>
    <t>u_G5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</si>
  <si>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</si>
  <si>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</si>
  <si>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</si>
  <si>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</si>
  <si>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</si>
  <si>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</si>
  <si>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</si>
  <si>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</si>
  <si>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</si>
  <si>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</si>
  <si>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</si>
  <si>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</si>
  <si>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</si>
  <si>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</si>
  <si>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</si>
  <si>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</si>
  <si>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</si>
  <si>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</si>
  <si>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</si>
  <si>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</si>
  <si>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</si>
  <si>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</si>
  <si>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</si>
  <si>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</si>
  <si>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</si>
  <si>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</si>
  <si>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</si>
  <si>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</si>
  <si>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</si>
  <si>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</si>
  <si>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</si>
  <si>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</si>
  <si>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</si>
  <si>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</si>
  <si>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</si>
  <si>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</si>
  <si>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</si>
  <si>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</si>
  <si>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</si>
  <si>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</si>
  <si>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</si>
  <si>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</si>
  <si>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-</t>
  </si>
  <si>
    <t>ninguna inversion</t>
  </si>
  <si>
    <t>Demanda Total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</si>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</sst>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3" fontId="4" fillId="3" borderId="0" xfId="2" applyNumberFormat="1"/>
    <xf numFmtId="0" fontId="4" fillId="3" borderId="0" xfId="2"/>
    <xf numFmtId="44" fontId="4" fillId="3" borderId="0" xfId="2" applyNumberFormat="1"/>
    <xf numFmtId="44" fontId="4" fillId="3" borderId="0" xfId="1" applyFont="1" applyFill="1"/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Despacho!$B$3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Despacho!$B$4:$B$27</c:f>
              <c:numCache>
                <c:formatCode>General</c:formatCode>
                <c:ptCount val="24"/>
                <c:pt idx="0">
                  <c:v>146.74</c:v>
                </c:pt>
                <c:pt idx="1">
                  <c:v>141.62</c:v>
                </c:pt>
                <c:pt idx="2">
                  <c:v>137.75</c:v>
                </c:pt>
                <c:pt idx="3">
                  <c:v>136.07</c:v>
                </c:pt>
                <c:pt idx="4">
                  <c:v>139.83000000000001</c:v>
                </c:pt>
                <c:pt idx="5">
                  <c:v>146.9</c:v>
                </c:pt>
                <c:pt idx="6">
                  <c:v>149.19</c:v>
                </c:pt>
                <c:pt idx="7">
                  <c:v>158.36000000000001</c:v>
                </c:pt>
                <c:pt idx="8">
                  <c:v>167.51</c:v>
                </c:pt>
                <c:pt idx="9">
                  <c:v>173.73</c:v>
                </c:pt>
                <c:pt idx="10">
                  <c:v>180.19</c:v>
                </c:pt>
                <c:pt idx="11">
                  <c:v>185.08</c:v>
                </c:pt>
                <c:pt idx="12">
                  <c:v>185.46</c:v>
                </c:pt>
                <c:pt idx="13">
                  <c:v>187.73</c:v>
                </c:pt>
                <c:pt idx="14">
                  <c:v>190.85</c:v>
                </c:pt>
                <c:pt idx="15">
                  <c:v>191.63</c:v>
                </c:pt>
                <c:pt idx="16">
                  <c:v>190.96</c:v>
                </c:pt>
                <c:pt idx="17">
                  <c:v>189.1</c:v>
                </c:pt>
                <c:pt idx="18">
                  <c:v>195.96</c:v>
                </c:pt>
                <c:pt idx="19">
                  <c:v>198.45</c:v>
                </c:pt>
                <c:pt idx="20">
                  <c:v>194.97</c:v>
                </c:pt>
                <c:pt idx="21">
                  <c:v>188.31</c:v>
                </c:pt>
                <c:pt idx="22">
                  <c:v>176.64</c:v>
                </c:pt>
                <c:pt idx="23">
                  <c:v>165.51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8-4E32-8D5F-A4B07AB4598D}"/>
            </c:ext>
          </c:extLst>
        </c:ser>
        <c:ser>
          <c:idx val="1"/>
          <c:order val="1"/>
          <c:tx>
            <c:strRef>
              <c:f>Despacho!$C$3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Despacho!$C$4:$C$27</c:f>
              <c:numCache>
                <c:formatCode>General</c:formatCode>
                <c:ptCount val="24"/>
                <c:pt idx="0">
                  <c:v>46.67</c:v>
                </c:pt>
                <c:pt idx="1">
                  <c:v>46.67</c:v>
                </c:pt>
                <c:pt idx="2">
                  <c:v>46.67</c:v>
                </c:pt>
                <c:pt idx="3">
                  <c:v>46.67</c:v>
                </c:pt>
                <c:pt idx="4">
                  <c:v>46.67</c:v>
                </c:pt>
                <c:pt idx="5">
                  <c:v>46.67</c:v>
                </c:pt>
                <c:pt idx="6">
                  <c:v>46.67</c:v>
                </c:pt>
                <c:pt idx="7">
                  <c:v>46.67</c:v>
                </c:pt>
                <c:pt idx="8">
                  <c:v>46.67</c:v>
                </c:pt>
                <c:pt idx="9">
                  <c:v>46.67</c:v>
                </c:pt>
                <c:pt idx="10">
                  <c:v>46.67</c:v>
                </c:pt>
                <c:pt idx="11">
                  <c:v>46.67</c:v>
                </c:pt>
                <c:pt idx="12">
                  <c:v>46.67</c:v>
                </c:pt>
                <c:pt idx="13">
                  <c:v>46.67</c:v>
                </c:pt>
                <c:pt idx="14">
                  <c:v>46.67</c:v>
                </c:pt>
                <c:pt idx="15">
                  <c:v>46.67</c:v>
                </c:pt>
                <c:pt idx="16">
                  <c:v>46.67</c:v>
                </c:pt>
                <c:pt idx="17">
                  <c:v>46.67</c:v>
                </c:pt>
                <c:pt idx="18">
                  <c:v>46.67</c:v>
                </c:pt>
                <c:pt idx="19">
                  <c:v>46.67</c:v>
                </c:pt>
                <c:pt idx="20">
                  <c:v>46.67</c:v>
                </c:pt>
                <c:pt idx="21">
                  <c:v>46.67</c:v>
                </c:pt>
                <c:pt idx="22">
                  <c:v>46.67</c:v>
                </c:pt>
                <c:pt idx="23">
                  <c:v>46.67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8-4E32-8D5F-A4B07AB4598D}"/>
            </c:ext>
          </c:extLst>
        </c:ser>
        <c:ser>
          <c:idx val="2"/>
          <c:order val="2"/>
          <c:tx>
            <c:strRef>
              <c:f>Despacho!$D$3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Despacho!$D$4:$D$27</c:f>
              <c:numCache>
                <c:formatCode>General</c:formatCode>
                <c:ptCount val="24"/>
                <c:pt idx="0">
                  <c:v>8.77</c:v>
                </c:pt>
                <c:pt idx="1">
                  <c:v>7.52</c:v>
                </c:pt>
                <c:pt idx="2">
                  <c:v>6.57</c:v>
                </c:pt>
                <c:pt idx="3">
                  <c:v>6.16</c:v>
                </c:pt>
                <c:pt idx="4">
                  <c:v>7.08</c:v>
                </c:pt>
                <c:pt idx="5">
                  <c:v>8.8000000000000007</c:v>
                </c:pt>
                <c:pt idx="6">
                  <c:v>9.36</c:v>
                </c:pt>
                <c:pt idx="7">
                  <c:v>11.6</c:v>
                </c:pt>
                <c:pt idx="8">
                  <c:v>13.83</c:v>
                </c:pt>
                <c:pt idx="9">
                  <c:v>15.34</c:v>
                </c:pt>
                <c:pt idx="10">
                  <c:v>16.920000000000002</c:v>
                </c:pt>
                <c:pt idx="11">
                  <c:v>18.100000000000001</c:v>
                </c:pt>
                <c:pt idx="12">
                  <c:v>18.190000000000001</c:v>
                </c:pt>
                <c:pt idx="13">
                  <c:v>19.059999999999999</c:v>
                </c:pt>
                <c:pt idx="14">
                  <c:v>20.43</c:v>
                </c:pt>
                <c:pt idx="15">
                  <c:v>20.77</c:v>
                </c:pt>
                <c:pt idx="16">
                  <c:v>20.47</c:v>
                </c:pt>
                <c:pt idx="17">
                  <c:v>19.66</c:v>
                </c:pt>
                <c:pt idx="18">
                  <c:v>22.65</c:v>
                </c:pt>
                <c:pt idx="19">
                  <c:v>23.74</c:v>
                </c:pt>
                <c:pt idx="20">
                  <c:v>22.22</c:v>
                </c:pt>
                <c:pt idx="21">
                  <c:v>19.309999999999999</c:v>
                </c:pt>
                <c:pt idx="22">
                  <c:v>16.05</c:v>
                </c:pt>
                <c:pt idx="23">
                  <c:v>13.34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A8-4E32-8D5F-A4B07AB4598D}"/>
            </c:ext>
          </c:extLst>
        </c:ser>
        <c:ser>
          <c:idx val="3"/>
          <c:order val="3"/>
          <c:tx>
            <c:strRef>
              <c:f>Despacho!$E$3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A8-4E32-8D5F-A4B07AB4598D}"/>
            </c:ext>
          </c:extLst>
        </c:ser>
        <c:ser>
          <c:idx val="4"/>
          <c:order val="4"/>
          <c:tx>
            <c:strRef>
              <c:f>Despacho!$F$3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1.46</c:v>
                </c:pt>
                <c:pt idx="15">
                  <c:v>1.69</c:v>
                </c:pt>
                <c:pt idx="16">
                  <c:v>1.49</c:v>
                </c:pt>
                <c:pt idx="17">
                  <c:v>0.92</c:v>
                </c:pt>
                <c:pt idx="18">
                  <c:v>3.01</c:v>
                </c:pt>
                <c:pt idx="19">
                  <c:v>3.77</c:v>
                </c:pt>
                <c:pt idx="20">
                  <c:v>2.71</c:v>
                </c:pt>
                <c:pt idx="21">
                  <c:v>0.68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A8-4E32-8D5F-A4B07AB4598D}"/>
            </c:ext>
          </c:extLst>
        </c:ser>
        <c:ser>
          <c:idx val="5"/>
          <c:order val="5"/>
          <c:tx>
            <c:strRef>
              <c:f>Despacho!$L$3</c:f>
              <c:strCache>
                <c:ptCount val="1"/>
                <c:pt idx="0">
                  <c:v>Demanda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Despacho!$L$4:$L$27</c:f>
              <c:numCache>
                <c:formatCode>General</c:formatCode>
                <c:ptCount val="24"/>
                <c:pt idx="0">
                  <c:v>202.18000000000004</c:v>
                </c:pt>
                <c:pt idx="1">
                  <c:v>195.81000000000003</c:v>
                </c:pt>
                <c:pt idx="2">
                  <c:v>190.99</c:v>
                </c:pt>
                <c:pt idx="3">
                  <c:v>188.9</c:v>
                </c:pt>
                <c:pt idx="4">
                  <c:v>193.58</c:v>
                </c:pt>
                <c:pt idx="5">
                  <c:v>202.37</c:v>
                </c:pt>
                <c:pt idx="6">
                  <c:v>205.22000000000003</c:v>
                </c:pt>
                <c:pt idx="7">
                  <c:v>216.63000000000002</c:v>
                </c:pt>
                <c:pt idx="8">
                  <c:v>228.01000000000002</c:v>
                </c:pt>
                <c:pt idx="9">
                  <c:v>235.73999999999998</c:v>
                </c:pt>
                <c:pt idx="10">
                  <c:v>243.78000000000003</c:v>
                </c:pt>
                <c:pt idx="11">
                  <c:v>249.85</c:v>
                </c:pt>
                <c:pt idx="12">
                  <c:v>250.32</c:v>
                </c:pt>
                <c:pt idx="13">
                  <c:v>253.95999999999998</c:v>
                </c:pt>
                <c:pt idx="14">
                  <c:v>259.40999999999997</c:v>
                </c:pt>
                <c:pt idx="15">
                  <c:v>260.76</c:v>
                </c:pt>
                <c:pt idx="16">
                  <c:v>259.59000000000003</c:v>
                </c:pt>
                <c:pt idx="17">
                  <c:v>256.34999999999997</c:v>
                </c:pt>
                <c:pt idx="18">
                  <c:v>268.28999999999996</c:v>
                </c:pt>
                <c:pt idx="19">
                  <c:v>272.63</c:v>
                </c:pt>
                <c:pt idx="20">
                  <c:v>266.57</c:v>
                </c:pt>
                <c:pt idx="21">
                  <c:v>254.97000000000003</c:v>
                </c:pt>
                <c:pt idx="22">
                  <c:v>239.36</c:v>
                </c:pt>
                <c:pt idx="23">
                  <c:v>225.52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A8-4E32-8D5F-A4B07AB45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163343"/>
        <c:axId val="277386767"/>
      </c:lineChart>
      <c:catAx>
        <c:axId val="27316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6767"/>
        <c:crosses val="autoZero"/>
        <c:auto val="1"/>
        <c:lblAlgn val="ctr"/>
        <c:lblOffset val="100"/>
        <c:noMultiLvlLbl val="0"/>
      </c:catAx>
      <c:valAx>
        <c:axId val="27738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Generación despachada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6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Flujos!$I$3</c:f>
              <c:strCache>
                <c:ptCount val="1"/>
                <c:pt idx="0">
                  <c:v>l8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Flujos!$A$4:$A$27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Flujos!$I$4:$I$27</c:f>
              <c:numCache>
                <c:formatCode>General</c:formatCode>
                <c:ptCount val="24"/>
                <c:pt idx="0">
                  <c:v>22.08</c:v>
                </c:pt>
                <c:pt idx="1">
                  <c:v>21.38</c:v>
                </c:pt>
                <c:pt idx="2">
                  <c:v>20.86</c:v>
                </c:pt>
                <c:pt idx="3">
                  <c:v>20.63</c:v>
                </c:pt>
                <c:pt idx="4">
                  <c:v>21.14</c:v>
                </c:pt>
                <c:pt idx="5">
                  <c:v>22.1</c:v>
                </c:pt>
                <c:pt idx="6">
                  <c:v>22.41</c:v>
                </c:pt>
                <c:pt idx="7">
                  <c:v>23.66</c:v>
                </c:pt>
                <c:pt idx="8">
                  <c:v>24.9</c:v>
                </c:pt>
                <c:pt idx="9">
                  <c:v>25.75</c:v>
                </c:pt>
                <c:pt idx="10">
                  <c:v>26.63</c:v>
                </c:pt>
                <c:pt idx="11">
                  <c:v>27.29</c:v>
                </c:pt>
                <c:pt idx="12">
                  <c:v>27.34</c:v>
                </c:pt>
                <c:pt idx="13">
                  <c:v>27.42</c:v>
                </c:pt>
                <c:pt idx="14">
                  <c:v>27.42</c:v>
                </c:pt>
                <c:pt idx="15">
                  <c:v>27.42</c:v>
                </c:pt>
                <c:pt idx="16">
                  <c:v>27.42</c:v>
                </c:pt>
                <c:pt idx="17">
                  <c:v>27.42</c:v>
                </c:pt>
                <c:pt idx="18">
                  <c:v>27.42</c:v>
                </c:pt>
                <c:pt idx="19">
                  <c:v>27.42</c:v>
                </c:pt>
                <c:pt idx="20">
                  <c:v>27.42</c:v>
                </c:pt>
                <c:pt idx="21">
                  <c:v>27.42</c:v>
                </c:pt>
                <c:pt idx="22">
                  <c:v>26.14</c:v>
                </c:pt>
                <c:pt idx="23">
                  <c:v>24.63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9-4145-99F8-CFC17C47D067}"/>
            </c:ext>
          </c:extLst>
        </c:ser>
        <c:ser>
          <c:idx val="1"/>
          <c:order val="1"/>
          <c:tx>
            <c:v>Capacidad L8 (MW)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Lit>
              <c:formatCode>General</c:formatCode>
              <c:ptCount val="24"/>
              <c:pt idx="0">
                <c:v>27.42</c:v>
              </c:pt>
              <c:pt idx="1">
                <c:v>27.42</c:v>
              </c:pt>
              <c:pt idx="2">
                <c:v>27.42</c:v>
              </c:pt>
              <c:pt idx="3">
                <c:v>27.42</c:v>
              </c:pt>
              <c:pt idx="4">
                <c:v>27.42</c:v>
              </c:pt>
              <c:pt idx="5">
                <c:v>27.42</c:v>
              </c:pt>
              <c:pt idx="6">
                <c:v>27.42</c:v>
              </c:pt>
              <c:pt idx="7">
                <c:v>27.42</c:v>
              </c:pt>
              <c:pt idx="8">
                <c:v>27.42</c:v>
              </c:pt>
              <c:pt idx="9">
                <c:v>27.42</c:v>
              </c:pt>
              <c:pt idx="10">
                <c:v>27.42</c:v>
              </c:pt>
              <c:pt idx="11">
                <c:v>27.42</c:v>
              </c:pt>
              <c:pt idx="12">
                <c:v>27.42</c:v>
              </c:pt>
              <c:pt idx="13">
                <c:v>27.42</c:v>
              </c:pt>
              <c:pt idx="14">
                <c:v>27.42</c:v>
              </c:pt>
              <c:pt idx="15">
                <c:v>27.42</c:v>
              </c:pt>
              <c:pt idx="16">
                <c:v>27.42</c:v>
              </c:pt>
              <c:pt idx="17">
                <c:v>27.42</c:v>
              </c:pt>
              <c:pt idx="18">
                <c:v>27.42</c:v>
              </c:pt>
              <c:pt idx="19">
                <c:v>27.42</c:v>
              </c:pt>
              <c:pt idx="20">
                <c:v>27.42</c:v>
              </c:pt>
              <c:pt idx="21">
                <c:v>27.42</c:v>
              </c:pt>
              <c:pt idx="22">
                <c:v>27.42</c:v>
              </c:pt>
              <c:pt idx="23">
                <c:v>27.42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FA9-4145-99F8-CFC17C47D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94623"/>
        <c:axId val="277426127"/>
      </c:scatterChart>
      <c:valAx>
        <c:axId val="1200794623"/>
        <c:scaling>
          <c:orientation val="minMax"/>
          <c:max val="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(h)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26127"/>
        <c:crosses val="autoZero"/>
        <c:crossBetween val="midCat"/>
        <c:majorUnit val="1"/>
      </c:valAx>
      <c:valAx>
        <c:axId val="2774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Flujo L8</a:t>
                </a:r>
                <a:r>
                  <a:rPr lang="en-US" baseline="0"/>
                  <a:t> (MW)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9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</xdr:row>
      <xdr:rowOff>0</xdr:rowOff>
    </xdr:from>
    <xdr:to>
      <xdr:col>30</xdr:col>
      <xdr:colOff>361950</xdr:colOff>
      <xdr:row>30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CB996-85C7-4820-A6A4-5EA3F5D86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0</xdr:rowOff>
    </xdr:from>
    <xdr:to>
      <xdr:col>7</xdr:col>
      <xdr:colOff>66675</xdr:colOff>
      <xdr:row>48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53A631-44D1-4038-AC60-C7651A588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cargas\resultados_caso_IEEE14_E0_24h_20260808_193835.xlsx" TargetMode="External"/><Relationship Id="rId1" Type="http://schemas.openxmlformats.org/officeDocument/2006/relationships/externalLinkPath" Target="file:///D:\Descargas\resultados_caso_IEEE14_E0_24h_20260808_1938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espacho"/>
      <sheetName val="Flujos"/>
      <sheetName val="Perdidas"/>
      <sheetName val="Angulos"/>
      <sheetName val="Inversiones"/>
    </sheetNames>
    <sheetDataSet>
      <sheetData sheetId="0" refreshError="1"/>
      <sheetData sheetId="1">
        <row r="3">
          <cell r="B3" t="str">
            <v>G1</v>
          </cell>
          <cell r="C3" t="str">
            <v>G2</v>
          </cell>
          <cell r="D3" t="str">
            <v>G3</v>
          </cell>
          <cell r="E3" t="str">
            <v>G4</v>
          </cell>
          <cell r="F3" t="str">
            <v>G5</v>
          </cell>
          <cell r="G3" t="str">
            <v>Demanda Total</v>
          </cell>
        </row>
        <row r="4">
          <cell r="A4">
            <v>1</v>
          </cell>
          <cell r="B4">
            <v>146.74</v>
          </cell>
          <cell r="C4">
            <v>46.67</v>
          </cell>
          <cell r="D4">
            <v>8.77</v>
          </cell>
          <cell r="E4">
            <v>0</v>
          </cell>
          <cell r="F4">
            <v>0</v>
          </cell>
          <cell r="G4">
            <v>202.18000000000004</v>
          </cell>
        </row>
        <row r="5">
          <cell r="A5">
            <v>2</v>
          </cell>
          <cell r="B5">
            <v>141.62</v>
          </cell>
          <cell r="C5">
            <v>46.67</v>
          </cell>
          <cell r="D5">
            <v>7.52</v>
          </cell>
          <cell r="E5">
            <v>0</v>
          </cell>
          <cell r="F5">
            <v>0</v>
          </cell>
          <cell r="G5">
            <v>195.81000000000003</v>
          </cell>
        </row>
        <row r="6">
          <cell r="A6">
            <v>3</v>
          </cell>
          <cell r="B6">
            <v>137.75</v>
          </cell>
          <cell r="C6">
            <v>46.67</v>
          </cell>
          <cell r="D6">
            <v>6.57</v>
          </cell>
          <cell r="E6">
            <v>0</v>
          </cell>
          <cell r="F6">
            <v>0</v>
          </cell>
          <cell r="G6">
            <v>190.99</v>
          </cell>
        </row>
        <row r="7">
          <cell r="A7">
            <v>4</v>
          </cell>
          <cell r="B7">
            <v>136.07</v>
          </cell>
          <cell r="C7">
            <v>46.67</v>
          </cell>
          <cell r="D7">
            <v>6.16</v>
          </cell>
          <cell r="E7">
            <v>0</v>
          </cell>
          <cell r="F7">
            <v>0</v>
          </cell>
          <cell r="G7">
            <v>188.9</v>
          </cell>
        </row>
        <row r="8">
          <cell r="A8">
            <v>5</v>
          </cell>
          <cell r="B8">
            <v>139.83000000000001</v>
          </cell>
          <cell r="C8">
            <v>46.67</v>
          </cell>
          <cell r="D8">
            <v>7.08</v>
          </cell>
          <cell r="E8">
            <v>0</v>
          </cell>
          <cell r="F8">
            <v>0</v>
          </cell>
          <cell r="G8">
            <v>193.58</v>
          </cell>
        </row>
        <row r="9">
          <cell r="A9">
            <v>6</v>
          </cell>
          <cell r="B9">
            <v>146.9</v>
          </cell>
          <cell r="C9">
            <v>46.67</v>
          </cell>
          <cell r="D9">
            <v>8.8000000000000007</v>
          </cell>
          <cell r="E9">
            <v>0</v>
          </cell>
          <cell r="F9">
            <v>0</v>
          </cell>
          <cell r="G9">
            <v>202.37</v>
          </cell>
        </row>
        <row r="10">
          <cell r="A10">
            <v>7</v>
          </cell>
          <cell r="B10">
            <v>149.19</v>
          </cell>
          <cell r="C10">
            <v>46.67</v>
          </cell>
          <cell r="D10">
            <v>9.36</v>
          </cell>
          <cell r="E10">
            <v>0</v>
          </cell>
          <cell r="F10">
            <v>0</v>
          </cell>
          <cell r="G10">
            <v>205.22000000000003</v>
          </cell>
        </row>
        <row r="11">
          <cell r="A11">
            <v>8</v>
          </cell>
          <cell r="B11">
            <v>158.36000000000001</v>
          </cell>
          <cell r="C11">
            <v>46.67</v>
          </cell>
          <cell r="D11">
            <v>11.6</v>
          </cell>
          <cell r="E11">
            <v>0</v>
          </cell>
          <cell r="F11">
            <v>0</v>
          </cell>
          <cell r="G11">
            <v>216.63000000000002</v>
          </cell>
        </row>
        <row r="12">
          <cell r="A12">
            <v>9</v>
          </cell>
          <cell r="B12">
            <v>167.51</v>
          </cell>
          <cell r="C12">
            <v>46.67</v>
          </cell>
          <cell r="D12">
            <v>13.83</v>
          </cell>
          <cell r="E12">
            <v>0</v>
          </cell>
          <cell r="F12">
            <v>0</v>
          </cell>
          <cell r="G12">
            <v>228.01000000000002</v>
          </cell>
        </row>
        <row r="13">
          <cell r="A13">
            <v>10</v>
          </cell>
          <cell r="B13">
            <v>173.73</v>
          </cell>
          <cell r="C13">
            <v>46.67</v>
          </cell>
          <cell r="D13">
            <v>15.34</v>
          </cell>
          <cell r="E13">
            <v>0</v>
          </cell>
          <cell r="F13">
            <v>0</v>
          </cell>
          <cell r="G13">
            <v>235.73999999999998</v>
          </cell>
        </row>
        <row r="14">
          <cell r="A14">
            <v>11</v>
          </cell>
          <cell r="B14">
            <v>180.19</v>
          </cell>
          <cell r="C14">
            <v>46.67</v>
          </cell>
          <cell r="D14">
            <v>16.920000000000002</v>
          </cell>
          <cell r="E14">
            <v>0</v>
          </cell>
          <cell r="F14">
            <v>0</v>
          </cell>
          <cell r="G14">
            <v>243.78000000000003</v>
          </cell>
        </row>
        <row r="15">
          <cell r="A15">
            <v>12</v>
          </cell>
          <cell r="B15">
            <v>185.08</v>
          </cell>
          <cell r="C15">
            <v>46.67</v>
          </cell>
          <cell r="D15">
            <v>18.100000000000001</v>
          </cell>
          <cell r="E15">
            <v>0</v>
          </cell>
          <cell r="F15">
            <v>0</v>
          </cell>
          <cell r="G15">
            <v>249.85</v>
          </cell>
        </row>
        <row r="16">
          <cell r="A16">
            <v>13</v>
          </cell>
          <cell r="B16">
            <v>185.46</v>
          </cell>
          <cell r="C16">
            <v>46.67</v>
          </cell>
          <cell r="D16">
            <v>18.190000000000001</v>
          </cell>
          <cell r="E16">
            <v>0</v>
          </cell>
          <cell r="F16">
            <v>0</v>
          </cell>
          <cell r="G16">
            <v>250.32</v>
          </cell>
        </row>
        <row r="17">
          <cell r="A17">
            <v>14</v>
          </cell>
          <cell r="B17">
            <v>187.73</v>
          </cell>
          <cell r="C17">
            <v>46.67</v>
          </cell>
          <cell r="D17">
            <v>19.059999999999999</v>
          </cell>
          <cell r="E17">
            <v>0</v>
          </cell>
          <cell r="F17">
            <v>0.5</v>
          </cell>
          <cell r="G17">
            <v>253.95999999999998</v>
          </cell>
        </row>
        <row r="18">
          <cell r="A18">
            <v>15</v>
          </cell>
          <cell r="B18">
            <v>190.85</v>
          </cell>
          <cell r="C18">
            <v>46.67</v>
          </cell>
          <cell r="D18">
            <v>20.43</v>
          </cell>
          <cell r="E18">
            <v>0</v>
          </cell>
          <cell r="F18">
            <v>1.46</v>
          </cell>
          <cell r="G18">
            <v>259.40999999999997</v>
          </cell>
        </row>
        <row r="19">
          <cell r="A19">
            <v>16</v>
          </cell>
          <cell r="B19">
            <v>191.63</v>
          </cell>
          <cell r="C19">
            <v>46.67</v>
          </cell>
          <cell r="D19">
            <v>20.77</v>
          </cell>
          <cell r="E19">
            <v>0</v>
          </cell>
          <cell r="F19">
            <v>1.69</v>
          </cell>
          <cell r="G19">
            <v>260.76</v>
          </cell>
        </row>
        <row r="20">
          <cell r="A20">
            <v>17</v>
          </cell>
          <cell r="B20">
            <v>190.96</v>
          </cell>
          <cell r="C20">
            <v>46.67</v>
          </cell>
          <cell r="D20">
            <v>20.47</v>
          </cell>
          <cell r="E20">
            <v>0</v>
          </cell>
          <cell r="F20">
            <v>1.49</v>
          </cell>
          <cell r="G20">
            <v>259.59000000000003</v>
          </cell>
        </row>
        <row r="21">
          <cell r="A21">
            <v>18</v>
          </cell>
          <cell r="B21">
            <v>189.1</v>
          </cell>
          <cell r="C21">
            <v>46.67</v>
          </cell>
          <cell r="D21">
            <v>19.66</v>
          </cell>
          <cell r="E21">
            <v>0</v>
          </cell>
          <cell r="F21">
            <v>0.92</v>
          </cell>
          <cell r="G21">
            <v>256.34999999999997</v>
          </cell>
        </row>
        <row r="22">
          <cell r="A22">
            <v>19</v>
          </cell>
          <cell r="B22">
            <v>195.96</v>
          </cell>
          <cell r="C22">
            <v>46.67</v>
          </cell>
          <cell r="D22">
            <v>22.65</v>
          </cell>
          <cell r="E22">
            <v>0</v>
          </cell>
          <cell r="F22">
            <v>3.01</v>
          </cell>
          <cell r="G22">
            <v>268.28999999999996</v>
          </cell>
        </row>
        <row r="23">
          <cell r="A23">
            <v>20</v>
          </cell>
          <cell r="B23">
            <v>198.45</v>
          </cell>
          <cell r="C23">
            <v>46.67</v>
          </cell>
          <cell r="D23">
            <v>23.74</v>
          </cell>
          <cell r="E23">
            <v>0</v>
          </cell>
          <cell r="F23">
            <v>3.77</v>
          </cell>
          <cell r="G23">
            <v>272.63</v>
          </cell>
        </row>
        <row r="24">
          <cell r="A24">
            <v>21</v>
          </cell>
          <cell r="B24">
            <v>194.97</v>
          </cell>
          <cell r="C24">
            <v>46.67</v>
          </cell>
          <cell r="D24">
            <v>22.22</v>
          </cell>
          <cell r="E24">
            <v>0</v>
          </cell>
          <cell r="F24">
            <v>2.71</v>
          </cell>
          <cell r="G24">
            <v>266.57</v>
          </cell>
        </row>
        <row r="25">
          <cell r="A25">
            <v>22</v>
          </cell>
          <cell r="B25">
            <v>188.31</v>
          </cell>
          <cell r="C25">
            <v>46.67</v>
          </cell>
          <cell r="D25">
            <v>19.309999999999999</v>
          </cell>
          <cell r="E25">
            <v>0</v>
          </cell>
          <cell r="F25">
            <v>0.68</v>
          </cell>
          <cell r="G25">
            <v>254.97000000000003</v>
          </cell>
        </row>
        <row r="26">
          <cell r="A26">
            <v>23</v>
          </cell>
          <cell r="B26">
            <v>176.64</v>
          </cell>
          <cell r="C26">
            <v>46.67</v>
          </cell>
          <cell r="D26">
            <v>16.05</v>
          </cell>
          <cell r="E26">
            <v>0</v>
          </cell>
          <cell r="F26">
            <v>0</v>
          </cell>
          <cell r="G26">
            <v>239.36</v>
          </cell>
        </row>
        <row r="27">
          <cell r="A27">
            <v>24</v>
          </cell>
          <cell r="B27">
            <v>165.51</v>
          </cell>
          <cell r="C27">
            <v>46.67</v>
          </cell>
          <cell r="D27">
            <v>13.34</v>
          </cell>
          <cell r="E27">
            <v>0</v>
          </cell>
          <cell r="F27">
            <v>0</v>
          </cell>
          <cell r="G27">
            <v>225.52</v>
          </cell>
        </row>
      </sheetData>
      <sheetData sheetId="2">
        <row r="3">
          <cell r="I3" t="str">
            <v>l8</v>
          </cell>
        </row>
        <row r="4">
          <cell r="A4">
            <v>1</v>
          </cell>
          <cell r="I4">
            <v>22.08</v>
          </cell>
        </row>
        <row r="5">
          <cell r="A5">
            <v>2</v>
          </cell>
          <cell r="I5">
            <v>21.38</v>
          </cell>
        </row>
        <row r="6">
          <cell r="A6">
            <v>3</v>
          </cell>
          <cell r="I6">
            <v>20.86</v>
          </cell>
        </row>
        <row r="7">
          <cell r="A7">
            <v>4</v>
          </cell>
          <cell r="I7">
            <v>20.63</v>
          </cell>
        </row>
        <row r="8">
          <cell r="A8">
            <v>5</v>
          </cell>
          <cell r="I8">
            <v>21.14</v>
          </cell>
        </row>
        <row r="9">
          <cell r="A9">
            <v>6</v>
          </cell>
          <cell r="I9">
            <v>22.1</v>
          </cell>
        </row>
        <row r="10">
          <cell r="A10">
            <v>7</v>
          </cell>
          <cell r="I10">
            <v>22.41</v>
          </cell>
        </row>
        <row r="11">
          <cell r="A11">
            <v>8</v>
          </cell>
          <cell r="I11">
            <v>23.66</v>
          </cell>
        </row>
        <row r="12">
          <cell r="A12">
            <v>9</v>
          </cell>
          <cell r="I12">
            <v>24.9</v>
          </cell>
        </row>
        <row r="13">
          <cell r="A13">
            <v>10</v>
          </cell>
          <cell r="I13">
            <v>25.75</v>
          </cell>
        </row>
        <row r="14">
          <cell r="A14">
            <v>11</v>
          </cell>
          <cell r="I14">
            <v>26.63</v>
          </cell>
        </row>
        <row r="15">
          <cell r="A15">
            <v>12</v>
          </cell>
          <cell r="I15">
            <v>27.29</v>
          </cell>
        </row>
        <row r="16">
          <cell r="A16">
            <v>13</v>
          </cell>
          <cell r="I16">
            <v>27.34</v>
          </cell>
        </row>
        <row r="17">
          <cell r="A17">
            <v>14</v>
          </cell>
          <cell r="I17">
            <v>27.42</v>
          </cell>
        </row>
        <row r="18">
          <cell r="A18">
            <v>15</v>
          </cell>
          <cell r="I18">
            <v>27.42</v>
          </cell>
        </row>
        <row r="19">
          <cell r="A19">
            <v>16</v>
          </cell>
          <cell r="I19">
            <v>27.42</v>
          </cell>
        </row>
        <row r="20">
          <cell r="A20">
            <v>17</v>
          </cell>
          <cell r="I20">
            <v>27.42</v>
          </cell>
        </row>
        <row r="21">
          <cell r="A21">
            <v>18</v>
          </cell>
          <cell r="I21">
            <v>27.42</v>
          </cell>
        </row>
        <row r="22">
          <cell r="A22">
            <v>19</v>
          </cell>
          <cell r="I22">
            <v>27.42</v>
          </cell>
        </row>
        <row r="23">
          <cell r="A23">
            <v>20</v>
          </cell>
          <cell r="I23">
            <v>27.42</v>
          </cell>
        </row>
        <row r="24">
          <cell r="A24">
            <v>21</v>
          </cell>
          <cell r="I24">
            <v>27.42</v>
          </cell>
        </row>
        <row r="25">
          <cell r="A25">
            <v>22</v>
          </cell>
          <cell r="I25">
            <v>27.42</v>
          </cell>
        </row>
        <row r="26">
          <cell r="A26">
            <v>23</v>
          </cell>
          <cell r="I26">
            <v>26.14</v>
          </cell>
        </row>
        <row r="27">
          <cell r="A27">
            <v>24</v>
          </cell>
          <cell r="I27">
            <v>24.63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G30" sqref="G30"/>
    </sheetView>
  </sheetViews>
  <sheetFormatPr defaultRowHeight="15" x14ac:dyDescent="0.25"/>
  <cols>
    <col min="1" max="1" width="30.140625" bestFit="1" customWidth="1"/>
    <col min="2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167003.1</v>
      </c>
    </row>
    <row r="5" spans="1:2" x14ac:dyDescent="0.25">
      <c r="A5" t="s">
        <v>4</v>
      </c>
      <c r="B5">
        <v>5620.7</v>
      </c>
    </row>
    <row r="6" spans="1:2" x14ac:dyDescent="0.25">
      <c r="A6" t="s">
        <v>5</v>
      </c>
      <c r="B6">
        <v>278.94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38.1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workbookViewId="0">
      <selection activeCell="L3" sqref="L3:Q28"/>
    </sheetView>
  </sheetViews>
  <sheetFormatPr defaultRowHeight="15" x14ac:dyDescent="0.25"/>
  <cols>
    <col min="1" max="11" width="14" customWidth="1"/>
    <col min="12" max="12" width="14.42578125" bestFit="1" customWidth="1"/>
    <col min="13" max="13" width="13.140625" bestFit="1" customWidth="1"/>
    <col min="14" max="15" width="12" bestFit="1" customWidth="1"/>
    <col min="16" max="16" width="6.5703125" bestFit="1" customWidth="1"/>
    <col min="17" max="17" width="9.42578125" bestFit="1" customWidth="1"/>
  </cols>
  <sheetData>
    <row r="1" spans="1:17" ht="17.25" x14ac:dyDescent="0.3">
      <c r="A1" s="1" t="s">
        <v>14</v>
      </c>
    </row>
    <row r="3" spans="1:17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70</v>
      </c>
    </row>
    <row r="4" spans="1:17" x14ac:dyDescent="0.25">
      <c r="A4">
        <v>1</v>
      </c>
      <c r="B4">
        <v>146.74</v>
      </c>
      <c r="C4">
        <v>46.67</v>
      </c>
      <c r="D4">
        <v>8.77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 s="4">
        <f>SUM(B4:F4)</f>
        <v>202.18000000000004</v>
      </c>
      <c r="M4" s="5">
        <f>(0.043029*B4^2+B4*20+B4*0)</f>
        <v>3861.3274330004006</v>
      </c>
      <c r="N4" s="5">
        <f>(0.25*C4^2+C4*20+C4*0)</f>
        <v>1477.9222250000003</v>
      </c>
      <c r="O4" s="5">
        <f>(0.01*D4^2+D4*40+D4*0)</f>
        <v>351.56912899999998</v>
      </c>
      <c r="P4" s="5">
        <f>(0.01*E4^2+E4*40+E4*0)</f>
        <v>0</v>
      </c>
      <c r="Q4" s="5">
        <f>(0.01*F4^2+F4*40+F4*0)</f>
        <v>0</v>
      </c>
    </row>
    <row r="5" spans="1:17" x14ac:dyDescent="0.25">
      <c r="A5">
        <v>2</v>
      </c>
      <c r="B5">
        <v>141.62</v>
      </c>
      <c r="C5">
        <v>46.67</v>
      </c>
      <c r="D5">
        <v>7.52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 s="4">
        <f t="shared" ref="L5:L27" si="0">SUM(B5:F5)</f>
        <v>195.81000000000003</v>
      </c>
      <c r="M5" s="5">
        <f t="shared" ref="M5:M27" si="1">(0.043029*B5^2+B5*20+B5*0)</f>
        <v>3695.3992797076003</v>
      </c>
      <c r="N5" s="5">
        <f t="shared" ref="N5:N27" si="2">(0.25*C5^2+C5*20+C5*0)</f>
        <v>1477.9222250000003</v>
      </c>
      <c r="O5" s="5">
        <f t="shared" ref="O5:O27" si="3">(0.01*D5^2+D5*40+D5*0)</f>
        <v>301.36550399999993</v>
      </c>
      <c r="P5" s="5">
        <f t="shared" ref="P5:P27" si="4">(0.01*E5^2+E5*40+E5*0)</f>
        <v>0</v>
      </c>
      <c r="Q5" s="5">
        <f t="shared" ref="Q5:Q27" si="5">(0.01*F5^2+F5*40+F5*0)</f>
        <v>0</v>
      </c>
    </row>
    <row r="6" spans="1:17" x14ac:dyDescent="0.25">
      <c r="A6">
        <v>3</v>
      </c>
      <c r="B6">
        <v>137.75</v>
      </c>
      <c r="C6">
        <v>46.67</v>
      </c>
      <c r="D6">
        <v>6.57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 s="4">
        <f t="shared" si="0"/>
        <v>190.99</v>
      </c>
      <c r="M6" s="5">
        <f t="shared" si="1"/>
        <v>3571.4779643124998</v>
      </c>
      <c r="N6" s="5">
        <f t="shared" si="2"/>
        <v>1477.9222250000003</v>
      </c>
      <c r="O6" s="5">
        <f t="shared" si="3"/>
        <v>263.231649</v>
      </c>
      <c r="P6" s="5">
        <f t="shared" si="4"/>
        <v>0</v>
      </c>
      <c r="Q6" s="5">
        <f t="shared" si="5"/>
        <v>0</v>
      </c>
    </row>
    <row r="7" spans="1:17" x14ac:dyDescent="0.25">
      <c r="A7">
        <v>4</v>
      </c>
      <c r="B7">
        <v>136.07</v>
      </c>
      <c r="C7">
        <v>46.67</v>
      </c>
      <c r="D7">
        <v>6.16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 s="4">
        <f t="shared" si="0"/>
        <v>188.9</v>
      </c>
      <c r="M7" s="5">
        <f t="shared" si="1"/>
        <v>3518.0838670020994</v>
      </c>
      <c r="N7" s="5">
        <f t="shared" si="2"/>
        <v>1477.9222250000003</v>
      </c>
      <c r="O7" s="5">
        <f t="shared" si="3"/>
        <v>246.77945600000001</v>
      </c>
      <c r="P7" s="5">
        <f t="shared" si="4"/>
        <v>0</v>
      </c>
      <c r="Q7" s="5">
        <f t="shared" si="5"/>
        <v>0</v>
      </c>
    </row>
    <row r="8" spans="1:17" x14ac:dyDescent="0.25">
      <c r="A8">
        <v>5</v>
      </c>
      <c r="B8">
        <v>139.83000000000001</v>
      </c>
      <c r="C8">
        <v>46.67</v>
      </c>
      <c r="D8">
        <v>7.08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 s="4">
        <f t="shared" si="0"/>
        <v>193.58</v>
      </c>
      <c r="M8" s="5">
        <f t="shared" si="1"/>
        <v>3637.9214631381005</v>
      </c>
      <c r="N8" s="5">
        <f t="shared" si="2"/>
        <v>1477.9222250000003</v>
      </c>
      <c r="O8" s="5">
        <f t="shared" si="3"/>
        <v>283.70126399999998</v>
      </c>
      <c r="P8" s="5">
        <f t="shared" si="4"/>
        <v>0</v>
      </c>
      <c r="Q8" s="5">
        <f t="shared" si="5"/>
        <v>0</v>
      </c>
    </row>
    <row r="9" spans="1:17" x14ac:dyDescent="0.25">
      <c r="A9">
        <v>6</v>
      </c>
      <c r="B9">
        <v>146.9</v>
      </c>
      <c r="C9">
        <v>46.67</v>
      </c>
      <c r="D9">
        <v>8.8000000000000007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 s="4">
        <f t="shared" si="0"/>
        <v>202.37</v>
      </c>
      <c r="M9" s="5">
        <f t="shared" si="1"/>
        <v>3866.5490386900001</v>
      </c>
      <c r="N9" s="5">
        <f t="shared" si="2"/>
        <v>1477.9222250000003</v>
      </c>
      <c r="O9" s="5">
        <f t="shared" si="3"/>
        <v>352.77440000000001</v>
      </c>
      <c r="P9" s="5">
        <f t="shared" si="4"/>
        <v>0</v>
      </c>
      <c r="Q9" s="5">
        <f t="shared" si="5"/>
        <v>0</v>
      </c>
    </row>
    <row r="10" spans="1:17" x14ac:dyDescent="0.25">
      <c r="A10">
        <v>7</v>
      </c>
      <c r="B10">
        <v>149.19</v>
      </c>
      <c r="C10">
        <v>46.67</v>
      </c>
      <c r="D10">
        <v>9.36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 s="4">
        <f t="shared" si="0"/>
        <v>205.22000000000003</v>
      </c>
      <c r="M10" s="5">
        <f t="shared" si="1"/>
        <v>3941.5246843269001</v>
      </c>
      <c r="N10" s="5">
        <f t="shared" si="2"/>
        <v>1477.9222250000003</v>
      </c>
      <c r="O10" s="5">
        <f t="shared" si="3"/>
        <v>375.276096</v>
      </c>
      <c r="P10" s="5">
        <f t="shared" si="4"/>
        <v>0</v>
      </c>
      <c r="Q10" s="5">
        <f t="shared" si="5"/>
        <v>0</v>
      </c>
    </row>
    <row r="11" spans="1:17" x14ac:dyDescent="0.25">
      <c r="A11">
        <v>8</v>
      </c>
      <c r="B11">
        <v>158.36000000000001</v>
      </c>
      <c r="C11">
        <v>46.67</v>
      </c>
      <c r="D11">
        <v>11.6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 s="4">
        <f t="shared" si="0"/>
        <v>216.63000000000002</v>
      </c>
      <c r="M11" s="5">
        <f t="shared" si="1"/>
        <v>4246.2765115984002</v>
      </c>
      <c r="N11" s="5">
        <f t="shared" si="2"/>
        <v>1477.9222250000003</v>
      </c>
      <c r="O11" s="5">
        <f t="shared" si="3"/>
        <v>465.34559999999999</v>
      </c>
      <c r="P11" s="5">
        <f t="shared" si="4"/>
        <v>0</v>
      </c>
      <c r="Q11" s="5">
        <f t="shared" si="5"/>
        <v>0</v>
      </c>
    </row>
    <row r="12" spans="1:17" x14ac:dyDescent="0.25">
      <c r="A12">
        <v>9</v>
      </c>
      <c r="B12">
        <v>167.51</v>
      </c>
      <c r="C12">
        <v>46.67</v>
      </c>
      <c r="D12">
        <v>13.83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 s="4">
        <f t="shared" si="0"/>
        <v>228.01000000000002</v>
      </c>
      <c r="M12" s="5">
        <f t="shared" si="1"/>
        <v>4557.5765327028994</v>
      </c>
      <c r="N12" s="5">
        <f t="shared" si="2"/>
        <v>1477.9222250000003</v>
      </c>
      <c r="O12" s="5">
        <f t="shared" si="3"/>
        <v>555.11268900000005</v>
      </c>
      <c r="P12" s="5">
        <f t="shared" si="4"/>
        <v>0</v>
      </c>
      <c r="Q12" s="5">
        <f t="shared" si="5"/>
        <v>0</v>
      </c>
    </row>
    <row r="13" spans="1:17" x14ac:dyDescent="0.25">
      <c r="A13">
        <v>10</v>
      </c>
      <c r="B13">
        <v>173.73</v>
      </c>
      <c r="C13">
        <v>46.67</v>
      </c>
      <c r="D13">
        <v>15.34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 s="4">
        <f t="shared" si="0"/>
        <v>235.73999999999998</v>
      </c>
      <c r="M13" s="5">
        <f t="shared" si="1"/>
        <v>4773.3061359740996</v>
      </c>
      <c r="N13" s="5">
        <f t="shared" si="2"/>
        <v>1477.9222250000003</v>
      </c>
      <c r="O13" s="5">
        <f t="shared" si="3"/>
        <v>615.95315600000004</v>
      </c>
      <c r="P13" s="5">
        <f t="shared" si="4"/>
        <v>0</v>
      </c>
      <c r="Q13" s="5">
        <f t="shared" si="5"/>
        <v>0</v>
      </c>
    </row>
    <row r="14" spans="1:17" x14ac:dyDescent="0.25">
      <c r="A14">
        <v>11</v>
      </c>
      <c r="B14">
        <v>180.19</v>
      </c>
      <c r="C14">
        <v>46.67</v>
      </c>
      <c r="D14">
        <v>16.920000000000002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 s="4">
        <f t="shared" si="0"/>
        <v>243.78000000000003</v>
      </c>
      <c r="M14" s="5">
        <f t="shared" si="1"/>
        <v>5000.8843369468996</v>
      </c>
      <c r="N14" s="5">
        <f t="shared" si="2"/>
        <v>1477.9222250000003</v>
      </c>
      <c r="O14" s="5">
        <f t="shared" si="3"/>
        <v>679.66286400000001</v>
      </c>
      <c r="P14" s="5">
        <f t="shared" si="4"/>
        <v>0</v>
      </c>
      <c r="Q14" s="5">
        <f t="shared" si="5"/>
        <v>0</v>
      </c>
    </row>
    <row r="15" spans="1:17" x14ac:dyDescent="0.25">
      <c r="A15">
        <v>12</v>
      </c>
      <c r="B15">
        <v>185.08</v>
      </c>
      <c r="C15">
        <v>46.67</v>
      </c>
      <c r="D15">
        <v>18.100000000000001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 s="4">
        <f t="shared" si="0"/>
        <v>249.85</v>
      </c>
      <c r="M15" s="5">
        <f t="shared" si="1"/>
        <v>5175.5414587856003</v>
      </c>
      <c r="N15" s="5">
        <f t="shared" si="2"/>
        <v>1477.9222250000003</v>
      </c>
      <c r="O15" s="5">
        <f t="shared" si="3"/>
        <v>727.27610000000004</v>
      </c>
      <c r="P15" s="5">
        <f t="shared" si="4"/>
        <v>0</v>
      </c>
      <c r="Q15" s="5">
        <f t="shared" si="5"/>
        <v>0</v>
      </c>
    </row>
    <row r="16" spans="1:17" x14ac:dyDescent="0.25">
      <c r="A16">
        <v>13</v>
      </c>
      <c r="B16">
        <v>185.46</v>
      </c>
      <c r="C16">
        <v>46.67</v>
      </c>
      <c r="D16">
        <v>18.190000000000001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 s="4">
        <f t="shared" si="0"/>
        <v>250.32</v>
      </c>
      <c r="M16" s="5">
        <f t="shared" si="1"/>
        <v>5189.2001657363999</v>
      </c>
      <c r="N16" s="5">
        <f t="shared" si="2"/>
        <v>1477.9222250000003</v>
      </c>
      <c r="O16" s="5">
        <f t="shared" si="3"/>
        <v>730.90876100000003</v>
      </c>
      <c r="P16" s="5">
        <f t="shared" si="4"/>
        <v>0</v>
      </c>
      <c r="Q16" s="5">
        <f t="shared" si="5"/>
        <v>0</v>
      </c>
    </row>
    <row r="17" spans="1:17" x14ac:dyDescent="0.25">
      <c r="A17">
        <v>14</v>
      </c>
      <c r="B17">
        <v>187.73</v>
      </c>
      <c r="C17">
        <v>46.67</v>
      </c>
      <c r="D17">
        <v>19.059999999999999</v>
      </c>
      <c r="E17">
        <v>0</v>
      </c>
      <c r="F17">
        <v>0.5</v>
      </c>
      <c r="G17">
        <v>1</v>
      </c>
      <c r="H17">
        <v>1</v>
      </c>
      <c r="I17">
        <v>1</v>
      </c>
      <c r="J17">
        <v>0</v>
      </c>
      <c r="K17">
        <v>1</v>
      </c>
      <c r="L17" s="4">
        <f t="shared" si="0"/>
        <v>253.95999999999998</v>
      </c>
      <c r="M17" s="5">
        <f t="shared" si="1"/>
        <v>5271.0518087340997</v>
      </c>
      <c r="N17" s="5">
        <f t="shared" si="2"/>
        <v>1477.9222250000003</v>
      </c>
      <c r="O17" s="5">
        <f t="shared" si="3"/>
        <v>766.03283599999997</v>
      </c>
      <c r="P17" s="5">
        <f t="shared" si="4"/>
        <v>0</v>
      </c>
      <c r="Q17" s="5">
        <f t="shared" si="5"/>
        <v>20.002500000000001</v>
      </c>
    </row>
    <row r="18" spans="1:17" x14ac:dyDescent="0.25">
      <c r="A18">
        <v>15</v>
      </c>
      <c r="B18">
        <v>190.85</v>
      </c>
      <c r="C18">
        <v>46.67</v>
      </c>
      <c r="D18">
        <v>20.43</v>
      </c>
      <c r="E18">
        <v>0</v>
      </c>
      <c r="F18">
        <v>1.46</v>
      </c>
      <c r="G18">
        <v>1</v>
      </c>
      <c r="H18">
        <v>1</v>
      </c>
      <c r="I18">
        <v>1</v>
      </c>
      <c r="J18">
        <v>0</v>
      </c>
      <c r="K18">
        <v>1</v>
      </c>
      <c r="L18" s="4">
        <f t="shared" si="0"/>
        <v>259.40999999999997</v>
      </c>
      <c r="M18" s="5">
        <f t="shared" si="1"/>
        <v>5384.2763554525</v>
      </c>
      <c r="N18" s="5">
        <f t="shared" si="2"/>
        <v>1477.9222250000003</v>
      </c>
      <c r="O18" s="5">
        <f t="shared" si="3"/>
        <v>821.37384900000006</v>
      </c>
      <c r="P18" s="5">
        <f t="shared" si="4"/>
        <v>0</v>
      </c>
      <c r="Q18" s="5">
        <f t="shared" si="5"/>
        <v>58.421315999999997</v>
      </c>
    </row>
    <row r="19" spans="1:17" x14ac:dyDescent="0.25">
      <c r="A19">
        <v>16</v>
      </c>
      <c r="B19">
        <v>191.63</v>
      </c>
      <c r="C19">
        <v>46.67</v>
      </c>
      <c r="D19">
        <v>20.77</v>
      </c>
      <c r="E19">
        <v>0</v>
      </c>
      <c r="F19">
        <v>1.69</v>
      </c>
      <c r="G19">
        <v>1</v>
      </c>
      <c r="H19">
        <v>1</v>
      </c>
      <c r="I19">
        <v>1</v>
      </c>
      <c r="J19">
        <v>0</v>
      </c>
      <c r="K19">
        <v>1</v>
      </c>
      <c r="L19" s="4">
        <f t="shared" si="0"/>
        <v>260.76</v>
      </c>
      <c r="M19" s="5">
        <f t="shared" si="1"/>
        <v>5412.7133863500994</v>
      </c>
      <c r="N19" s="5">
        <f t="shared" si="2"/>
        <v>1477.9222250000003</v>
      </c>
      <c r="O19" s="5">
        <f t="shared" si="3"/>
        <v>835.11392899999998</v>
      </c>
      <c r="P19" s="5">
        <f t="shared" si="4"/>
        <v>0</v>
      </c>
      <c r="Q19" s="5">
        <f t="shared" si="5"/>
        <v>67.628560999999991</v>
      </c>
    </row>
    <row r="20" spans="1:17" x14ac:dyDescent="0.25">
      <c r="A20">
        <v>17</v>
      </c>
      <c r="B20">
        <v>190.96</v>
      </c>
      <c r="C20">
        <v>46.67</v>
      </c>
      <c r="D20">
        <v>20.47</v>
      </c>
      <c r="E20">
        <v>0</v>
      </c>
      <c r="F20">
        <v>1.49</v>
      </c>
      <c r="G20">
        <v>1</v>
      </c>
      <c r="H20">
        <v>1</v>
      </c>
      <c r="I20">
        <v>1</v>
      </c>
      <c r="J20">
        <v>0</v>
      </c>
      <c r="K20">
        <v>1</v>
      </c>
      <c r="L20" s="4">
        <f t="shared" si="0"/>
        <v>259.59000000000003</v>
      </c>
      <c r="M20" s="5">
        <f t="shared" si="1"/>
        <v>5388.2835347264008</v>
      </c>
      <c r="N20" s="5">
        <f t="shared" si="2"/>
        <v>1477.9222250000003</v>
      </c>
      <c r="O20" s="5">
        <f t="shared" si="3"/>
        <v>822.99020899999994</v>
      </c>
      <c r="P20" s="5">
        <f t="shared" si="4"/>
        <v>0</v>
      </c>
      <c r="Q20" s="5">
        <f t="shared" si="5"/>
        <v>59.622201000000004</v>
      </c>
    </row>
    <row r="21" spans="1:17" x14ac:dyDescent="0.25">
      <c r="A21">
        <v>18</v>
      </c>
      <c r="B21">
        <v>189.1</v>
      </c>
      <c r="C21">
        <v>46.67</v>
      </c>
      <c r="D21">
        <v>19.66</v>
      </c>
      <c r="E21">
        <v>0</v>
      </c>
      <c r="F21">
        <v>0.92</v>
      </c>
      <c r="G21">
        <v>1</v>
      </c>
      <c r="H21">
        <v>1</v>
      </c>
      <c r="I21">
        <v>1</v>
      </c>
      <c r="J21">
        <v>0</v>
      </c>
      <c r="K21">
        <v>1</v>
      </c>
      <c r="L21" s="4">
        <f t="shared" si="0"/>
        <v>256.34999999999997</v>
      </c>
      <c r="M21" s="5">
        <f t="shared" si="1"/>
        <v>5320.6658354900001</v>
      </c>
      <c r="N21" s="5">
        <f t="shared" si="2"/>
        <v>1477.9222250000003</v>
      </c>
      <c r="O21" s="5">
        <f t="shared" si="3"/>
        <v>790.26515599999993</v>
      </c>
      <c r="P21" s="5">
        <f t="shared" si="4"/>
        <v>0</v>
      </c>
      <c r="Q21" s="5">
        <f t="shared" si="5"/>
        <v>36.808464000000001</v>
      </c>
    </row>
    <row r="22" spans="1:17" x14ac:dyDescent="0.25">
      <c r="A22">
        <v>19</v>
      </c>
      <c r="B22">
        <v>195.96</v>
      </c>
      <c r="C22">
        <v>46.67</v>
      </c>
      <c r="D22">
        <v>22.65</v>
      </c>
      <c r="E22">
        <v>0</v>
      </c>
      <c r="F22">
        <v>3.01</v>
      </c>
      <c r="G22">
        <v>1</v>
      </c>
      <c r="H22">
        <v>1</v>
      </c>
      <c r="I22">
        <v>1</v>
      </c>
      <c r="J22">
        <v>0</v>
      </c>
      <c r="K22">
        <v>1</v>
      </c>
      <c r="L22" s="4">
        <f t="shared" si="0"/>
        <v>268.28999999999996</v>
      </c>
      <c r="M22" s="5">
        <f t="shared" si="1"/>
        <v>5571.5274381264007</v>
      </c>
      <c r="N22" s="5">
        <f t="shared" si="2"/>
        <v>1477.9222250000003</v>
      </c>
      <c r="O22" s="5">
        <f t="shared" si="3"/>
        <v>911.130225</v>
      </c>
      <c r="P22" s="5">
        <f t="shared" si="4"/>
        <v>0</v>
      </c>
      <c r="Q22" s="5">
        <f t="shared" si="5"/>
        <v>120.490601</v>
      </c>
    </row>
    <row r="23" spans="1:17" x14ac:dyDescent="0.25">
      <c r="A23">
        <v>20</v>
      </c>
      <c r="B23">
        <v>198.45</v>
      </c>
      <c r="C23">
        <v>46.67</v>
      </c>
      <c r="D23">
        <v>23.74</v>
      </c>
      <c r="E23">
        <v>0</v>
      </c>
      <c r="F23">
        <v>3.77</v>
      </c>
      <c r="G23">
        <v>1</v>
      </c>
      <c r="H23">
        <v>1</v>
      </c>
      <c r="I23">
        <v>1</v>
      </c>
      <c r="J23">
        <v>0</v>
      </c>
      <c r="K23">
        <v>1</v>
      </c>
      <c r="L23" s="4">
        <f t="shared" si="0"/>
        <v>272.63</v>
      </c>
      <c r="M23" s="5">
        <f t="shared" si="1"/>
        <v>5663.5853971725001</v>
      </c>
      <c r="N23" s="5">
        <f t="shared" si="2"/>
        <v>1477.9222250000003</v>
      </c>
      <c r="O23" s="5">
        <f t="shared" si="3"/>
        <v>955.23587599999996</v>
      </c>
      <c r="P23" s="5">
        <f t="shared" si="4"/>
        <v>0</v>
      </c>
      <c r="Q23" s="5">
        <f t="shared" si="5"/>
        <v>150.94212900000002</v>
      </c>
    </row>
    <row r="24" spans="1:17" x14ac:dyDescent="0.25">
      <c r="A24">
        <v>21</v>
      </c>
      <c r="B24">
        <v>194.97</v>
      </c>
      <c r="C24">
        <v>46.67</v>
      </c>
      <c r="D24">
        <v>22.22</v>
      </c>
      <c r="E24">
        <v>0</v>
      </c>
      <c r="F24">
        <v>2.71</v>
      </c>
      <c r="G24">
        <v>1</v>
      </c>
      <c r="H24">
        <v>1</v>
      </c>
      <c r="I24">
        <v>1</v>
      </c>
      <c r="J24">
        <v>0</v>
      </c>
      <c r="K24">
        <v>1</v>
      </c>
      <c r="L24" s="4">
        <f t="shared" si="0"/>
        <v>266.57</v>
      </c>
      <c r="M24" s="5">
        <f t="shared" si="1"/>
        <v>5535.0743244261002</v>
      </c>
      <c r="N24" s="5">
        <f t="shared" si="2"/>
        <v>1477.9222250000003</v>
      </c>
      <c r="O24" s="5">
        <f t="shared" si="3"/>
        <v>893.73728399999993</v>
      </c>
      <c r="P24" s="5">
        <f t="shared" si="4"/>
        <v>0</v>
      </c>
      <c r="Q24" s="5">
        <f t="shared" si="5"/>
        <v>108.47344100000001</v>
      </c>
    </row>
    <row r="25" spans="1:17" x14ac:dyDescent="0.25">
      <c r="A25">
        <v>22</v>
      </c>
      <c r="B25">
        <v>188.31</v>
      </c>
      <c r="C25">
        <v>46.67</v>
      </c>
      <c r="D25">
        <v>19.309999999999999</v>
      </c>
      <c r="E25">
        <v>0</v>
      </c>
      <c r="F25">
        <v>0.68</v>
      </c>
      <c r="G25">
        <v>1</v>
      </c>
      <c r="H25">
        <v>1</v>
      </c>
      <c r="I25">
        <v>1</v>
      </c>
      <c r="J25">
        <v>0</v>
      </c>
      <c r="K25">
        <v>1</v>
      </c>
      <c r="L25" s="4">
        <f t="shared" si="0"/>
        <v>254.97000000000003</v>
      </c>
      <c r="M25" s="5">
        <f t="shared" si="1"/>
        <v>5292.0365713269002</v>
      </c>
      <c r="N25" s="5">
        <f t="shared" si="2"/>
        <v>1477.9222250000003</v>
      </c>
      <c r="O25" s="5">
        <f t="shared" si="3"/>
        <v>776.12876099999994</v>
      </c>
      <c r="P25" s="5">
        <f t="shared" si="4"/>
        <v>0</v>
      </c>
      <c r="Q25" s="5">
        <f t="shared" si="5"/>
        <v>27.204624000000003</v>
      </c>
    </row>
    <row r="26" spans="1:17" x14ac:dyDescent="0.25">
      <c r="A26">
        <v>23</v>
      </c>
      <c r="B26">
        <v>176.64</v>
      </c>
      <c r="C26">
        <v>46.67</v>
      </c>
      <c r="D26">
        <v>16.05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 s="4">
        <f t="shared" si="0"/>
        <v>239.36</v>
      </c>
      <c r="M26" s="5">
        <f t="shared" si="1"/>
        <v>4875.377501798399</v>
      </c>
      <c r="N26" s="5">
        <f t="shared" si="2"/>
        <v>1477.9222250000003</v>
      </c>
      <c r="O26" s="5">
        <f t="shared" si="3"/>
        <v>644.57602499999996</v>
      </c>
      <c r="P26" s="5">
        <f t="shared" si="4"/>
        <v>0</v>
      </c>
      <c r="Q26" s="5">
        <f t="shared" si="5"/>
        <v>0</v>
      </c>
    </row>
    <row r="27" spans="1:17" x14ac:dyDescent="0.25">
      <c r="A27">
        <v>24</v>
      </c>
      <c r="B27">
        <v>165.51</v>
      </c>
      <c r="C27">
        <v>46.67</v>
      </c>
      <c r="D27">
        <v>13.34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 s="4">
        <f t="shared" si="0"/>
        <v>225.52</v>
      </c>
      <c r="M27" s="5">
        <f t="shared" si="1"/>
        <v>4488.9174975428996</v>
      </c>
      <c r="N27" s="5">
        <f t="shared" si="2"/>
        <v>1477.9222250000003</v>
      </c>
      <c r="O27" s="5">
        <f t="shared" si="3"/>
        <v>535.37955599999998</v>
      </c>
      <c r="P27" s="5">
        <f t="shared" si="4"/>
        <v>0</v>
      </c>
      <c r="Q27" s="5">
        <f t="shared" si="5"/>
        <v>0</v>
      </c>
    </row>
    <row r="28" spans="1:17" x14ac:dyDescent="0.25">
      <c r="B28" s="3">
        <f>SUM(B4:B27)</f>
        <v>4118.5399999999991</v>
      </c>
      <c r="C28" s="3">
        <f t="shared" ref="C28:D28" si="6">SUM(C4:C27)</f>
        <v>1120.08</v>
      </c>
      <c r="D28" s="3">
        <f t="shared" si="6"/>
        <v>365.94</v>
      </c>
      <c r="E28" s="3">
        <f>SUM(E4:E27)</f>
        <v>0</v>
      </c>
      <c r="F28" s="3">
        <f t="shared" ref="F28" si="7">SUM(F4:F27)</f>
        <v>16.23</v>
      </c>
      <c r="M28" s="6">
        <f t="shared" ref="M28:Q28" si="8">SUM(M4:M27)</f>
        <v>113238.57852306819</v>
      </c>
      <c r="N28" s="6">
        <f t="shared" si="8"/>
        <v>35470.133400000028</v>
      </c>
      <c r="O28" s="6">
        <f t="shared" si="8"/>
        <v>14700.920374000001</v>
      </c>
      <c r="P28" s="6">
        <f t="shared" si="8"/>
        <v>0</v>
      </c>
      <c r="Q28" s="6">
        <f t="shared" si="8"/>
        <v>649.59383700000001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workbookViewId="0"/>
  </sheetViews>
  <sheetFormatPr defaultRowHeight="15" x14ac:dyDescent="0.25"/>
  <cols>
    <col min="1" max="21" width="14" customWidth="1"/>
  </cols>
  <sheetData>
    <row r="1" spans="1:21" ht="17.25" x14ac:dyDescent="0.3">
      <c r="A1" s="1" t="s">
        <v>47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2.4449999999999998</v>
      </c>
      <c r="C4">
        <v>1.4370000000000001</v>
      </c>
      <c r="D4">
        <v>1.1359999999999999</v>
      </c>
      <c r="E4">
        <v>1.085</v>
      </c>
      <c r="F4">
        <v>0.82599999999999996</v>
      </c>
      <c r="G4">
        <v>0.39300000000000002</v>
      </c>
      <c r="H4">
        <v>1.08</v>
      </c>
      <c r="I4">
        <v>0</v>
      </c>
      <c r="J4">
        <v>0</v>
      </c>
      <c r="K4">
        <v>0</v>
      </c>
      <c r="L4">
        <v>0.154</v>
      </c>
      <c r="M4">
        <v>0.19500000000000001</v>
      </c>
      <c r="N4">
        <v>0.45200000000000001</v>
      </c>
      <c r="O4">
        <v>0</v>
      </c>
      <c r="P4">
        <v>0</v>
      </c>
      <c r="Q4">
        <v>0.14199999999999999</v>
      </c>
      <c r="R4">
        <v>0.25800000000000001</v>
      </c>
      <c r="S4">
        <v>5.8000000000000003E-2</v>
      </c>
      <c r="T4">
        <v>4.5999999999999999E-2</v>
      </c>
      <c r="U4">
        <v>0.123</v>
      </c>
    </row>
    <row r="5" spans="1:21" x14ac:dyDescent="0.25">
      <c r="A5">
        <v>2</v>
      </c>
      <c r="B5">
        <v>2.355</v>
      </c>
      <c r="C5">
        <v>1.3440000000000001</v>
      </c>
      <c r="D5">
        <v>1.079</v>
      </c>
      <c r="E5">
        <v>1.0569999999999999</v>
      </c>
      <c r="F5">
        <v>0.80500000000000005</v>
      </c>
      <c r="G5">
        <v>0.39300000000000002</v>
      </c>
      <c r="H5">
        <v>1.0509999999999999</v>
      </c>
      <c r="I5">
        <v>0</v>
      </c>
      <c r="J5">
        <v>0</v>
      </c>
      <c r="K5">
        <v>0</v>
      </c>
      <c r="L5">
        <v>0.14899999999999999</v>
      </c>
      <c r="M5">
        <v>0.189</v>
      </c>
      <c r="N5">
        <v>0.438</v>
      </c>
      <c r="O5">
        <v>0</v>
      </c>
      <c r="P5">
        <v>0</v>
      </c>
      <c r="Q5">
        <v>0.13800000000000001</v>
      </c>
      <c r="R5">
        <v>0.25</v>
      </c>
      <c r="S5">
        <v>5.6000000000000001E-2</v>
      </c>
      <c r="T5">
        <v>4.4999999999999998E-2</v>
      </c>
      <c r="U5">
        <v>0.12</v>
      </c>
    </row>
    <row r="6" spans="1:21" x14ac:dyDescent="0.25">
      <c r="A6">
        <v>3</v>
      </c>
      <c r="B6">
        <v>2.2879999999999998</v>
      </c>
      <c r="C6">
        <v>1.2729999999999999</v>
      </c>
      <c r="D6">
        <v>1.036</v>
      </c>
      <c r="E6">
        <v>1.036</v>
      </c>
      <c r="F6">
        <v>0.78900000000000003</v>
      </c>
      <c r="G6">
        <v>0.39300000000000002</v>
      </c>
      <c r="H6">
        <v>1.0289999999999999</v>
      </c>
      <c r="I6">
        <v>0</v>
      </c>
      <c r="J6">
        <v>0</v>
      </c>
      <c r="K6">
        <v>0</v>
      </c>
      <c r="L6">
        <v>0.14599999999999999</v>
      </c>
      <c r="M6">
        <v>0.184</v>
      </c>
      <c r="N6">
        <v>0.42799999999999999</v>
      </c>
      <c r="O6">
        <v>0</v>
      </c>
      <c r="P6">
        <v>0</v>
      </c>
      <c r="Q6">
        <v>0.13400000000000001</v>
      </c>
      <c r="R6">
        <v>0.24399999999999999</v>
      </c>
      <c r="S6">
        <v>5.5E-2</v>
      </c>
      <c r="T6">
        <v>4.3999999999999997E-2</v>
      </c>
      <c r="U6">
        <v>0.11700000000000001</v>
      </c>
    </row>
    <row r="7" spans="1:21" x14ac:dyDescent="0.25">
      <c r="A7">
        <v>4</v>
      </c>
      <c r="B7">
        <v>2.258</v>
      </c>
      <c r="C7">
        <v>1.2430000000000001</v>
      </c>
      <c r="D7">
        <v>1.018</v>
      </c>
      <c r="E7">
        <v>1.026</v>
      </c>
      <c r="F7">
        <v>0.78200000000000003</v>
      </c>
      <c r="G7">
        <v>0.39300000000000002</v>
      </c>
      <c r="H7">
        <v>1.02</v>
      </c>
      <c r="I7">
        <v>0</v>
      </c>
      <c r="J7">
        <v>0</v>
      </c>
      <c r="K7">
        <v>0</v>
      </c>
      <c r="L7">
        <v>0.14399999999999999</v>
      </c>
      <c r="M7">
        <v>0.182</v>
      </c>
      <c r="N7">
        <v>0.42299999999999999</v>
      </c>
      <c r="O7">
        <v>0</v>
      </c>
      <c r="P7">
        <v>0</v>
      </c>
      <c r="Q7">
        <v>0.13300000000000001</v>
      </c>
      <c r="R7">
        <v>0.24099999999999999</v>
      </c>
      <c r="S7">
        <v>5.3999999999999999E-2</v>
      </c>
      <c r="T7">
        <v>4.2999999999999997E-2</v>
      </c>
      <c r="U7">
        <v>0.11600000000000001</v>
      </c>
    </row>
    <row r="8" spans="1:21" x14ac:dyDescent="0.25">
      <c r="A8">
        <v>5</v>
      </c>
      <c r="B8">
        <v>2.3239999999999998</v>
      </c>
      <c r="C8">
        <v>1.3109999999999999</v>
      </c>
      <c r="D8">
        <v>1.0589999999999999</v>
      </c>
      <c r="E8">
        <v>1.0469999999999999</v>
      </c>
      <c r="F8">
        <v>0.79800000000000004</v>
      </c>
      <c r="G8">
        <v>0.39300000000000002</v>
      </c>
      <c r="H8">
        <v>1.0409999999999999</v>
      </c>
      <c r="I8">
        <v>0</v>
      </c>
      <c r="J8">
        <v>0</v>
      </c>
      <c r="K8">
        <v>0</v>
      </c>
      <c r="L8">
        <v>0.14799999999999999</v>
      </c>
      <c r="M8">
        <v>0.186</v>
      </c>
      <c r="N8">
        <v>0.434</v>
      </c>
      <c r="O8">
        <v>0</v>
      </c>
      <c r="P8">
        <v>0</v>
      </c>
      <c r="Q8">
        <v>0.13600000000000001</v>
      </c>
      <c r="R8">
        <v>0.247</v>
      </c>
      <c r="S8">
        <v>5.6000000000000001E-2</v>
      </c>
      <c r="T8">
        <v>4.3999999999999997E-2</v>
      </c>
      <c r="U8">
        <v>0.11799999999999999</v>
      </c>
    </row>
    <row r="9" spans="1:21" x14ac:dyDescent="0.25">
      <c r="A9">
        <v>6</v>
      </c>
      <c r="B9">
        <v>2.448</v>
      </c>
      <c r="C9">
        <v>1.44</v>
      </c>
      <c r="D9">
        <v>1.1379999999999999</v>
      </c>
      <c r="E9">
        <v>1.0860000000000001</v>
      </c>
      <c r="F9">
        <v>0.82699999999999996</v>
      </c>
      <c r="G9">
        <v>0.39300000000000002</v>
      </c>
      <c r="H9">
        <v>1.081</v>
      </c>
      <c r="I9">
        <v>0</v>
      </c>
      <c r="J9">
        <v>0</v>
      </c>
      <c r="K9">
        <v>0</v>
      </c>
      <c r="L9">
        <v>0.154</v>
      </c>
      <c r="M9">
        <v>0.19500000000000001</v>
      </c>
      <c r="N9">
        <v>0.45300000000000001</v>
      </c>
      <c r="O9">
        <v>0</v>
      </c>
      <c r="P9">
        <v>0</v>
      </c>
      <c r="Q9">
        <v>0.14299999999999999</v>
      </c>
      <c r="R9">
        <v>0.25900000000000001</v>
      </c>
      <c r="S9">
        <v>5.8000000000000003E-2</v>
      </c>
      <c r="T9">
        <v>4.5999999999999999E-2</v>
      </c>
      <c r="U9">
        <v>0.123</v>
      </c>
    </row>
    <row r="10" spans="1:21" x14ac:dyDescent="0.25">
      <c r="A10">
        <v>7</v>
      </c>
      <c r="B10">
        <v>2.488</v>
      </c>
      <c r="C10">
        <v>1.482</v>
      </c>
      <c r="D10">
        <v>1.163</v>
      </c>
      <c r="E10">
        <v>1.0980000000000001</v>
      </c>
      <c r="F10">
        <v>0.83599999999999997</v>
      </c>
      <c r="G10">
        <v>0.39300000000000002</v>
      </c>
      <c r="H10">
        <v>1.0940000000000001</v>
      </c>
      <c r="I10">
        <v>0</v>
      </c>
      <c r="J10">
        <v>0</v>
      </c>
      <c r="K10">
        <v>0</v>
      </c>
      <c r="L10">
        <v>0.156</v>
      </c>
      <c r="M10">
        <v>0.19700000000000001</v>
      </c>
      <c r="N10">
        <v>0.45900000000000002</v>
      </c>
      <c r="O10">
        <v>0</v>
      </c>
      <c r="P10">
        <v>0</v>
      </c>
      <c r="Q10">
        <v>0.14499999999999999</v>
      </c>
      <c r="R10">
        <v>0.26200000000000001</v>
      </c>
      <c r="S10">
        <v>5.8999999999999997E-2</v>
      </c>
      <c r="T10">
        <v>4.7E-2</v>
      </c>
      <c r="U10">
        <v>0.125</v>
      </c>
    </row>
    <row r="11" spans="1:21" x14ac:dyDescent="0.25">
      <c r="A11">
        <v>8</v>
      </c>
      <c r="B11">
        <v>2.6480000000000001</v>
      </c>
      <c r="C11">
        <v>1.649</v>
      </c>
      <c r="D11">
        <v>1.2649999999999999</v>
      </c>
      <c r="E11">
        <v>1.149</v>
      </c>
      <c r="F11">
        <v>0.874</v>
      </c>
      <c r="G11">
        <v>0.39300000000000002</v>
      </c>
      <c r="H11">
        <v>1.145</v>
      </c>
      <c r="I11">
        <v>0</v>
      </c>
      <c r="J11">
        <v>0</v>
      </c>
      <c r="K11">
        <v>0</v>
      </c>
      <c r="L11">
        <v>0.16400000000000001</v>
      </c>
      <c r="M11">
        <v>0.20799999999999999</v>
      </c>
      <c r="N11">
        <v>0.48399999999999999</v>
      </c>
      <c r="O11">
        <v>0</v>
      </c>
      <c r="P11">
        <v>0</v>
      </c>
      <c r="Q11">
        <v>0.153</v>
      </c>
      <c r="R11">
        <v>0.27700000000000002</v>
      </c>
      <c r="S11">
        <v>6.0999999999999999E-2</v>
      </c>
      <c r="T11">
        <v>4.9000000000000002E-2</v>
      </c>
      <c r="U11">
        <v>0.13200000000000001</v>
      </c>
    </row>
    <row r="12" spans="1:21" x14ac:dyDescent="0.25">
      <c r="A12">
        <v>9</v>
      </c>
      <c r="B12">
        <v>2.8079999999999998</v>
      </c>
      <c r="C12">
        <v>1.8160000000000001</v>
      </c>
      <c r="D12">
        <v>1.3660000000000001</v>
      </c>
      <c r="E12">
        <v>1.1990000000000001</v>
      </c>
      <c r="F12">
        <v>0.91200000000000003</v>
      </c>
      <c r="G12">
        <v>0.39300000000000002</v>
      </c>
      <c r="H12">
        <v>1.1970000000000001</v>
      </c>
      <c r="I12">
        <v>0</v>
      </c>
      <c r="J12">
        <v>0</v>
      </c>
      <c r="K12">
        <v>0</v>
      </c>
      <c r="L12">
        <v>0.17299999999999999</v>
      </c>
      <c r="M12">
        <v>0.219</v>
      </c>
      <c r="N12">
        <v>0.50900000000000001</v>
      </c>
      <c r="O12">
        <v>0</v>
      </c>
      <c r="P12">
        <v>0</v>
      </c>
      <c r="Q12">
        <v>0.161</v>
      </c>
      <c r="R12">
        <v>0.29199999999999998</v>
      </c>
      <c r="S12">
        <v>6.4000000000000001E-2</v>
      </c>
      <c r="T12">
        <v>5.1999999999999998E-2</v>
      </c>
      <c r="U12">
        <v>0.13800000000000001</v>
      </c>
    </row>
    <row r="13" spans="1:21" x14ac:dyDescent="0.25">
      <c r="A13">
        <v>10</v>
      </c>
      <c r="B13">
        <v>2.9169999999999998</v>
      </c>
      <c r="C13">
        <v>1.93</v>
      </c>
      <c r="D13">
        <v>1.4350000000000001</v>
      </c>
      <c r="E13">
        <v>1.2330000000000001</v>
      </c>
      <c r="F13">
        <v>0.93799999999999994</v>
      </c>
      <c r="G13">
        <v>0.39300000000000002</v>
      </c>
      <c r="H13">
        <v>1.232</v>
      </c>
      <c r="I13">
        <v>0</v>
      </c>
      <c r="J13">
        <v>0</v>
      </c>
      <c r="K13">
        <v>0</v>
      </c>
      <c r="L13">
        <v>0.17799999999999999</v>
      </c>
      <c r="M13">
        <v>0.22600000000000001</v>
      </c>
      <c r="N13">
        <v>0.52600000000000002</v>
      </c>
      <c r="O13">
        <v>0</v>
      </c>
      <c r="P13">
        <v>0</v>
      </c>
      <c r="Q13">
        <v>0.16700000000000001</v>
      </c>
      <c r="R13">
        <v>0.30199999999999999</v>
      </c>
      <c r="S13">
        <v>6.6000000000000003E-2</v>
      </c>
      <c r="T13">
        <v>5.2999999999999999E-2</v>
      </c>
      <c r="U13">
        <v>0.14299999999999999</v>
      </c>
    </row>
    <row r="14" spans="1:21" x14ac:dyDescent="0.25">
      <c r="A14">
        <v>11</v>
      </c>
      <c r="B14">
        <v>3.03</v>
      </c>
      <c r="C14">
        <v>2.048</v>
      </c>
      <c r="D14">
        <v>1.5069999999999999</v>
      </c>
      <c r="E14">
        <v>1.2689999999999999</v>
      </c>
      <c r="F14">
        <v>0.96399999999999997</v>
      </c>
      <c r="G14">
        <v>0.39300000000000002</v>
      </c>
      <c r="H14">
        <v>1.2689999999999999</v>
      </c>
      <c r="I14">
        <v>0</v>
      </c>
      <c r="J14">
        <v>0</v>
      </c>
      <c r="K14">
        <v>0</v>
      </c>
      <c r="L14">
        <v>0.184</v>
      </c>
      <c r="M14">
        <v>0.23400000000000001</v>
      </c>
      <c r="N14">
        <v>0.54400000000000004</v>
      </c>
      <c r="O14">
        <v>0</v>
      </c>
      <c r="P14">
        <v>0</v>
      </c>
      <c r="Q14">
        <v>0.17299999999999999</v>
      </c>
      <c r="R14">
        <v>0.312</v>
      </c>
      <c r="S14">
        <v>6.8000000000000005E-2</v>
      </c>
      <c r="T14">
        <v>5.5E-2</v>
      </c>
      <c r="U14">
        <v>0.14699999999999999</v>
      </c>
    </row>
    <row r="15" spans="1:21" x14ac:dyDescent="0.25">
      <c r="A15">
        <v>12</v>
      </c>
      <c r="B15">
        <v>3.1160000000000001</v>
      </c>
      <c r="C15">
        <v>2.137</v>
      </c>
      <c r="D15">
        <v>1.5609999999999999</v>
      </c>
      <c r="E15">
        <v>1.3180000000000001</v>
      </c>
      <c r="F15">
        <v>0.98499999999999999</v>
      </c>
      <c r="G15">
        <v>0.39300000000000002</v>
      </c>
      <c r="H15">
        <v>1.296</v>
      </c>
      <c r="I15">
        <v>0</v>
      </c>
      <c r="J15">
        <v>0</v>
      </c>
      <c r="K15">
        <v>0</v>
      </c>
      <c r="L15">
        <v>0.188</v>
      </c>
      <c r="M15">
        <v>0.24</v>
      </c>
      <c r="N15">
        <v>0.55700000000000005</v>
      </c>
      <c r="O15">
        <v>0</v>
      </c>
      <c r="P15">
        <v>0</v>
      </c>
      <c r="Q15">
        <v>0.17699999999999999</v>
      </c>
      <c r="R15">
        <v>0.32</v>
      </c>
      <c r="S15">
        <v>7.0000000000000007E-2</v>
      </c>
      <c r="T15">
        <v>5.7000000000000002E-2</v>
      </c>
      <c r="U15">
        <v>0.151</v>
      </c>
    </row>
    <row r="16" spans="1:21" x14ac:dyDescent="0.25">
      <c r="A16">
        <v>13</v>
      </c>
      <c r="B16">
        <v>3.1219999999999999</v>
      </c>
      <c r="C16">
        <v>2.1440000000000001</v>
      </c>
      <c r="D16">
        <v>1.5649999999999999</v>
      </c>
      <c r="E16">
        <v>1.3240000000000001</v>
      </c>
      <c r="F16">
        <v>0.98599999999999999</v>
      </c>
      <c r="G16">
        <v>0.39300000000000002</v>
      </c>
      <c r="H16">
        <v>1.298</v>
      </c>
      <c r="I16">
        <v>0</v>
      </c>
      <c r="J16">
        <v>0</v>
      </c>
      <c r="K16">
        <v>0</v>
      </c>
      <c r="L16">
        <v>0.189</v>
      </c>
      <c r="M16">
        <v>0.24</v>
      </c>
      <c r="N16">
        <v>0.55800000000000005</v>
      </c>
      <c r="O16">
        <v>0</v>
      </c>
      <c r="P16">
        <v>0</v>
      </c>
      <c r="Q16">
        <v>0.17699999999999999</v>
      </c>
      <c r="R16">
        <v>0.32</v>
      </c>
      <c r="S16">
        <v>7.0000000000000007E-2</v>
      </c>
      <c r="T16">
        <v>5.7000000000000002E-2</v>
      </c>
      <c r="U16">
        <v>0.151</v>
      </c>
    </row>
    <row r="17" spans="1:21" x14ac:dyDescent="0.25">
      <c r="A17">
        <v>14</v>
      </c>
      <c r="B17">
        <v>3.1619999999999999</v>
      </c>
      <c r="C17">
        <v>2.1850000000000001</v>
      </c>
      <c r="D17">
        <v>1.589</v>
      </c>
      <c r="E17">
        <v>1.359</v>
      </c>
      <c r="F17">
        <v>0.995</v>
      </c>
      <c r="G17">
        <v>0.39300000000000002</v>
      </c>
      <c r="H17">
        <v>1.31</v>
      </c>
      <c r="I17">
        <v>0</v>
      </c>
      <c r="J17">
        <v>0</v>
      </c>
      <c r="K17">
        <v>0</v>
      </c>
      <c r="L17">
        <v>0.189</v>
      </c>
      <c r="M17">
        <v>0.24299999999999999</v>
      </c>
      <c r="N17">
        <v>0.56499999999999995</v>
      </c>
      <c r="O17">
        <v>0</v>
      </c>
      <c r="P17">
        <v>0</v>
      </c>
      <c r="Q17">
        <v>0.182</v>
      </c>
      <c r="R17">
        <v>0.32600000000000001</v>
      </c>
      <c r="S17">
        <v>6.9000000000000006E-2</v>
      </c>
      <c r="T17">
        <v>5.7000000000000002E-2</v>
      </c>
      <c r="U17">
        <v>0.152</v>
      </c>
    </row>
    <row r="18" spans="1:21" x14ac:dyDescent="0.25">
      <c r="A18">
        <v>15</v>
      </c>
      <c r="B18">
        <v>3.2170000000000001</v>
      </c>
      <c r="C18">
        <v>2.2410000000000001</v>
      </c>
      <c r="D18">
        <v>1.62</v>
      </c>
      <c r="E18">
        <v>1.4059999999999999</v>
      </c>
      <c r="F18">
        <v>1.0069999999999999</v>
      </c>
      <c r="G18">
        <v>0.39300000000000002</v>
      </c>
      <c r="H18">
        <v>1.3240000000000001</v>
      </c>
      <c r="I18">
        <v>0</v>
      </c>
      <c r="J18">
        <v>0</v>
      </c>
      <c r="K18">
        <v>0</v>
      </c>
      <c r="L18">
        <v>0.189</v>
      </c>
      <c r="M18">
        <v>0.248</v>
      </c>
      <c r="N18">
        <v>0.57499999999999996</v>
      </c>
      <c r="O18">
        <v>0</v>
      </c>
      <c r="P18">
        <v>0</v>
      </c>
      <c r="Q18">
        <v>0.189</v>
      </c>
      <c r="R18">
        <v>0.33600000000000002</v>
      </c>
      <c r="S18">
        <v>6.7000000000000004E-2</v>
      </c>
      <c r="T18">
        <v>5.8000000000000003E-2</v>
      </c>
      <c r="U18">
        <v>0.153</v>
      </c>
    </row>
    <row r="19" spans="1:21" x14ac:dyDescent="0.25">
      <c r="A19">
        <v>16</v>
      </c>
      <c r="B19">
        <v>3.2309999999999999</v>
      </c>
      <c r="C19">
        <v>2.2549999999999999</v>
      </c>
      <c r="D19">
        <v>1.6279999999999999</v>
      </c>
      <c r="E19">
        <v>1.4179999999999999</v>
      </c>
      <c r="F19">
        <v>1.0109999999999999</v>
      </c>
      <c r="G19">
        <v>0.39300000000000002</v>
      </c>
      <c r="H19">
        <v>1.327</v>
      </c>
      <c r="I19">
        <v>0</v>
      </c>
      <c r="J19">
        <v>0</v>
      </c>
      <c r="K19">
        <v>0</v>
      </c>
      <c r="L19">
        <v>0.189</v>
      </c>
      <c r="M19">
        <v>0.249</v>
      </c>
      <c r="N19">
        <v>0.57799999999999996</v>
      </c>
      <c r="O19">
        <v>0</v>
      </c>
      <c r="P19">
        <v>0</v>
      </c>
      <c r="Q19">
        <v>0.191</v>
      </c>
      <c r="R19">
        <v>0.33800000000000002</v>
      </c>
      <c r="S19">
        <v>6.6000000000000003E-2</v>
      </c>
      <c r="T19">
        <v>5.8000000000000003E-2</v>
      </c>
      <c r="U19">
        <v>0.153</v>
      </c>
    </row>
    <row r="20" spans="1:21" x14ac:dyDescent="0.25">
      <c r="A20">
        <v>17</v>
      </c>
      <c r="B20">
        <v>3.2189999999999999</v>
      </c>
      <c r="C20">
        <v>2.2429999999999999</v>
      </c>
      <c r="D20">
        <v>1.6220000000000001</v>
      </c>
      <c r="E20">
        <v>1.4079999999999999</v>
      </c>
      <c r="F20">
        <v>1.008</v>
      </c>
      <c r="G20">
        <v>0.39300000000000002</v>
      </c>
      <c r="H20">
        <v>1.3240000000000001</v>
      </c>
      <c r="I20">
        <v>0</v>
      </c>
      <c r="J20">
        <v>0</v>
      </c>
      <c r="K20">
        <v>0</v>
      </c>
      <c r="L20">
        <v>0.189</v>
      </c>
      <c r="M20">
        <v>0.248</v>
      </c>
      <c r="N20">
        <v>0.57599999999999996</v>
      </c>
      <c r="O20">
        <v>0</v>
      </c>
      <c r="P20">
        <v>0</v>
      </c>
      <c r="Q20">
        <v>0.189</v>
      </c>
      <c r="R20">
        <v>0.33600000000000002</v>
      </c>
      <c r="S20">
        <v>6.7000000000000004E-2</v>
      </c>
      <c r="T20">
        <v>5.8000000000000003E-2</v>
      </c>
      <c r="U20">
        <v>0.153</v>
      </c>
    </row>
    <row r="21" spans="1:21" x14ac:dyDescent="0.25">
      <c r="A21">
        <v>18</v>
      </c>
      <c r="B21">
        <v>3.1859999999999999</v>
      </c>
      <c r="C21">
        <v>2.2090000000000001</v>
      </c>
      <c r="D21">
        <v>1.603</v>
      </c>
      <c r="E21">
        <v>1.38</v>
      </c>
      <c r="F21">
        <v>1.0009999999999999</v>
      </c>
      <c r="G21">
        <v>0.39300000000000002</v>
      </c>
      <c r="H21">
        <v>1.3160000000000001</v>
      </c>
      <c r="I21">
        <v>0</v>
      </c>
      <c r="J21">
        <v>0</v>
      </c>
      <c r="K21">
        <v>0</v>
      </c>
      <c r="L21">
        <v>0.189</v>
      </c>
      <c r="M21">
        <v>0.245</v>
      </c>
      <c r="N21">
        <v>0.56999999999999995</v>
      </c>
      <c r="O21">
        <v>0</v>
      </c>
      <c r="P21">
        <v>0</v>
      </c>
      <c r="Q21">
        <v>0.185</v>
      </c>
      <c r="R21">
        <v>0.33100000000000002</v>
      </c>
      <c r="S21">
        <v>6.8000000000000005E-2</v>
      </c>
      <c r="T21">
        <v>5.7000000000000002E-2</v>
      </c>
      <c r="U21">
        <v>0.152</v>
      </c>
    </row>
    <row r="22" spans="1:21" x14ac:dyDescent="0.25">
      <c r="A22">
        <v>19</v>
      </c>
      <c r="B22">
        <v>3.3069999999999999</v>
      </c>
      <c r="C22">
        <v>2.3330000000000002</v>
      </c>
      <c r="D22">
        <v>1.6719999999999999</v>
      </c>
      <c r="E22">
        <v>1.484</v>
      </c>
      <c r="F22">
        <v>1.028</v>
      </c>
      <c r="G22">
        <v>0.39300000000000002</v>
      </c>
      <c r="H22">
        <v>1.347</v>
      </c>
      <c r="I22">
        <v>0</v>
      </c>
      <c r="J22">
        <v>0</v>
      </c>
      <c r="K22">
        <v>0</v>
      </c>
      <c r="L22">
        <v>0.189</v>
      </c>
      <c r="M22">
        <v>0.25600000000000001</v>
      </c>
      <c r="N22">
        <v>0.59099999999999997</v>
      </c>
      <c r="O22">
        <v>0</v>
      </c>
      <c r="P22">
        <v>0</v>
      </c>
      <c r="Q22">
        <v>0.20100000000000001</v>
      </c>
      <c r="R22">
        <v>0.35199999999999998</v>
      </c>
      <c r="S22">
        <v>6.3E-2</v>
      </c>
      <c r="T22">
        <v>5.8000000000000003E-2</v>
      </c>
      <c r="U22">
        <v>0.154</v>
      </c>
    </row>
    <row r="23" spans="1:21" x14ac:dyDescent="0.25">
      <c r="A23">
        <v>20</v>
      </c>
      <c r="B23">
        <v>3.351</v>
      </c>
      <c r="C23">
        <v>2.3769999999999998</v>
      </c>
      <c r="D23">
        <v>1.698</v>
      </c>
      <c r="E23">
        <v>1.5209999999999999</v>
      </c>
      <c r="F23">
        <v>1.0369999999999999</v>
      </c>
      <c r="G23">
        <v>0.39300000000000002</v>
      </c>
      <c r="H23">
        <v>1.359</v>
      </c>
      <c r="I23">
        <v>0</v>
      </c>
      <c r="J23">
        <v>0</v>
      </c>
      <c r="K23">
        <v>0</v>
      </c>
      <c r="L23">
        <v>0.189</v>
      </c>
      <c r="M23">
        <v>0.25900000000000001</v>
      </c>
      <c r="N23">
        <v>0.59899999999999998</v>
      </c>
      <c r="O23">
        <v>0</v>
      </c>
      <c r="P23">
        <v>0</v>
      </c>
      <c r="Q23">
        <v>0.20699999999999999</v>
      </c>
      <c r="R23">
        <v>0.35899999999999999</v>
      </c>
      <c r="S23">
        <v>6.0999999999999999E-2</v>
      </c>
      <c r="T23">
        <v>5.8999999999999997E-2</v>
      </c>
      <c r="U23">
        <v>0.154</v>
      </c>
    </row>
    <row r="24" spans="1:21" x14ac:dyDescent="0.25">
      <c r="A24">
        <v>21</v>
      </c>
      <c r="B24">
        <v>3.29</v>
      </c>
      <c r="C24">
        <v>2.3149999999999999</v>
      </c>
      <c r="D24">
        <v>1.6619999999999999</v>
      </c>
      <c r="E24">
        <v>1.4690000000000001</v>
      </c>
      <c r="F24">
        <v>1.024</v>
      </c>
      <c r="G24">
        <v>0.39300000000000002</v>
      </c>
      <c r="H24">
        <v>1.343</v>
      </c>
      <c r="I24">
        <v>0</v>
      </c>
      <c r="J24">
        <v>0</v>
      </c>
      <c r="K24">
        <v>0</v>
      </c>
      <c r="L24">
        <v>0.189</v>
      </c>
      <c r="M24">
        <v>0.254</v>
      </c>
      <c r="N24">
        <v>0.58799999999999997</v>
      </c>
      <c r="O24">
        <v>0</v>
      </c>
      <c r="P24">
        <v>0</v>
      </c>
      <c r="Q24">
        <v>0.19900000000000001</v>
      </c>
      <c r="R24">
        <v>0.34899999999999998</v>
      </c>
      <c r="S24">
        <v>6.4000000000000001E-2</v>
      </c>
      <c r="T24">
        <v>5.8000000000000003E-2</v>
      </c>
      <c r="U24">
        <v>0.153</v>
      </c>
    </row>
    <row r="25" spans="1:21" x14ac:dyDescent="0.25">
      <c r="A25">
        <v>22</v>
      </c>
      <c r="B25">
        <v>3.1720000000000002</v>
      </c>
      <c r="C25">
        <v>2.1949999999999998</v>
      </c>
      <c r="D25">
        <v>1.595</v>
      </c>
      <c r="E25">
        <v>1.3680000000000001</v>
      </c>
      <c r="F25">
        <v>0.997</v>
      </c>
      <c r="G25">
        <v>0.39300000000000002</v>
      </c>
      <c r="H25">
        <v>1.3120000000000001</v>
      </c>
      <c r="I25">
        <v>0</v>
      </c>
      <c r="J25">
        <v>0</v>
      </c>
      <c r="K25">
        <v>0</v>
      </c>
      <c r="L25">
        <v>0.189</v>
      </c>
      <c r="M25">
        <v>0.24399999999999999</v>
      </c>
      <c r="N25">
        <v>0.56699999999999995</v>
      </c>
      <c r="O25">
        <v>0</v>
      </c>
      <c r="P25">
        <v>0</v>
      </c>
      <c r="Q25">
        <v>0.183</v>
      </c>
      <c r="R25">
        <v>0.32800000000000001</v>
      </c>
      <c r="S25">
        <v>6.9000000000000006E-2</v>
      </c>
      <c r="T25">
        <v>5.7000000000000002E-2</v>
      </c>
      <c r="U25">
        <v>0.152</v>
      </c>
    </row>
    <row r="26" spans="1:21" x14ac:dyDescent="0.25">
      <c r="A26">
        <v>23</v>
      </c>
      <c r="B26">
        <v>2.968</v>
      </c>
      <c r="C26">
        <v>1.9830000000000001</v>
      </c>
      <c r="D26">
        <v>1.4670000000000001</v>
      </c>
      <c r="E26">
        <v>1.2490000000000001</v>
      </c>
      <c r="F26">
        <v>0.95</v>
      </c>
      <c r="G26">
        <v>0.39300000000000002</v>
      </c>
      <c r="H26">
        <v>1.2490000000000001</v>
      </c>
      <c r="I26">
        <v>0</v>
      </c>
      <c r="J26">
        <v>0</v>
      </c>
      <c r="K26">
        <v>0</v>
      </c>
      <c r="L26">
        <v>0.18099999999999999</v>
      </c>
      <c r="M26">
        <v>0.23</v>
      </c>
      <c r="N26">
        <v>0.53400000000000003</v>
      </c>
      <c r="O26">
        <v>0</v>
      </c>
      <c r="P26">
        <v>0</v>
      </c>
      <c r="Q26">
        <v>0.16900000000000001</v>
      </c>
      <c r="R26">
        <v>0.30599999999999999</v>
      </c>
      <c r="S26">
        <v>6.7000000000000004E-2</v>
      </c>
      <c r="T26">
        <v>5.3999999999999999E-2</v>
      </c>
      <c r="U26">
        <v>0.14499999999999999</v>
      </c>
    </row>
    <row r="27" spans="1:21" x14ac:dyDescent="0.25">
      <c r="A27">
        <v>24</v>
      </c>
      <c r="B27">
        <v>2.7730000000000001</v>
      </c>
      <c r="C27">
        <v>1.78</v>
      </c>
      <c r="D27">
        <v>1.3440000000000001</v>
      </c>
      <c r="E27">
        <v>1.1879999999999999</v>
      </c>
      <c r="F27">
        <v>0.90400000000000003</v>
      </c>
      <c r="G27">
        <v>0.39300000000000002</v>
      </c>
      <c r="H27">
        <v>1.1859999999999999</v>
      </c>
      <c r="I27">
        <v>0</v>
      </c>
      <c r="J27">
        <v>0</v>
      </c>
      <c r="K27">
        <v>0</v>
      </c>
      <c r="L27">
        <v>0.17100000000000001</v>
      </c>
      <c r="M27">
        <v>0.217</v>
      </c>
      <c r="N27">
        <v>0.504</v>
      </c>
      <c r="O27">
        <v>0</v>
      </c>
      <c r="P27">
        <v>0</v>
      </c>
      <c r="Q27">
        <v>0.159</v>
      </c>
      <c r="R27">
        <v>0.28799999999999998</v>
      </c>
      <c r="S27">
        <v>6.4000000000000001E-2</v>
      </c>
      <c r="T27">
        <v>5.0999999999999997E-2</v>
      </c>
      <c r="U27">
        <v>0.13700000000000001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topLeftCell="A12" workbookViewId="0">
      <selection activeCell="A28" sqref="A28:B28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26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94.72</v>
      </c>
      <c r="C4">
        <v>50.08</v>
      </c>
      <c r="D4">
        <v>48.7</v>
      </c>
      <c r="E4">
        <v>41.82</v>
      </c>
      <c r="F4">
        <v>32.01</v>
      </c>
      <c r="G4">
        <v>-13.26</v>
      </c>
      <c r="H4">
        <v>-42.96</v>
      </c>
      <c r="I4">
        <v>22.08</v>
      </c>
      <c r="J4">
        <v>12.67</v>
      </c>
      <c r="K4">
        <v>31.81</v>
      </c>
      <c r="L4">
        <v>4.54</v>
      </c>
      <c r="M4">
        <v>5.71</v>
      </c>
      <c r="N4">
        <v>12.84</v>
      </c>
      <c r="O4">
        <v>0</v>
      </c>
      <c r="P4">
        <v>22.08</v>
      </c>
      <c r="Q4">
        <v>4.95</v>
      </c>
      <c r="R4">
        <v>7.69</v>
      </c>
      <c r="S4">
        <v>-1.83</v>
      </c>
      <c r="T4">
        <v>1.06</v>
      </c>
      <c r="U4">
        <v>3.57</v>
      </c>
    </row>
    <row r="5" spans="1:21" x14ac:dyDescent="0.25">
      <c r="A5">
        <v>2</v>
      </c>
      <c r="B5">
        <v>91.25</v>
      </c>
      <c r="C5">
        <v>48.52</v>
      </c>
      <c r="D5">
        <v>47.73</v>
      </c>
      <c r="E5">
        <v>40.74</v>
      </c>
      <c r="F5">
        <v>31.18</v>
      </c>
      <c r="G5">
        <v>-13.26</v>
      </c>
      <c r="H5">
        <v>-41.81</v>
      </c>
      <c r="I5">
        <v>21.38</v>
      </c>
      <c r="J5">
        <v>12.27</v>
      </c>
      <c r="K5">
        <v>30.83</v>
      </c>
      <c r="L5">
        <v>4.4000000000000004</v>
      </c>
      <c r="M5">
        <v>5.53</v>
      </c>
      <c r="N5">
        <v>12.45</v>
      </c>
      <c r="O5">
        <v>0</v>
      </c>
      <c r="P5">
        <v>21.38</v>
      </c>
      <c r="Q5">
        <v>4.79</v>
      </c>
      <c r="R5">
        <v>7.44</v>
      </c>
      <c r="S5">
        <v>-1.78</v>
      </c>
      <c r="T5">
        <v>1.03</v>
      </c>
      <c r="U5">
        <v>3.46</v>
      </c>
    </row>
    <row r="6" spans="1:21" x14ac:dyDescent="0.25">
      <c r="A6">
        <v>3</v>
      </c>
      <c r="B6">
        <v>88.63</v>
      </c>
      <c r="C6">
        <v>47.34</v>
      </c>
      <c r="D6">
        <v>47.01</v>
      </c>
      <c r="E6">
        <v>39.92</v>
      </c>
      <c r="F6">
        <v>30.57</v>
      </c>
      <c r="G6">
        <v>-13.26</v>
      </c>
      <c r="H6">
        <v>-40.94</v>
      </c>
      <c r="I6">
        <v>20.86</v>
      </c>
      <c r="J6">
        <v>11.97</v>
      </c>
      <c r="K6">
        <v>30.09</v>
      </c>
      <c r="L6">
        <v>4.3</v>
      </c>
      <c r="M6">
        <v>5.4</v>
      </c>
      <c r="N6">
        <v>12.15</v>
      </c>
      <c r="O6">
        <v>0</v>
      </c>
      <c r="P6">
        <v>20.86</v>
      </c>
      <c r="Q6">
        <v>4.67</v>
      </c>
      <c r="R6">
        <v>7.26</v>
      </c>
      <c r="S6">
        <v>-1.74</v>
      </c>
      <c r="T6">
        <v>1</v>
      </c>
      <c r="U6">
        <v>3.38</v>
      </c>
    </row>
    <row r="7" spans="1:21" x14ac:dyDescent="0.25">
      <c r="A7">
        <v>4</v>
      </c>
      <c r="B7">
        <v>87.49</v>
      </c>
      <c r="C7">
        <v>46.83</v>
      </c>
      <c r="D7">
        <v>46.69</v>
      </c>
      <c r="E7">
        <v>39.56</v>
      </c>
      <c r="F7">
        <v>30.3</v>
      </c>
      <c r="G7">
        <v>-13.26</v>
      </c>
      <c r="H7">
        <v>-40.56</v>
      </c>
      <c r="I7">
        <v>20.63</v>
      </c>
      <c r="J7">
        <v>11.84</v>
      </c>
      <c r="K7">
        <v>29.77</v>
      </c>
      <c r="L7">
        <v>4.26</v>
      </c>
      <c r="M7">
        <v>5.34</v>
      </c>
      <c r="N7">
        <v>12.02</v>
      </c>
      <c r="O7">
        <v>0</v>
      </c>
      <c r="P7">
        <v>20.63</v>
      </c>
      <c r="Q7">
        <v>4.6100000000000003</v>
      </c>
      <c r="R7">
        <v>7.18</v>
      </c>
      <c r="S7">
        <v>-1.73</v>
      </c>
      <c r="T7">
        <v>0.99</v>
      </c>
      <c r="U7">
        <v>3.35</v>
      </c>
    </row>
    <row r="8" spans="1:21" x14ac:dyDescent="0.25">
      <c r="A8">
        <v>5</v>
      </c>
      <c r="B8">
        <v>90.04</v>
      </c>
      <c r="C8">
        <v>47.97</v>
      </c>
      <c r="D8">
        <v>47.4</v>
      </c>
      <c r="E8">
        <v>40.36</v>
      </c>
      <c r="F8">
        <v>30.9</v>
      </c>
      <c r="G8">
        <v>-13.26</v>
      </c>
      <c r="H8">
        <v>-41.4</v>
      </c>
      <c r="I8">
        <v>21.14</v>
      </c>
      <c r="J8">
        <v>12.13</v>
      </c>
      <c r="K8">
        <v>30.49</v>
      </c>
      <c r="L8">
        <v>4.3600000000000003</v>
      </c>
      <c r="M8">
        <v>5.47</v>
      </c>
      <c r="N8">
        <v>12.31</v>
      </c>
      <c r="O8">
        <v>0</v>
      </c>
      <c r="P8">
        <v>21.14</v>
      </c>
      <c r="Q8">
        <v>4.7300000000000004</v>
      </c>
      <c r="R8">
        <v>7.36</v>
      </c>
      <c r="S8">
        <v>-1.77</v>
      </c>
      <c r="T8">
        <v>1.02</v>
      </c>
      <c r="U8">
        <v>3.42</v>
      </c>
    </row>
    <row r="9" spans="1:21" x14ac:dyDescent="0.25">
      <c r="A9">
        <v>6</v>
      </c>
      <c r="B9">
        <v>94.83</v>
      </c>
      <c r="C9">
        <v>50.13</v>
      </c>
      <c r="D9">
        <v>48.73</v>
      </c>
      <c r="E9">
        <v>41.86</v>
      </c>
      <c r="F9">
        <v>32.03</v>
      </c>
      <c r="G9">
        <v>-13.26</v>
      </c>
      <c r="H9">
        <v>-42.99</v>
      </c>
      <c r="I9">
        <v>22.1</v>
      </c>
      <c r="J9">
        <v>12.68</v>
      </c>
      <c r="K9">
        <v>31.84</v>
      </c>
      <c r="L9">
        <v>4.54</v>
      </c>
      <c r="M9">
        <v>5.72</v>
      </c>
      <c r="N9">
        <v>12.86</v>
      </c>
      <c r="O9">
        <v>0</v>
      </c>
      <c r="P9">
        <v>22.1</v>
      </c>
      <c r="Q9">
        <v>4.95</v>
      </c>
      <c r="R9">
        <v>7.69</v>
      </c>
      <c r="S9">
        <v>-1.84</v>
      </c>
      <c r="T9">
        <v>1.06</v>
      </c>
      <c r="U9">
        <v>3.57</v>
      </c>
    </row>
    <row r="10" spans="1:21" x14ac:dyDescent="0.25">
      <c r="A10">
        <v>7</v>
      </c>
      <c r="B10">
        <v>96.38</v>
      </c>
      <c r="C10">
        <v>50.83</v>
      </c>
      <c r="D10">
        <v>49.16</v>
      </c>
      <c r="E10">
        <v>42.34</v>
      </c>
      <c r="F10">
        <v>32.4</v>
      </c>
      <c r="G10">
        <v>-13.26</v>
      </c>
      <c r="H10">
        <v>-43.51</v>
      </c>
      <c r="I10">
        <v>22.41</v>
      </c>
      <c r="J10">
        <v>12.86</v>
      </c>
      <c r="K10">
        <v>32.28</v>
      </c>
      <c r="L10">
        <v>4.5999999999999996</v>
      </c>
      <c r="M10">
        <v>5.8</v>
      </c>
      <c r="N10">
        <v>13.03</v>
      </c>
      <c r="O10">
        <v>0</v>
      </c>
      <c r="P10">
        <v>22.41</v>
      </c>
      <c r="Q10">
        <v>5.03</v>
      </c>
      <c r="R10">
        <v>7.8</v>
      </c>
      <c r="S10">
        <v>-1.86</v>
      </c>
      <c r="T10">
        <v>1.08</v>
      </c>
      <c r="U10">
        <v>3.62</v>
      </c>
    </row>
    <row r="11" spans="1:21" x14ac:dyDescent="0.25">
      <c r="A11">
        <v>8</v>
      </c>
      <c r="B11">
        <v>102.59</v>
      </c>
      <c r="C11">
        <v>53.62</v>
      </c>
      <c r="D11">
        <v>50.89</v>
      </c>
      <c r="E11">
        <v>44.28</v>
      </c>
      <c r="F11">
        <v>33.869999999999997</v>
      </c>
      <c r="G11">
        <v>-13.26</v>
      </c>
      <c r="H11">
        <v>-45.56</v>
      </c>
      <c r="I11">
        <v>23.66</v>
      </c>
      <c r="J11">
        <v>13.57</v>
      </c>
      <c r="K11">
        <v>34.04</v>
      </c>
      <c r="L11">
        <v>4.8499999999999996</v>
      </c>
      <c r="M11">
        <v>6.11</v>
      </c>
      <c r="N11">
        <v>13.75</v>
      </c>
      <c r="O11">
        <v>0</v>
      </c>
      <c r="P11">
        <v>23.66</v>
      </c>
      <c r="Q11">
        <v>5.32</v>
      </c>
      <c r="R11">
        <v>8.24</v>
      </c>
      <c r="S11">
        <v>-1.95</v>
      </c>
      <c r="T11">
        <v>1.1299999999999999</v>
      </c>
      <c r="U11">
        <v>3.81</v>
      </c>
    </row>
    <row r="12" spans="1:21" x14ac:dyDescent="0.25">
      <c r="A12">
        <v>9</v>
      </c>
      <c r="B12">
        <v>108.79</v>
      </c>
      <c r="C12">
        <v>56.41</v>
      </c>
      <c r="D12">
        <v>52.61</v>
      </c>
      <c r="E12">
        <v>46.22</v>
      </c>
      <c r="F12">
        <v>35.33</v>
      </c>
      <c r="G12">
        <v>-13.26</v>
      </c>
      <c r="H12">
        <v>-47.62</v>
      </c>
      <c r="I12">
        <v>24.9</v>
      </c>
      <c r="J12">
        <v>14.29</v>
      </c>
      <c r="K12">
        <v>35.799999999999997</v>
      </c>
      <c r="L12">
        <v>5.09</v>
      </c>
      <c r="M12">
        <v>6.43</v>
      </c>
      <c r="N12">
        <v>14.46</v>
      </c>
      <c r="O12">
        <v>0</v>
      </c>
      <c r="P12">
        <v>24.9</v>
      </c>
      <c r="Q12">
        <v>5.6</v>
      </c>
      <c r="R12">
        <v>8.68</v>
      </c>
      <c r="S12">
        <v>-2.04</v>
      </c>
      <c r="T12">
        <v>1.19</v>
      </c>
      <c r="U12">
        <v>4</v>
      </c>
    </row>
    <row r="13" spans="1:21" x14ac:dyDescent="0.25">
      <c r="A13">
        <v>10</v>
      </c>
      <c r="B13">
        <v>113.01</v>
      </c>
      <c r="C13">
        <v>58.3</v>
      </c>
      <c r="D13">
        <v>53.78</v>
      </c>
      <c r="E13">
        <v>47.53</v>
      </c>
      <c r="F13">
        <v>36.33</v>
      </c>
      <c r="G13">
        <v>-13.26</v>
      </c>
      <c r="H13">
        <v>-49.01</v>
      </c>
      <c r="I13">
        <v>25.75</v>
      </c>
      <c r="J13">
        <v>14.77</v>
      </c>
      <c r="K13">
        <v>36.99</v>
      </c>
      <c r="L13">
        <v>5.25</v>
      </c>
      <c r="M13">
        <v>6.65</v>
      </c>
      <c r="N13">
        <v>14.94</v>
      </c>
      <c r="O13">
        <v>0</v>
      </c>
      <c r="P13">
        <v>25.75</v>
      </c>
      <c r="Q13">
        <v>5.8</v>
      </c>
      <c r="R13">
        <v>8.9700000000000006</v>
      </c>
      <c r="S13">
        <v>-2.1</v>
      </c>
      <c r="T13">
        <v>1.23</v>
      </c>
      <c r="U13">
        <v>4.13</v>
      </c>
    </row>
    <row r="14" spans="1:21" x14ac:dyDescent="0.25">
      <c r="A14">
        <v>11</v>
      </c>
      <c r="B14">
        <v>117.38</v>
      </c>
      <c r="C14">
        <v>60.27</v>
      </c>
      <c r="D14">
        <v>55</v>
      </c>
      <c r="E14">
        <v>48.9</v>
      </c>
      <c r="F14">
        <v>37.36</v>
      </c>
      <c r="G14">
        <v>-13.26</v>
      </c>
      <c r="H14">
        <v>-50.46</v>
      </c>
      <c r="I14">
        <v>26.63</v>
      </c>
      <c r="J14">
        <v>15.28</v>
      </c>
      <c r="K14">
        <v>38.229999999999997</v>
      </c>
      <c r="L14">
        <v>5.42</v>
      </c>
      <c r="M14">
        <v>6.87</v>
      </c>
      <c r="N14">
        <v>15.44</v>
      </c>
      <c r="O14">
        <v>0</v>
      </c>
      <c r="P14">
        <v>26.63</v>
      </c>
      <c r="Q14">
        <v>6</v>
      </c>
      <c r="R14">
        <v>9.2799999999999994</v>
      </c>
      <c r="S14">
        <v>-2.17</v>
      </c>
      <c r="T14">
        <v>1.27</v>
      </c>
      <c r="U14">
        <v>4.2699999999999996</v>
      </c>
    </row>
    <row r="15" spans="1:21" x14ac:dyDescent="0.25">
      <c r="A15">
        <v>12</v>
      </c>
      <c r="B15">
        <v>120.7</v>
      </c>
      <c r="C15">
        <v>61.76</v>
      </c>
      <c r="D15">
        <v>55.92</v>
      </c>
      <c r="E15">
        <v>49.93</v>
      </c>
      <c r="F15">
        <v>38.14</v>
      </c>
      <c r="G15">
        <v>-13.26</v>
      </c>
      <c r="H15">
        <v>-51.56</v>
      </c>
      <c r="I15">
        <v>27.29</v>
      </c>
      <c r="J15">
        <v>15.66</v>
      </c>
      <c r="K15">
        <v>39.159999999999997</v>
      </c>
      <c r="L15">
        <v>5.55</v>
      </c>
      <c r="M15">
        <v>7.04</v>
      </c>
      <c r="N15">
        <v>15.82</v>
      </c>
      <c r="O15">
        <v>0</v>
      </c>
      <c r="P15">
        <v>27.29</v>
      </c>
      <c r="Q15">
        <v>6.15</v>
      </c>
      <c r="R15">
        <v>9.51</v>
      </c>
      <c r="S15">
        <v>-2.2200000000000002</v>
      </c>
      <c r="T15">
        <v>1.3</v>
      </c>
      <c r="U15">
        <v>4.37</v>
      </c>
    </row>
    <row r="16" spans="1:21" x14ac:dyDescent="0.25">
      <c r="A16">
        <v>13</v>
      </c>
      <c r="B16">
        <v>120.95</v>
      </c>
      <c r="C16">
        <v>61.87</v>
      </c>
      <c r="D16">
        <v>55.99</v>
      </c>
      <c r="E16">
        <v>50.01</v>
      </c>
      <c r="F16">
        <v>38.200000000000003</v>
      </c>
      <c r="G16">
        <v>-13.26</v>
      </c>
      <c r="H16">
        <v>-51.65</v>
      </c>
      <c r="I16">
        <v>27.34</v>
      </c>
      <c r="J16">
        <v>15.69</v>
      </c>
      <c r="K16">
        <v>39.229999999999997</v>
      </c>
      <c r="L16">
        <v>5.56</v>
      </c>
      <c r="M16">
        <v>7.05</v>
      </c>
      <c r="N16">
        <v>15.85</v>
      </c>
      <c r="O16">
        <v>0</v>
      </c>
      <c r="P16">
        <v>27.34</v>
      </c>
      <c r="Q16">
        <v>6.17</v>
      </c>
      <c r="R16">
        <v>9.5299999999999994</v>
      </c>
      <c r="S16">
        <v>-2.2200000000000002</v>
      </c>
      <c r="T16">
        <v>1.3</v>
      </c>
      <c r="U16">
        <v>4.38</v>
      </c>
    </row>
    <row r="17" spans="1:21" x14ac:dyDescent="0.25">
      <c r="A17">
        <v>14</v>
      </c>
      <c r="B17">
        <v>122.5</v>
      </c>
      <c r="C17">
        <v>62.55</v>
      </c>
      <c r="D17">
        <v>56.39</v>
      </c>
      <c r="E17">
        <v>50.46</v>
      </c>
      <c r="F17">
        <v>38.549999999999997</v>
      </c>
      <c r="G17">
        <v>-13.26</v>
      </c>
      <c r="H17">
        <v>-52.09</v>
      </c>
      <c r="I17">
        <v>27.42</v>
      </c>
      <c r="J17">
        <v>15.83</v>
      </c>
      <c r="K17">
        <v>39.69</v>
      </c>
      <c r="L17">
        <v>5.58</v>
      </c>
      <c r="M17">
        <v>7.14</v>
      </c>
      <c r="N17">
        <v>16.05</v>
      </c>
      <c r="O17">
        <v>-0.5</v>
      </c>
      <c r="P17">
        <v>27.92</v>
      </c>
      <c r="Q17">
        <v>6.32</v>
      </c>
      <c r="R17">
        <v>9.7100000000000009</v>
      </c>
      <c r="S17">
        <v>-2.19</v>
      </c>
      <c r="T17">
        <v>1.31</v>
      </c>
      <c r="U17">
        <v>4.4000000000000004</v>
      </c>
    </row>
    <row r="18" spans="1:21" x14ac:dyDescent="0.25">
      <c r="A18">
        <v>15</v>
      </c>
      <c r="B18">
        <v>124.63</v>
      </c>
      <c r="C18">
        <v>63.49</v>
      </c>
      <c r="D18">
        <v>56.93</v>
      </c>
      <c r="E18">
        <v>51.07</v>
      </c>
      <c r="F18">
        <v>39.03</v>
      </c>
      <c r="G18">
        <v>-13.26</v>
      </c>
      <c r="H18">
        <v>-52.66</v>
      </c>
      <c r="I18">
        <v>27.42</v>
      </c>
      <c r="J18">
        <v>16.02</v>
      </c>
      <c r="K18">
        <v>40.340000000000003</v>
      </c>
      <c r="L18">
        <v>5.58</v>
      </c>
      <c r="M18">
        <v>7.28</v>
      </c>
      <c r="N18">
        <v>16.329999999999998</v>
      </c>
      <c r="O18">
        <v>-1.46</v>
      </c>
      <c r="P18">
        <v>28.88</v>
      </c>
      <c r="Q18">
        <v>6.57</v>
      </c>
      <c r="R18">
        <v>10</v>
      </c>
      <c r="S18">
        <v>-2.12</v>
      </c>
      <c r="T18">
        <v>1.32</v>
      </c>
      <c r="U18">
        <v>4.42</v>
      </c>
    </row>
    <row r="19" spans="1:21" x14ac:dyDescent="0.25">
      <c r="A19">
        <v>16</v>
      </c>
      <c r="B19">
        <v>125.17</v>
      </c>
      <c r="C19">
        <v>63.73</v>
      </c>
      <c r="D19">
        <v>57.07</v>
      </c>
      <c r="E19">
        <v>51.22</v>
      </c>
      <c r="F19">
        <v>39.15</v>
      </c>
      <c r="G19">
        <v>-13.26</v>
      </c>
      <c r="H19">
        <v>-52.8</v>
      </c>
      <c r="I19">
        <v>27.42</v>
      </c>
      <c r="J19">
        <v>16.07</v>
      </c>
      <c r="K19">
        <v>40.51</v>
      </c>
      <c r="L19">
        <v>5.58</v>
      </c>
      <c r="M19">
        <v>7.31</v>
      </c>
      <c r="N19">
        <v>16.399999999999999</v>
      </c>
      <c r="O19">
        <v>-1.69</v>
      </c>
      <c r="P19">
        <v>29.11</v>
      </c>
      <c r="Q19">
        <v>6.63</v>
      </c>
      <c r="R19">
        <v>10.07</v>
      </c>
      <c r="S19">
        <v>-2.1</v>
      </c>
      <c r="T19">
        <v>1.33</v>
      </c>
      <c r="U19">
        <v>4.42</v>
      </c>
    </row>
    <row r="20" spans="1:21" x14ac:dyDescent="0.25">
      <c r="A20">
        <v>17</v>
      </c>
      <c r="B20">
        <v>124.71</v>
      </c>
      <c r="C20">
        <v>63.52</v>
      </c>
      <c r="D20">
        <v>56.95</v>
      </c>
      <c r="E20">
        <v>51.09</v>
      </c>
      <c r="F20">
        <v>39.049999999999997</v>
      </c>
      <c r="G20">
        <v>-13.26</v>
      </c>
      <c r="H20">
        <v>-52.68</v>
      </c>
      <c r="I20">
        <v>27.42</v>
      </c>
      <c r="J20">
        <v>16.03</v>
      </c>
      <c r="K20">
        <v>40.369999999999997</v>
      </c>
      <c r="L20">
        <v>5.58</v>
      </c>
      <c r="M20">
        <v>7.28</v>
      </c>
      <c r="N20">
        <v>16.34</v>
      </c>
      <c r="O20">
        <v>-1.49</v>
      </c>
      <c r="P20">
        <v>28.91</v>
      </c>
      <c r="Q20">
        <v>6.58</v>
      </c>
      <c r="R20">
        <v>10.01</v>
      </c>
      <c r="S20">
        <v>-2.12</v>
      </c>
      <c r="T20">
        <v>1.32</v>
      </c>
      <c r="U20">
        <v>4.42</v>
      </c>
    </row>
    <row r="21" spans="1:21" x14ac:dyDescent="0.25">
      <c r="A21">
        <v>18</v>
      </c>
      <c r="B21">
        <v>123.44</v>
      </c>
      <c r="C21">
        <v>62.97</v>
      </c>
      <c r="D21">
        <v>56.63</v>
      </c>
      <c r="E21">
        <v>50.73</v>
      </c>
      <c r="F21">
        <v>38.76</v>
      </c>
      <c r="G21">
        <v>-13.26</v>
      </c>
      <c r="H21">
        <v>-52.34</v>
      </c>
      <c r="I21">
        <v>27.42</v>
      </c>
      <c r="J21">
        <v>15.92</v>
      </c>
      <c r="K21">
        <v>39.979999999999997</v>
      </c>
      <c r="L21">
        <v>5.58</v>
      </c>
      <c r="M21">
        <v>7.2</v>
      </c>
      <c r="N21">
        <v>16.170000000000002</v>
      </c>
      <c r="O21">
        <v>-0.92</v>
      </c>
      <c r="P21">
        <v>28.34</v>
      </c>
      <c r="Q21">
        <v>6.43</v>
      </c>
      <c r="R21">
        <v>9.84</v>
      </c>
      <c r="S21">
        <v>-2.16</v>
      </c>
      <c r="T21">
        <v>1.32</v>
      </c>
      <c r="U21">
        <v>4.41</v>
      </c>
    </row>
    <row r="22" spans="1:21" x14ac:dyDescent="0.25">
      <c r="A22">
        <v>19</v>
      </c>
      <c r="B22">
        <v>128.11000000000001</v>
      </c>
      <c r="C22">
        <v>65.02</v>
      </c>
      <c r="D22">
        <v>57.82</v>
      </c>
      <c r="E22">
        <v>52.06</v>
      </c>
      <c r="F22">
        <v>39.81</v>
      </c>
      <c r="G22">
        <v>-13.26</v>
      </c>
      <c r="H22">
        <v>-53.59</v>
      </c>
      <c r="I22">
        <v>27.42</v>
      </c>
      <c r="J22">
        <v>16.329999999999998</v>
      </c>
      <c r="K22">
        <v>41.4</v>
      </c>
      <c r="L22">
        <v>5.57</v>
      </c>
      <c r="M22">
        <v>7.5</v>
      </c>
      <c r="N22">
        <v>16.79</v>
      </c>
      <c r="O22">
        <v>-3.01</v>
      </c>
      <c r="P22">
        <v>30.43</v>
      </c>
      <c r="Q22">
        <v>6.98</v>
      </c>
      <c r="R22">
        <v>10.47</v>
      </c>
      <c r="S22">
        <v>-2</v>
      </c>
      <c r="T22">
        <v>1.34</v>
      </c>
      <c r="U22">
        <v>4.45</v>
      </c>
    </row>
    <row r="23" spans="1:21" x14ac:dyDescent="0.25">
      <c r="A23">
        <v>20</v>
      </c>
      <c r="B23">
        <v>129.81</v>
      </c>
      <c r="C23">
        <v>65.77</v>
      </c>
      <c r="D23">
        <v>58.25</v>
      </c>
      <c r="E23">
        <v>52.54</v>
      </c>
      <c r="F23">
        <v>40.19</v>
      </c>
      <c r="G23">
        <v>-13.26</v>
      </c>
      <c r="H23">
        <v>-54.05</v>
      </c>
      <c r="I23">
        <v>27.42</v>
      </c>
      <c r="J23">
        <v>16.48</v>
      </c>
      <c r="K23">
        <v>41.92</v>
      </c>
      <c r="L23">
        <v>5.57</v>
      </c>
      <c r="M23">
        <v>7.61</v>
      </c>
      <c r="N23">
        <v>17.010000000000002</v>
      </c>
      <c r="O23">
        <v>-3.77</v>
      </c>
      <c r="P23">
        <v>31.19</v>
      </c>
      <c r="Q23">
        <v>7.19</v>
      </c>
      <c r="R23">
        <v>10.7</v>
      </c>
      <c r="S23">
        <v>-1.95</v>
      </c>
      <c r="T23">
        <v>1.35</v>
      </c>
      <c r="U23">
        <v>4.46</v>
      </c>
    </row>
    <row r="24" spans="1:21" x14ac:dyDescent="0.25">
      <c r="A24">
        <v>21</v>
      </c>
      <c r="B24">
        <v>127.44</v>
      </c>
      <c r="C24">
        <v>64.72</v>
      </c>
      <c r="D24">
        <v>57.65</v>
      </c>
      <c r="E24">
        <v>51.87</v>
      </c>
      <c r="F24">
        <v>39.659999999999997</v>
      </c>
      <c r="G24">
        <v>-13.26</v>
      </c>
      <c r="H24">
        <v>-53.41</v>
      </c>
      <c r="I24">
        <v>27.42</v>
      </c>
      <c r="J24">
        <v>16.27</v>
      </c>
      <c r="K24">
        <v>41.2</v>
      </c>
      <c r="L24">
        <v>5.57</v>
      </c>
      <c r="M24">
        <v>7.46</v>
      </c>
      <c r="N24">
        <v>16.7</v>
      </c>
      <c r="O24">
        <v>-2.71</v>
      </c>
      <c r="P24">
        <v>30.13</v>
      </c>
      <c r="Q24">
        <v>6.9</v>
      </c>
      <c r="R24">
        <v>10.38</v>
      </c>
      <c r="S24">
        <v>-2.0299999999999998</v>
      </c>
      <c r="T24">
        <v>1.34</v>
      </c>
      <c r="U24">
        <v>4.4400000000000004</v>
      </c>
    </row>
    <row r="25" spans="1:21" x14ac:dyDescent="0.25">
      <c r="A25">
        <v>22</v>
      </c>
      <c r="B25">
        <v>122.9</v>
      </c>
      <c r="C25">
        <v>62.73</v>
      </c>
      <c r="D25">
        <v>56.49</v>
      </c>
      <c r="E25">
        <v>50.57</v>
      </c>
      <c r="F25">
        <v>38.64</v>
      </c>
      <c r="G25">
        <v>-13.26</v>
      </c>
      <c r="H25">
        <v>-52.2</v>
      </c>
      <c r="I25">
        <v>27.42</v>
      </c>
      <c r="J25">
        <v>15.87</v>
      </c>
      <c r="K25">
        <v>39.82</v>
      </c>
      <c r="L25">
        <v>5.58</v>
      </c>
      <c r="M25">
        <v>7.17</v>
      </c>
      <c r="N25">
        <v>16.100000000000001</v>
      </c>
      <c r="O25">
        <v>-0.68</v>
      </c>
      <c r="P25">
        <v>28.1</v>
      </c>
      <c r="Q25">
        <v>6.37</v>
      </c>
      <c r="R25">
        <v>9.77</v>
      </c>
      <c r="S25">
        <v>-2.1800000000000002</v>
      </c>
      <c r="T25">
        <v>1.32</v>
      </c>
      <c r="U25">
        <v>4.4000000000000004</v>
      </c>
    </row>
    <row r="26" spans="1:21" x14ac:dyDescent="0.25">
      <c r="A26">
        <v>23</v>
      </c>
      <c r="B26">
        <v>114.98</v>
      </c>
      <c r="C26">
        <v>59.19</v>
      </c>
      <c r="D26">
        <v>54.33</v>
      </c>
      <c r="E26">
        <v>48.15</v>
      </c>
      <c r="F26">
        <v>36.79</v>
      </c>
      <c r="G26">
        <v>-13.26</v>
      </c>
      <c r="H26">
        <v>-49.67</v>
      </c>
      <c r="I26">
        <v>26.14</v>
      </c>
      <c r="J26">
        <v>15</v>
      </c>
      <c r="K26">
        <v>37.549999999999997</v>
      </c>
      <c r="L26">
        <v>5.33</v>
      </c>
      <c r="M26">
        <v>6.75</v>
      </c>
      <c r="N26">
        <v>15.17</v>
      </c>
      <c r="O26">
        <v>0</v>
      </c>
      <c r="P26">
        <v>26.14</v>
      </c>
      <c r="Q26">
        <v>5.89</v>
      </c>
      <c r="R26">
        <v>9.11</v>
      </c>
      <c r="S26">
        <v>-2.13</v>
      </c>
      <c r="T26">
        <v>1.25</v>
      </c>
      <c r="U26">
        <v>4.1900000000000004</v>
      </c>
    </row>
    <row r="27" spans="1:21" x14ac:dyDescent="0.25">
      <c r="A27">
        <v>24</v>
      </c>
      <c r="B27">
        <v>107.43</v>
      </c>
      <c r="C27">
        <v>55.79</v>
      </c>
      <c r="D27">
        <v>52.24</v>
      </c>
      <c r="E27">
        <v>45.79</v>
      </c>
      <c r="F27">
        <v>35.01</v>
      </c>
      <c r="G27">
        <v>-13.26</v>
      </c>
      <c r="H27">
        <v>-47.17</v>
      </c>
      <c r="I27">
        <v>24.63</v>
      </c>
      <c r="J27">
        <v>14.13</v>
      </c>
      <c r="K27">
        <v>35.409999999999997</v>
      </c>
      <c r="L27">
        <v>5.03</v>
      </c>
      <c r="M27">
        <v>6.36</v>
      </c>
      <c r="N27">
        <v>14.3</v>
      </c>
      <c r="O27">
        <v>0</v>
      </c>
      <c r="P27">
        <v>24.63</v>
      </c>
      <c r="Q27">
        <v>5.54</v>
      </c>
      <c r="R27">
        <v>8.58</v>
      </c>
      <c r="S27">
        <v>-2.02</v>
      </c>
      <c r="T27">
        <v>1.18</v>
      </c>
      <c r="U27">
        <v>3.96</v>
      </c>
    </row>
    <row r="28" spans="1:21" x14ac:dyDescent="0.25">
      <c r="A28" s="4" t="s">
        <v>71</v>
      </c>
      <c r="B28" s="4" cm="1">
        <f t="array" ref="B28">MAX(ABS(B4:B27))</f>
        <v>129.81</v>
      </c>
      <c r="C28" s="4" cm="1">
        <f t="array" ref="C28">MAX(ABS(C4:C27))</f>
        <v>65.77</v>
      </c>
      <c r="D28" s="4" cm="1">
        <f t="array" ref="D28">MAX(ABS(D4:D27))</f>
        <v>58.25</v>
      </c>
      <c r="E28" s="4" cm="1">
        <f t="array" ref="E28">MAX(ABS(E4:E27))</f>
        <v>52.54</v>
      </c>
      <c r="F28" s="4" cm="1">
        <f t="array" ref="F28">MAX(ABS(F4:F27))</f>
        <v>40.19</v>
      </c>
      <c r="G28" s="4" cm="1">
        <f t="array" ref="G28">MAX(ABS(G4:G27))</f>
        <v>13.26</v>
      </c>
      <c r="H28" s="4" cm="1">
        <f t="array" ref="H28">MAX(ABS(H4:H27))</f>
        <v>54.05</v>
      </c>
      <c r="I28" s="4" cm="1">
        <f t="array" ref="I28">MAX(ABS(I4:I27))</f>
        <v>27.42</v>
      </c>
      <c r="J28" s="4" cm="1">
        <f t="array" ref="J28">MAX(ABS(J4:J27))</f>
        <v>16.48</v>
      </c>
      <c r="K28" s="4" cm="1">
        <f t="array" ref="K28">MAX(ABS(K4:K27))</f>
        <v>41.92</v>
      </c>
      <c r="L28" s="4" cm="1">
        <f t="array" ref="L28">MAX(ABS(L4:L27))</f>
        <v>5.58</v>
      </c>
      <c r="M28" s="4" cm="1">
        <f t="array" ref="M28">MAX(ABS(M4:M27))</f>
        <v>7.61</v>
      </c>
      <c r="N28" s="4" cm="1">
        <f t="array" ref="N28">MAX(ABS(N4:N27))</f>
        <v>17.010000000000002</v>
      </c>
      <c r="O28" s="4" cm="1">
        <f t="array" ref="O28">MAX(ABS(O4:O27))</f>
        <v>3.77</v>
      </c>
      <c r="P28" s="4" cm="1">
        <f t="array" ref="P28">MAX(ABS(P4:P27))</f>
        <v>31.19</v>
      </c>
      <c r="Q28" s="4" cm="1">
        <f t="array" ref="Q28">MAX(ABS(Q4:Q27))</f>
        <v>7.19</v>
      </c>
      <c r="R28" s="4" cm="1">
        <f t="array" ref="R28">MAX(ABS(R4:R27))</f>
        <v>10.7</v>
      </c>
      <c r="S28" s="4" cm="1">
        <f t="array" ref="S28">MAX(ABS(S4:S27))</f>
        <v>2.2200000000000002</v>
      </c>
      <c r="T28" s="4" cm="1">
        <f t="array" ref="T28">MAX(ABS(T4:T27))</f>
        <v>1.35</v>
      </c>
      <c r="U28" s="4" cm="1">
        <f t="array" ref="U28">MAX(ABS(U4:U27))</f>
        <v>4.46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48</v>
      </c>
    </row>
    <row r="3" spans="1:15" x14ac:dyDescent="0.25">
      <c r="A3" s="2" t="s">
        <v>15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</row>
    <row r="4" spans="1:15" x14ac:dyDescent="0.25">
      <c r="A4">
        <v>1</v>
      </c>
      <c r="B4">
        <v>0</v>
      </c>
      <c r="C4">
        <v>-3.2111999999999998</v>
      </c>
      <c r="D4">
        <v>-8.7352000000000007</v>
      </c>
      <c r="E4">
        <v>-7.4362000000000004</v>
      </c>
      <c r="F4">
        <v>-6.3997999999999999</v>
      </c>
      <c r="G4">
        <v>-10.993499999999999</v>
      </c>
      <c r="H4">
        <v>-10.0815</v>
      </c>
      <c r="I4">
        <v>-10.0815</v>
      </c>
      <c r="J4">
        <v>-11.473000000000001</v>
      </c>
      <c r="K4">
        <v>-11.7127</v>
      </c>
      <c r="L4">
        <v>-11.5108</v>
      </c>
      <c r="M4">
        <v>-11.8307</v>
      </c>
      <c r="N4">
        <v>-11.952199999999999</v>
      </c>
      <c r="O4">
        <v>-12.6639</v>
      </c>
    </row>
    <row r="5" spans="1:15" x14ac:dyDescent="0.25">
      <c r="A5">
        <v>2</v>
      </c>
      <c r="B5">
        <v>0</v>
      </c>
      <c r="C5">
        <v>-3.0935000000000001</v>
      </c>
      <c r="D5">
        <v>-8.5079999999999991</v>
      </c>
      <c r="E5">
        <v>-7.2089999999999996</v>
      </c>
      <c r="F5">
        <v>-6.2003000000000004</v>
      </c>
      <c r="G5">
        <v>-10.652100000000001</v>
      </c>
      <c r="H5">
        <v>-9.7707999999999995</v>
      </c>
      <c r="I5">
        <v>-9.7707999999999995</v>
      </c>
      <c r="J5">
        <v>-11.118399999999999</v>
      </c>
      <c r="K5">
        <v>-11.350300000000001</v>
      </c>
      <c r="L5">
        <v>-11.154</v>
      </c>
      <c r="M5">
        <v>-11.4633</v>
      </c>
      <c r="N5">
        <v>-11.581099999999999</v>
      </c>
      <c r="O5">
        <v>-12.2714</v>
      </c>
    </row>
    <row r="6" spans="1:15" x14ac:dyDescent="0.25">
      <c r="A6">
        <v>3</v>
      </c>
      <c r="B6">
        <v>0</v>
      </c>
      <c r="C6">
        <v>-3.0047999999999999</v>
      </c>
      <c r="D6">
        <v>-8.3366000000000007</v>
      </c>
      <c r="E6">
        <v>-7.0376000000000003</v>
      </c>
      <c r="F6">
        <v>-6.0499000000000001</v>
      </c>
      <c r="G6">
        <v>-10.394600000000001</v>
      </c>
      <c r="H6">
        <v>-9.5364000000000004</v>
      </c>
      <c r="I6">
        <v>-9.5364000000000004</v>
      </c>
      <c r="J6">
        <v>-10.850899999999999</v>
      </c>
      <c r="K6">
        <v>-11.0769</v>
      </c>
      <c r="L6">
        <v>-10.8849</v>
      </c>
      <c r="M6">
        <v>-11.186199999999999</v>
      </c>
      <c r="N6">
        <v>-11.3012</v>
      </c>
      <c r="O6">
        <v>-11.9754</v>
      </c>
    </row>
    <row r="7" spans="1:15" x14ac:dyDescent="0.25">
      <c r="A7">
        <v>4</v>
      </c>
      <c r="B7">
        <v>0</v>
      </c>
      <c r="C7">
        <v>-2.9661</v>
      </c>
      <c r="D7">
        <v>-8.2620000000000005</v>
      </c>
      <c r="E7">
        <v>-6.9630999999999998</v>
      </c>
      <c r="F7">
        <v>-5.9843999999999999</v>
      </c>
      <c r="G7">
        <v>-10.2826</v>
      </c>
      <c r="H7">
        <v>-9.4344999999999999</v>
      </c>
      <c r="I7">
        <v>-9.4344999999999999</v>
      </c>
      <c r="J7">
        <v>-10.7346</v>
      </c>
      <c r="K7">
        <v>-10.958</v>
      </c>
      <c r="L7">
        <v>-10.767799999999999</v>
      </c>
      <c r="M7">
        <v>-11.0656</v>
      </c>
      <c r="N7">
        <v>-11.179399999999999</v>
      </c>
      <c r="O7">
        <v>-11.8466</v>
      </c>
    </row>
    <row r="8" spans="1:15" x14ac:dyDescent="0.25">
      <c r="A8">
        <v>5</v>
      </c>
      <c r="B8">
        <v>0</v>
      </c>
      <c r="C8">
        <v>-3.0524</v>
      </c>
      <c r="D8">
        <v>-8.4285999999999994</v>
      </c>
      <c r="E8">
        <v>-7.1295999999999999</v>
      </c>
      <c r="F8">
        <v>-6.1307</v>
      </c>
      <c r="G8">
        <v>-10.5329</v>
      </c>
      <c r="H8">
        <v>-9.6622000000000003</v>
      </c>
      <c r="I8">
        <v>-9.6622000000000003</v>
      </c>
      <c r="J8">
        <v>-10.9945</v>
      </c>
      <c r="K8">
        <v>-11.223599999999999</v>
      </c>
      <c r="L8">
        <v>-11.029400000000001</v>
      </c>
      <c r="M8">
        <v>-11.334899999999999</v>
      </c>
      <c r="N8">
        <v>-11.451499999999999</v>
      </c>
      <c r="O8">
        <v>-12.1343</v>
      </c>
    </row>
    <row r="9" spans="1:15" x14ac:dyDescent="0.25">
      <c r="A9">
        <v>6</v>
      </c>
      <c r="B9">
        <v>0</v>
      </c>
      <c r="C9">
        <v>-3.2149000000000001</v>
      </c>
      <c r="D9">
        <v>-8.7422000000000004</v>
      </c>
      <c r="E9">
        <v>-7.4432</v>
      </c>
      <c r="F9">
        <v>-6.4059999999999997</v>
      </c>
      <c r="G9">
        <v>-11.004099999999999</v>
      </c>
      <c r="H9">
        <v>-10.091100000000001</v>
      </c>
      <c r="I9">
        <v>-10.091100000000001</v>
      </c>
      <c r="J9">
        <v>-11.484</v>
      </c>
      <c r="K9">
        <v>-11.7239</v>
      </c>
      <c r="L9">
        <v>-11.5219</v>
      </c>
      <c r="M9">
        <v>-11.842000000000001</v>
      </c>
      <c r="N9">
        <v>-11.963699999999999</v>
      </c>
      <c r="O9">
        <v>-12.676</v>
      </c>
    </row>
    <row r="10" spans="1:15" x14ac:dyDescent="0.25">
      <c r="A10">
        <v>7</v>
      </c>
      <c r="B10">
        <v>0</v>
      </c>
      <c r="C10">
        <v>-3.2675999999999998</v>
      </c>
      <c r="D10">
        <v>-8.8438999999999997</v>
      </c>
      <c r="E10">
        <v>-7.5449000000000002</v>
      </c>
      <c r="F10">
        <v>-6.4951999999999996</v>
      </c>
      <c r="G10">
        <v>-11.1569</v>
      </c>
      <c r="H10">
        <v>-10.2301</v>
      </c>
      <c r="I10">
        <v>-10.2301</v>
      </c>
      <c r="J10">
        <v>-11.6427</v>
      </c>
      <c r="K10">
        <v>-11.886100000000001</v>
      </c>
      <c r="L10">
        <v>-11.6816</v>
      </c>
      <c r="M10">
        <v>-12.006500000000001</v>
      </c>
      <c r="N10">
        <v>-12.129799999999999</v>
      </c>
      <c r="O10">
        <v>-12.851699999999999</v>
      </c>
    </row>
    <row r="11" spans="1:15" x14ac:dyDescent="0.25">
      <c r="A11">
        <v>8</v>
      </c>
      <c r="B11">
        <v>0</v>
      </c>
      <c r="C11">
        <v>-3.4781</v>
      </c>
      <c r="D11">
        <v>-9.2504000000000008</v>
      </c>
      <c r="E11">
        <v>-7.9513999999999996</v>
      </c>
      <c r="F11">
        <v>-6.8521000000000001</v>
      </c>
      <c r="G11">
        <v>-11.7677</v>
      </c>
      <c r="H11">
        <v>-10.786</v>
      </c>
      <c r="I11">
        <v>-10.786</v>
      </c>
      <c r="J11">
        <v>-12.277100000000001</v>
      </c>
      <c r="K11">
        <v>-12.5345</v>
      </c>
      <c r="L11">
        <v>-12.319900000000001</v>
      </c>
      <c r="M11">
        <v>-12.6638</v>
      </c>
      <c r="N11">
        <v>-12.793699999999999</v>
      </c>
      <c r="O11">
        <v>-13.553900000000001</v>
      </c>
    </row>
    <row r="12" spans="1:15" x14ac:dyDescent="0.25">
      <c r="A12">
        <v>9</v>
      </c>
      <c r="B12">
        <v>0</v>
      </c>
      <c r="C12">
        <v>-3.6882999999999999</v>
      </c>
      <c r="D12">
        <v>-9.6561000000000003</v>
      </c>
      <c r="E12">
        <v>-8.3571000000000009</v>
      </c>
      <c r="F12">
        <v>-7.2081999999999997</v>
      </c>
      <c r="G12">
        <v>-12.3772</v>
      </c>
      <c r="H12">
        <v>-11.3407</v>
      </c>
      <c r="I12">
        <v>-11.3407</v>
      </c>
      <c r="J12">
        <v>-12.910299999999999</v>
      </c>
      <c r="K12">
        <v>-13.1815</v>
      </c>
      <c r="L12">
        <v>-12.957000000000001</v>
      </c>
      <c r="M12">
        <v>-13.319800000000001</v>
      </c>
      <c r="N12">
        <v>-13.456300000000001</v>
      </c>
      <c r="O12">
        <v>-14.2546</v>
      </c>
    </row>
    <row r="13" spans="1:15" x14ac:dyDescent="0.25">
      <c r="A13">
        <v>10</v>
      </c>
      <c r="B13">
        <v>0</v>
      </c>
      <c r="C13">
        <v>-3.8311000000000002</v>
      </c>
      <c r="D13">
        <v>-9.9318000000000008</v>
      </c>
      <c r="E13">
        <v>-8.6328999999999994</v>
      </c>
      <c r="F13">
        <v>-7.4503000000000004</v>
      </c>
      <c r="G13">
        <v>-12.791499999999999</v>
      </c>
      <c r="H13">
        <v>-11.7178</v>
      </c>
      <c r="I13">
        <v>-11.7178</v>
      </c>
      <c r="J13">
        <v>-13.3407</v>
      </c>
      <c r="K13">
        <v>-13.6214</v>
      </c>
      <c r="L13">
        <v>-13.39</v>
      </c>
      <c r="M13">
        <v>-13.765700000000001</v>
      </c>
      <c r="N13">
        <v>-13.906599999999999</v>
      </c>
      <c r="O13">
        <v>-14.731</v>
      </c>
    </row>
    <row r="14" spans="1:15" x14ac:dyDescent="0.25">
      <c r="A14">
        <v>11</v>
      </c>
      <c r="B14">
        <v>0</v>
      </c>
      <c r="C14">
        <v>-3.9794999999999998</v>
      </c>
      <c r="D14">
        <v>-10.2182</v>
      </c>
      <c r="E14">
        <v>-8.9192999999999998</v>
      </c>
      <c r="F14">
        <v>-7.7016999999999998</v>
      </c>
      <c r="G14">
        <v>-13.2219</v>
      </c>
      <c r="H14">
        <v>-12.109500000000001</v>
      </c>
      <c r="I14">
        <v>-12.109500000000001</v>
      </c>
      <c r="J14">
        <v>-13.787699999999999</v>
      </c>
      <c r="K14">
        <v>-14.078200000000001</v>
      </c>
      <c r="L14">
        <v>-13.8398</v>
      </c>
      <c r="M14">
        <v>-14.2288</v>
      </c>
      <c r="N14">
        <v>-14.374499999999999</v>
      </c>
      <c r="O14">
        <v>-15.2257</v>
      </c>
    </row>
    <row r="15" spans="1:15" x14ac:dyDescent="0.25">
      <c r="A15">
        <v>12</v>
      </c>
      <c r="B15">
        <v>0</v>
      </c>
      <c r="C15">
        <v>-4.0918999999999999</v>
      </c>
      <c r="D15">
        <v>-10.435</v>
      </c>
      <c r="E15">
        <v>-9.1359999999999992</v>
      </c>
      <c r="F15">
        <v>-7.8918999999999997</v>
      </c>
      <c r="G15">
        <v>-13.546900000000001</v>
      </c>
      <c r="H15">
        <v>-12.4054</v>
      </c>
      <c r="I15">
        <v>-12.4054</v>
      </c>
      <c r="J15">
        <v>-14.125299999999999</v>
      </c>
      <c r="K15">
        <v>-14.4232</v>
      </c>
      <c r="L15">
        <v>-14.179399999999999</v>
      </c>
      <c r="M15">
        <v>-14.5785</v>
      </c>
      <c r="N15">
        <v>-14.727600000000001</v>
      </c>
      <c r="O15">
        <v>-15.599299999999999</v>
      </c>
    </row>
    <row r="16" spans="1:15" x14ac:dyDescent="0.25">
      <c r="A16">
        <v>13</v>
      </c>
      <c r="B16">
        <v>0</v>
      </c>
      <c r="C16">
        <v>-4.1006</v>
      </c>
      <c r="D16">
        <v>-10.451700000000001</v>
      </c>
      <c r="E16">
        <v>-9.1526999999999994</v>
      </c>
      <c r="F16">
        <v>-7.9066000000000001</v>
      </c>
      <c r="G16">
        <v>-13.571899999999999</v>
      </c>
      <c r="H16">
        <v>-12.4282</v>
      </c>
      <c r="I16">
        <v>-12.4282</v>
      </c>
      <c r="J16">
        <v>-14.151199999999999</v>
      </c>
      <c r="K16">
        <v>-14.4497</v>
      </c>
      <c r="L16">
        <v>-14.205500000000001</v>
      </c>
      <c r="M16">
        <v>-14.605399999999999</v>
      </c>
      <c r="N16">
        <v>-14.754799999999999</v>
      </c>
      <c r="O16">
        <v>-15.628</v>
      </c>
    </row>
    <row r="17" spans="1:15" x14ac:dyDescent="0.25">
      <c r="A17">
        <v>14</v>
      </c>
      <c r="B17">
        <v>0</v>
      </c>
      <c r="C17">
        <v>-4.1528999999999998</v>
      </c>
      <c r="D17">
        <v>-10.5496</v>
      </c>
      <c r="E17">
        <v>-9.2506000000000004</v>
      </c>
      <c r="F17">
        <v>-7.9938000000000002</v>
      </c>
      <c r="G17">
        <v>-13.7255</v>
      </c>
      <c r="H17">
        <v>-12.536</v>
      </c>
      <c r="I17">
        <v>-12.485300000000001</v>
      </c>
      <c r="J17">
        <v>-14.295999999999999</v>
      </c>
      <c r="K17">
        <v>-14.601900000000001</v>
      </c>
      <c r="L17">
        <v>-14.361000000000001</v>
      </c>
      <c r="M17">
        <v>-14.7727</v>
      </c>
      <c r="N17">
        <v>-14.9231</v>
      </c>
      <c r="O17">
        <v>-15.800700000000001</v>
      </c>
    </row>
    <row r="18" spans="1:15" x14ac:dyDescent="0.25">
      <c r="A18">
        <v>15</v>
      </c>
      <c r="B18">
        <v>0</v>
      </c>
      <c r="C18">
        <v>-4.2252999999999998</v>
      </c>
      <c r="D18">
        <v>-10.683299999999999</v>
      </c>
      <c r="E18">
        <v>-9.3842999999999996</v>
      </c>
      <c r="F18">
        <v>-8.1136999999999997</v>
      </c>
      <c r="G18">
        <v>-13.939299999999999</v>
      </c>
      <c r="H18">
        <v>-12.669700000000001</v>
      </c>
      <c r="I18">
        <v>-12.5228</v>
      </c>
      <c r="J18">
        <v>-14.489699999999999</v>
      </c>
      <c r="K18">
        <v>-14.8078</v>
      </c>
      <c r="L18">
        <v>-14.5747</v>
      </c>
      <c r="M18">
        <v>-15.0063</v>
      </c>
      <c r="N18">
        <v>-15.157999999999999</v>
      </c>
      <c r="O18">
        <v>-16.038900000000002</v>
      </c>
    </row>
    <row r="19" spans="1:15" x14ac:dyDescent="0.25">
      <c r="A19">
        <v>16</v>
      </c>
      <c r="B19">
        <v>0</v>
      </c>
      <c r="C19">
        <v>-4.2432999999999996</v>
      </c>
      <c r="D19">
        <v>-10.7166</v>
      </c>
      <c r="E19">
        <v>-9.4176000000000002</v>
      </c>
      <c r="F19">
        <v>-8.1435999999999993</v>
      </c>
      <c r="G19">
        <v>-13.992599999999999</v>
      </c>
      <c r="H19">
        <v>-12.702999999999999</v>
      </c>
      <c r="I19">
        <v>-12.5322</v>
      </c>
      <c r="J19">
        <v>-14.538</v>
      </c>
      <c r="K19">
        <v>-14.8592</v>
      </c>
      <c r="L19">
        <v>-14.628</v>
      </c>
      <c r="M19">
        <v>-15.0646</v>
      </c>
      <c r="N19">
        <v>-15.2165</v>
      </c>
      <c r="O19">
        <v>-16.098299999999998</v>
      </c>
    </row>
    <row r="20" spans="1:15" x14ac:dyDescent="0.25">
      <c r="A20">
        <v>17</v>
      </c>
      <c r="B20">
        <v>0</v>
      </c>
      <c r="C20">
        <v>-4.2278000000000002</v>
      </c>
      <c r="D20">
        <v>-10.687799999999999</v>
      </c>
      <c r="E20">
        <v>-9.3888999999999996</v>
      </c>
      <c r="F20">
        <v>-8.1178000000000008</v>
      </c>
      <c r="G20">
        <v>-13.9466</v>
      </c>
      <c r="H20">
        <v>-12.674200000000001</v>
      </c>
      <c r="I20">
        <v>-12.524100000000001</v>
      </c>
      <c r="J20">
        <v>-14.4963</v>
      </c>
      <c r="K20">
        <v>-14.8149</v>
      </c>
      <c r="L20">
        <v>-14.582000000000001</v>
      </c>
      <c r="M20">
        <v>-15.0143</v>
      </c>
      <c r="N20">
        <v>-15.166</v>
      </c>
      <c r="O20">
        <v>-16.0471</v>
      </c>
    </row>
    <row r="21" spans="1:15" x14ac:dyDescent="0.25">
      <c r="A21">
        <v>18</v>
      </c>
      <c r="B21">
        <v>0</v>
      </c>
      <c r="C21">
        <v>-4.1848000000000001</v>
      </c>
      <c r="D21">
        <v>-10.6084</v>
      </c>
      <c r="E21">
        <v>-9.3094000000000001</v>
      </c>
      <c r="F21">
        <v>-8.0465999999999998</v>
      </c>
      <c r="G21">
        <v>-13.819599999999999</v>
      </c>
      <c r="H21">
        <v>-12.594799999999999</v>
      </c>
      <c r="I21">
        <v>-12.501799999999999</v>
      </c>
      <c r="J21">
        <v>-14.3812</v>
      </c>
      <c r="K21">
        <v>-14.692500000000001</v>
      </c>
      <c r="L21">
        <v>-14.4551</v>
      </c>
      <c r="M21">
        <v>-14.875500000000001</v>
      </c>
      <c r="N21">
        <v>-15.0265</v>
      </c>
      <c r="O21">
        <v>-15.9055</v>
      </c>
    </row>
    <row r="22" spans="1:15" x14ac:dyDescent="0.25">
      <c r="A22">
        <v>19</v>
      </c>
      <c r="B22">
        <v>0</v>
      </c>
      <c r="C22">
        <v>-4.3433000000000002</v>
      </c>
      <c r="D22">
        <v>-10.901400000000001</v>
      </c>
      <c r="E22">
        <v>-9.6023999999999994</v>
      </c>
      <c r="F22">
        <v>-8.3093000000000004</v>
      </c>
      <c r="G22">
        <v>-14.288</v>
      </c>
      <c r="H22">
        <v>-12.8878</v>
      </c>
      <c r="I22">
        <v>-12.584099999999999</v>
      </c>
      <c r="J22">
        <v>-14.8058</v>
      </c>
      <c r="K22">
        <v>-15.1439</v>
      </c>
      <c r="L22">
        <v>-14.923299999999999</v>
      </c>
      <c r="M22">
        <v>-15.387499999999999</v>
      </c>
      <c r="N22">
        <v>-15.5411</v>
      </c>
      <c r="O22">
        <v>-16.427600000000002</v>
      </c>
    </row>
    <row r="23" spans="1:15" x14ac:dyDescent="0.25">
      <c r="A23">
        <v>20</v>
      </c>
      <c r="B23">
        <v>0</v>
      </c>
      <c r="C23">
        <v>-4.4009</v>
      </c>
      <c r="D23">
        <v>-11.0078</v>
      </c>
      <c r="E23">
        <v>-9.7088999999999999</v>
      </c>
      <c r="F23">
        <v>-8.4047999999999998</v>
      </c>
      <c r="G23">
        <v>-14.4582</v>
      </c>
      <c r="H23">
        <v>-12.994199999999999</v>
      </c>
      <c r="I23">
        <v>-12.614000000000001</v>
      </c>
      <c r="J23">
        <v>-14.96</v>
      </c>
      <c r="K23">
        <v>-15.3079</v>
      </c>
      <c r="L23">
        <v>-15.093400000000001</v>
      </c>
      <c r="M23">
        <v>-15.573499999999999</v>
      </c>
      <c r="N23">
        <v>-15.7281</v>
      </c>
      <c r="O23">
        <v>-16.6173</v>
      </c>
    </row>
    <row r="24" spans="1:15" x14ac:dyDescent="0.25">
      <c r="A24">
        <v>21</v>
      </c>
      <c r="B24">
        <v>0</v>
      </c>
      <c r="C24">
        <v>-4.3204000000000002</v>
      </c>
      <c r="D24">
        <v>-10.859</v>
      </c>
      <c r="E24">
        <v>-9.5601000000000003</v>
      </c>
      <c r="F24">
        <v>-8.2713999999999999</v>
      </c>
      <c r="G24">
        <v>-14.2203</v>
      </c>
      <c r="H24">
        <v>-12.845499999999999</v>
      </c>
      <c r="I24">
        <v>-12.5722</v>
      </c>
      <c r="J24">
        <v>-14.744400000000001</v>
      </c>
      <c r="K24">
        <v>-15.0787</v>
      </c>
      <c r="L24">
        <v>-14.855700000000001</v>
      </c>
      <c r="M24">
        <v>-15.313499999999999</v>
      </c>
      <c r="N24">
        <v>-15.466799999999999</v>
      </c>
      <c r="O24">
        <v>-16.3522</v>
      </c>
    </row>
    <row r="25" spans="1:15" x14ac:dyDescent="0.25">
      <c r="A25">
        <v>22</v>
      </c>
      <c r="B25">
        <v>0</v>
      </c>
      <c r="C25">
        <v>-4.1664000000000003</v>
      </c>
      <c r="D25">
        <v>-10.5745</v>
      </c>
      <c r="E25">
        <v>-9.2754999999999992</v>
      </c>
      <c r="F25">
        <v>-8.0161999999999995</v>
      </c>
      <c r="G25">
        <v>-13.7654</v>
      </c>
      <c r="H25">
        <v>-12.5609</v>
      </c>
      <c r="I25">
        <v>-12.4923</v>
      </c>
      <c r="J25">
        <v>-14.332100000000001</v>
      </c>
      <c r="K25">
        <v>-14.6402</v>
      </c>
      <c r="L25">
        <v>-14.4009</v>
      </c>
      <c r="M25">
        <v>-14.8162</v>
      </c>
      <c r="N25">
        <v>-14.966900000000001</v>
      </c>
      <c r="O25">
        <v>-15.8451</v>
      </c>
    </row>
    <row r="26" spans="1:15" x14ac:dyDescent="0.25">
      <c r="A26">
        <v>23</v>
      </c>
      <c r="B26">
        <v>0</v>
      </c>
      <c r="C26">
        <v>-3.8978999999999999</v>
      </c>
      <c r="D26">
        <v>-10.0608</v>
      </c>
      <c r="E26">
        <v>-8.7617999999999991</v>
      </c>
      <c r="F26">
        <v>-7.5635000000000003</v>
      </c>
      <c r="G26">
        <v>-12.985300000000001</v>
      </c>
      <c r="H26">
        <v>-11.8942</v>
      </c>
      <c r="I26">
        <v>-11.8942</v>
      </c>
      <c r="J26">
        <v>-13.5419</v>
      </c>
      <c r="K26">
        <v>-13.8271</v>
      </c>
      <c r="L26">
        <v>-13.592499999999999</v>
      </c>
      <c r="M26">
        <v>-13.9742</v>
      </c>
      <c r="N26">
        <v>-14.1173</v>
      </c>
      <c r="O26">
        <v>-14.953799999999999</v>
      </c>
    </row>
    <row r="27" spans="1:15" x14ac:dyDescent="0.25">
      <c r="A27">
        <v>24</v>
      </c>
      <c r="B27">
        <v>0</v>
      </c>
      <c r="C27">
        <v>-3.6421999999999999</v>
      </c>
      <c r="D27">
        <v>-9.5671999999999997</v>
      </c>
      <c r="E27">
        <v>-8.2682000000000002</v>
      </c>
      <c r="F27">
        <v>-7.1302000000000003</v>
      </c>
      <c r="G27">
        <v>-12.243600000000001</v>
      </c>
      <c r="H27">
        <v>-11.219200000000001</v>
      </c>
      <c r="I27">
        <v>-11.219200000000001</v>
      </c>
      <c r="J27">
        <v>-12.7715</v>
      </c>
      <c r="K27">
        <v>-13.0397</v>
      </c>
      <c r="L27">
        <v>-12.817399999999999</v>
      </c>
      <c r="M27">
        <v>-13.1761</v>
      </c>
      <c r="N27">
        <v>-13.3111</v>
      </c>
      <c r="O27">
        <v>-14.101100000000001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63</v>
      </c>
    </row>
    <row r="3" spans="1:4" x14ac:dyDescent="0.25">
      <c r="A3" s="2" t="s">
        <v>64</v>
      </c>
      <c r="B3" s="2" t="s">
        <v>65</v>
      </c>
      <c r="C3" s="2" t="s">
        <v>66</v>
      </c>
      <c r="D3" s="2" t="s">
        <v>67</v>
      </c>
    </row>
    <row r="4" spans="1:4" x14ac:dyDescent="0.25">
      <c r="A4" t="s">
        <v>68</v>
      </c>
      <c r="B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Despacho</vt:lpstr>
      <vt:lpstr>Perdidas</vt:lpstr>
      <vt:lpstr>Flujos</vt:lpstr>
      <vt:lpstr>Angulos</vt:lpstr>
      <vt:lpstr>Inversiones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2026-08-11T19:54:11Z</dcterms:created>
  <dcterms:modified xsi:type="dcterms:W3CDTF">2026-08-11T20:59:34Z</dcterms:modified>
</cp:coreProperties>
</file>