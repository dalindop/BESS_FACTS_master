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13_ncr:1_{C08A0B50-7CD6-4221-87FF-95373F4E4742}" xr6:coauthVersionLast="47" xr6:coauthVersionMax="47" xr10:uidLastSave="{00000000-0000-0000-0000-000000000000}"/>
  <bookViews>
    <workbookView xWindow="-28920" yWindow="-120" windowWidth="29040" windowHeight="15720" activeTab="6" xr2:uid="{00000000-000D-0000-FFFF-FFFF00000000}"/>
  </bookViews>
  <sheets>
    <sheet name="Resumen" sheetId="1" r:id="rId1"/>
    <sheet name="Despacho" sheetId="2" r:id="rId2"/>
    <sheet name="Flujos" sheetId="3" r:id="rId3"/>
    <sheet name="Perdidas" sheetId="4" r:id="rId4"/>
    <sheet name="Angulos" sheetId="5" r:id="rId5"/>
    <sheet name="Inversiones" sheetId="6" r:id="rId6"/>
    <sheet name="BESS_operacion" sheetId="7" r:id="rId7"/>
  </sheets>
  <externalReferences>
    <externalReference r:id="rId8"/>
    <externalReference r:id="rId9"/>
  </externalReferences>
  <calcPr calcId="191029"/>
  <pivotCaches>
    <pivotCache cacheId="26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2" l="1"/>
  <c r="D28" i="2"/>
  <c r="E28" i="2"/>
  <c r="F28" i="2"/>
  <c r="B28" i="2"/>
  <c r="C28" i="3" a="1"/>
  <c r="C28" i="3"/>
  <c r="D28" i="3" a="1"/>
  <c r="D28" i="3" s="1"/>
  <c r="E28" i="3" a="1"/>
  <c r="E28" i="3" s="1"/>
  <c r="F28" i="3" a="1"/>
  <c r="F28" i="3" s="1"/>
  <c r="G28" i="3" a="1"/>
  <c r="G28" i="3"/>
  <c r="H28" i="3" a="1"/>
  <c r="H28" i="3"/>
  <c r="I28" i="3" a="1"/>
  <c r="I28" i="3"/>
  <c r="J28" i="3" a="1"/>
  <c r="J28" i="3" s="1"/>
  <c r="K28" i="3" a="1"/>
  <c r="K28" i="3" s="1"/>
  <c r="L28" i="3" a="1"/>
  <c r="L28" i="3" s="1"/>
  <c r="M28" i="3" a="1"/>
  <c r="M28" i="3"/>
  <c r="N28" i="3" a="1"/>
  <c r="N28" i="3"/>
  <c r="O28" i="3" a="1"/>
  <c r="O28" i="3"/>
  <c r="P28" i="3" a="1"/>
  <c r="P28" i="3" s="1"/>
  <c r="Q28" i="3" a="1"/>
  <c r="Q28" i="3" s="1"/>
  <c r="R28" i="3" a="1"/>
  <c r="R28" i="3" s="1"/>
  <c r="S28" i="3" a="1"/>
  <c r="S28" i="3"/>
  <c r="T28" i="3" a="1"/>
  <c r="T28" i="3"/>
  <c r="U28" i="3" a="1"/>
  <c r="U28" i="3"/>
  <c r="B28" i="3" a="1"/>
  <c r="B28" i="3"/>
  <c r="L28" i="2"/>
  <c r="I28" i="2"/>
  <c r="J28" i="2"/>
  <c r="K28" i="2"/>
  <c r="H28" i="2"/>
  <c r="G5" i="2"/>
  <c r="H5" i="2"/>
  <c r="I5" i="2"/>
  <c r="J5" i="2"/>
  <c r="K5" i="2"/>
  <c r="L5" i="2"/>
  <c r="G6" i="2"/>
  <c r="H6" i="2"/>
  <c r="I6" i="2"/>
  <c r="J6" i="2"/>
  <c r="K6" i="2"/>
  <c r="L6" i="2"/>
  <c r="G7" i="2"/>
  <c r="H7" i="2"/>
  <c r="I7" i="2"/>
  <c r="J7" i="2"/>
  <c r="K7" i="2"/>
  <c r="L7" i="2"/>
  <c r="G8" i="2"/>
  <c r="H8" i="2"/>
  <c r="I8" i="2"/>
  <c r="J8" i="2"/>
  <c r="K8" i="2"/>
  <c r="L8" i="2"/>
  <c r="G9" i="2"/>
  <c r="H9" i="2"/>
  <c r="I9" i="2"/>
  <c r="J9" i="2"/>
  <c r="K9" i="2"/>
  <c r="L9" i="2"/>
  <c r="G10" i="2"/>
  <c r="H10" i="2"/>
  <c r="I10" i="2"/>
  <c r="J10" i="2"/>
  <c r="K10" i="2"/>
  <c r="L10" i="2"/>
  <c r="G11" i="2"/>
  <c r="H11" i="2"/>
  <c r="I11" i="2"/>
  <c r="J11" i="2"/>
  <c r="K11" i="2"/>
  <c r="L11" i="2"/>
  <c r="G12" i="2"/>
  <c r="H12" i="2"/>
  <c r="I12" i="2"/>
  <c r="J12" i="2"/>
  <c r="K12" i="2"/>
  <c r="L12" i="2"/>
  <c r="G13" i="2"/>
  <c r="H13" i="2"/>
  <c r="I13" i="2"/>
  <c r="J13" i="2"/>
  <c r="K13" i="2"/>
  <c r="L13" i="2"/>
  <c r="G14" i="2"/>
  <c r="H14" i="2"/>
  <c r="I14" i="2"/>
  <c r="J14" i="2"/>
  <c r="K14" i="2"/>
  <c r="L14" i="2"/>
  <c r="G15" i="2"/>
  <c r="H15" i="2"/>
  <c r="I15" i="2"/>
  <c r="J15" i="2"/>
  <c r="K15" i="2"/>
  <c r="L15" i="2"/>
  <c r="G16" i="2"/>
  <c r="H16" i="2"/>
  <c r="I16" i="2"/>
  <c r="J16" i="2"/>
  <c r="K16" i="2"/>
  <c r="L16" i="2"/>
  <c r="G17" i="2"/>
  <c r="H17" i="2"/>
  <c r="I17" i="2"/>
  <c r="J17" i="2"/>
  <c r="K17" i="2"/>
  <c r="L17" i="2"/>
  <c r="G18" i="2"/>
  <c r="H18" i="2"/>
  <c r="I18" i="2"/>
  <c r="J18" i="2"/>
  <c r="K18" i="2"/>
  <c r="L18" i="2"/>
  <c r="G19" i="2"/>
  <c r="H19" i="2"/>
  <c r="I19" i="2"/>
  <c r="J19" i="2"/>
  <c r="K19" i="2"/>
  <c r="L19" i="2"/>
  <c r="G20" i="2"/>
  <c r="H20" i="2"/>
  <c r="I20" i="2"/>
  <c r="J20" i="2"/>
  <c r="K20" i="2"/>
  <c r="L20" i="2"/>
  <c r="G21" i="2"/>
  <c r="H21" i="2"/>
  <c r="I21" i="2"/>
  <c r="J21" i="2"/>
  <c r="K21" i="2"/>
  <c r="L21" i="2"/>
  <c r="G22" i="2"/>
  <c r="H22" i="2"/>
  <c r="I22" i="2"/>
  <c r="J22" i="2"/>
  <c r="K22" i="2"/>
  <c r="L22" i="2"/>
  <c r="G23" i="2"/>
  <c r="H23" i="2"/>
  <c r="I23" i="2"/>
  <c r="J23" i="2"/>
  <c r="K23" i="2"/>
  <c r="L23" i="2"/>
  <c r="G24" i="2"/>
  <c r="H24" i="2"/>
  <c r="I24" i="2"/>
  <c r="J24" i="2"/>
  <c r="K24" i="2"/>
  <c r="L24" i="2"/>
  <c r="G25" i="2"/>
  <c r="H25" i="2"/>
  <c r="I25" i="2"/>
  <c r="J25" i="2"/>
  <c r="K25" i="2"/>
  <c r="L25" i="2"/>
  <c r="G26" i="2"/>
  <c r="H26" i="2"/>
  <c r="I26" i="2"/>
  <c r="J26" i="2"/>
  <c r="K26" i="2"/>
  <c r="L26" i="2"/>
  <c r="G27" i="2"/>
  <c r="H27" i="2"/>
  <c r="I27" i="2"/>
  <c r="J27" i="2"/>
  <c r="K27" i="2"/>
  <c r="L27" i="2"/>
  <c r="G4" i="2"/>
  <c r="H4" i="2"/>
  <c r="I4" i="2"/>
  <c r="J4" i="2"/>
  <c r="K4" i="2"/>
  <c r="L4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<sst xmlns="http://schemas.openxmlformats.org/spreadsheetml/2006/main" count="184" uniqueCount="89">
  <si>
    <t>Resumen de la solucion</t>
  </si>
  <si>
    <t>Indicador</t>
  </si>
  <si>
    <t>Valor</t>
  </si>
  <si>
    <t>Costo total optimo (USD)</t>
  </si>
  <si>
    <t>Generacion termica total (MWh)</t>
  </si>
  <si>
    <t>Perdidas totales (MWh)</t>
  </si>
  <si>
    <t>BESS instalados</t>
  </si>
  <si>
    <t>FACTS instalados</t>
  </si>
  <si>
    <t>Horizonte (h)</t>
  </si>
  <si>
    <t>Solver utilizado</t>
  </si>
  <si>
    <t>highs</t>
  </si>
  <si>
    <t>Tiempo total simulacion (s)</t>
  </si>
  <si>
    <t>Despacho termico (MW)</t>
  </si>
  <si>
    <t>hora</t>
  </si>
  <si>
    <t>G1</t>
  </si>
  <si>
    <t>G2</t>
  </si>
  <si>
    <t>G3</t>
  </si>
  <si>
    <t>G4</t>
  </si>
  <si>
    <t>G5</t>
  </si>
  <si>
    <t>Flujos de potencia (MW)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</si>
  <si>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</si>
  <si>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</si>
  <si>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</si>
  <si>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</si>
  <si>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</si>
  <si>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</si>
  <si>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</si>
  <si>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</si>
  <si>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</si>
  <si>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</si>
  <si>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</si>
  <si>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</si>
  <si>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</si>
  <si>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</si>
  <si>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</si>
  <si>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</si>
  <si>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</si>
  <si>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</si>
  <si>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</si>
  <si>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</si>
  <si>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Perdidas por linea (MW)</t>
  </si>
  <si>
    <t>Angulos nodales (grados)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</si>
  <si>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</si>
  <si>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</si>
  <si>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</si>
  <si>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</si>
  <si>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</si>
  <si>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</si>
  <si>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</si>
  <si>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</si>
  <si>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</si>
  <si>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</si>
  <si>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</si>
  <si>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</si>
  <si>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</si>
  <si>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</si>
  <si>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Decisiones de inversion (TEP)</t>
  </si>
  <si>
    <t>Tipo</t>
  </si>
  <si>
    <t>Ubicacion</t>
  </si>
  <si>
    <t>BESS</t>
  </si>
  <si>
    <t>-0.0 MW</t>
  </si>
  <si>
    <t>-0.0 MWh</t>
  </si>
  <si>
    <t>0.1 MW</t>
  </si>
  <si>
    <t>0.3 MWh</t>
  </si>
  <si>
    <t>1.7 MW</t>
  </si>
  <si>
    <t>5.0 MWh</t>
  </si>
  <si>
    <t>0.4 MW</t>
  </si>
  <si>
    <t>1.0 MWh</t>
  </si>
  <si>
    <t>0.7 MW</t>
  </si>
  <si>
    <t>2.7 MWh</t>
  </si>
  <si>
    <t>2.5 MW</t>
  </si>
  <si>
    <t>9.2 MWh</t>
  </si>
  <si>
    <t>BESS en b2</t>
  </si>
  <si>
    <t>carga (MW)</t>
  </si>
  <si>
    <t>descarga (MW)</t>
  </si>
  <si>
    <t>SoC (MWh)</t>
  </si>
  <si>
    <t>BESS en b3</t>
  </si>
  <si>
    <t>BESS en b4</t>
  </si>
  <si>
    <t>BESS en b5</t>
  </si>
  <si>
    <t>BESS en b6</t>
  </si>
  <si>
    <t>BESS en b9</t>
  </si>
  <si>
    <t>BESS en b10</t>
  </si>
  <si>
    <t>BESS en b11</t>
  </si>
  <si>
    <t>BESS en b12</t>
  </si>
  <si>
    <t>BESS en b13</t>
  </si>
  <si>
    <t>BESS en b14</t>
  </si>
  <si>
    <t>Demanda Total</t>
  </si>
  <si>
    <t>Potencia</t>
  </si>
  <si>
    <t>Energía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</si>
</sst>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b/>
      <sz val="13"/>
      <color rgb="FF1F4E78"/>
      <name val="Calibri"/>
      <family val="2"/>
    </font>
    <font>
      <b/>
      <sz val="11"/>
      <color rgb="FFFFFFFF"/>
      <name val="Calibri"/>
      <family val="2"/>
    </font>
    <font>
      <sz val="11"/>
      <color rgb="FF9C5700"/>
      <name val="Calibri"/>
      <family val="2"/>
      <scheme val="minor"/>
    </font>
    <font>
      <b/>
      <sz val="11"/>
      <color rgb="FF9C5700"/>
      <name val="Calibri"/>
      <family val="2"/>
      <scheme val="minor"/>
    </font>
    <font>
      <sz val="11"/>
      <color rgb="FF006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3">
    <xf numFmtId="0" fontId="0" fillId="0" borderId="0"/>
    <xf numFmtId="0" fontId="3" fillId="3" borderId="0" applyNumberFormat="0" applyBorder="0" applyAlignment="0" applyProtection="0"/>
    <xf numFmtId="0" fontId="5" fillId="4" borderId="0" applyNumberFormat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3" borderId="0" xfId="1"/>
    <xf numFmtId="44" fontId="3" fillId="3" borderId="0" xfId="1" applyNumberFormat="1"/>
    <xf numFmtId="44" fontId="4" fillId="3" borderId="0" xfId="1" applyNumberFormat="1" applyFont="1"/>
    <xf numFmtId="43" fontId="3" fillId="3" borderId="0" xfId="1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4" borderId="0" xfId="2"/>
    <xf numFmtId="0" fontId="0" fillId="5" borderId="0" xfId="0" applyFill="1"/>
  </cellXfs>
  <cellStyles count="3">
    <cellStyle name="Good" xfId="2" builtinId="26"/>
    <cellStyle name="Neutral" xfId="1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Despacho!$B$3</c:f>
              <c:strCache>
                <c:ptCount val="1"/>
                <c:pt idx="0">
                  <c:v>G1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Despacho!$A$4:$A$27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Despacho!$B$4:$B$27</c:f>
              <c:numCache>
                <c:formatCode>General</c:formatCode>
                <c:ptCount val="24"/>
                <c:pt idx="0">
                  <c:v>187.27</c:v>
                </c:pt>
                <c:pt idx="1">
                  <c:v>183.53</c:v>
                </c:pt>
                <c:pt idx="2">
                  <c:v>181.98</c:v>
                </c:pt>
                <c:pt idx="3">
                  <c:v>181.12</c:v>
                </c:pt>
                <c:pt idx="4">
                  <c:v>182.97</c:v>
                </c:pt>
                <c:pt idx="5">
                  <c:v>187.41</c:v>
                </c:pt>
                <c:pt idx="6">
                  <c:v>189.44</c:v>
                </c:pt>
                <c:pt idx="7">
                  <c:v>197.53</c:v>
                </c:pt>
                <c:pt idx="8">
                  <c:v>205.29</c:v>
                </c:pt>
                <c:pt idx="9">
                  <c:v>209.24</c:v>
                </c:pt>
                <c:pt idx="10">
                  <c:v>213.3</c:v>
                </c:pt>
                <c:pt idx="11">
                  <c:v>214.54</c:v>
                </c:pt>
                <c:pt idx="12">
                  <c:v>214.51</c:v>
                </c:pt>
                <c:pt idx="13">
                  <c:v>214.35</c:v>
                </c:pt>
                <c:pt idx="14">
                  <c:v>215.01</c:v>
                </c:pt>
                <c:pt idx="15">
                  <c:v>215.17</c:v>
                </c:pt>
                <c:pt idx="16">
                  <c:v>215.03</c:v>
                </c:pt>
                <c:pt idx="17">
                  <c:v>214.65</c:v>
                </c:pt>
                <c:pt idx="18">
                  <c:v>215.43</c:v>
                </c:pt>
                <c:pt idx="19">
                  <c:v>215.07</c:v>
                </c:pt>
                <c:pt idx="20">
                  <c:v>215.38</c:v>
                </c:pt>
                <c:pt idx="21">
                  <c:v>214.49</c:v>
                </c:pt>
                <c:pt idx="22">
                  <c:v>210.28</c:v>
                </c:pt>
                <c:pt idx="23">
                  <c:v>202.4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BB-4CBB-8A9E-38FAA7031B59}"/>
            </c:ext>
          </c:extLst>
        </c:ser>
        <c:ser>
          <c:idx val="1"/>
          <c:order val="1"/>
          <c:tx>
            <c:strRef>
              <c:f>Despacho!$C$3</c:f>
              <c:strCache>
                <c:ptCount val="1"/>
                <c:pt idx="0">
                  <c:v>G2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Despacho!$A$4:$A$27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Despacho!$C$4:$C$27</c:f>
              <c:numCache>
                <c:formatCode>General</c:formatCode>
                <c:ptCount val="24"/>
                <c:pt idx="0">
                  <c:v>46.67</c:v>
                </c:pt>
                <c:pt idx="1">
                  <c:v>46.67</c:v>
                </c:pt>
                <c:pt idx="2">
                  <c:v>46.67</c:v>
                </c:pt>
                <c:pt idx="3">
                  <c:v>46.67</c:v>
                </c:pt>
                <c:pt idx="4">
                  <c:v>46.67</c:v>
                </c:pt>
                <c:pt idx="5">
                  <c:v>46.67</c:v>
                </c:pt>
                <c:pt idx="6">
                  <c:v>46.67</c:v>
                </c:pt>
                <c:pt idx="7">
                  <c:v>46.67</c:v>
                </c:pt>
                <c:pt idx="8">
                  <c:v>46.67</c:v>
                </c:pt>
                <c:pt idx="9">
                  <c:v>46.67</c:v>
                </c:pt>
                <c:pt idx="10">
                  <c:v>46.67</c:v>
                </c:pt>
                <c:pt idx="11">
                  <c:v>46.67</c:v>
                </c:pt>
                <c:pt idx="12">
                  <c:v>46.67</c:v>
                </c:pt>
                <c:pt idx="13">
                  <c:v>46.67</c:v>
                </c:pt>
                <c:pt idx="14">
                  <c:v>46.67</c:v>
                </c:pt>
                <c:pt idx="15">
                  <c:v>46.67</c:v>
                </c:pt>
                <c:pt idx="16">
                  <c:v>46.67</c:v>
                </c:pt>
                <c:pt idx="17">
                  <c:v>46.67</c:v>
                </c:pt>
                <c:pt idx="18">
                  <c:v>46.67</c:v>
                </c:pt>
                <c:pt idx="19">
                  <c:v>46.67</c:v>
                </c:pt>
                <c:pt idx="20">
                  <c:v>46.67</c:v>
                </c:pt>
                <c:pt idx="21">
                  <c:v>46.67</c:v>
                </c:pt>
                <c:pt idx="22">
                  <c:v>46.67</c:v>
                </c:pt>
                <c:pt idx="23">
                  <c:v>46.67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BB-4CBB-8A9E-38FAA7031B59}"/>
            </c:ext>
          </c:extLst>
        </c:ser>
        <c:ser>
          <c:idx val="2"/>
          <c:order val="2"/>
          <c:tx>
            <c:strRef>
              <c:f>Despacho!$D$3</c:f>
              <c:strCache>
                <c:ptCount val="1"/>
                <c:pt idx="0">
                  <c:v>G3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Despacho!$A$4:$A$27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Despacho!$D$4:$D$27</c:f>
              <c:numCache>
                <c:formatCode>General</c:formatCode>
                <c:ptCount val="24"/>
                <c:pt idx="0">
                  <c:v>18.86</c:v>
                </c:pt>
                <c:pt idx="1">
                  <c:v>16.739999999999998</c:v>
                </c:pt>
                <c:pt idx="2">
                  <c:v>14.92</c:v>
                </c:pt>
                <c:pt idx="3">
                  <c:v>14.16</c:v>
                </c:pt>
                <c:pt idx="4">
                  <c:v>15.88</c:v>
                </c:pt>
                <c:pt idx="5">
                  <c:v>18.920000000000002</c:v>
                </c:pt>
                <c:pt idx="6">
                  <c:v>19.809999999999999</c:v>
                </c:pt>
                <c:pt idx="7">
                  <c:v>23.34</c:v>
                </c:pt>
                <c:pt idx="8">
                  <c:v>26.92</c:v>
                </c:pt>
                <c:pt idx="9">
                  <c:v>29.58</c:v>
                </c:pt>
                <c:pt idx="10">
                  <c:v>32.35</c:v>
                </c:pt>
                <c:pt idx="11">
                  <c:v>35.93</c:v>
                </c:pt>
                <c:pt idx="12">
                  <c:v>36.31</c:v>
                </c:pt>
                <c:pt idx="13">
                  <c:v>39.32</c:v>
                </c:pt>
                <c:pt idx="14">
                  <c:v>43.42</c:v>
                </c:pt>
                <c:pt idx="15">
                  <c:v>44.44</c:v>
                </c:pt>
                <c:pt idx="16">
                  <c:v>43.55</c:v>
                </c:pt>
                <c:pt idx="17">
                  <c:v>41.12</c:v>
                </c:pt>
                <c:pt idx="18">
                  <c:v>50.17</c:v>
                </c:pt>
                <c:pt idx="19">
                  <c:v>53.7</c:v>
                </c:pt>
                <c:pt idx="20">
                  <c:v>48.86</c:v>
                </c:pt>
                <c:pt idx="21">
                  <c:v>40.08</c:v>
                </c:pt>
                <c:pt idx="22">
                  <c:v>30.95</c:v>
                </c:pt>
                <c:pt idx="23">
                  <c:v>26.32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BB-4CBB-8A9E-38FAA7031B59}"/>
            </c:ext>
          </c:extLst>
        </c:ser>
        <c:ser>
          <c:idx val="3"/>
          <c:order val="3"/>
          <c:tx>
            <c:strRef>
              <c:f>Despacho!$E$3</c:f>
              <c:strCache>
                <c:ptCount val="1"/>
                <c:pt idx="0">
                  <c:v>G4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Despacho!$A$4:$A$27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Despacho!$E$4:$E$27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0.36</c:v>
                </c:pt>
                <c:pt idx="9">
                  <c:v>2.2000000000000002</c:v>
                </c:pt>
                <c:pt idx="10">
                  <c:v>4.1399999999999997</c:v>
                </c:pt>
                <c:pt idx="11">
                  <c:v>5.73</c:v>
                </c:pt>
                <c:pt idx="12">
                  <c:v>5.86</c:v>
                </c:pt>
                <c:pt idx="13">
                  <c:v>6.8</c:v>
                </c:pt>
                <c:pt idx="14">
                  <c:v>6.81</c:v>
                </c:pt>
                <c:pt idx="15">
                  <c:v>6.8</c:v>
                </c:pt>
                <c:pt idx="16">
                  <c:v>6.81</c:v>
                </c:pt>
                <c:pt idx="17">
                  <c:v>6.84</c:v>
                </c:pt>
                <c:pt idx="18">
                  <c:v>7.07</c:v>
                </c:pt>
                <c:pt idx="19">
                  <c:v>7.47</c:v>
                </c:pt>
                <c:pt idx="20">
                  <c:v>7</c:v>
                </c:pt>
                <c:pt idx="21">
                  <c:v>6.81</c:v>
                </c:pt>
                <c:pt idx="22">
                  <c:v>5.0599999999999996</c:v>
                </c:pt>
                <c:pt idx="23">
                  <c:v>4.84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0BB-4CBB-8A9E-38FAA7031B59}"/>
            </c:ext>
          </c:extLst>
        </c:ser>
        <c:ser>
          <c:idx val="4"/>
          <c:order val="4"/>
          <c:tx>
            <c:strRef>
              <c:f>Despacho!$F$3</c:f>
              <c:strCache>
                <c:ptCount val="1"/>
                <c:pt idx="0">
                  <c:v>G5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Despacho!$A$4:$A$27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Despacho!$F$4:$F$26</c:f>
              <c:numCache>
                <c:formatCode>General</c:formatCode>
                <c:ptCount val="23"/>
                <c:pt idx="0">
                  <c:v>0.37</c:v>
                </c:pt>
                <c:pt idx="1">
                  <c:v>0</c:v>
                </c:pt>
                <c:pt idx="2">
                  <c:v>0.18</c:v>
                </c:pt>
                <c:pt idx="3">
                  <c:v>0.55000000000000004</c:v>
                </c:pt>
                <c:pt idx="4">
                  <c:v>0</c:v>
                </c:pt>
                <c:pt idx="5">
                  <c:v>0.41</c:v>
                </c:pt>
                <c:pt idx="6">
                  <c:v>1.02</c:v>
                </c:pt>
                <c:pt idx="7">
                  <c:v>3.49</c:v>
                </c:pt>
                <c:pt idx="8">
                  <c:v>5.82</c:v>
                </c:pt>
                <c:pt idx="9">
                  <c:v>6.94</c:v>
                </c:pt>
                <c:pt idx="10">
                  <c:v>8.07</c:v>
                </c:pt>
                <c:pt idx="11">
                  <c:v>8.77</c:v>
                </c:pt>
                <c:pt idx="12">
                  <c:v>8.83</c:v>
                </c:pt>
                <c:pt idx="13">
                  <c:v>9.33</c:v>
                </c:pt>
                <c:pt idx="14">
                  <c:v>9.98</c:v>
                </c:pt>
                <c:pt idx="15">
                  <c:v>10.130000000000001</c:v>
                </c:pt>
                <c:pt idx="16">
                  <c:v>10</c:v>
                </c:pt>
                <c:pt idx="17">
                  <c:v>9.6300000000000008</c:v>
                </c:pt>
                <c:pt idx="18">
                  <c:v>10.19</c:v>
                </c:pt>
                <c:pt idx="19">
                  <c:v>10.19</c:v>
                </c:pt>
                <c:pt idx="20">
                  <c:v>10.19</c:v>
                </c:pt>
                <c:pt idx="21">
                  <c:v>9.48</c:v>
                </c:pt>
                <c:pt idx="22">
                  <c:v>7.64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0BB-4CBB-8A9E-38FAA7031B59}"/>
            </c:ext>
          </c:extLst>
        </c:ser>
        <c:ser>
          <c:idx val="5"/>
          <c:order val="5"/>
          <c:tx>
            <c:strRef>
              <c:f>[1]Despacho!$G$3</c:f>
              <c:strCache>
                <c:ptCount val="1"/>
                <c:pt idx="0">
                  <c:v>Demanda Total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Despacho!$A$4:$A$27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[1]Despacho!$G$4:$G$27</c:f>
              <c:numCache>
                <c:formatCode>General</c:formatCode>
                <c:ptCount val="24"/>
                <c:pt idx="0">
                  <c:v>202.18000000000004</c:v>
                </c:pt>
                <c:pt idx="1">
                  <c:v>195.81000000000003</c:v>
                </c:pt>
                <c:pt idx="2">
                  <c:v>190.99</c:v>
                </c:pt>
                <c:pt idx="3">
                  <c:v>188.9</c:v>
                </c:pt>
                <c:pt idx="4">
                  <c:v>193.58</c:v>
                </c:pt>
                <c:pt idx="5">
                  <c:v>202.37</c:v>
                </c:pt>
                <c:pt idx="6">
                  <c:v>205.22000000000003</c:v>
                </c:pt>
                <c:pt idx="7">
                  <c:v>216.63000000000002</c:v>
                </c:pt>
                <c:pt idx="8">
                  <c:v>228.01000000000002</c:v>
                </c:pt>
                <c:pt idx="9">
                  <c:v>235.73999999999998</c:v>
                </c:pt>
                <c:pt idx="10">
                  <c:v>243.78000000000003</c:v>
                </c:pt>
                <c:pt idx="11">
                  <c:v>249.85</c:v>
                </c:pt>
                <c:pt idx="12">
                  <c:v>250.32</c:v>
                </c:pt>
                <c:pt idx="13">
                  <c:v>253.95999999999998</c:v>
                </c:pt>
                <c:pt idx="14">
                  <c:v>259.40999999999997</c:v>
                </c:pt>
                <c:pt idx="15">
                  <c:v>260.76</c:v>
                </c:pt>
                <c:pt idx="16">
                  <c:v>259.59000000000003</c:v>
                </c:pt>
                <c:pt idx="17">
                  <c:v>256.34999999999997</c:v>
                </c:pt>
                <c:pt idx="18">
                  <c:v>268.28999999999996</c:v>
                </c:pt>
                <c:pt idx="19">
                  <c:v>272.63</c:v>
                </c:pt>
                <c:pt idx="20">
                  <c:v>266.57</c:v>
                </c:pt>
                <c:pt idx="21">
                  <c:v>254.97000000000003</c:v>
                </c:pt>
                <c:pt idx="22">
                  <c:v>239.36</c:v>
                </c:pt>
                <c:pt idx="23">
                  <c:v>225.52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0BB-4CBB-8A9E-38FAA7031B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3163343"/>
        <c:axId val="277386767"/>
      </c:lineChart>
      <c:catAx>
        <c:axId val="2731633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(h)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386767"/>
        <c:crosses val="autoZero"/>
        <c:auto val="1"/>
        <c:lblAlgn val="ctr"/>
        <c:lblOffset val="100"/>
        <c:noMultiLvlLbl val="0"/>
      </c:catAx>
      <c:valAx>
        <c:axId val="27738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Generación despachada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163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Flujos!$A$3</c:f>
              <c:strCache>
                <c:ptCount val="1"/>
                <c:pt idx="0">
                  <c:v>hora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4"/>
            <c:spPr>
              <a:ln>
                <a:prstDash val="solid"/>
              </a:ln>
            </c:spPr>
          </c:marker>
          <c:val>
            <c:numRef>
              <c:f>Flujos!$A$4:$A$27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885-41E2-9533-6EE640E903EB}"/>
            </c:ext>
          </c:extLst>
        </c:ser>
        <c:ser>
          <c:idx val="1"/>
          <c:order val="1"/>
          <c:tx>
            <c:strRef>
              <c:f>Flujos!$B$3</c:f>
              <c:strCache>
                <c:ptCount val="1"/>
                <c:pt idx="0">
                  <c:v>l1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4"/>
            <c:spPr>
              <a:ln>
                <a:prstDash val="solid"/>
              </a:ln>
            </c:spPr>
          </c:marker>
          <c:val>
            <c:numRef>
              <c:f>Flujos!$B$4:$B$27</c:f>
              <c:numCache>
                <c:formatCode>General</c:formatCode>
                <c:ptCount val="24"/>
                <c:pt idx="0">
                  <c:v>122.19</c:v>
                </c:pt>
                <c:pt idx="1">
                  <c:v>119.61</c:v>
                </c:pt>
                <c:pt idx="2">
                  <c:v>118.47</c:v>
                </c:pt>
                <c:pt idx="3">
                  <c:v>117.86</c:v>
                </c:pt>
                <c:pt idx="4">
                  <c:v>119.18</c:v>
                </c:pt>
                <c:pt idx="5">
                  <c:v>122.29</c:v>
                </c:pt>
                <c:pt idx="6">
                  <c:v>123.67</c:v>
                </c:pt>
                <c:pt idx="7">
                  <c:v>129.19</c:v>
                </c:pt>
                <c:pt idx="8">
                  <c:v>134.49</c:v>
                </c:pt>
                <c:pt idx="9">
                  <c:v>137.27000000000001</c:v>
                </c:pt>
                <c:pt idx="10">
                  <c:v>140.12</c:v>
                </c:pt>
                <c:pt idx="11">
                  <c:v>140.94999999999999</c:v>
                </c:pt>
                <c:pt idx="12">
                  <c:v>140.91999999999999</c:v>
                </c:pt>
                <c:pt idx="13">
                  <c:v>140.76</c:v>
                </c:pt>
                <c:pt idx="14">
                  <c:v>141.11000000000001</c:v>
                </c:pt>
                <c:pt idx="15">
                  <c:v>141.19999999999999</c:v>
                </c:pt>
                <c:pt idx="16">
                  <c:v>141.12</c:v>
                </c:pt>
                <c:pt idx="17">
                  <c:v>140.91999999999999</c:v>
                </c:pt>
                <c:pt idx="18">
                  <c:v>141.27000000000001</c:v>
                </c:pt>
                <c:pt idx="19">
                  <c:v>140.97</c:v>
                </c:pt>
                <c:pt idx="20">
                  <c:v>141.26</c:v>
                </c:pt>
                <c:pt idx="21">
                  <c:v>140.83000000000001</c:v>
                </c:pt>
                <c:pt idx="22">
                  <c:v>138.06</c:v>
                </c:pt>
                <c:pt idx="23">
                  <c:v>132.6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885-41E2-9533-6EE640E903EB}"/>
            </c:ext>
          </c:extLst>
        </c:ser>
        <c:ser>
          <c:idx val="2"/>
          <c:order val="2"/>
          <c:tx>
            <c:strRef>
              <c:f>Flujos!$C$3</c:f>
              <c:strCache>
                <c:ptCount val="1"/>
                <c:pt idx="0">
                  <c:v>l2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4"/>
            <c:spPr>
              <a:ln>
                <a:prstDash val="solid"/>
              </a:ln>
            </c:spPr>
          </c:marker>
          <c:val>
            <c:numRef>
              <c:f>Flujos!$C$4:$C$27</c:f>
              <c:numCache>
                <c:formatCode>General</c:formatCode>
                <c:ptCount val="24"/>
                <c:pt idx="0">
                  <c:v>62.42</c:v>
                </c:pt>
                <c:pt idx="1">
                  <c:v>61.32</c:v>
                </c:pt>
                <c:pt idx="2">
                  <c:v>60.94</c:v>
                </c:pt>
                <c:pt idx="3">
                  <c:v>60.7</c:v>
                </c:pt>
                <c:pt idx="4">
                  <c:v>61.2</c:v>
                </c:pt>
                <c:pt idx="5">
                  <c:v>62.46</c:v>
                </c:pt>
                <c:pt idx="6">
                  <c:v>63.07</c:v>
                </c:pt>
                <c:pt idx="7">
                  <c:v>65.489999999999995</c:v>
                </c:pt>
                <c:pt idx="8">
                  <c:v>67.81</c:v>
                </c:pt>
                <c:pt idx="9">
                  <c:v>68.92</c:v>
                </c:pt>
                <c:pt idx="10">
                  <c:v>70.06</c:v>
                </c:pt>
                <c:pt idx="11">
                  <c:v>70.44</c:v>
                </c:pt>
                <c:pt idx="12">
                  <c:v>70.44</c:v>
                </c:pt>
                <c:pt idx="13">
                  <c:v>70.45</c:v>
                </c:pt>
                <c:pt idx="14">
                  <c:v>70.739999999999995</c:v>
                </c:pt>
                <c:pt idx="15">
                  <c:v>70.819999999999993</c:v>
                </c:pt>
                <c:pt idx="16">
                  <c:v>70.75</c:v>
                </c:pt>
                <c:pt idx="17">
                  <c:v>70.58</c:v>
                </c:pt>
                <c:pt idx="18">
                  <c:v>71</c:v>
                </c:pt>
                <c:pt idx="19">
                  <c:v>70.94</c:v>
                </c:pt>
                <c:pt idx="20">
                  <c:v>70.959999999999994</c:v>
                </c:pt>
                <c:pt idx="21">
                  <c:v>70.510000000000005</c:v>
                </c:pt>
                <c:pt idx="22">
                  <c:v>69.150000000000006</c:v>
                </c:pt>
                <c:pt idx="23">
                  <c:v>66.86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885-41E2-9533-6EE640E903EB}"/>
            </c:ext>
          </c:extLst>
        </c:ser>
        <c:ser>
          <c:idx val="3"/>
          <c:order val="3"/>
          <c:tx>
            <c:strRef>
              <c:f>Flujos!$D$3</c:f>
              <c:strCache>
                <c:ptCount val="1"/>
                <c:pt idx="0">
                  <c:v>l3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4"/>
            <c:spPr>
              <a:ln>
                <a:prstDash val="solid"/>
              </a:ln>
            </c:spPr>
          </c:marker>
          <c:val>
            <c:numRef>
              <c:f>Flujos!$D$4:$D$27</c:f>
              <c:numCache>
                <c:formatCode>General</c:formatCode>
                <c:ptCount val="24"/>
                <c:pt idx="0">
                  <c:v>56.32</c:v>
                </c:pt>
                <c:pt idx="1">
                  <c:v>55.68</c:v>
                </c:pt>
                <c:pt idx="2">
                  <c:v>55.43</c:v>
                </c:pt>
                <c:pt idx="3">
                  <c:v>55.3</c:v>
                </c:pt>
                <c:pt idx="4">
                  <c:v>55.59</c:v>
                </c:pt>
                <c:pt idx="5">
                  <c:v>56.34</c:v>
                </c:pt>
                <c:pt idx="6">
                  <c:v>56.69</c:v>
                </c:pt>
                <c:pt idx="7">
                  <c:v>58.09</c:v>
                </c:pt>
                <c:pt idx="8">
                  <c:v>59.43</c:v>
                </c:pt>
                <c:pt idx="9">
                  <c:v>60.1</c:v>
                </c:pt>
                <c:pt idx="10">
                  <c:v>60.8</c:v>
                </c:pt>
                <c:pt idx="11">
                  <c:v>60.48</c:v>
                </c:pt>
                <c:pt idx="12">
                  <c:v>60.4</c:v>
                </c:pt>
                <c:pt idx="13">
                  <c:v>59.75</c:v>
                </c:pt>
                <c:pt idx="14">
                  <c:v>59.05</c:v>
                </c:pt>
                <c:pt idx="15">
                  <c:v>58.88</c:v>
                </c:pt>
                <c:pt idx="16">
                  <c:v>59.03</c:v>
                </c:pt>
                <c:pt idx="17">
                  <c:v>59.45</c:v>
                </c:pt>
                <c:pt idx="18">
                  <c:v>57.81</c:v>
                </c:pt>
                <c:pt idx="19">
                  <c:v>57.04</c:v>
                </c:pt>
                <c:pt idx="20">
                  <c:v>58.05</c:v>
                </c:pt>
                <c:pt idx="21">
                  <c:v>59.62</c:v>
                </c:pt>
                <c:pt idx="22">
                  <c:v>60.29</c:v>
                </c:pt>
                <c:pt idx="23">
                  <c:v>58.95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7885-41E2-9533-6EE640E903EB}"/>
            </c:ext>
          </c:extLst>
        </c:ser>
        <c:ser>
          <c:idx val="4"/>
          <c:order val="4"/>
          <c:tx>
            <c:strRef>
              <c:f>Flujos!$E$3</c:f>
              <c:strCache>
                <c:ptCount val="1"/>
                <c:pt idx="0">
                  <c:v>l4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4"/>
            <c:spPr>
              <a:ln>
                <a:prstDash val="solid"/>
              </a:ln>
            </c:spPr>
          </c:marker>
          <c:val>
            <c:numRef>
              <c:f>Flujos!$E$4:$E$27</c:f>
              <c:numCache>
                <c:formatCode>General</c:formatCode>
                <c:ptCount val="24"/>
                <c:pt idx="0">
                  <c:v>50.37</c:v>
                </c:pt>
                <c:pt idx="1">
                  <c:v>49.66</c:v>
                </c:pt>
                <c:pt idx="2">
                  <c:v>49.38</c:v>
                </c:pt>
                <c:pt idx="3">
                  <c:v>49.23</c:v>
                </c:pt>
                <c:pt idx="4">
                  <c:v>49.56</c:v>
                </c:pt>
                <c:pt idx="5">
                  <c:v>50.4</c:v>
                </c:pt>
                <c:pt idx="6">
                  <c:v>50.79</c:v>
                </c:pt>
                <c:pt idx="7">
                  <c:v>52.36</c:v>
                </c:pt>
                <c:pt idx="8">
                  <c:v>53.87</c:v>
                </c:pt>
                <c:pt idx="9">
                  <c:v>54.63</c:v>
                </c:pt>
                <c:pt idx="10">
                  <c:v>55.41</c:v>
                </c:pt>
                <c:pt idx="11">
                  <c:v>55.72</c:v>
                </c:pt>
                <c:pt idx="12">
                  <c:v>55.73</c:v>
                </c:pt>
                <c:pt idx="13">
                  <c:v>55.8</c:v>
                </c:pt>
                <c:pt idx="14">
                  <c:v>56.05</c:v>
                </c:pt>
                <c:pt idx="15">
                  <c:v>56.11</c:v>
                </c:pt>
                <c:pt idx="16">
                  <c:v>56.06</c:v>
                </c:pt>
                <c:pt idx="17">
                  <c:v>55.91</c:v>
                </c:pt>
                <c:pt idx="18">
                  <c:v>56.32</c:v>
                </c:pt>
                <c:pt idx="19">
                  <c:v>56.35</c:v>
                </c:pt>
                <c:pt idx="20">
                  <c:v>56.27</c:v>
                </c:pt>
                <c:pt idx="21">
                  <c:v>55.85</c:v>
                </c:pt>
                <c:pt idx="22">
                  <c:v>54.83</c:v>
                </c:pt>
                <c:pt idx="23">
                  <c:v>53.33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7885-41E2-9533-6EE640E903EB}"/>
            </c:ext>
          </c:extLst>
        </c:ser>
        <c:ser>
          <c:idx val="5"/>
          <c:order val="5"/>
          <c:tx>
            <c:strRef>
              <c:f>Flujos!$F$3</c:f>
              <c:strCache>
                <c:ptCount val="1"/>
                <c:pt idx="0">
                  <c:v>l5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4"/>
            <c:spPr>
              <a:ln>
                <a:prstDash val="solid"/>
              </a:ln>
            </c:spPr>
          </c:marker>
          <c:val>
            <c:numRef>
              <c:f>Flujos!$F$4:$F$27</c:f>
              <c:numCache>
                <c:formatCode>General</c:formatCode>
                <c:ptCount val="24"/>
                <c:pt idx="0">
                  <c:v>38.479999999999997</c:v>
                </c:pt>
                <c:pt idx="1">
                  <c:v>37.96</c:v>
                </c:pt>
                <c:pt idx="2">
                  <c:v>37.85</c:v>
                </c:pt>
                <c:pt idx="3">
                  <c:v>37.76</c:v>
                </c:pt>
                <c:pt idx="4">
                  <c:v>37.950000000000003</c:v>
                </c:pt>
                <c:pt idx="5">
                  <c:v>38.51</c:v>
                </c:pt>
                <c:pt idx="6">
                  <c:v>38.81</c:v>
                </c:pt>
                <c:pt idx="7">
                  <c:v>40.049999999999997</c:v>
                </c:pt>
                <c:pt idx="8">
                  <c:v>41.21</c:v>
                </c:pt>
                <c:pt idx="9">
                  <c:v>41.69</c:v>
                </c:pt>
                <c:pt idx="10">
                  <c:v>42.18</c:v>
                </c:pt>
                <c:pt idx="11">
                  <c:v>42.39</c:v>
                </c:pt>
                <c:pt idx="12">
                  <c:v>42.4</c:v>
                </c:pt>
                <c:pt idx="13">
                  <c:v>42.47</c:v>
                </c:pt>
                <c:pt idx="14">
                  <c:v>42.73</c:v>
                </c:pt>
                <c:pt idx="15">
                  <c:v>42.79</c:v>
                </c:pt>
                <c:pt idx="16">
                  <c:v>42.73</c:v>
                </c:pt>
                <c:pt idx="17">
                  <c:v>42.58</c:v>
                </c:pt>
                <c:pt idx="18">
                  <c:v>43</c:v>
                </c:pt>
                <c:pt idx="19">
                  <c:v>43.03</c:v>
                </c:pt>
                <c:pt idx="20">
                  <c:v>42.95</c:v>
                </c:pt>
                <c:pt idx="21">
                  <c:v>42.52</c:v>
                </c:pt>
                <c:pt idx="22">
                  <c:v>41.72</c:v>
                </c:pt>
                <c:pt idx="23">
                  <c:v>40.65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7885-41E2-9533-6EE640E903EB}"/>
            </c:ext>
          </c:extLst>
        </c:ser>
        <c:ser>
          <c:idx val="6"/>
          <c:order val="6"/>
          <c:tx>
            <c:strRef>
              <c:f>Flujos!$G$3</c:f>
              <c:strCache>
                <c:ptCount val="1"/>
                <c:pt idx="0">
                  <c:v>l6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4"/>
            <c:spPr>
              <a:ln>
                <a:prstDash val="solid"/>
              </a:ln>
            </c:spPr>
          </c:marker>
          <c:val>
            <c:numRef>
              <c:f>Flujos!$G$4:$G$27</c:f>
              <c:numCache>
                <c:formatCode>General</c:formatCode>
                <c:ptCount val="24"/>
                <c:pt idx="0">
                  <c:v>-13.26</c:v>
                </c:pt>
                <c:pt idx="1">
                  <c:v>-13.26</c:v>
                </c:pt>
                <c:pt idx="2">
                  <c:v>-13.26</c:v>
                </c:pt>
                <c:pt idx="3">
                  <c:v>-13.26</c:v>
                </c:pt>
                <c:pt idx="4">
                  <c:v>-13.26</c:v>
                </c:pt>
                <c:pt idx="5">
                  <c:v>-13.26</c:v>
                </c:pt>
                <c:pt idx="6">
                  <c:v>-13.26</c:v>
                </c:pt>
                <c:pt idx="7">
                  <c:v>-13.26</c:v>
                </c:pt>
                <c:pt idx="8">
                  <c:v>-13.26</c:v>
                </c:pt>
                <c:pt idx="9">
                  <c:v>-13.26</c:v>
                </c:pt>
                <c:pt idx="10">
                  <c:v>-13.26</c:v>
                </c:pt>
                <c:pt idx="11">
                  <c:v>-12.56</c:v>
                </c:pt>
                <c:pt idx="12">
                  <c:v>-12.46</c:v>
                </c:pt>
                <c:pt idx="13">
                  <c:v>-11.64</c:v>
                </c:pt>
                <c:pt idx="14">
                  <c:v>-10.57</c:v>
                </c:pt>
                <c:pt idx="15">
                  <c:v>-10.31</c:v>
                </c:pt>
                <c:pt idx="16">
                  <c:v>-10.53</c:v>
                </c:pt>
                <c:pt idx="17">
                  <c:v>-11.17</c:v>
                </c:pt>
                <c:pt idx="18">
                  <c:v>-8.85</c:v>
                </c:pt>
                <c:pt idx="19">
                  <c:v>-7.94</c:v>
                </c:pt>
                <c:pt idx="20">
                  <c:v>-9.19</c:v>
                </c:pt>
                <c:pt idx="21">
                  <c:v>-11.44</c:v>
                </c:pt>
                <c:pt idx="22">
                  <c:v>-13.26</c:v>
                </c:pt>
                <c:pt idx="23">
                  <c:v>-13.26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7885-41E2-9533-6EE640E903EB}"/>
            </c:ext>
          </c:extLst>
        </c:ser>
        <c:ser>
          <c:idx val="7"/>
          <c:order val="7"/>
          <c:tx>
            <c:strRef>
              <c:f>Flujos!$H$3</c:f>
              <c:strCache>
                <c:ptCount val="1"/>
                <c:pt idx="0">
                  <c:v>l7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4"/>
            <c:spPr>
              <a:ln>
                <a:prstDash val="solid"/>
              </a:ln>
            </c:spPr>
          </c:marker>
          <c:val>
            <c:numRef>
              <c:f>Flujos!$H$4:$H$27</c:f>
              <c:numCache>
                <c:formatCode>General</c:formatCode>
                <c:ptCount val="24"/>
                <c:pt idx="0">
                  <c:v>-52.01</c:v>
                </c:pt>
                <c:pt idx="1">
                  <c:v>-51.22</c:v>
                </c:pt>
                <c:pt idx="2">
                  <c:v>-50.47</c:v>
                </c:pt>
                <c:pt idx="3">
                  <c:v>-50.24</c:v>
                </c:pt>
                <c:pt idx="4">
                  <c:v>-50.83</c:v>
                </c:pt>
                <c:pt idx="5">
                  <c:v>-52.03</c:v>
                </c:pt>
                <c:pt idx="6">
                  <c:v>-52.4</c:v>
                </c:pt>
                <c:pt idx="7">
                  <c:v>-53.88</c:v>
                </c:pt>
                <c:pt idx="8">
                  <c:v>-55.39</c:v>
                </c:pt>
                <c:pt idx="9">
                  <c:v>-56.58</c:v>
                </c:pt>
                <c:pt idx="10">
                  <c:v>-57.82</c:v>
                </c:pt>
                <c:pt idx="11">
                  <c:v>-58.27</c:v>
                </c:pt>
                <c:pt idx="12">
                  <c:v>-58.27</c:v>
                </c:pt>
                <c:pt idx="13">
                  <c:v>-58.27</c:v>
                </c:pt>
                <c:pt idx="14">
                  <c:v>-58.27</c:v>
                </c:pt>
                <c:pt idx="15">
                  <c:v>-58.27</c:v>
                </c:pt>
                <c:pt idx="16">
                  <c:v>-58.27</c:v>
                </c:pt>
                <c:pt idx="17">
                  <c:v>-58.27</c:v>
                </c:pt>
                <c:pt idx="18">
                  <c:v>-58.27</c:v>
                </c:pt>
                <c:pt idx="19">
                  <c:v>-58.27</c:v>
                </c:pt>
                <c:pt idx="20">
                  <c:v>-58.27</c:v>
                </c:pt>
                <c:pt idx="21">
                  <c:v>-58.27</c:v>
                </c:pt>
                <c:pt idx="22">
                  <c:v>-57.32</c:v>
                </c:pt>
                <c:pt idx="23">
                  <c:v>-55.45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7885-41E2-9533-6EE640E903EB}"/>
            </c:ext>
          </c:extLst>
        </c:ser>
        <c:ser>
          <c:idx val="8"/>
          <c:order val="8"/>
          <c:tx>
            <c:strRef>
              <c:f>Flujos!$I$3</c:f>
              <c:strCache>
                <c:ptCount val="1"/>
                <c:pt idx="0">
                  <c:v>l8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4"/>
            <c:spPr>
              <a:ln>
                <a:prstDash val="solid"/>
              </a:ln>
            </c:spPr>
          </c:marker>
          <c:val>
            <c:numRef>
              <c:f>Flujos!$I$4:$I$27</c:f>
              <c:numCache>
                <c:formatCode>General</c:formatCode>
                <c:ptCount val="24"/>
                <c:pt idx="0">
                  <c:v>27.42</c:v>
                </c:pt>
                <c:pt idx="1">
                  <c:v>27.42</c:v>
                </c:pt>
                <c:pt idx="2">
                  <c:v>27.42</c:v>
                </c:pt>
                <c:pt idx="3">
                  <c:v>27.42</c:v>
                </c:pt>
                <c:pt idx="4">
                  <c:v>27.42</c:v>
                </c:pt>
                <c:pt idx="5">
                  <c:v>27.42</c:v>
                </c:pt>
                <c:pt idx="6">
                  <c:v>27.42</c:v>
                </c:pt>
                <c:pt idx="7">
                  <c:v>27.42</c:v>
                </c:pt>
                <c:pt idx="8">
                  <c:v>27.42</c:v>
                </c:pt>
                <c:pt idx="9">
                  <c:v>27.42</c:v>
                </c:pt>
                <c:pt idx="10">
                  <c:v>27.42</c:v>
                </c:pt>
                <c:pt idx="11">
                  <c:v>27.42</c:v>
                </c:pt>
                <c:pt idx="12">
                  <c:v>27.42</c:v>
                </c:pt>
                <c:pt idx="13">
                  <c:v>27.42</c:v>
                </c:pt>
                <c:pt idx="14">
                  <c:v>27.42</c:v>
                </c:pt>
                <c:pt idx="15">
                  <c:v>27.42</c:v>
                </c:pt>
                <c:pt idx="16">
                  <c:v>27.42</c:v>
                </c:pt>
                <c:pt idx="17">
                  <c:v>27.42</c:v>
                </c:pt>
                <c:pt idx="18">
                  <c:v>27.42</c:v>
                </c:pt>
                <c:pt idx="19">
                  <c:v>27.42</c:v>
                </c:pt>
                <c:pt idx="20">
                  <c:v>27.42</c:v>
                </c:pt>
                <c:pt idx="21">
                  <c:v>27.42</c:v>
                </c:pt>
                <c:pt idx="22">
                  <c:v>27.42</c:v>
                </c:pt>
                <c:pt idx="23">
                  <c:v>27.42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7885-41E2-9533-6EE640E903EB}"/>
            </c:ext>
          </c:extLst>
        </c:ser>
        <c:ser>
          <c:idx val="9"/>
          <c:order val="9"/>
          <c:tx>
            <c:strRef>
              <c:f>Flujos!$J$3</c:f>
              <c:strCache>
                <c:ptCount val="1"/>
                <c:pt idx="0">
                  <c:v>l9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4"/>
            <c:spPr>
              <a:ln>
                <a:prstDash val="solid"/>
              </a:ln>
            </c:spPr>
          </c:marker>
          <c:val>
            <c:numRef>
              <c:f>Flujos!$J$4:$J$27</c:f>
              <c:numCache>
                <c:formatCode>General</c:formatCode>
                <c:ptCount val="24"/>
                <c:pt idx="0">
                  <c:v>15.81</c:v>
                </c:pt>
                <c:pt idx="1">
                  <c:v>15.73</c:v>
                </c:pt>
                <c:pt idx="2">
                  <c:v>15.77</c:v>
                </c:pt>
                <c:pt idx="3">
                  <c:v>15.84</c:v>
                </c:pt>
                <c:pt idx="4">
                  <c:v>15.73</c:v>
                </c:pt>
                <c:pt idx="5">
                  <c:v>15.81</c:v>
                </c:pt>
                <c:pt idx="6">
                  <c:v>15.94</c:v>
                </c:pt>
                <c:pt idx="7">
                  <c:v>16.420000000000002</c:v>
                </c:pt>
                <c:pt idx="8">
                  <c:v>16.89</c:v>
                </c:pt>
                <c:pt idx="9">
                  <c:v>17.11</c:v>
                </c:pt>
                <c:pt idx="10">
                  <c:v>17.329999999999998</c:v>
                </c:pt>
                <c:pt idx="11">
                  <c:v>17.47</c:v>
                </c:pt>
                <c:pt idx="12">
                  <c:v>17.48</c:v>
                </c:pt>
                <c:pt idx="13">
                  <c:v>17.579999999999998</c:v>
                </c:pt>
                <c:pt idx="14">
                  <c:v>17.71</c:v>
                </c:pt>
                <c:pt idx="15">
                  <c:v>17.739999999999998</c:v>
                </c:pt>
                <c:pt idx="16">
                  <c:v>17.71</c:v>
                </c:pt>
                <c:pt idx="17">
                  <c:v>17.64</c:v>
                </c:pt>
                <c:pt idx="18">
                  <c:v>17.75</c:v>
                </c:pt>
                <c:pt idx="19">
                  <c:v>17.75</c:v>
                </c:pt>
                <c:pt idx="20">
                  <c:v>17.75</c:v>
                </c:pt>
                <c:pt idx="21">
                  <c:v>17.61</c:v>
                </c:pt>
                <c:pt idx="22">
                  <c:v>17.239999999999998</c:v>
                </c:pt>
                <c:pt idx="23">
                  <c:v>16.97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7885-41E2-9533-6EE640E903EB}"/>
            </c:ext>
          </c:extLst>
        </c:ser>
        <c:ser>
          <c:idx val="10"/>
          <c:order val="10"/>
          <c:tx>
            <c:strRef>
              <c:f>Flujos!$K$3</c:f>
              <c:strCache>
                <c:ptCount val="1"/>
                <c:pt idx="0">
                  <c:v>l10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4"/>
            <c:spPr>
              <a:ln>
                <a:prstDash val="solid"/>
              </a:ln>
            </c:spPr>
          </c:marker>
          <c:val>
            <c:numRef>
              <c:f>Flujos!$K$4:$K$27</c:f>
              <c:numCache>
                <c:formatCode>General</c:formatCode>
                <c:ptCount val="24"/>
                <c:pt idx="0">
                  <c:v>39.6</c:v>
                </c:pt>
                <c:pt idx="1">
                  <c:v>39.03</c:v>
                </c:pt>
                <c:pt idx="2">
                  <c:v>39.479999999999997</c:v>
                </c:pt>
                <c:pt idx="3">
                  <c:v>39.47</c:v>
                </c:pt>
                <c:pt idx="4">
                  <c:v>39.380000000000003</c:v>
                </c:pt>
                <c:pt idx="5">
                  <c:v>39.630000000000003</c:v>
                </c:pt>
                <c:pt idx="6">
                  <c:v>40.049999999999997</c:v>
                </c:pt>
                <c:pt idx="7">
                  <c:v>41.73</c:v>
                </c:pt>
                <c:pt idx="8">
                  <c:v>43.2</c:v>
                </c:pt>
                <c:pt idx="9">
                  <c:v>43.28</c:v>
                </c:pt>
                <c:pt idx="10">
                  <c:v>43.34</c:v>
                </c:pt>
                <c:pt idx="11">
                  <c:v>43.25</c:v>
                </c:pt>
                <c:pt idx="12">
                  <c:v>43.24</c:v>
                </c:pt>
                <c:pt idx="13">
                  <c:v>43.19</c:v>
                </c:pt>
                <c:pt idx="14">
                  <c:v>43.54</c:v>
                </c:pt>
                <c:pt idx="15">
                  <c:v>43.62</c:v>
                </c:pt>
                <c:pt idx="16">
                  <c:v>43.55</c:v>
                </c:pt>
                <c:pt idx="17">
                  <c:v>43.35</c:v>
                </c:pt>
                <c:pt idx="18">
                  <c:v>43.74</c:v>
                </c:pt>
                <c:pt idx="19">
                  <c:v>43.56</c:v>
                </c:pt>
                <c:pt idx="20">
                  <c:v>43.72</c:v>
                </c:pt>
                <c:pt idx="21">
                  <c:v>43.27</c:v>
                </c:pt>
                <c:pt idx="22">
                  <c:v>42.66</c:v>
                </c:pt>
                <c:pt idx="23">
                  <c:v>41.75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7885-41E2-9533-6EE640E903EB}"/>
            </c:ext>
          </c:extLst>
        </c:ser>
        <c:ser>
          <c:idx val="11"/>
          <c:order val="11"/>
          <c:tx>
            <c:strRef>
              <c:f>Flujos!$L$3</c:f>
              <c:strCache>
                <c:ptCount val="1"/>
                <c:pt idx="0">
                  <c:v>l11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4"/>
            <c:spPr>
              <a:ln>
                <a:prstDash val="solid"/>
              </a:ln>
            </c:spPr>
          </c:marker>
          <c:val>
            <c:numRef>
              <c:f>Flujos!$L$4:$L$27</c:f>
              <c:numCache>
                <c:formatCode>General</c:formatCode>
                <c:ptCount val="24"/>
                <c:pt idx="0">
                  <c:v>5.58</c:v>
                </c:pt>
                <c:pt idx="1">
                  <c:v>5.89</c:v>
                </c:pt>
                <c:pt idx="2">
                  <c:v>5.37</c:v>
                </c:pt>
                <c:pt idx="3">
                  <c:v>5.63</c:v>
                </c:pt>
                <c:pt idx="4">
                  <c:v>5.36</c:v>
                </c:pt>
                <c:pt idx="5">
                  <c:v>5.58</c:v>
                </c:pt>
                <c:pt idx="6">
                  <c:v>5.58</c:v>
                </c:pt>
                <c:pt idx="7">
                  <c:v>5.57</c:v>
                </c:pt>
                <c:pt idx="8">
                  <c:v>5.66</c:v>
                </c:pt>
                <c:pt idx="9">
                  <c:v>6.12</c:v>
                </c:pt>
                <c:pt idx="10">
                  <c:v>6.6</c:v>
                </c:pt>
                <c:pt idx="11">
                  <c:v>6.95</c:v>
                </c:pt>
                <c:pt idx="12">
                  <c:v>6.98</c:v>
                </c:pt>
                <c:pt idx="13">
                  <c:v>7.19</c:v>
                </c:pt>
                <c:pt idx="14">
                  <c:v>7.19</c:v>
                </c:pt>
                <c:pt idx="15">
                  <c:v>7.19</c:v>
                </c:pt>
                <c:pt idx="16">
                  <c:v>7.19</c:v>
                </c:pt>
                <c:pt idx="17">
                  <c:v>7.19</c:v>
                </c:pt>
                <c:pt idx="18">
                  <c:v>7.19</c:v>
                </c:pt>
                <c:pt idx="19">
                  <c:v>7.19</c:v>
                </c:pt>
                <c:pt idx="20">
                  <c:v>7.19</c:v>
                </c:pt>
                <c:pt idx="21">
                  <c:v>7.19</c:v>
                </c:pt>
                <c:pt idx="22">
                  <c:v>6.83</c:v>
                </c:pt>
                <c:pt idx="23">
                  <c:v>6.72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7885-41E2-9533-6EE640E903EB}"/>
            </c:ext>
          </c:extLst>
        </c:ser>
        <c:ser>
          <c:idx val="12"/>
          <c:order val="12"/>
          <c:tx>
            <c:strRef>
              <c:f>Flujos!$M$3</c:f>
              <c:strCache>
                <c:ptCount val="1"/>
                <c:pt idx="0">
                  <c:v>l12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4"/>
            <c:spPr>
              <a:ln>
                <a:prstDash val="solid"/>
              </a:ln>
            </c:spPr>
          </c:marker>
          <c:val>
            <c:numRef>
              <c:f>Flujos!$M$4:$M$27</c:f>
              <c:numCache>
                <c:formatCode>General</c:formatCode>
                <c:ptCount val="24"/>
                <c:pt idx="0">
                  <c:v>7.12</c:v>
                </c:pt>
                <c:pt idx="1">
                  <c:v>6.94</c:v>
                </c:pt>
                <c:pt idx="2">
                  <c:v>7.3</c:v>
                </c:pt>
                <c:pt idx="3">
                  <c:v>7.24</c:v>
                </c:pt>
                <c:pt idx="4">
                  <c:v>7.14</c:v>
                </c:pt>
                <c:pt idx="5">
                  <c:v>7.13</c:v>
                </c:pt>
                <c:pt idx="6">
                  <c:v>7.22</c:v>
                </c:pt>
                <c:pt idx="7">
                  <c:v>7.57</c:v>
                </c:pt>
                <c:pt idx="8">
                  <c:v>7.93</c:v>
                </c:pt>
                <c:pt idx="9">
                  <c:v>8.24</c:v>
                </c:pt>
                <c:pt idx="10">
                  <c:v>8.56</c:v>
                </c:pt>
                <c:pt idx="11">
                  <c:v>8.8000000000000007</c:v>
                </c:pt>
                <c:pt idx="12">
                  <c:v>8.82</c:v>
                </c:pt>
                <c:pt idx="13">
                  <c:v>8.9600000000000009</c:v>
                </c:pt>
                <c:pt idx="14">
                  <c:v>9.0299999999999994</c:v>
                </c:pt>
                <c:pt idx="15">
                  <c:v>9.0299999999999994</c:v>
                </c:pt>
                <c:pt idx="16">
                  <c:v>9.0299999999999994</c:v>
                </c:pt>
                <c:pt idx="17">
                  <c:v>9.0299999999999994</c:v>
                </c:pt>
                <c:pt idx="18">
                  <c:v>9.0299999999999994</c:v>
                </c:pt>
                <c:pt idx="19">
                  <c:v>9.0299999999999994</c:v>
                </c:pt>
                <c:pt idx="20">
                  <c:v>9.0299999999999994</c:v>
                </c:pt>
                <c:pt idx="21">
                  <c:v>8.98</c:v>
                </c:pt>
                <c:pt idx="22">
                  <c:v>8.57</c:v>
                </c:pt>
                <c:pt idx="23">
                  <c:v>8.48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7885-41E2-9533-6EE640E903EB}"/>
            </c:ext>
          </c:extLst>
        </c:ser>
        <c:ser>
          <c:idx val="13"/>
          <c:order val="13"/>
          <c:tx>
            <c:strRef>
              <c:f>Flujos!$N$3</c:f>
              <c:strCache>
                <c:ptCount val="1"/>
                <c:pt idx="0">
                  <c:v>l13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4"/>
            <c:spPr>
              <a:ln>
                <a:prstDash val="solid"/>
              </a:ln>
            </c:spPr>
          </c:marker>
          <c:val>
            <c:numRef>
              <c:f>Flujos!$N$4:$N$27</c:f>
              <c:numCache>
                <c:formatCode>General</c:formatCode>
                <c:ptCount val="24"/>
                <c:pt idx="0">
                  <c:v>16</c:v>
                </c:pt>
                <c:pt idx="1">
                  <c:v>15.63</c:v>
                </c:pt>
                <c:pt idx="2">
                  <c:v>16.48</c:v>
                </c:pt>
                <c:pt idx="3">
                  <c:v>16.37</c:v>
                </c:pt>
                <c:pt idx="4">
                  <c:v>16.420000000000002</c:v>
                </c:pt>
                <c:pt idx="5">
                  <c:v>16.02</c:v>
                </c:pt>
                <c:pt idx="6">
                  <c:v>16.2</c:v>
                </c:pt>
                <c:pt idx="7">
                  <c:v>16.93</c:v>
                </c:pt>
                <c:pt idx="8">
                  <c:v>17.71</c:v>
                </c:pt>
                <c:pt idx="9">
                  <c:v>18.440000000000001</c:v>
                </c:pt>
                <c:pt idx="10">
                  <c:v>19.21</c:v>
                </c:pt>
                <c:pt idx="11">
                  <c:v>19.78</c:v>
                </c:pt>
                <c:pt idx="12">
                  <c:v>19.829999999999998</c:v>
                </c:pt>
                <c:pt idx="13">
                  <c:v>20.170000000000002</c:v>
                </c:pt>
                <c:pt idx="14">
                  <c:v>20.190000000000001</c:v>
                </c:pt>
                <c:pt idx="15">
                  <c:v>20.190000000000001</c:v>
                </c:pt>
                <c:pt idx="16">
                  <c:v>20.190000000000001</c:v>
                </c:pt>
                <c:pt idx="17">
                  <c:v>20.190000000000001</c:v>
                </c:pt>
                <c:pt idx="18">
                  <c:v>20.190000000000001</c:v>
                </c:pt>
                <c:pt idx="19">
                  <c:v>20.190000000000001</c:v>
                </c:pt>
                <c:pt idx="20">
                  <c:v>20.190000000000001</c:v>
                </c:pt>
                <c:pt idx="21">
                  <c:v>20.190000000000001</c:v>
                </c:pt>
                <c:pt idx="22">
                  <c:v>19.420000000000002</c:v>
                </c:pt>
                <c:pt idx="23">
                  <c:v>19.21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7885-41E2-9533-6EE640E903EB}"/>
            </c:ext>
          </c:extLst>
        </c:ser>
        <c:ser>
          <c:idx val="14"/>
          <c:order val="14"/>
          <c:tx>
            <c:strRef>
              <c:f>Flujos!$O$3</c:f>
              <c:strCache>
                <c:ptCount val="1"/>
                <c:pt idx="0">
                  <c:v>l14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4"/>
            <c:spPr>
              <a:ln>
                <a:prstDash val="solid"/>
              </a:ln>
            </c:spPr>
          </c:marker>
          <c:val>
            <c:numRef>
              <c:f>Flujos!$O$4:$O$27</c:f>
              <c:numCache>
                <c:formatCode>General</c:formatCode>
                <c:ptCount val="24"/>
                <c:pt idx="0">
                  <c:v>-0.37</c:v>
                </c:pt>
                <c:pt idx="1">
                  <c:v>0</c:v>
                </c:pt>
                <c:pt idx="2">
                  <c:v>-0.18</c:v>
                </c:pt>
                <c:pt idx="3">
                  <c:v>-0.55000000000000004</c:v>
                </c:pt>
                <c:pt idx="4">
                  <c:v>0</c:v>
                </c:pt>
                <c:pt idx="5">
                  <c:v>-0.41</c:v>
                </c:pt>
                <c:pt idx="6">
                  <c:v>-1.02</c:v>
                </c:pt>
                <c:pt idx="7">
                  <c:v>-3.49</c:v>
                </c:pt>
                <c:pt idx="8">
                  <c:v>-5.82</c:v>
                </c:pt>
                <c:pt idx="9">
                  <c:v>-6.94</c:v>
                </c:pt>
                <c:pt idx="10">
                  <c:v>-8.07</c:v>
                </c:pt>
                <c:pt idx="11">
                  <c:v>-8.77</c:v>
                </c:pt>
                <c:pt idx="12">
                  <c:v>-8.83</c:v>
                </c:pt>
                <c:pt idx="13">
                  <c:v>-9.33</c:v>
                </c:pt>
                <c:pt idx="14">
                  <c:v>-9.98</c:v>
                </c:pt>
                <c:pt idx="15">
                  <c:v>-10.130000000000001</c:v>
                </c:pt>
                <c:pt idx="16">
                  <c:v>-10</c:v>
                </c:pt>
                <c:pt idx="17">
                  <c:v>-9.6300000000000008</c:v>
                </c:pt>
                <c:pt idx="18">
                  <c:v>-10.19</c:v>
                </c:pt>
                <c:pt idx="19">
                  <c:v>-10.19</c:v>
                </c:pt>
                <c:pt idx="20">
                  <c:v>-10.19</c:v>
                </c:pt>
                <c:pt idx="21">
                  <c:v>-9.48</c:v>
                </c:pt>
                <c:pt idx="22">
                  <c:v>-7.64</c:v>
                </c:pt>
                <c:pt idx="23">
                  <c:v>-6.25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7885-41E2-9533-6EE640E903EB}"/>
            </c:ext>
          </c:extLst>
        </c:ser>
        <c:ser>
          <c:idx val="15"/>
          <c:order val="15"/>
          <c:tx>
            <c:strRef>
              <c:f>Flujos!$P$3</c:f>
              <c:strCache>
                <c:ptCount val="1"/>
                <c:pt idx="0">
                  <c:v>l15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4"/>
            <c:spPr>
              <a:ln>
                <a:prstDash val="solid"/>
              </a:ln>
            </c:spPr>
          </c:marker>
          <c:val>
            <c:numRef>
              <c:f>Flujos!$P$4:$P$27</c:f>
              <c:numCache>
                <c:formatCode>General</c:formatCode>
                <c:ptCount val="24"/>
                <c:pt idx="0">
                  <c:v>27.79</c:v>
                </c:pt>
                <c:pt idx="1">
                  <c:v>27.42</c:v>
                </c:pt>
                <c:pt idx="2">
                  <c:v>27.6</c:v>
                </c:pt>
                <c:pt idx="3">
                  <c:v>27.97</c:v>
                </c:pt>
                <c:pt idx="4">
                  <c:v>27.42</c:v>
                </c:pt>
                <c:pt idx="5">
                  <c:v>27.83</c:v>
                </c:pt>
                <c:pt idx="6">
                  <c:v>28.44</c:v>
                </c:pt>
                <c:pt idx="7">
                  <c:v>30.91</c:v>
                </c:pt>
                <c:pt idx="8">
                  <c:v>33.24</c:v>
                </c:pt>
                <c:pt idx="9">
                  <c:v>34.36</c:v>
                </c:pt>
                <c:pt idx="10">
                  <c:v>35.49</c:v>
                </c:pt>
                <c:pt idx="11">
                  <c:v>36.19</c:v>
                </c:pt>
                <c:pt idx="12">
                  <c:v>36.25</c:v>
                </c:pt>
                <c:pt idx="13">
                  <c:v>36.75</c:v>
                </c:pt>
                <c:pt idx="14">
                  <c:v>37.4</c:v>
                </c:pt>
                <c:pt idx="15">
                  <c:v>37.549999999999997</c:v>
                </c:pt>
                <c:pt idx="16">
                  <c:v>37.42</c:v>
                </c:pt>
                <c:pt idx="17">
                  <c:v>37.049999999999997</c:v>
                </c:pt>
                <c:pt idx="18">
                  <c:v>37.61</c:v>
                </c:pt>
                <c:pt idx="19">
                  <c:v>37.61</c:v>
                </c:pt>
                <c:pt idx="20">
                  <c:v>37.61</c:v>
                </c:pt>
                <c:pt idx="21">
                  <c:v>36.9</c:v>
                </c:pt>
                <c:pt idx="22">
                  <c:v>35.06</c:v>
                </c:pt>
                <c:pt idx="23">
                  <c:v>33.67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7885-41E2-9533-6EE640E903EB}"/>
            </c:ext>
          </c:extLst>
        </c:ser>
        <c:ser>
          <c:idx val="16"/>
          <c:order val="16"/>
          <c:tx>
            <c:strRef>
              <c:f>Flujos!$Q$3</c:f>
              <c:strCache>
                <c:ptCount val="1"/>
                <c:pt idx="0">
                  <c:v>l16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4"/>
            <c:spPr>
              <a:ln>
                <a:prstDash val="solid"/>
              </a:ln>
            </c:spPr>
          </c:marker>
          <c:val>
            <c:numRef>
              <c:f>Flujos!$Q$4:$Q$27</c:f>
              <c:numCache>
                <c:formatCode>General</c:formatCode>
                <c:ptCount val="24"/>
                <c:pt idx="0">
                  <c:v>6.28</c:v>
                </c:pt>
                <c:pt idx="1">
                  <c:v>7.13</c:v>
                </c:pt>
                <c:pt idx="2">
                  <c:v>6.38</c:v>
                </c:pt>
                <c:pt idx="3">
                  <c:v>7.25</c:v>
                </c:pt>
                <c:pt idx="4">
                  <c:v>6.01</c:v>
                </c:pt>
                <c:pt idx="5">
                  <c:v>6.29</c:v>
                </c:pt>
                <c:pt idx="6">
                  <c:v>6.46</c:v>
                </c:pt>
                <c:pt idx="7">
                  <c:v>7.11</c:v>
                </c:pt>
                <c:pt idx="8">
                  <c:v>7.68</c:v>
                </c:pt>
                <c:pt idx="9">
                  <c:v>7.68</c:v>
                </c:pt>
                <c:pt idx="10">
                  <c:v>7.68</c:v>
                </c:pt>
                <c:pt idx="11">
                  <c:v>7.68</c:v>
                </c:pt>
                <c:pt idx="12">
                  <c:v>7.68</c:v>
                </c:pt>
                <c:pt idx="13">
                  <c:v>7.68</c:v>
                </c:pt>
                <c:pt idx="14">
                  <c:v>7.68</c:v>
                </c:pt>
                <c:pt idx="15">
                  <c:v>7.68</c:v>
                </c:pt>
                <c:pt idx="16">
                  <c:v>7.68</c:v>
                </c:pt>
                <c:pt idx="17">
                  <c:v>7.68</c:v>
                </c:pt>
                <c:pt idx="18">
                  <c:v>7.68</c:v>
                </c:pt>
                <c:pt idx="19">
                  <c:v>7</c:v>
                </c:pt>
                <c:pt idx="20">
                  <c:v>7.68</c:v>
                </c:pt>
                <c:pt idx="21">
                  <c:v>7.68</c:v>
                </c:pt>
                <c:pt idx="22">
                  <c:v>7.68</c:v>
                </c:pt>
                <c:pt idx="23">
                  <c:v>7.68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7885-41E2-9533-6EE640E903EB}"/>
            </c:ext>
          </c:extLst>
        </c:ser>
        <c:ser>
          <c:idx val="17"/>
          <c:order val="17"/>
          <c:tx>
            <c:strRef>
              <c:f>Flujos!$R$3</c:f>
              <c:strCache>
                <c:ptCount val="1"/>
                <c:pt idx="0">
                  <c:v>l17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4"/>
            <c:spPr>
              <a:ln>
                <a:prstDash val="solid"/>
              </a:ln>
            </c:spPr>
          </c:marker>
          <c:val>
            <c:numRef>
              <c:f>Flujos!$R$4:$R$27</c:f>
              <c:numCache>
                <c:formatCode>General</c:formatCode>
                <c:ptCount val="24"/>
                <c:pt idx="0">
                  <c:v>9.67</c:v>
                </c:pt>
                <c:pt idx="1">
                  <c:v>9.23</c:v>
                </c:pt>
                <c:pt idx="2">
                  <c:v>10.83</c:v>
                </c:pt>
                <c:pt idx="3">
                  <c:v>10.68</c:v>
                </c:pt>
                <c:pt idx="4">
                  <c:v>10.65</c:v>
                </c:pt>
                <c:pt idx="5">
                  <c:v>9.68</c:v>
                </c:pt>
                <c:pt idx="6">
                  <c:v>9.8699999999999992</c:v>
                </c:pt>
                <c:pt idx="7">
                  <c:v>10.62</c:v>
                </c:pt>
                <c:pt idx="8">
                  <c:v>11.3</c:v>
                </c:pt>
                <c:pt idx="9">
                  <c:v>11.5</c:v>
                </c:pt>
                <c:pt idx="10">
                  <c:v>11.72</c:v>
                </c:pt>
                <c:pt idx="11">
                  <c:v>11.88</c:v>
                </c:pt>
                <c:pt idx="12">
                  <c:v>11.9</c:v>
                </c:pt>
                <c:pt idx="13">
                  <c:v>12</c:v>
                </c:pt>
                <c:pt idx="14">
                  <c:v>12.04</c:v>
                </c:pt>
                <c:pt idx="15">
                  <c:v>12.04</c:v>
                </c:pt>
                <c:pt idx="16">
                  <c:v>12.04</c:v>
                </c:pt>
                <c:pt idx="17">
                  <c:v>12.04</c:v>
                </c:pt>
                <c:pt idx="18">
                  <c:v>11.23</c:v>
                </c:pt>
                <c:pt idx="19">
                  <c:v>11.33</c:v>
                </c:pt>
                <c:pt idx="20">
                  <c:v>11.33</c:v>
                </c:pt>
                <c:pt idx="21">
                  <c:v>12.04</c:v>
                </c:pt>
                <c:pt idx="22">
                  <c:v>11.94</c:v>
                </c:pt>
                <c:pt idx="23">
                  <c:v>12.04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1-7885-41E2-9533-6EE640E903EB}"/>
            </c:ext>
          </c:extLst>
        </c:ser>
        <c:ser>
          <c:idx val="18"/>
          <c:order val="18"/>
          <c:tx>
            <c:strRef>
              <c:f>Flujos!$S$3</c:f>
              <c:strCache>
                <c:ptCount val="1"/>
                <c:pt idx="0">
                  <c:v>l18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4"/>
            <c:spPr>
              <a:ln>
                <a:prstDash val="solid"/>
              </a:ln>
            </c:spPr>
          </c:marker>
          <c:val>
            <c:numRef>
              <c:f>Flujos!$S$4:$S$27</c:f>
              <c:numCache>
                <c:formatCode>General</c:formatCode>
                <c:ptCount val="24"/>
                <c:pt idx="0">
                  <c:v>-2.2000000000000002</c:v>
                </c:pt>
                <c:pt idx="1">
                  <c:v>-2.61</c:v>
                </c:pt>
                <c:pt idx="2">
                  <c:v>-2.17</c:v>
                </c:pt>
                <c:pt idx="3">
                  <c:v>-2.46</c:v>
                </c:pt>
                <c:pt idx="4">
                  <c:v>-2.12</c:v>
                </c:pt>
                <c:pt idx="5">
                  <c:v>-2.2000000000000002</c:v>
                </c:pt>
                <c:pt idx="6">
                  <c:v>-2.15</c:v>
                </c:pt>
                <c:pt idx="7">
                  <c:v>-1.97</c:v>
                </c:pt>
                <c:pt idx="8">
                  <c:v>-1.88</c:v>
                </c:pt>
                <c:pt idx="9">
                  <c:v>-2.2000000000000002</c:v>
                </c:pt>
                <c:pt idx="10">
                  <c:v>-2.5299999999999998</c:v>
                </c:pt>
                <c:pt idx="11">
                  <c:v>-2.78</c:v>
                </c:pt>
                <c:pt idx="12">
                  <c:v>-2.8</c:v>
                </c:pt>
                <c:pt idx="13">
                  <c:v>-2.94</c:v>
                </c:pt>
                <c:pt idx="14">
                  <c:v>-2.86</c:v>
                </c:pt>
                <c:pt idx="15">
                  <c:v>-2.84</c:v>
                </c:pt>
                <c:pt idx="16">
                  <c:v>-2.85</c:v>
                </c:pt>
                <c:pt idx="17">
                  <c:v>-2.91</c:v>
                </c:pt>
                <c:pt idx="18">
                  <c:v>-2.72</c:v>
                </c:pt>
                <c:pt idx="19">
                  <c:v>-2.65</c:v>
                </c:pt>
                <c:pt idx="20">
                  <c:v>-2.74</c:v>
                </c:pt>
                <c:pt idx="21">
                  <c:v>-2.93</c:v>
                </c:pt>
                <c:pt idx="22">
                  <c:v>-2.83</c:v>
                </c:pt>
                <c:pt idx="23">
                  <c:v>-2.94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2-7885-41E2-9533-6EE640E903EB}"/>
            </c:ext>
          </c:extLst>
        </c:ser>
        <c:ser>
          <c:idx val="19"/>
          <c:order val="19"/>
          <c:tx>
            <c:strRef>
              <c:f>Flujos!$T$3</c:f>
              <c:strCache>
                <c:ptCount val="1"/>
                <c:pt idx="0">
                  <c:v>l19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4"/>
            <c:spPr>
              <a:ln>
                <a:prstDash val="solid"/>
              </a:ln>
            </c:spPr>
          </c:marker>
          <c:val>
            <c:numRef>
              <c:f>Flujos!$T$4:$T$27</c:f>
              <c:numCache>
                <c:formatCode>General</c:formatCode>
                <c:ptCount val="24"/>
                <c:pt idx="0">
                  <c:v>1.31</c:v>
                </c:pt>
                <c:pt idx="1">
                  <c:v>1.31</c:v>
                </c:pt>
                <c:pt idx="2">
                  <c:v>1.41</c:v>
                </c:pt>
                <c:pt idx="3">
                  <c:v>1.4</c:v>
                </c:pt>
                <c:pt idx="4">
                  <c:v>1.56</c:v>
                </c:pt>
                <c:pt idx="5">
                  <c:v>1.31</c:v>
                </c:pt>
                <c:pt idx="6">
                  <c:v>1.32</c:v>
                </c:pt>
                <c:pt idx="7">
                  <c:v>1.35</c:v>
                </c:pt>
                <c:pt idx="8">
                  <c:v>1.39</c:v>
                </c:pt>
                <c:pt idx="9">
                  <c:v>1.47</c:v>
                </c:pt>
                <c:pt idx="10">
                  <c:v>1.56</c:v>
                </c:pt>
                <c:pt idx="11">
                  <c:v>1.63</c:v>
                </c:pt>
                <c:pt idx="12">
                  <c:v>1.64</c:v>
                </c:pt>
                <c:pt idx="13">
                  <c:v>1.67</c:v>
                </c:pt>
                <c:pt idx="14">
                  <c:v>1.61</c:v>
                </c:pt>
                <c:pt idx="15">
                  <c:v>1.61</c:v>
                </c:pt>
                <c:pt idx="16">
                  <c:v>1.61</c:v>
                </c:pt>
                <c:pt idx="17">
                  <c:v>1.61</c:v>
                </c:pt>
                <c:pt idx="18">
                  <c:v>1.61</c:v>
                </c:pt>
                <c:pt idx="19">
                  <c:v>1.61</c:v>
                </c:pt>
                <c:pt idx="20">
                  <c:v>1.61</c:v>
                </c:pt>
                <c:pt idx="21">
                  <c:v>1.66</c:v>
                </c:pt>
                <c:pt idx="22">
                  <c:v>1.69</c:v>
                </c:pt>
                <c:pt idx="23">
                  <c:v>1.66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3-7885-41E2-9533-6EE640E903EB}"/>
            </c:ext>
          </c:extLst>
        </c:ser>
        <c:ser>
          <c:idx val="20"/>
          <c:order val="20"/>
          <c:tx>
            <c:strRef>
              <c:f>Flujos!$U$3</c:f>
              <c:strCache>
                <c:ptCount val="1"/>
                <c:pt idx="0">
                  <c:v>l20</c:v>
                </c:pt>
              </c:strCache>
            </c:strRef>
          </c:tx>
          <c:val>
            <c:numRef>
              <c:f>Flujos!$U$4:$U$27</c:f>
              <c:numCache>
                <c:formatCode>General</c:formatCode>
                <c:ptCount val="24"/>
                <c:pt idx="0">
                  <c:v>4.4000000000000004</c:v>
                </c:pt>
                <c:pt idx="1">
                  <c:v>4.4000000000000004</c:v>
                </c:pt>
                <c:pt idx="2">
                  <c:v>4.97</c:v>
                </c:pt>
                <c:pt idx="3">
                  <c:v>4.9800000000000004</c:v>
                </c:pt>
                <c:pt idx="4">
                  <c:v>4.9000000000000004</c:v>
                </c:pt>
                <c:pt idx="5">
                  <c:v>4.4000000000000004</c:v>
                </c:pt>
                <c:pt idx="6">
                  <c:v>4.41</c:v>
                </c:pt>
                <c:pt idx="7">
                  <c:v>4.45</c:v>
                </c:pt>
                <c:pt idx="8">
                  <c:v>4.5599999999999996</c:v>
                </c:pt>
                <c:pt idx="9">
                  <c:v>4.88</c:v>
                </c:pt>
                <c:pt idx="10">
                  <c:v>5.22</c:v>
                </c:pt>
                <c:pt idx="11">
                  <c:v>5.47</c:v>
                </c:pt>
                <c:pt idx="12">
                  <c:v>5.49</c:v>
                </c:pt>
                <c:pt idx="13">
                  <c:v>5.64</c:v>
                </c:pt>
                <c:pt idx="14">
                  <c:v>5.62</c:v>
                </c:pt>
                <c:pt idx="15">
                  <c:v>5.6</c:v>
                </c:pt>
                <c:pt idx="16">
                  <c:v>5.61</c:v>
                </c:pt>
                <c:pt idx="17">
                  <c:v>5.64</c:v>
                </c:pt>
                <c:pt idx="18">
                  <c:v>4.91</c:v>
                </c:pt>
                <c:pt idx="19">
                  <c:v>5.1100000000000003</c:v>
                </c:pt>
                <c:pt idx="20">
                  <c:v>5</c:v>
                </c:pt>
                <c:pt idx="21">
                  <c:v>5.65</c:v>
                </c:pt>
                <c:pt idx="22">
                  <c:v>5.61</c:v>
                </c:pt>
                <c:pt idx="23">
                  <c:v>5.76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7885-41E2-9533-6EE640E903EB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Tiempo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Flujo de potencia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BESS_operacion!$B$148</c:f>
              <c:strCache>
                <c:ptCount val="1"/>
                <c:pt idx="0">
                  <c:v>carga (MW)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BESS_operacion!$A$149:$A$172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BESS_operacion!$B$149:$B$172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0.09</c:v>
                </c:pt>
                <c:pt idx="10">
                  <c:v>0.14000000000000001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FB-4644-8DC7-D00AEC553BF7}"/>
            </c:ext>
          </c:extLst>
        </c:ser>
        <c:ser>
          <c:idx val="1"/>
          <c:order val="1"/>
          <c:tx>
            <c:strRef>
              <c:f>BESS_operacion!$C$148</c:f>
              <c:strCache>
                <c:ptCount val="1"/>
                <c:pt idx="0">
                  <c:v>descarga (MW)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BESS_operacion!$C$149:$C$172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0.14000000000000001</c:v>
                </c:pt>
                <c:pt idx="19">
                  <c:v>0.14000000000000001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FB-4644-8DC7-D00AEC553BF7}"/>
            </c:ext>
          </c:extLst>
        </c:ser>
        <c:ser>
          <c:idx val="2"/>
          <c:order val="2"/>
          <c:tx>
            <c:strRef>
              <c:f>BESS_operacion!$D$148</c:f>
              <c:strCache>
                <c:ptCount val="1"/>
                <c:pt idx="0">
                  <c:v>SoC (MWh)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BESS_operacion!$D$149:$D$171</c:f>
              <c:numCache>
                <c:formatCode>General</c:formatCode>
                <c:ptCount val="23"/>
                <c:pt idx="0">
                  <c:v>0.09</c:v>
                </c:pt>
                <c:pt idx="1">
                  <c:v>0.09</c:v>
                </c:pt>
                <c:pt idx="2">
                  <c:v>0.09</c:v>
                </c:pt>
                <c:pt idx="3">
                  <c:v>0.09</c:v>
                </c:pt>
                <c:pt idx="4">
                  <c:v>0.09</c:v>
                </c:pt>
                <c:pt idx="5">
                  <c:v>0.09</c:v>
                </c:pt>
                <c:pt idx="6">
                  <c:v>0.09</c:v>
                </c:pt>
                <c:pt idx="7">
                  <c:v>0.09</c:v>
                </c:pt>
                <c:pt idx="8">
                  <c:v>0.09</c:v>
                </c:pt>
                <c:pt idx="9">
                  <c:v>0.17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0.15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6FB-4644-8DC7-D00AEC553B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6608159"/>
        <c:axId val="277387247"/>
      </c:lineChart>
      <c:catAx>
        <c:axId val="1476608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387247"/>
        <c:crosses val="autoZero"/>
        <c:auto val="1"/>
        <c:lblAlgn val="ctr"/>
        <c:lblOffset val="100"/>
        <c:noMultiLvlLbl val="0"/>
      </c:catAx>
      <c:valAx>
        <c:axId val="277387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6608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BESS_operacion!$B$177</c:f>
              <c:strCache>
                <c:ptCount val="1"/>
                <c:pt idx="0">
                  <c:v>carga (MW)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BESS_operacion!$A$177:$A$201</c:f>
              <c:strCache>
                <c:ptCount val="25"/>
                <c:pt idx="0">
                  <c:v>hora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strCache>
            </c:strRef>
          </c:cat>
          <c:val>
            <c:numRef>
              <c:f>BESS_operacion!$B$178:$B$201</c:f>
              <c:numCache>
                <c:formatCode>General</c:formatCode>
                <c:ptCount val="24"/>
                <c:pt idx="0">
                  <c:v>0</c:v>
                </c:pt>
                <c:pt idx="1">
                  <c:v>1.5</c:v>
                </c:pt>
                <c:pt idx="2">
                  <c:v>0.53</c:v>
                </c:pt>
                <c:pt idx="3">
                  <c:v>1.75</c:v>
                </c:pt>
                <c:pt idx="4">
                  <c:v>0.01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0.48</c:v>
                </c:pt>
                <c:pt idx="23">
                  <c:v>1.1499999999999999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E9-42DC-927C-2203B5FC752C}"/>
            </c:ext>
          </c:extLst>
        </c:ser>
        <c:ser>
          <c:idx val="1"/>
          <c:order val="1"/>
          <c:tx>
            <c:strRef>
              <c:f>BESS_operacion!$C$177</c:f>
              <c:strCache>
                <c:ptCount val="1"/>
                <c:pt idx="0">
                  <c:v>descarga (MW)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BESS_operacion!$A$177:$A$201</c:f>
              <c:strCache>
                <c:ptCount val="25"/>
                <c:pt idx="0">
                  <c:v>hora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strCache>
            </c:strRef>
          </c:cat>
          <c:val>
            <c:numRef>
              <c:f>BESS_operacion!$C$178:$C$201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0.01</c:v>
                </c:pt>
                <c:pt idx="14">
                  <c:v>0.32</c:v>
                </c:pt>
                <c:pt idx="15">
                  <c:v>0.4</c:v>
                </c:pt>
                <c:pt idx="16">
                  <c:v>0.33</c:v>
                </c:pt>
                <c:pt idx="17">
                  <c:v>0.15</c:v>
                </c:pt>
                <c:pt idx="18">
                  <c:v>0.83</c:v>
                </c:pt>
                <c:pt idx="19">
                  <c:v>1.75</c:v>
                </c:pt>
                <c:pt idx="20">
                  <c:v>0.73</c:v>
                </c:pt>
                <c:pt idx="21">
                  <c:v>7.0000000000000007E-2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E9-42DC-927C-2203B5FC752C}"/>
            </c:ext>
          </c:extLst>
        </c:ser>
        <c:ser>
          <c:idx val="2"/>
          <c:order val="2"/>
          <c:tx>
            <c:strRef>
              <c:f>BESS_operacion!$D$177</c:f>
              <c:strCache>
                <c:ptCount val="1"/>
                <c:pt idx="0">
                  <c:v>SoC (MWh)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BESS_operacion!$A$177:$A$201</c:f>
              <c:strCache>
                <c:ptCount val="25"/>
                <c:pt idx="0">
                  <c:v>hora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strCache>
            </c:strRef>
          </c:cat>
          <c:val>
            <c:numRef>
              <c:f>BESS_operacion!$D$178:$D$201</c:f>
              <c:numCache>
                <c:formatCode>General</c:formatCode>
                <c:ptCount val="24"/>
                <c:pt idx="0">
                  <c:v>1.5</c:v>
                </c:pt>
                <c:pt idx="1">
                  <c:v>2.88</c:v>
                </c:pt>
                <c:pt idx="2">
                  <c:v>3.37</c:v>
                </c:pt>
                <c:pt idx="3">
                  <c:v>4.9800000000000004</c:v>
                </c:pt>
                <c:pt idx="4">
                  <c:v>4.99</c:v>
                </c:pt>
                <c:pt idx="5">
                  <c:v>4.9800000000000004</c:v>
                </c:pt>
                <c:pt idx="6">
                  <c:v>4.9800000000000004</c:v>
                </c:pt>
                <c:pt idx="7">
                  <c:v>4.99</c:v>
                </c:pt>
                <c:pt idx="8">
                  <c:v>4.9800000000000004</c:v>
                </c:pt>
                <c:pt idx="9">
                  <c:v>4.9800000000000004</c:v>
                </c:pt>
                <c:pt idx="10">
                  <c:v>4.99</c:v>
                </c:pt>
                <c:pt idx="11">
                  <c:v>4.9800000000000004</c:v>
                </c:pt>
                <c:pt idx="12">
                  <c:v>4.99</c:v>
                </c:pt>
                <c:pt idx="13">
                  <c:v>4.97</c:v>
                </c:pt>
                <c:pt idx="14">
                  <c:v>4.62</c:v>
                </c:pt>
                <c:pt idx="15">
                  <c:v>4.1900000000000004</c:v>
                </c:pt>
                <c:pt idx="16">
                  <c:v>3.83</c:v>
                </c:pt>
                <c:pt idx="17">
                  <c:v>3.66</c:v>
                </c:pt>
                <c:pt idx="18">
                  <c:v>2.76</c:v>
                </c:pt>
                <c:pt idx="19">
                  <c:v>0.87</c:v>
                </c:pt>
                <c:pt idx="20">
                  <c:v>0.08</c:v>
                </c:pt>
                <c:pt idx="21">
                  <c:v>0</c:v>
                </c:pt>
                <c:pt idx="22">
                  <c:v>0.44</c:v>
                </c:pt>
                <c:pt idx="23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E9-42DC-927C-2203B5FC7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6608159"/>
        <c:axId val="277387247"/>
      </c:lineChart>
      <c:catAx>
        <c:axId val="1476608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387247"/>
        <c:crosses val="autoZero"/>
        <c:auto val="1"/>
        <c:lblAlgn val="ctr"/>
        <c:lblOffset val="100"/>
        <c:noMultiLvlLbl val="0"/>
      </c:catAx>
      <c:valAx>
        <c:axId val="277387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6608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BESS_operacion!$B$235</c:f>
              <c:strCache>
                <c:ptCount val="1"/>
                <c:pt idx="0">
                  <c:v>carga (MW)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BESS_operacion!$A$235:$A$259</c:f>
              <c:strCache>
                <c:ptCount val="25"/>
                <c:pt idx="0">
                  <c:v>hora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strCache>
            </c:strRef>
          </c:cat>
          <c:val>
            <c:numRef>
              <c:f>BESS_operacion!$B$236:$B$259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0.38</c:v>
                </c:pt>
                <c:pt idx="3">
                  <c:v>0.39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0.06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FF5-45B8-9DFF-B9162B9D8BB8}"/>
            </c:ext>
          </c:extLst>
        </c:ser>
        <c:ser>
          <c:idx val="1"/>
          <c:order val="1"/>
          <c:tx>
            <c:strRef>
              <c:f>BESS_operacion!$C$235</c:f>
              <c:strCache>
                <c:ptCount val="1"/>
                <c:pt idx="0">
                  <c:v>descarga (MW)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BESS_operacion!$A$235:$A$259</c:f>
              <c:strCache>
                <c:ptCount val="25"/>
                <c:pt idx="0">
                  <c:v>hora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strCache>
            </c:strRef>
          </c:cat>
          <c:val>
            <c:numRef>
              <c:f>BESS_operacion!$C$236:$C$259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0.02</c:v>
                </c:pt>
                <c:pt idx="15">
                  <c:v>0.06</c:v>
                </c:pt>
                <c:pt idx="16">
                  <c:v>0.03</c:v>
                </c:pt>
                <c:pt idx="17">
                  <c:v>0</c:v>
                </c:pt>
                <c:pt idx="18">
                  <c:v>0.27</c:v>
                </c:pt>
                <c:pt idx="19">
                  <c:v>0.39</c:v>
                </c:pt>
                <c:pt idx="20">
                  <c:v>0.22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FF5-45B8-9DFF-B9162B9D8BB8}"/>
            </c:ext>
          </c:extLst>
        </c:ser>
        <c:ser>
          <c:idx val="2"/>
          <c:order val="2"/>
          <c:tx>
            <c:strRef>
              <c:f>BESS_operacion!$D$235</c:f>
              <c:strCache>
                <c:ptCount val="1"/>
                <c:pt idx="0">
                  <c:v>SoC (MWh)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BESS_operacion!$A$235:$A$259</c:f>
              <c:strCache>
                <c:ptCount val="25"/>
                <c:pt idx="0">
                  <c:v>hora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strCache>
            </c:strRef>
          </c:cat>
          <c:val>
            <c:numRef>
              <c:f>BESS_operacion!$D$236:$D$259</c:f>
              <c:numCache>
                <c:formatCode>General</c:formatCode>
                <c:ptCount val="24"/>
                <c:pt idx="0">
                  <c:v>0.31</c:v>
                </c:pt>
                <c:pt idx="1">
                  <c:v>0.31</c:v>
                </c:pt>
                <c:pt idx="2">
                  <c:v>0.66</c:v>
                </c:pt>
                <c:pt idx="3">
                  <c:v>1.02</c:v>
                </c:pt>
                <c:pt idx="4">
                  <c:v>1.02</c:v>
                </c:pt>
                <c:pt idx="5">
                  <c:v>1.02</c:v>
                </c:pt>
                <c:pt idx="6">
                  <c:v>1.02</c:v>
                </c:pt>
                <c:pt idx="7">
                  <c:v>1.02</c:v>
                </c:pt>
                <c:pt idx="8">
                  <c:v>1.02</c:v>
                </c:pt>
                <c:pt idx="9">
                  <c:v>1.02</c:v>
                </c:pt>
                <c:pt idx="10">
                  <c:v>1.02</c:v>
                </c:pt>
                <c:pt idx="11">
                  <c:v>1.02</c:v>
                </c:pt>
                <c:pt idx="12">
                  <c:v>1.02</c:v>
                </c:pt>
                <c:pt idx="13">
                  <c:v>1.02</c:v>
                </c:pt>
                <c:pt idx="14">
                  <c:v>1</c:v>
                </c:pt>
                <c:pt idx="15">
                  <c:v>0.93</c:v>
                </c:pt>
                <c:pt idx="16">
                  <c:v>0.9</c:v>
                </c:pt>
                <c:pt idx="17">
                  <c:v>0.96</c:v>
                </c:pt>
                <c:pt idx="18">
                  <c:v>0.67</c:v>
                </c:pt>
                <c:pt idx="19">
                  <c:v>0.24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FF5-45B8-9DFF-B9162B9D8B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6608159"/>
        <c:axId val="277387247"/>
      </c:lineChart>
      <c:catAx>
        <c:axId val="1476608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387247"/>
        <c:crosses val="autoZero"/>
        <c:auto val="1"/>
        <c:lblAlgn val="ctr"/>
        <c:lblOffset val="100"/>
        <c:noMultiLvlLbl val="0"/>
      </c:catAx>
      <c:valAx>
        <c:axId val="277387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6608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BESS_operacion!$B$264</c:f>
              <c:strCache>
                <c:ptCount val="1"/>
                <c:pt idx="0">
                  <c:v>carga (MW)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BESS_operacion!$A$264:$A$287</c:f>
              <c:strCache>
                <c:ptCount val="24"/>
                <c:pt idx="0">
                  <c:v>hora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BESS_operacion!$B$265:$B$288</c:f>
              <c:numCache>
                <c:formatCode>General</c:formatCode>
                <c:ptCount val="24"/>
                <c:pt idx="0">
                  <c:v>0</c:v>
                </c:pt>
                <c:pt idx="1">
                  <c:v>0.03</c:v>
                </c:pt>
                <c:pt idx="2">
                  <c:v>0.67</c:v>
                </c:pt>
                <c:pt idx="3">
                  <c:v>0.67</c:v>
                </c:pt>
                <c:pt idx="4">
                  <c:v>0.67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0.2</c:v>
                </c:pt>
                <c:pt idx="23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BCE-4C24-AE32-54A951299CCF}"/>
            </c:ext>
          </c:extLst>
        </c:ser>
        <c:ser>
          <c:idx val="1"/>
          <c:order val="1"/>
          <c:tx>
            <c:strRef>
              <c:f>BESS_operacion!$C$264</c:f>
              <c:strCache>
                <c:ptCount val="1"/>
                <c:pt idx="0">
                  <c:v>descarga (MW)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BESS_operacion!$C$265:$C$288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0.36</c:v>
                </c:pt>
                <c:pt idx="15">
                  <c:v>0.43</c:v>
                </c:pt>
                <c:pt idx="16">
                  <c:v>0.37</c:v>
                </c:pt>
                <c:pt idx="17">
                  <c:v>0.2</c:v>
                </c:pt>
                <c:pt idx="18">
                  <c:v>0.2</c:v>
                </c:pt>
                <c:pt idx="19">
                  <c:v>0.67</c:v>
                </c:pt>
                <c:pt idx="20">
                  <c:v>0.18</c:v>
                </c:pt>
                <c:pt idx="21">
                  <c:v>7.0000000000000007E-2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BCE-4C24-AE32-54A951299CCF}"/>
            </c:ext>
          </c:extLst>
        </c:ser>
        <c:ser>
          <c:idx val="2"/>
          <c:order val="2"/>
          <c:tx>
            <c:strRef>
              <c:f>BESS_operacion!$D$264</c:f>
              <c:strCache>
                <c:ptCount val="1"/>
                <c:pt idx="0">
                  <c:v>SoC (MWh)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BESS_operacion!$D$265:$D$288</c:f>
              <c:numCache>
                <c:formatCode>General</c:formatCode>
                <c:ptCount val="24"/>
                <c:pt idx="0">
                  <c:v>0.81</c:v>
                </c:pt>
                <c:pt idx="1">
                  <c:v>0.83</c:v>
                </c:pt>
                <c:pt idx="2">
                  <c:v>1.45</c:v>
                </c:pt>
                <c:pt idx="3">
                  <c:v>2.08</c:v>
                </c:pt>
                <c:pt idx="4">
                  <c:v>2.7</c:v>
                </c:pt>
                <c:pt idx="5">
                  <c:v>2.7</c:v>
                </c:pt>
                <c:pt idx="6">
                  <c:v>2.7</c:v>
                </c:pt>
                <c:pt idx="7">
                  <c:v>2.7</c:v>
                </c:pt>
                <c:pt idx="8">
                  <c:v>2.7</c:v>
                </c:pt>
                <c:pt idx="9">
                  <c:v>2.7</c:v>
                </c:pt>
                <c:pt idx="10">
                  <c:v>2.7</c:v>
                </c:pt>
                <c:pt idx="11">
                  <c:v>2.7</c:v>
                </c:pt>
                <c:pt idx="12">
                  <c:v>2.7</c:v>
                </c:pt>
                <c:pt idx="13">
                  <c:v>2.7</c:v>
                </c:pt>
                <c:pt idx="14">
                  <c:v>2.31</c:v>
                </c:pt>
                <c:pt idx="15">
                  <c:v>1.83</c:v>
                </c:pt>
                <c:pt idx="16">
                  <c:v>1.43</c:v>
                </c:pt>
                <c:pt idx="17">
                  <c:v>1.22</c:v>
                </c:pt>
                <c:pt idx="18">
                  <c:v>1</c:v>
                </c:pt>
                <c:pt idx="19">
                  <c:v>0.27</c:v>
                </c:pt>
                <c:pt idx="20">
                  <c:v>7.0000000000000007E-2</c:v>
                </c:pt>
                <c:pt idx="21">
                  <c:v>0</c:v>
                </c:pt>
                <c:pt idx="22">
                  <c:v>0.19</c:v>
                </c:pt>
                <c:pt idx="23">
                  <c:v>0.81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BCE-4C24-AE32-54A951299C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6608159"/>
        <c:axId val="277387247"/>
      </c:lineChart>
      <c:catAx>
        <c:axId val="1476608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387247"/>
        <c:crosses val="autoZero"/>
        <c:auto val="1"/>
        <c:lblAlgn val="ctr"/>
        <c:lblOffset val="100"/>
        <c:noMultiLvlLbl val="0"/>
      </c:catAx>
      <c:valAx>
        <c:axId val="277387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6608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BESS_operacion!$B$293</c:f>
              <c:strCache>
                <c:ptCount val="1"/>
                <c:pt idx="0">
                  <c:v>carga (MW)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BESS_operacion!$A$293:$A$317</c:f>
              <c:strCache>
                <c:ptCount val="25"/>
                <c:pt idx="0">
                  <c:v>hora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strCache>
            </c:strRef>
          </c:cat>
          <c:val>
            <c:numRef>
              <c:f>BESS_operacion!$B$294:$B$317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2.46</c:v>
                </c:pt>
                <c:pt idx="3">
                  <c:v>2.46</c:v>
                </c:pt>
                <c:pt idx="4">
                  <c:v>2.04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0.9</c:v>
                </c:pt>
                <c:pt idx="23">
                  <c:v>2.08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E8-4979-9627-A6BAE8B9BA2F}"/>
            </c:ext>
          </c:extLst>
        </c:ser>
        <c:ser>
          <c:idx val="1"/>
          <c:order val="1"/>
          <c:tx>
            <c:strRef>
              <c:f>BESS_operacion!$C$293</c:f>
              <c:strCache>
                <c:ptCount val="1"/>
                <c:pt idx="0">
                  <c:v>descarga (MW)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BESS_operacion!$A$293:$A$317</c:f>
              <c:strCache>
                <c:ptCount val="25"/>
                <c:pt idx="0">
                  <c:v>hora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strCache>
            </c:strRef>
          </c:cat>
          <c:val>
            <c:numRef>
              <c:f>BESS_operacion!$C$294:$C$317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0.36</c:v>
                </c:pt>
                <c:pt idx="15">
                  <c:v>0.47</c:v>
                </c:pt>
                <c:pt idx="16">
                  <c:v>0.38</c:v>
                </c:pt>
                <c:pt idx="17">
                  <c:v>0.13</c:v>
                </c:pt>
                <c:pt idx="18">
                  <c:v>2.46</c:v>
                </c:pt>
                <c:pt idx="19">
                  <c:v>2.46</c:v>
                </c:pt>
                <c:pt idx="20">
                  <c:v>2.16</c:v>
                </c:pt>
                <c:pt idx="21">
                  <c:v>0.02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E8-4979-9627-A6BAE8B9BA2F}"/>
            </c:ext>
          </c:extLst>
        </c:ser>
        <c:ser>
          <c:idx val="2"/>
          <c:order val="2"/>
          <c:tx>
            <c:strRef>
              <c:f>BESS_operacion!$D$293</c:f>
              <c:strCache>
                <c:ptCount val="1"/>
                <c:pt idx="0">
                  <c:v>SoC (MWh)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BESS_operacion!$A$293:$A$317</c:f>
              <c:strCache>
                <c:ptCount val="25"/>
                <c:pt idx="0">
                  <c:v>hora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strCache>
            </c:strRef>
          </c:cat>
          <c:val>
            <c:numRef>
              <c:f>BESS_operacion!$D$294:$D$317</c:f>
              <c:numCache>
                <c:formatCode>General</c:formatCode>
                <c:ptCount val="24"/>
                <c:pt idx="0">
                  <c:v>2.75</c:v>
                </c:pt>
                <c:pt idx="1">
                  <c:v>2.75</c:v>
                </c:pt>
                <c:pt idx="2">
                  <c:v>5.01</c:v>
                </c:pt>
                <c:pt idx="3">
                  <c:v>7.28</c:v>
                </c:pt>
                <c:pt idx="4">
                  <c:v>9.16</c:v>
                </c:pt>
                <c:pt idx="5">
                  <c:v>9.16</c:v>
                </c:pt>
                <c:pt idx="6">
                  <c:v>9.15</c:v>
                </c:pt>
                <c:pt idx="7">
                  <c:v>9.16</c:v>
                </c:pt>
                <c:pt idx="8">
                  <c:v>9.16</c:v>
                </c:pt>
                <c:pt idx="9">
                  <c:v>9.15</c:v>
                </c:pt>
                <c:pt idx="10">
                  <c:v>9.16</c:v>
                </c:pt>
                <c:pt idx="11">
                  <c:v>9.16</c:v>
                </c:pt>
                <c:pt idx="12">
                  <c:v>9.15</c:v>
                </c:pt>
                <c:pt idx="13">
                  <c:v>9.16</c:v>
                </c:pt>
                <c:pt idx="14">
                  <c:v>8.76</c:v>
                </c:pt>
                <c:pt idx="15">
                  <c:v>8.25</c:v>
                </c:pt>
                <c:pt idx="16">
                  <c:v>7.84</c:v>
                </c:pt>
                <c:pt idx="17">
                  <c:v>7.7</c:v>
                </c:pt>
                <c:pt idx="18">
                  <c:v>5.03</c:v>
                </c:pt>
                <c:pt idx="19">
                  <c:v>2.36</c:v>
                </c:pt>
                <c:pt idx="20">
                  <c:v>0.02</c:v>
                </c:pt>
                <c:pt idx="21">
                  <c:v>0</c:v>
                </c:pt>
                <c:pt idx="22">
                  <c:v>0.83</c:v>
                </c:pt>
                <c:pt idx="23">
                  <c:v>2.75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E8-4979-9627-A6BAE8B9BA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6608159"/>
        <c:axId val="277387247"/>
      </c:lineChart>
      <c:catAx>
        <c:axId val="1476608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387247"/>
        <c:crosses val="autoZero"/>
        <c:auto val="1"/>
        <c:lblAlgn val="ctr"/>
        <c:lblOffset val="100"/>
        <c:noMultiLvlLbl val="0"/>
      </c:catAx>
      <c:valAx>
        <c:axId val="277387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6608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66675</xdr:colOff>
      <xdr:row>2</xdr:row>
      <xdr:rowOff>9525</xdr:rowOff>
    </xdr:from>
    <xdr:to>
      <xdr:col>25</xdr:col>
      <xdr:colOff>428625</xdr:colOff>
      <xdr:row>29</xdr:row>
      <xdr:rowOff>23813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328582-7953-4584-8BE0-A96A004775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84667</xdr:colOff>
      <xdr:row>29</xdr:row>
      <xdr:rowOff>52918</xdr:rowOff>
    </xdr:from>
    <xdr:ext cx="10080000" cy="504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D6DF16B-B127-41FA-9859-92E6ED4A57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457200</xdr:colOff>
      <xdr:row>156</xdr:row>
      <xdr:rowOff>23812</xdr:rowOff>
    </xdr:from>
    <xdr:to>
      <xdr:col>16</xdr:col>
      <xdr:colOff>152400</xdr:colOff>
      <xdr:row>170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6BE53F-74FD-76D4-B26C-603F578214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600075</xdr:colOff>
      <xdr:row>178</xdr:row>
      <xdr:rowOff>9525</xdr:rowOff>
    </xdr:from>
    <xdr:to>
      <xdr:col>15</xdr:col>
      <xdr:colOff>295275</xdr:colOff>
      <xdr:row>192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701634C-0567-43BA-9CFE-084A356F31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235</xdr:row>
      <xdr:rowOff>0</xdr:rowOff>
    </xdr:from>
    <xdr:to>
      <xdr:col>15</xdr:col>
      <xdr:colOff>304800</xdr:colOff>
      <xdr:row>249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D120A3A-2100-48F6-92FD-70BA2FE4F5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264</xdr:row>
      <xdr:rowOff>0</xdr:rowOff>
    </xdr:from>
    <xdr:to>
      <xdr:col>16</xdr:col>
      <xdr:colOff>304800</xdr:colOff>
      <xdr:row>278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2F4A690-AA69-40D9-90C8-050EEF0AEB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293</xdr:row>
      <xdr:rowOff>0</xdr:rowOff>
    </xdr:from>
    <xdr:to>
      <xdr:col>15</xdr:col>
      <xdr:colOff>304800</xdr:colOff>
      <xdr:row>307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FADD345-0D3A-42A2-B0E6-67522CEDEF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escargas\resultados_caso_IEEE14_E0_24h_20260808_193835.xlsx" TargetMode="External"/><Relationship Id="rId1" Type="http://schemas.openxmlformats.org/officeDocument/2006/relationships/externalLinkPath" Target="resultados_caso_IEEE14_E0_24h_20260808_19383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escargas\Flujos_por_Linea_24h.xlsx" TargetMode="External"/><Relationship Id="rId1" Type="http://schemas.openxmlformats.org/officeDocument/2006/relationships/externalLinkPath" Target="Flujos_por_Linea_24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"/>
      <sheetName val="Despacho"/>
      <sheetName val="Flujos"/>
      <sheetName val="Perdidas"/>
      <sheetName val="Angulos"/>
      <sheetName val="Inversiones"/>
    </sheetNames>
    <sheetDataSet>
      <sheetData sheetId="0" refreshError="1"/>
      <sheetData sheetId="1">
        <row r="3">
          <cell r="B3" t="str">
            <v>G1</v>
          </cell>
          <cell r="G3" t="str">
            <v>Demanda Total</v>
          </cell>
        </row>
        <row r="4">
          <cell r="G4">
            <v>202.18000000000004</v>
          </cell>
        </row>
        <row r="5">
          <cell r="G5">
            <v>195.81000000000003</v>
          </cell>
        </row>
        <row r="6">
          <cell r="G6">
            <v>190.99</v>
          </cell>
        </row>
        <row r="7">
          <cell r="G7">
            <v>188.9</v>
          </cell>
        </row>
        <row r="8">
          <cell r="G8">
            <v>193.58</v>
          </cell>
        </row>
        <row r="9">
          <cell r="G9">
            <v>202.37</v>
          </cell>
        </row>
        <row r="10">
          <cell r="G10">
            <v>205.22000000000003</v>
          </cell>
        </row>
        <row r="11">
          <cell r="G11">
            <v>216.63000000000002</v>
          </cell>
        </row>
        <row r="12">
          <cell r="G12">
            <v>228.01000000000002</v>
          </cell>
        </row>
        <row r="13">
          <cell r="G13">
            <v>235.73999999999998</v>
          </cell>
        </row>
        <row r="14">
          <cell r="G14">
            <v>243.78000000000003</v>
          </cell>
        </row>
        <row r="15">
          <cell r="G15">
            <v>249.85</v>
          </cell>
        </row>
        <row r="16">
          <cell r="G16">
            <v>250.32</v>
          </cell>
        </row>
        <row r="17">
          <cell r="G17">
            <v>253.95999999999998</v>
          </cell>
        </row>
        <row r="18">
          <cell r="G18">
            <v>259.40999999999997</v>
          </cell>
        </row>
        <row r="19">
          <cell r="G19">
            <v>260.76</v>
          </cell>
        </row>
        <row r="20">
          <cell r="G20">
            <v>259.59000000000003</v>
          </cell>
        </row>
        <row r="21">
          <cell r="G21">
            <v>256.34999999999997</v>
          </cell>
        </row>
        <row r="22">
          <cell r="G22">
            <v>268.28999999999996</v>
          </cell>
        </row>
        <row r="23">
          <cell r="G23">
            <v>272.63</v>
          </cell>
        </row>
        <row r="24">
          <cell r="G24">
            <v>266.57</v>
          </cell>
        </row>
        <row r="25">
          <cell r="G25">
            <v>254.97000000000003</v>
          </cell>
        </row>
        <row r="26">
          <cell r="G26">
            <v>239.36</v>
          </cell>
        </row>
        <row r="27">
          <cell r="G27">
            <v>225.52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os"/>
      <sheetName val="Gráfica"/>
    </sheetNames>
    <sheetDataSet>
      <sheetData sheetId="0">
        <row r="1">
          <cell r="B1" t="str">
            <v>I1</v>
          </cell>
          <cell r="C1" t="str">
            <v>I2</v>
          </cell>
          <cell r="D1" t="str">
            <v>I3</v>
          </cell>
          <cell r="E1" t="str">
            <v>I4</v>
          </cell>
          <cell r="F1" t="str">
            <v>I5</v>
          </cell>
          <cell r="G1" t="str">
            <v>I6</v>
          </cell>
          <cell r="H1" t="str">
            <v>I7</v>
          </cell>
          <cell r="I1" t="str">
            <v>I8</v>
          </cell>
          <cell r="J1" t="str">
            <v>I9</v>
          </cell>
          <cell r="K1" t="str">
            <v>I10</v>
          </cell>
          <cell r="L1" t="str">
            <v>I11</v>
          </cell>
          <cell r="M1" t="str">
            <v>I12</v>
          </cell>
          <cell r="N1" t="str">
            <v>I13</v>
          </cell>
          <cell r="O1" t="str">
            <v>I14</v>
          </cell>
          <cell r="P1" t="str">
            <v>I15</v>
          </cell>
          <cell r="Q1" t="str">
            <v>I16</v>
          </cell>
          <cell r="R1" t="str">
            <v>I17</v>
          </cell>
          <cell r="S1" t="str">
            <v>I18</v>
          </cell>
          <cell r="T1" t="str">
            <v>I19</v>
          </cell>
          <cell r="U1" t="str">
            <v>I20</v>
          </cell>
        </row>
        <row r="2">
          <cell r="A2">
            <v>1</v>
          </cell>
          <cell r="B2">
            <v>122.19</v>
          </cell>
          <cell r="C2">
            <v>62.42</v>
          </cell>
          <cell r="D2">
            <v>56.32</v>
          </cell>
          <cell r="E2">
            <v>50.37</v>
          </cell>
          <cell r="F2">
            <v>38.479999999999997</v>
          </cell>
          <cell r="G2">
            <v>-13.26</v>
          </cell>
          <cell r="H2">
            <v>-52.01</v>
          </cell>
          <cell r="I2">
            <v>27.42</v>
          </cell>
          <cell r="J2">
            <v>15.81</v>
          </cell>
          <cell r="K2">
            <v>39.6</v>
          </cell>
          <cell r="L2">
            <v>5.58</v>
          </cell>
          <cell r="M2">
            <v>7.12</v>
          </cell>
          <cell r="N2">
            <v>16</v>
          </cell>
          <cell r="O2">
            <v>-0.37</v>
          </cell>
          <cell r="P2">
            <v>27.79</v>
          </cell>
          <cell r="Q2">
            <v>6.28</v>
          </cell>
          <cell r="R2">
            <v>9.67</v>
          </cell>
          <cell r="S2">
            <v>-2.2000000000000002</v>
          </cell>
          <cell r="T2">
            <v>1.31</v>
          </cell>
          <cell r="U2">
            <v>4.4000000000000004</v>
          </cell>
        </row>
        <row r="3">
          <cell r="A3">
            <v>2</v>
          </cell>
          <cell r="B3">
            <v>119.61</v>
          </cell>
          <cell r="C3">
            <v>61.32</v>
          </cell>
          <cell r="D3">
            <v>55.68</v>
          </cell>
          <cell r="E3">
            <v>49.66</v>
          </cell>
          <cell r="F3">
            <v>37.96</v>
          </cell>
          <cell r="G3">
            <v>-13.26</v>
          </cell>
          <cell r="H3">
            <v>-51.22</v>
          </cell>
          <cell r="I3">
            <v>27.42</v>
          </cell>
          <cell r="J3">
            <v>15.73</v>
          </cell>
          <cell r="K3">
            <v>39.03</v>
          </cell>
          <cell r="L3">
            <v>5.89</v>
          </cell>
          <cell r="M3">
            <v>6.94</v>
          </cell>
          <cell r="N3">
            <v>15.63</v>
          </cell>
          <cell r="O3">
            <v>0</v>
          </cell>
          <cell r="P3">
            <v>27.42</v>
          </cell>
          <cell r="Q3">
            <v>7.13</v>
          </cell>
          <cell r="R3">
            <v>9.23</v>
          </cell>
          <cell r="S3">
            <v>-2.61</v>
          </cell>
          <cell r="T3">
            <v>1.31</v>
          </cell>
          <cell r="U3">
            <v>4.4000000000000004</v>
          </cell>
        </row>
        <row r="4">
          <cell r="A4">
            <v>3</v>
          </cell>
          <cell r="B4">
            <v>118.47</v>
          </cell>
          <cell r="C4">
            <v>60.94</v>
          </cell>
          <cell r="D4">
            <v>55.43</v>
          </cell>
          <cell r="E4">
            <v>49.38</v>
          </cell>
          <cell r="F4">
            <v>37.85</v>
          </cell>
          <cell r="G4">
            <v>-13.26</v>
          </cell>
          <cell r="H4">
            <v>-50.47</v>
          </cell>
          <cell r="I4">
            <v>27.42</v>
          </cell>
          <cell r="J4">
            <v>15.77</v>
          </cell>
          <cell r="K4">
            <v>39.479999999999997</v>
          </cell>
          <cell r="L4">
            <v>5.37</v>
          </cell>
          <cell r="M4">
            <v>7.3</v>
          </cell>
          <cell r="N4">
            <v>16.48</v>
          </cell>
          <cell r="O4">
            <v>-0.18</v>
          </cell>
          <cell r="P4">
            <v>27.6</v>
          </cell>
          <cell r="Q4">
            <v>6.38</v>
          </cell>
          <cell r="R4">
            <v>10.83</v>
          </cell>
          <cell r="S4">
            <v>-2.17</v>
          </cell>
          <cell r="T4">
            <v>1.41</v>
          </cell>
          <cell r="U4">
            <v>4.97</v>
          </cell>
        </row>
        <row r="5">
          <cell r="A5">
            <v>4</v>
          </cell>
          <cell r="B5">
            <v>117.86</v>
          </cell>
          <cell r="C5">
            <v>60.7</v>
          </cell>
          <cell r="D5">
            <v>55.38</v>
          </cell>
          <cell r="E5">
            <v>49.23</v>
          </cell>
          <cell r="F5">
            <v>37.76</v>
          </cell>
          <cell r="G5">
            <v>-13.26</v>
          </cell>
          <cell r="H5">
            <v>-50.24</v>
          </cell>
          <cell r="I5">
            <v>27.42</v>
          </cell>
          <cell r="J5">
            <v>15.84</v>
          </cell>
          <cell r="K5">
            <v>39.47</v>
          </cell>
          <cell r="L5">
            <v>5.63</v>
          </cell>
          <cell r="M5">
            <v>7.24</v>
          </cell>
          <cell r="N5">
            <v>16.37</v>
          </cell>
          <cell r="O5">
            <v>-0.55000000000000004</v>
          </cell>
          <cell r="P5">
            <v>27.97</v>
          </cell>
          <cell r="Q5">
            <v>7.25</v>
          </cell>
          <cell r="R5">
            <v>10.68</v>
          </cell>
          <cell r="S5">
            <v>-2.46</v>
          </cell>
          <cell r="T5">
            <v>1.4</v>
          </cell>
          <cell r="U5">
            <v>4.9800000000000004</v>
          </cell>
        </row>
        <row r="6">
          <cell r="A6">
            <v>5</v>
          </cell>
          <cell r="B6">
            <v>119.18</v>
          </cell>
          <cell r="C6">
            <v>61.2</v>
          </cell>
          <cell r="D6">
            <v>55.59</v>
          </cell>
          <cell r="E6">
            <v>49.56</v>
          </cell>
          <cell r="F6">
            <v>37.950000000000003</v>
          </cell>
          <cell r="G6">
            <v>-13.26</v>
          </cell>
          <cell r="H6">
            <v>-50.83</v>
          </cell>
          <cell r="I6">
            <v>27.42</v>
          </cell>
          <cell r="J6">
            <v>15.73</v>
          </cell>
          <cell r="K6">
            <v>39.380000000000003</v>
          </cell>
          <cell r="L6">
            <v>5.36</v>
          </cell>
          <cell r="M6">
            <v>7.14</v>
          </cell>
          <cell r="N6">
            <v>16.420000000000002</v>
          </cell>
          <cell r="O6">
            <v>0</v>
          </cell>
          <cell r="P6">
            <v>27.42</v>
          </cell>
          <cell r="Q6">
            <v>6.01</v>
          </cell>
          <cell r="R6">
            <v>10.65</v>
          </cell>
          <cell r="S6">
            <v>-2.12</v>
          </cell>
          <cell r="T6">
            <v>1.56</v>
          </cell>
          <cell r="U6">
            <v>4.9000000000000004</v>
          </cell>
        </row>
        <row r="7">
          <cell r="A7">
            <v>6</v>
          </cell>
          <cell r="B7">
            <v>122.29</v>
          </cell>
          <cell r="C7">
            <v>62.46</v>
          </cell>
          <cell r="D7">
            <v>56.34</v>
          </cell>
          <cell r="E7">
            <v>50.4</v>
          </cell>
          <cell r="F7">
            <v>38.51</v>
          </cell>
          <cell r="G7">
            <v>-13.26</v>
          </cell>
          <cell r="H7">
            <v>-52.08</v>
          </cell>
          <cell r="I7">
            <v>27.42</v>
          </cell>
          <cell r="J7">
            <v>15.81</v>
          </cell>
          <cell r="K7">
            <v>39.630000000000003</v>
          </cell>
          <cell r="L7">
            <v>5.58</v>
          </cell>
          <cell r="M7">
            <v>7.33</v>
          </cell>
          <cell r="N7">
            <v>16.02</v>
          </cell>
          <cell r="O7">
            <v>-0.41</v>
          </cell>
          <cell r="P7">
            <v>27.83</v>
          </cell>
          <cell r="Q7">
            <v>6.29</v>
          </cell>
          <cell r="R7">
            <v>9.68</v>
          </cell>
          <cell r="S7">
            <v>-2.2000000000000002</v>
          </cell>
          <cell r="T7">
            <v>1.31</v>
          </cell>
          <cell r="U7">
            <v>4.4000000000000004</v>
          </cell>
        </row>
        <row r="8">
          <cell r="A8">
            <v>7</v>
          </cell>
          <cell r="B8">
            <v>123.67</v>
          </cell>
          <cell r="C8">
            <v>63.07</v>
          </cell>
          <cell r="D8">
            <v>56.69</v>
          </cell>
          <cell r="E8">
            <v>50.79</v>
          </cell>
          <cell r="F8">
            <v>38.81</v>
          </cell>
          <cell r="G8">
            <v>-13.26</v>
          </cell>
          <cell r="H8">
            <v>-52.4</v>
          </cell>
          <cell r="I8">
            <v>27.42</v>
          </cell>
          <cell r="J8">
            <v>15.94</v>
          </cell>
          <cell r="K8">
            <v>40.049999999999997</v>
          </cell>
          <cell r="L8">
            <v>5.58</v>
          </cell>
          <cell r="M8">
            <v>7.22</v>
          </cell>
          <cell r="N8">
            <v>16.2</v>
          </cell>
          <cell r="O8">
            <v>-1.02</v>
          </cell>
          <cell r="P8">
            <v>28.44</v>
          </cell>
          <cell r="Q8">
            <v>6.46</v>
          </cell>
          <cell r="R8">
            <v>9.8699999999999992</v>
          </cell>
          <cell r="S8">
            <v>-2.15</v>
          </cell>
          <cell r="T8">
            <v>1.32</v>
          </cell>
          <cell r="U8">
            <v>4.41</v>
          </cell>
        </row>
        <row r="9">
          <cell r="A9">
            <v>8</v>
          </cell>
          <cell r="B9">
            <v>129.19</v>
          </cell>
          <cell r="C9">
            <v>65.489999999999995</v>
          </cell>
          <cell r="D9">
            <v>58.09</v>
          </cell>
          <cell r="E9">
            <v>52.36</v>
          </cell>
          <cell r="F9">
            <v>40.049999999999997</v>
          </cell>
          <cell r="G9">
            <v>-13.26</v>
          </cell>
          <cell r="H9">
            <v>-53.88</v>
          </cell>
          <cell r="I9">
            <v>27.42</v>
          </cell>
          <cell r="J9">
            <v>16.420000000000002</v>
          </cell>
          <cell r="K9">
            <v>41.73</v>
          </cell>
          <cell r="L9">
            <v>5.57</v>
          </cell>
          <cell r="M9">
            <v>7.57</v>
          </cell>
          <cell r="N9">
            <v>16.93</v>
          </cell>
          <cell r="O9">
            <v>-3.49</v>
          </cell>
          <cell r="P9">
            <v>30.91</v>
          </cell>
          <cell r="Q9">
            <v>7.11</v>
          </cell>
          <cell r="R9">
            <v>10.62</v>
          </cell>
          <cell r="S9">
            <v>-1.97</v>
          </cell>
          <cell r="T9">
            <v>1.35</v>
          </cell>
          <cell r="U9">
            <v>4.45</v>
          </cell>
        </row>
        <row r="10">
          <cell r="A10">
            <v>9</v>
          </cell>
          <cell r="B10">
            <v>134.49</v>
          </cell>
          <cell r="C10">
            <v>67.81</v>
          </cell>
          <cell r="D10">
            <v>59.43</v>
          </cell>
          <cell r="E10">
            <v>53.87</v>
          </cell>
          <cell r="F10">
            <v>41.21</v>
          </cell>
          <cell r="G10">
            <v>-13.26</v>
          </cell>
          <cell r="H10">
            <v>-55.39</v>
          </cell>
          <cell r="I10">
            <v>27.42</v>
          </cell>
          <cell r="J10">
            <v>16.89</v>
          </cell>
          <cell r="K10">
            <v>43.2</v>
          </cell>
          <cell r="L10">
            <v>5.66</v>
          </cell>
          <cell r="M10">
            <v>7.93</v>
          </cell>
          <cell r="N10">
            <v>17.71</v>
          </cell>
          <cell r="O10">
            <v>-5.82</v>
          </cell>
          <cell r="P10">
            <v>33.24</v>
          </cell>
          <cell r="Q10">
            <v>7.68</v>
          </cell>
          <cell r="R10">
            <v>11.3</v>
          </cell>
          <cell r="S10">
            <v>-1.88</v>
          </cell>
          <cell r="T10">
            <v>1.39</v>
          </cell>
          <cell r="U10">
            <v>4.5599999999999996</v>
          </cell>
        </row>
        <row r="11">
          <cell r="A11">
            <v>10</v>
          </cell>
          <cell r="B11">
            <v>137.27000000000001</v>
          </cell>
          <cell r="C11">
            <v>68.92</v>
          </cell>
          <cell r="D11">
            <v>60.1</v>
          </cell>
          <cell r="E11">
            <v>54.63</v>
          </cell>
          <cell r="F11">
            <v>41.69</v>
          </cell>
          <cell r="G11">
            <v>-13.26</v>
          </cell>
          <cell r="H11">
            <v>-56.58</v>
          </cell>
          <cell r="I11">
            <v>27.42</v>
          </cell>
          <cell r="J11">
            <v>17.11</v>
          </cell>
          <cell r="K11">
            <v>43.28</v>
          </cell>
          <cell r="L11">
            <v>6.12</v>
          </cell>
          <cell r="M11">
            <v>8.24</v>
          </cell>
          <cell r="N11">
            <v>18.440000000000001</v>
          </cell>
          <cell r="O11">
            <v>-6.94</v>
          </cell>
          <cell r="P11">
            <v>34.36</v>
          </cell>
          <cell r="Q11">
            <v>7.68</v>
          </cell>
          <cell r="R11">
            <v>11.5</v>
          </cell>
          <cell r="S11">
            <v>-2.2000000000000002</v>
          </cell>
          <cell r="T11">
            <v>1.47</v>
          </cell>
          <cell r="U11">
            <v>4.88</v>
          </cell>
        </row>
        <row r="12">
          <cell r="A12">
            <v>11</v>
          </cell>
          <cell r="B12">
            <v>140.12</v>
          </cell>
          <cell r="C12">
            <v>70.06</v>
          </cell>
          <cell r="D12">
            <v>60.8</v>
          </cell>
          <cell r="E12">
            <v>55.41</v>
          </cell>
          <cell r="F12">
            <v>42.18</v>
          </cell>
          <cell r="G12">
            <v>-13.26</v>
          </cell>
          <cell r="H12">
            <v>-57.82</v>
          </cell>
          <cell r="I12">
            <v>27.42</v>
          </cell>
          <cell r="J12">
            <v>17.329999999999998</v>
          </cell>
          <cell r="K12">
            <v>43.34</v>
          </cell>
          <cell r="L12">
            <v>6.6</v>
          </cell>
          <cell r="M12">
            <v>8.56</v>
          </cell>
          <cell r="N12">
            <v>19.21</v>
          </cell>
          <cell r="O12">
            <v>-8.07</v>
          </cell>
          <cell r="P12">
            <v>35.49</v>
          </cell>
          <cell r="Q12">
            <v>7.68</v>
          </cell>
          <cell r="R12">
            <v>11.72</v>
          </cell>
          <cell r="S12">
            <v>-2.5299999999999998</v>
          </cell>
          <cell r="T12">
            <v>1.56</v>
          </cell>
          <cell r="U12">
            <v>5.22</v>
          </cell>
        </row>
        <row r="13">
          <cell r="A13">
            <v>12</v>
          </cell>
          <cell r="B13">
            <v>140.94999999999999</v>
          </cell>
          <cell r="C13">
            <v>70.48</v>
          </cell>
          <cell r="D13">
            <v>60.48</v>
          </cell>
          <cell r="E13">
            <v>55.72</v>
          </cell>
          <cell r="F13">
            <v>42.39</v>
          </cell>
          <cell r="G13">
            <v>-12.56</v>
          </cell>
          <cell r="H13">
            <v>-58.27</v>
          </cell>
          <cell r="I13">
            <v>27.42</v>
          </cell>
          <cell r="J13">
            <v>17.47</v>
          </cell>
          <cell r="K13">
            <v>43.25</v>
          </cell>
          <cell r="L13">
            <v>6.95</v>
          </cell>
          <cell r="M13">
            <v>8.8000000000000007</v>
          </cell>
          <cell r="N13">
            <v>19.78</v>
          </cell>
          <cell r="O13">
            <v>-8.77</v>
          </cell>
          <cell r="P13">
            <v>36.19</v>
          </cell>
          <cell r="Q13">
            <v>7.68</v>
          </cell>
          <cell r="R13">
            <v>11.88</v>
          </cell>
          <cell r="S13">
            <v>-2.78</v>
          </cell>
          <cell r="T13">
            <v>1.63</v>
          </cell>
          <cell r="U13">
            <v>5.47</v>
          </cell>
        </row>
        <row r="14">
          <cell r="A14">
            <v>13</v>
          </cell>
          <cell r="B14">
            <v>140.91999999999999</v>
          </cell>
          <cell r="C14">
            <v>70.48</v>
          </cell>
          <cell r="D14">
            <v>60.4</v>
          </cell>
          <cell r="E14">
            <v>55.73</v>
          </cell>
          <cell r="F14">
            <v>42.4</v>
          </cell>
          <cell r="G14">
            <v>-12.46</v>
          </cell>
          <cell r="H14">
            <v>-58.27</v>
          </cell>
          <cell r="I14">
            <v>27.42</v>
          </cell>
          <cell r="J14">
            <v>17.48</v>
          </cell>
          <cell r="K14">
            <v>43.24</v>
          </cell>
          <cell r="L14">
            <v>6.98</v>
          </cell>
          <cell r="M14">
            <v>8.82</v>
          </cell>
          <cell r="N14">
            <v>19.829999999999998</v>
          </cell>
          <cell r="O14">
            <v>-8.83</v>
          </cell>
          <cell r="P14">
            <v>36.25</v>
          </cell>
          <cell r="Q14">
            <v>7.68</v>
          </cell>
          <cell r="R14">
            <v>11.9</v>
          </cell>
          <cell r="S14">
            <v>-2.8</v>
          </cell>
          <cell r="T14">
            <v>1.64</v>
          </cell>
          <cell r="U14">
            <v>5.49</v>
          </cell>
        </row>
        <row r="15">
          <cell r="A15">
            <v>14</v>
          </cell>
          <cell r="B15">
            <v>140.76</v>
          </cell>
          <cell r="C15">
            <v>70.45</v>
          </cell>
          <cell r="D15">
            <v>59.75</v>
          </cell>
          <cell r="E15">
            <v>55.8</v>
          </cell>
          <cell r="F15">
            <v>42.47</v>
          </cell>
          <cell r="G15">
            <v>-11.64</v>
          </cell>
          <cell r="H15">
            <v>-58.27</v>
          </cell>
          <cell r="I15">
            <v>27.42</v>
          </cell>
          <cell r="J15">
            <v>17.579999999999998</v>
          </cell>
          <cell r="K15">
            <v>43.19</v>
          </cell>
          <cell r="L15">
            <v>7.19</v>
          </cell>
          <cell r="M15">
            <v>8.9600000000000009</v>
          </cell>
          <cell r="N15">
            <v>20.170000000000002</v>
          </cell>
          <cell r="O15">
            <v>-9.33</v>
          </cell>
          <cell r="P15">
            <v>36.75</v>
          </cell>
          <cell r="Q15">
            <v>7.68</v>
          </cell>
          <cell r="R15">
            <v>12</v>
          </cell>
          <cell r="S15">
            <v>-2.94</v>
          </cell>
          <cell r="T15">
            <v>1.67</v>
          </cell>
          <cell r="U15">
            <v>5.64</v>
          </cell>
        </row>
        <row r="16">
          <cell r="A16">
            <v>15</v>
          </cell>
          <cell r="B16">
            <v>141.11000000000001</v>
          </cell>
          <cell r="C16">
            <v>70.739999999999995</v>
          </cell>
          <cell r="D16">
            <v>59.05</v>
          </cell>
          <cell r="E16">
            <v>56.05</v>
          </cell>
          <cell r="F16">
            <v>42.73</v>
          </cell>
          <cell r="G16">
            <v>-10.57</v>
          </cell>
          <cell r="H16">
            <v>-58.27</v>
          </cell>
          <cell r="I16">
            <v>27.42</v>
          </cell>
          <cell r="J16">
            <v>17.71</v>
          </cell>
          <cell r="K16">
            <v>43.56</v>
          </cell>
          <cell r="L16">
            <v>7.19</v>
          </cell>
          <cell r="M16">
            <v>9.0299999999999994</v>
          </cell>
          <cell r="N16">
            <v>20.190000000000001</v>
          </cell>
          <cell r="O16">
            <v>-9.98</v>
          </cell>
          <cell r="P16">
            <v>37.4</v>
          </cell>
          <cell r="Q16">
            <v>7.68</v>
          </cell>
          <cell r="R16">
            <v>12.04</v>
          </cell>
          <cell r="S16">
            <v>-2.86</v>
          </cell>
          <cell r="T16">
            <v>1.61</v>
          </cell>
          <cell r="U16">
            <v>5.62</v>
          </cell>
        </row>
        <row r="17">
          <cell r="A17">
            <v>16</v>
          </cell>
          <cell r="B17">
            <v>141.19999999999999</v>
          </cell>
          <cell r="C17">
            <v>70.819999999999993</v>
          </cell>
          <cell r="D17">
            <v>58.88</v>
          </cell>
          <cell r="E17">
            <v>56.11</v>
          </cell>
          <cell r="F17">
            <v>42.79</v>
          </cell>
          <cell r="G17">
            <v>-10.31</v>
          </cell>
          <cell r="H17">
            <v>-58.27</v>
          </cell>
          <cell r="I17">
            <v>27.42</v>
          </cell>
          <cell r="J17">
            <v>17.739999999999998</v>
          </cell>
          <cell r="K17">
            <v>43.62</v>
          </cell>
          <cell r="L17">
            <v>7.19</v>
          </cell>
          <cell r="M17">
            <v>9.0299999999999994</v>
          </cell>
          <cell r="N17">
            <v>20.190000000000001</v>
          </cell>
          <cell r="O17">
            <v>-10.130000000000001</v>
          </cell>
          <cell r="P17">
            <v>37.549999999999997</v>
          </cell>
          <cell r="Q17">
            <v>7.68</v>
          </cell>
          <cell r="R17">
            <v>12.04</v>
          </cell>
          <cell r="S17">
            <v>-2.88</v>
          </cell>
          <cell r="T17">
            <v>1.61</v>
          </cell>
          <cell r="U17">
            <v>5.6</v>
          </cell>
        </row>
        <row r="18">
          <cell r="A18">
            <v>17</v>
          </cell>
          <cell r="B18">
            <v>141.12</v>
          </cell>
          <cell r="C18">
            <v>70.75</v>
          </cell>
          <cell r="D18">
            <v>59.03</v>
          </cell>
          <cell r="E18">
            <v>56.06</v>
          </cell>
          <cell r="F18">
            <v>42.73</v>
          </cell>
          <cell r="G18">
            <v>-10.53</v>
          </cell>
          <cell r="H18">
            <v>-58.27</v>
          </cell>
          <cell r="I18">
            <v>27.42</v>
          </cell>
          <cell r="J18">
            <v>17.71</v>
          </cell>
          <cell r="K18">
            <v>43.55</v>
          </cell>
          <cell r="L18">
            <v>7.19</v>
          </cell>
          <cell r="M18">
            <v>9.0299999999999994</v>
          </cell>
          <cell r="N18">
            <v>20.190000000000001</v>
          </cell>
          <cell r="O18">
            <v>-10</v>
          </cell>
          <cell r="P18">
            <v>37.42</v>
          </cell>
          <cell r="Q18">
            <v>7.68</v>
          </cell>
          <cell r="R18">
            <v>12.04</v>
          </cell>
          <cell r="S18">
            <v>-2.85</v>
          </cell>
          <cell r="T18">
            <v>1.61</v>
          </cell>
          <cell r="U18">
            <v>5.61</v>
          </cell>
        </row>
        <row r="19">
          <cell r="A19">
            <v>18</v>
          </cell>
          <cell r="B19">
            <v>140.91999999999999</v>
          </cell>
          <cell r="C19">
            <v>70.58</v>
          </cell>
          <cell r="D19">
            <v>59.45</v>
          </cell>
          <cell r="E19">
            <v>55.91</v>
          </cell>
          <cell r="F19">
            <v>42.58</v>
          </cell>
          <cell r="G19">
            <v>-11.17</v>
          </cell>
          <cell r="H19">
            <v>-58.27</v>
          </cell>
          <cell r="I19">
            <v>27.42</v>
          </cell>
          <cell r="J19">
            <v>17.64</v>
          </cell>
          <cell r="K19">
            <v>43.35</v>
          </cell>
          <cell r="L19">
            <v>7.19</v>
          </cell>
          <cell r="M19">
            <v>9.0299999999999994</v>
          </cell>
          <cell r="N19">
            <v>20.190000000000001</v>
          </cell>
          <cell r="O19">
            <v>-9.6300000000000008</v>
          </cell>
          <cell r="P19">
            <v>37.049999999999997</v>
          </cell>
          <cell r="Q19">
            <v>7.68</v>
          </cell>
          <cell r="R19">
            <v>12.04</v>
          </cell>
          <cell r="S19">
            <v>-2.91</v>
          </cell>
          <cell r="T19">
            <v>1.61</v>
          </cell>
          <cell r="U19">
            <v>5.64</v>
          </cell>
        </row>
        <row r="20">
          <cell r="A20">
            <v>19</v>
          </cell>
          <cell r="B20">
            <v>141.27000000000001</v>
          </cell>
          <cell r="C20">
            <v>71</v>
          </cell>
          <cell r="D20">
            <v>57.81</v>
          </cell>
          <cell r="E20">
            <v>56.32</v>
          </cell>
          <cell r="F20">
            <v>43</v>
          </cell>
          <cell r="G20">
            <v>-8.85</v>
          </cell>
          <cell r="H20">
            <v>-58.27</v>
          </cell>
          <cell r="I20">
            <v>27.42</v>
          </cell>
          <cell r="J20">
            <v>17.75</v>
          </cell>
          <cell r="K20">
            <v>43.74</v>
          </cell>
          <cell r="L20">
            <v>7.19</v>
          </cell>
          <cell r="M20">
            <v>9.0299999999999994</v>
          </cell>
          <cell r="N20">
            <v>20.190000000000001</v>
          </cell>
          <cell r="O20">
            <v>-10.19</v>
          </cell>
          <cell r="P20">
            <v>37.61</v>
          </cell>
          <cell r="Q20">
            <v>7.68</v>
          </cell>
          <cell r="R20">
            <v>11.23</v>
          </cell>
          <cell r="S20">
            <v>-2.72</v>
          </cell>
          <cell r="T20">
            <v>1.61</v>
          </cell>
          <cell r="U20">
            <v>4.91</v>
          </cell>
        </row>
        <row r="21">
          <cell r="A21">
            <v>20</v>
          </cell>
          <cell r="B21">
            <v>140.97</v>
          </cell>
          <cell r="C21">
            <v>70.94</v>
          </cell>
          <cell r="D21">
            <v>57.04</v>
          </cell>
          <cell r="E21">
            <v>56.35</v>
          </cell>
          <cell r="F21">
            <v>43.03</v>
          </cell>
          <cell r="G21">
            <v>-7.94</v>
          </cell>
          <cell r="H21">
            <v>-58.27</v>
          </cell>
          <cell r="I21">
            <v>27.42</v>
          </cell>
          <cell r="J21">
            <v>17.75</v>
          </cell>
          <cell r="K21">
            <v>43.56</v>
          </cell>
          <cell r="L21">
            <v>7.19</v>
          </cell>
          <cell r="M21">
            <v>9.0299999999999994</v>
          </cell>
          <cell r="N21">
            <v>20.190000000000001</v>
          </cell>
          <cell r="O21">
            <v>-10.19</v>
          </cell>
          <cell r="P21">
            <v>37.61</v>
          </cell>
          <cell r="Q21">
            <v>7</v>
          </cell>
          <cell r="R21">
            <v>11.33</v>
          </cell>
          <cell r="S21">
            <v>-2.65</v>
          </cell>
          <cell r="T21">
            <v>1.61</v>
          </cell>
          <cell r="U21">
            <v>5.1100000000000003</v>
          </cell>
        </row>
        <row r="22">
          <cell r="A22">
            <v>21</v>
          </cell>
          <cell r="B22">
            <v>141.26</v>
          </cell>
          <cell r="C22">
            <v>70.959999999999994</v>
          </cell>
          <cell r="D22">
            <v>58.05</v>
          </cell>
          <cell r="E22">
            <v>56.27</v>
          </cell>
          <cell r="F22">
            <v>42.95</v>
          </cell>
          <cell r="G22">
            <v>-9.19</v>
          </cell>
          <cell r="H22">
            <v>-58.27</v>
          </cell>
          <cell r="I22">
            <v>27.42</v>
          </cell>
          <cell r="J22">
            <v>17.75</v>
          </cell>
          <cell r="K22">
            <v>43.72</v>
          </cell>
          <cell r="L22">
            <v>7.19</v>
          </cell>
          <cell r="M22">
            <v>9.0299999999999994</v>
          </cell>
          <cell r="N22">
            <v>20.190000000000001</v>
          </cell>
          <cell r="O22">
            <v>-10.19</v>
          </cell>
          <cell r="P22">
            <v>37.61</v>
          </cell>
          <cell r="Q22">
            <v>7.68</v>
          </cell>
          <cell r="R22">
            <v>11.33</v>
          </cell>
          <cell r="S22">
            <v>-2.74</v>
          </cell>
          <cell r="T22">
            <v>1.61</v>
          </cell>
          <cell r="U22">
            <v>5</v>
          </cell>
        </row>
        <row r="23">
          <cell r="A23">
            <v>22</v>
          </cell>
          <cell r="B23">
            <v>140.83000000000001</v>
          </cell>
          <cell r="C23">
            <v>70.510000000000005</v>
          </cell>
          <cell r="D23">
            <v>59.62</v>
          </cell>
          <cell r="E23">
            <v>55.85</v>
          </cell>
          <cell r="F23">
            <v>42.52</v>
          </cell>
          <cell r="G23">
            <v>-11.44</v>
          </cell>
          <cell r="H23">
            <v>-58.27</v>
          </cell>
          <cell r="I23">
            <v>27.42</v>
          </cell>
          <cell r="J23">
            <v>17.61</v>
          </cell>
          <cell r="K23">
            <v>43.27</v>
          </cell>
          <cell r="L23">
            <v>7.19</v>
          </cell>
          <cell r="M23">
            <v>8.98</v>
          </cell>
          <cell r="N23">
            <v>20.190000000000001</v>
          </cell>
          <cell r="O23">
            <v>-9.48</v>
          </cell>
          <cell r="P23">
            <v>36.9</v>
          </cell>
          <cell r="Q23">
            <v>7.68</v>
          </cell>
          <cell r="R23">
            <v>12.04</v>
          </cell>
          <cell r="S23">
            <v>-2.98</v>
          </cell>
          <cell r="T23">
            <v>1.65</v>
          </cell>
          <cell r="U23">
            <v>5.65</v>
          </cell>
        </row>
        <row r="24">
          <cell r="A24">
            <v>23</v>
          </cell>
          <cell r="B24">
            <v>138.06</v>
          </cell>
          <cell r="C24">
            <v>69.150000000000006</v>
          </cell>
          <cell r="D24">
            <v>60.29</v>
          </cell>
          <cell r="E24">
            <v>54.83</v>
          </cell>
          <cell r="F24">
            <v>41.72</v>
          </cell>
          <cell r="G24">
            <v>-13.26</v>
          </cell>
          <cell r="H24">
            <v>-57.32</v>
          </cell>
          <cell r="I24">
            <v>27.42</v>
          </cell>
          <cell r="J24">
            <v>17.239999999999998</v>
          </cell>
          <cell r="K24">
            <v>42.66</v>
          </cell>
          <cell r="L24">
            <v>6.83</v>
          </cell>
          <cell r="M24">
            <v>8.57</v>
          </cell>
          <cell r="N24">
            <v>19.420000000000002</v>
          </cell>
          <cell r="O24">
            <v>-7.64</v>
          </cell>
          <cell r="P24">
            <v>35.06</v>
          </cell>
          <cell r="Q24">
            <v>7.68</v>
          </cell>
          <cell r="R24">
            <v>11.94</v>
          </cell>
          <cell r="S24">
            <v>-2.83</v>
          </cell>
          <cell r="T24">
            <v>1.69</v>
          </cell>
          <cell r="U24">
            <v>5.61</v>
          </cell>
        </row>
        <row r="25">
          <cell r="A25">
            <v>24</v>
          </cell>
          <cell r="B25">
            <v>132.6</v>
          </cell>
          <cell r="C25">
            <v>66.86</v>
          </cell>
          <cell r="D25">
            <v>58.95</v>
          </cell>
          <cell r="E25">
            <v>53.33</v>
          </cell>
          <cell r="F25">
            <v>40.65</v>
          </cell>
          <cell r="G25">
            <v>-13.26</v>
          </cell>
          <cell r="H25">
            <v>-55.45</v>
          </cell>
          <cell r="I25">
            <v>27.42</v>
          </cell>
          <cell r="J25">
            <v>16.97</v>
          </cell>
          <cell r="K25">
            <v>41.75</v>
          </cell>
          <cell r="L25">
            <v>6.72</v>
          </cell>
          <cell r="M25">
            <v>8.48</v>
          </cell>
          <cell r="N25">
            <v>19.21</v>
          </cell>
          <cell r="O25">
            <v>-6.25</v>
          </cell>
          <cell r="P25">
            <v>33.67</v>
          </cell>
          <cell r="Q25">
            <v>7.68</v>
          </cell>
          <cell r="R25">
            <v>12.04</v>
          </cell>
          <cell r="S25">
            <v>-2.94</v>
          </cell>
          <cell r="T25">
            <v>1.66</v>
          </cell>
          <cell r="U25">
            <v>5.76</v>
          </cell>
        </row>
      </sheetData>
      <sheetData sheetId="1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l Lindo" refreshedDate="46244.433032870373" createdVersion="8" refreshedVersion="8" minRefreshableVersion="3" recordCount="24" xr:uid="{7206481A-DFEC-4859-9884-77663A812A28}">
  <cacheSource type="worksheet">
    <worksheetSource ref="A3:U27" sheet="Flujos"/>
  </cacheSource>
  <cacheFields count="21">
    <cacheField name="hora" numFmtId="0">
      <sharedItems containsSemiMixedTypes="0" containsString="0" containsNumber="1" containsInteger="1" minValue="1" maxValue="24" count="2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</sharedItems>
    </cacheField>
    <cacheField name="l1" numFmtId="0">
      <sharedItems containsSemiMixedTypes="0" containsString="0" containsNumber="1" minValue="117.86" maxValue="141.27000000000001" count="23">
        <n v="122.19"/>
        <n v="119.61"/>
        <n v="118.47"/>
        <n v="117.86"/>
        <n v="119.18"/>
        <n v="122.29"/>
        <n v="123.67"/>
        <n v="129.19"/>
        <n v="134.49"/>
        <n v="137.27000000000001"/>
        <n v="140.12"/>
        <n v="140.94999999999999"/>
        <n v="140.91999999999999"/>
        <n v="140.76"/>
        <n v="141.11000000000001"/>
        <n v="141.19999999999999"/>
        <n v="141.12"/>
        <n v="141.27000000000001"/>
        <n v="140.97"/>
        <n v="141.26"/>
        <n v="140.83000000000001"/>
        <n v="138.06"/>
        <n v="132.6"/>
      </sharedItems>
    </cacheField>
    <cacheField name="l2" numFmtId="0">
      <sharedItems containsSemiMixedTypes="0" containsString="0" containsNumber="1" minValue="60.7" maxValue="71" count="23">
        <n v="62.42"/>
        <n v="61.32"/>
        <n v="60.94"/>
        <n v="60.7"/>
        <n v="61.2"/>
        <n v="62.46"/>
        <n v="63.07"/>
        <n v="65.489999999999995"/>
        <n v="67.81"/>
        <n v="68.92"/>
        <n v="70.06"/>
        <n v="70.44"/>
        <n v="70.45"/>
        <n v="70.739999999999995"/>
        <n v="70.819999999999993"/>
        <n v="70.75"/>
        <n v="70.58"/>
        <n v="71"/>
        <n v="70.94"/>
        <n v="70.959999999999994"/>
        <n v="70.510000000000005"/>
        <n v="69.150000000000006"/>
        <n v="66.86"/>
      </sharedItems>
    </cacheField>
    <cacheField name="l3" numFmtId="0">
      <sharedItems containsSemiMixedTypes="0" containsString="0" containsNumber="1" minValue="55.3" maxValue="60.8"/>
    </cacheField>
    <cacheField name="l4" numFmtId="0">
      <sharedItems containsSemiMixedTypes="0" containsString="0" containsNumber="1" minValue="49.23" maxValue="56.35"/>
    </cacheField>
    <cacheField name="l5" numFmtId="0">
      <sharedItems containsSemiMixedTypes="0" containsString="0" containsNumber="1" minValue="37.76" maxValue="43.03"/>
    </cacheField>
    <cacheField name="l6" numFmtId="0">
      <sharedItems containsSemiMixedTypes="0" containsString="0" containsNumber="1" minValue="-13.26" maxValue="-7.94"/>
    </cacheField>
    <cacheField name="l7" numFmtId="0">
      <sharedItems containsSemiMixedTypes="0" containsString="0" containsNumber="1" minValue="-58.27" maxValue="-50.24"/>
    </cacheField>
    <cacheField name="l8" numFmtId="0">
      <sharedItems containsSemiMixedTypes="0" containsString="0" containsNumber="1" minValue="27.42" maxValue="27.42"/>
    </cacheField>
    <cacheField name="l9" numFmtId="0">
      <sharedItems containsSemiMixedTypes="0" containsString="0" containsNumber="1" minValue="15.73" maxValue="17.75"/>
    </cacheField>
    <cacheField name="l10" numFmtId="0">
      <sharedItems containsSemiMixedTypes="0" containsString="0" containsNumber="1" minValue="39.03" maxValue="43.74"/>
    </cacheField>
    <cacheField name="l11" numFmtId="0">
      <sharedItems containsSemiMixedTypes="0" containsString="0" containsNumber="1" minValue="5.36" maxValue="7.19"/>
    </cacheField>
    <cacheField name="l12" numFmtId="0">
      <sharedItems containsSemiMixedTypes="0" containsString="0" containsNumber="1" minValue="6.94" maxValue="9.0299999999999994"/>
    </cacheField>
    <cacheField name="l13" numFmtId="0">
      <sharedItems containsSemiMixedTypes="0" containsString="0" containsNumber="1" minValue="15.63" maxValue="20.190000000000001"/>
    </cacheField>
    <cacheField name="l14" numFmtId="0">
      <sharedItems containsSemiMixedTypes="0" containsString="0" containsNumber="1" minValue="-10.19" maxValue="0"/>
    </cacheField>
    <cacheField name="l15" numFmtId="0">
      <sharedItems containsSemiMixedTypes="0" containsString="0" containsNumber="1" minValue="27.42" maxValue="37.61"/>
    </cacheField>
    <cacheField name="l16" numFmtId="0">
      <sharedItems containsSemiMixedTypes="0" containsString="0" containsNumber="1" minValue="6.01" maxValue="7.68"/>
    </cacheField>
    <cacheField name="l17" numFmtId="0">
      <sharedItems containsSemiMixedTypes="0" containsString="0" containsNumber="1" minValue="9.23" maxValue="12.04"/>
    </cacheField>
    <cacheField name="l18" numFmtId="0">
      <sharedItems containsSemiMixedTypes="0" containsString="0" containsNumber="1" minValue="-2.94" maxValue="-1.88"/>
    </cacheField>
    <cacheField name="l19" numFmtId="0">
      <sharedItems containsSemiMixedTypes="0" containsString="0" containsNumber="1" minValue="1.31" maxValue="1.69"/>
    </cacheField>
    <cacheField name="l20" numFmtId="0">
      <sharedItems containsSemiMixedTypes="0" containsString="0" containsNumber="1" minValue="4.4000000000000004" maxValue="5.7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x v="0"/>
    <n v="56.32"/>
    <n v="50.37"/>
    <n v="38.479999999999997"/>
    <n v="-13.26"/>
    <n v="-52.01"/>
    <n v="27.42"/>
    <n v="15.81"/>
    <n v="39.6"/>
    <n v="5.58"/>
    <n v="7.12"/>
    <n v="16"/>
    <n v="-0.37"/>
    <n v="27.79"/>
    <n v="6.28"/>
    <n v="9.67"/>
    <n v="-2.2000000000000002"/>
    <n v="1.31"/>
    <n v="4.4000000000000004"/>
  </r>
  <r>
    <x v="1"/>
    <x v="1"/>
    <x v="1"/>
    <n v="55.68"/>
    <n v="49.66"/>
    <n v="37.96"/>
    <n v="-13.26"/>
    <n v="-51.22"/>
    <n v="27.42"/>
    <n v="15.73"/>
    <n v="39.03"/>
    <n v="5.89"/>
    <n v="6.94"/>
    <n v="15.63"/>
    <n v="0"/>
    <n v="27.42"/>
    <n v="7.13"/>
    <n v="9.23"/>
    <n v="-2.61"/>
    <n v="1.31"/>
    <n v="4.4000000000000004"/>
  </r>
  <r>
    <x v="2"/>
    <x v="2"/>
    <x v="2"/>
    <n v="55.43"/>
    <n v="49.38"/>
    <n v="37.85"/>
    <n v="-13.26"/>
    <n v="-50.47"/>
    <n v="27.42"/>
    <n v="15.77"/>
    <n v="39.479999999999997"/>
    <n v="5.37"/>
    <n v="7.3"/>
    <n v="16.48"/>
    <n v="-0.18"/>
    <n v="27.6"/>
    <n v="6.38"/>
    <n v="10.83"/>
    <n v="-2.17"/>
    <n v="1.41"/>
    <n v="4.97"/>
  </r>
  <r>
    <x v="3"/>
    <x v="3"/>
    <x v="3"/>
    <n v="55.3"/>
    <n v="49.23"/>
    <n v="37.76"/>
    <n v="-13.26"/>
    <n v="-50.24"/>
    <n v="27.42"/>
    <n v="15.84"/>
    <n v="39.47"/>
    <n v="5.63"/>
    <n v="7.24"/>
    <n v="16.37"/>
    <n v="-0.55000000000000004"/>
    <n v="27.97"/>
    <n v="7.25"/>
    <n v="10.68"/>
    <n v="-2.46"/>
    <n v="1.4"/>
    <n v="4.9800000000000004"/>
  </r>
  <r>
    <x v="4"/>
    <x v="4"/>
    <x v="4"/>
    <n v="55.59"/>
    <n v="49.56"/>
    <n v="37.950000000000003"/>
    <n v="-13.26"/>
    <n v="-50.83"/>
    <n v="27.42"/>
    <n v="15.73"/>
    <n v="39.380000000000003"/>
    <n v="5.36"/>
    <n v="7.14"/>
    <n v="16.420000000000002"/>
    <n v="0"/>
    <n v="27.42"/>
    <n v="6.01"/>
    <n v="10.65"/>
    <n v="-2.12"/>
    <n v="1.56"/>
    <n v="4.9000000000000004"/>
  </r>
  <r>
    <x v="5"/>
    <x v="5"/>
    <x v="5"/>
    <n v="56.34"/>
    <n v="50.4"/>
    <n v="38.51"/>
    <n v="-13.26"/>
    <n v="-52.03"/>
    <n v="27.42"/>
    <n v="15.81"/>
    <n v="39.630000000000003"/>
    <n v="5.58"/>
    <n v="7.13"/>
    <n v="16.02"/>
    <n v="-0.41"/>
    <n v="27.83"/>
    <n v="6.29"/>
    <n v="9.68"/>
    <n v="-2.2000000000000002"/>
    <n v="1.31"/>
    <n v="4.4000000000000004"/>
  </r>
  <r>
    <x v="6"/>
    <x v="6"/>
    <x v="6"/>
    <n v="56.69"/>
    <n v="50.79"/>
    <n v="38.81"/>
    <n v="-13.26"/>
    <n v="-52.4"/>
    <n v="27.42"/>
    <n v="15.94"/>
    <n v="40.049999999999997"/>
    <n v="5.58"/>
    <n v="7.22"/>
    <n v="16.2"/>
    <n v="-1.02"/>
    <n v="28.44"/>
    <n v="6.46"/>
    <n v="9.8699999999999992"/>
    <n v="-2.15"/>
    <n v="1.32"/>
    <n v="4.41"/>
  </r>
  <r>
    <x v="7"/>
    <x v="7"/>
    <x v="7"/>
    <n v="58.09"/>
    <n v="52.36"/>
    <n v="40.049999999999997"/>
    <n v="-13.26"/>
    <n v="-53.88"/>
    <n v="27.42"/>
    <n v="16.420000000000002"/>
    <n v="41.73"/>
    <n v="5.57"/>
    <n v="7.57"/>
    <n v="16.93"/>
    <n v="-3.49"/>
    <n v="30.91"/>
    <n v="7.11"/>
    <n v="10.62"/>
    <n v="-1.97"/>
    <n v="1.35"/>
    <n v="4.45"/>
  </r>
  <r>
    <x v="8"/>
    <x v="8"/>
    <x v="8"/>
    <n v="59.43"/>
    <n v="53.87"/>
    <n v="41.21"/>
    <n v="-13.26"/>
    <n v="-55.39"/>
    <n v="27.42"/>
    <n v="16.89"/>
    <n v="43.2"/>
    <n v="5.66"/>
    <n v="7.93"/>
    <n v="17.71"/>
    <n v="-5.82"/>
    <n v="33.24"/>
    <n v="7.68"/>
    <n v="11.3"/>
    <n v="-1.88"/>
    <n v="1.39"/>
    <n v="4.5599999999999996"/>
  </r>
  <r>
    <x v="9"/>
    <x v="9"/>
    <x v="9"/>
    <n v="60.1"/>
    <n v="54.63"/>
    <n v="41.69"/>
    <n v="-13.26"/>
    <n v="-56.58"/>
    <n v="27.42"/>
    <n v="17.11"/>
    <n v="43.28"/>
    <n v="6.12"/>
    <n v="8.24"/>
    <n v="18.440000000000001"/>
    <n v="-6.94"/>
    <n v="34.36"/>
    <n v="7.68"/>
    <n v="11.5"/>
    <n v="-2.2000000000000002"/>
    <n v="1.47"/>
    <n v="4.88"/>
  </r>
  <r>
    <x v="10"/>
    <x v="10"/>
    <x v="10"/>
    <n v="60.8"/>
    <n v="55.41"/>
    <n v="42.18"/>
    <n v="-13.26"/>
    <n v="-57.82"/>
    <n v="27.42"/>
    <n v="17.329999999999998"/>
    <n v="43.34"/>
    <n v="6.6"/>
    <n v="8.56"/>
    <n v="19.21"/>
    <n v="-8.07"/>
    <n v="35.49"/>
    <n v="7.68"/>
    <n v="11.72"/>
    <n v="-2.5299999999999998"/>
    <n v="1.56"/>
    <n v="5.22"/>
  </r>
  <r>
    <x v="11"/>
    <x v="11"/>
    <x v="11"/>
    <n v="60.48"/>
    <n v="55.72"/>
    <n v="42.39"/>
    <n v="-12.56"/>
    <n v="-58.27"/>
    <n v="27.42"/>
    <n v="17.47"/>
    <n v="43.25"/>
    <n v="6.95"/>
    <n v="8.8000000000000007"/>
    <n v="19.78"/>
    <n v="-8.77"/>
    <n v="36.19"/>
    <n v="7.68"/>
    <n v="11.88"/>
    <n v="-2.78"/>
    <n v="1.63"/>
    <n v="5.47"/>
  </r>
  <r>
    <x v="12"/>
    <x v="12"/>
    <x v="11"/>
    <n v="60.4"/>
    <n v="55.73"/>
    <n v="42.4"/>
    <n v="-12.46"/>
    <n v="-58.27"/>
    <n v="27.42"/>
    <n v="17.48"/>
    <n v="43.24"/>
    <n v="6.98"/>
    <n v="8.82"/>
    <n v="19.829999999999998"/>
    <n v="-8.83"/>
    <n v="36.25"/>
    <n v="7.68"/>
    <n v="11.9"/>
    <n v="-2.8"/>
    <n v="1.64"/>
    <n v="5.49"/>
  </r>
  <r>
    <x v="13"/>
    <x v="13"/>
    <x v="12"/>
    <n v="59.75"/>
    <n v="55.8"/>
    <n v="42.47"/>
    <n v="-11.64"/>
    <n v="-58.27"/>
    <n v="27.42"/>
    <n v="17.579999999999998"/>
    <n v="43.19"/>
    <n v="7.19"/>
    <n v="8.9600000000000009"/>
    <n v="20.170000000000002"/>
    <n v="-9.33"/>
    <n v="36.75"/>
    <n v="7.68"/>
    <n v="12"/>
    <n v="-2.94"/>
    <n v="1.67"/>
    <n v="5.64"/>
  </r>
  <r>
    <x v="14"/>
    <x v="14"/>
    <x v="13"/>
    <n v="59.05"/>
    <n v="56.05"/>
    <n v="42.73"/>
    <n v="-10.57"/>
    <n v="-58.27"/>
    <n v="27.42"/>
    <n v="17.71"/>
    <n v="43.54"/>
    <n v="7.19"/>
    <n v="9.0299999999999994"/>
    <n v="20.190000000000001"/>
    <n v="-9.98"/>
    <n v="37.4"/>
    <n v="7.68"/>
    <n v="12.04"/>
    <n v="-2.86"/>
    <n v="1.61"/>
    <n v="5.62"/>
  </r>
  <r>
    <x v="15"/>
    <x v="15"/>
    <x v="14"/>
    <n v="58.88"/>
    <n v="56.11"/>
    <n v="42.79"/>
    <n v="-10.31"/>
    <n v="-58.27"/>
    <n v="27.42"/>
    <n v="17.739999999999998"/>
    <n v="43.62"/>
    <n v="7.19"/>
    <n v="9.0299999999999994"/>
    <n v="20.190000000000001"/>
    <n v="-10.130000000000001"/>
    <n v="37.549999999999997"/>
    <n v="7.68"/>
    <n v="12.04"/>
    <n v="-2.84"/>
    <n v="1.61"/>
    <n v="5.6"/>
  </r>
  <r>
    <x v="16"/>
    <x v="16"/>
    <x v="15"/>
    <n v="59.03"/>
    <n v="56.06"/>
    <n v="42.73"/>
    <n v="-10.53"/>
    <n v="-58.27"/>
    <n v="27.42"/>
    <n v="17.71"/>
    <n v="43.55"/>
    <n v="7.19"/>
    <n v="9.0299999999999994"/>
    <n v="20.190000000000001"/>
    <n v="-10"/>
    <n v="37.42"/>
    <n v="7.68"/>
    <n v="12.04"/>
    <n v="-2.85"/>
    <n v="1.61"/>
    <n v="5.61"/>
  </r>
  <r>
    <x v="17"/>
    <x v="12"/>
    <x v="16"/>
    <n v="59.45"/>
    <n v="55.91"/>
    <n v="42.58"/>
    <n v="-11.17"/>
    <n v="-58.27"/>
    <n v="27.42"/>
    <n v="17.64"/>
    <n v="43.35"/>
    <n v="7.19"/>
    <n v="9.0299999999999994"/>
    <n v="20.190000000000001"/>
    <n v="-9.6300000000000008"/>
    <n v="37.049999999999997"/>
    <n v="7.68"/>
    <n v="12.04"/>
    <n v="-2.91"/>
    <n v="1.61"/>
    <n v="5.64"/>
  </r>
  <r>
    <x v="18"/>
    <x v="17"/>
    <x v="17"/>
    <n v="57.81"/>
    <n v="56.32"/>
    <n v="43"/>
    <n v="-8.85"/>
    <n v="-58.27"/>
    <n v="27.42"/>
    <n v="17.75"/>
    <n v="43.74"/>
    <n v="7.19"/>
    <n v="9.0299999999999994"/>
    <n v="20.190000000000001"/>
    <n v="-10.19"/>
    <n v="37.61"/>
    <n v="7.68"/>
    <n v="11.23"/>
    <n v="-2.72"/>
    <n v="1.61"/>
    <n v="4.91"/>
  </r>
  <r>
    <x v="19"/>
    <x v="18"/>
    <x v="18"/>
    <n v="57.04"/>
    <n v="56.35"/>
    <n v="43.03"/>
    <n v="-7.94"/>
    <n v="-58.27"/>
    <n v="27.42"/>
    <n v="17.75"/>
    <n v="43.56"/>
    <n v="7.19"/>
    <n v="9.0299999999999994"/>
    <n v="20.190000000000001"/>
    <n v="-10.19"/>
    <n v="37.61"/>
    <n v="7"/>
    <n v="11.33"/>
    <n v="-2.65"/>
    <n v="1.61"/>
    <n v="5.1100000000000003"/>
  </r>
  <r>
    <x v="20"/>
    <x v="19"/>
    <x v="19"/>
    <n v="58.05"/>
    <n v="56.27"/>
    <n v="42.95"/>
    <n v="-9.19"/>
    <n v="-58.27"/>
    <n v="27.42"/>
    <n v="17.75"/>
    <n v="43.72"/>
    <n v="7.19"/>
    <n v="9.0299999999999994"/>
    <n v="20.190000000000001"/>
    <n v="-10.19"/>
    <n v="37.61"/>
    <n v="7.68"/>
    <n v="11.33"/>
    <n v="-2.74"/>
    <n v="1.61"/>
    <n v="5"/>
  </r>
  <r>
    <x v="21"/>
    <x v="20"/>
    <x v="20"/>
    <n v="59.62"/>
    <n v="55.85"/>
    <n v="42.52"/>
    <n v="-11.44"/>
    <n v="-58.27"/>
    <n v="27.42"/>
    <n v="17.61"/>
    <n v="43.27"/>
    <n v="7.19"/>
    <n v="8.98"/>
    <n v="20.190000000000001"/>
    <n v="-9.48"/>
    <n v="36.9"/>
    <n v="7.68"/>
    <n v="12.04"/>
    <n v="-2.93"/>
    <n v="1.66"/>
    <n v="5.65"/>
  </r>
  <r>
    <x v="22"/>
    <x v="21"/>
    <x v="21"/>
    <n v="60.29"/>
    <n v="54.83"/>
    <n v="41.72"/>
    <n v="-13.26"/>
    <n v="-57.32"/>
    <n v="27.42"/>
    <n v="17.239999999999998"/>
    <n v="42.66"/>
    <n v="6.83"/>
    <n v="8.57"/>
    <n v="19.420000000000002"/>
    <n v="-7.64"/>
    <n v="35.06"/>
    <n v="7.68"/>
    <n v="11.94"/>
    <n v="-2.83"/>
    <n v="1.69"/>
    <n v="5.61"/>
  </r>
  <r>
    <x v="23"/>
    <x v="22"/>
    <x v="22"/>
    <n v="58.95"/>
    <n v="53.33"/>
    <n v="40.65"/>
    <n v="-13.26"/>
    <n v="-55.45"/>
    <n v="27.42"/>
    <n v="16.97"/>
    <n v="41.75"/>
    <n v="6.72"/>
    <n v="8.48"/>
    <n v="19.21"/>
    <n v="-6.25"/>
    <n v="33.67"/>
    <n v="7.68"/>
    <n v="12.04"/>
    <n v="-2.94"/>
    <n v="1.66"/>
    <n v="5.7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285D69-3955-450D-83B2-BC6969BC56B3}" name="PivotTable11" cacheId="26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4">
  <location ref="A31:C48" firstHeaderRow="1" firstDataRow="1" firstDataCol="0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D20" sqref="D20"/>
    </sheetView>
  </sheetViews>
  <sheetFormatPr defaultRowHeight="15" x14ac:dyDescent="0.25"/>
  <cols>
    <col min="1" max="1" width="29.28515625" customWidth="1"/>
    <col min="2" max="2" width="14" customWidth="1"/>
  </cols>
  <sheetData>
    <row r="1" spans="1:2" ht="17.25" x14ac:dyDescent="0.3">
      <c r="A1" s="1" t="s">
        <v>0</v>
      </c>
    </row>
    <row r="3" spans="1:2" x14ac:dyDescent="0.25">
      <c r="A3" s="2" t="s">
        <v>1</v>
      </c>
      <c r="B3" s="2" t="s">
        <v>2</v>
      </c>
    </row>
    <row r="4" spans="1:2" x14ac:dyDescent="0.25">
      <c r="A4" t="s">
        <v>3</v>
      </c>
      <c r="B4">
        <v>221395.26</v>
      </c>
    </row>
    <row r="5" spans="1:2" x14ac:dyDescent="0.25">
      <c r="A5" t="s">
        <v>4</v>
      </c>
      <c r="B5">
        <v>7019.1</v>
      </c>
    </row>
    <row r="6" spans="1:2" x14ac:dyDescent="0.25">
      <c r="A6" t="s">
        <v>5</v>
      </c>
      <c r="B6">
        <v>338.89</v>
      </c>
    </row>
    <row r="7" spans="1:2" x14ac:dyDescent="0.25">
      <c r="A7" t="s">
        <v>6</v>
      </c>
      <c r="B7">
        <v>11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24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>
        <v>33.44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8"/>
  <sheetViews>
    <sheetView workbookViewId="0">
      <selection activeCell="D9" sqref="D9"/>
    </sheetView>
  </sheetViews>
  <sheetFormatPr defaultRowHeight="15" x14ac:dyDescent="0.25"/>
  <cols>
    <col min="1" max="6" width="14" customWidth="1"/>
    <col min="7" max="7" width="14.42578125" bestFit="1" customWidth="1"/>
    <col min="8" max="8" width="13.140625" bestFit="1" customWidth="1"/>
    <col min="9" max="10" width="12" bestFit="1" customWidth="1"/>
    <col min="11" max="12" width="11" bestFit="1" customWidth="1"/>
  </cols>
  <sheetData>
    <row r="1" spans="1:12" ht="17.25" x14ac:dyDescent="0.3">
      <c r="A1" s="1" t="s">
        <v>12</v>
      </c>
    </row>
    <row r="3" spans="1:12" x14ac:dyDescent="0.25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86</v>
      </c>
    </row>
    <row r="4" spans="1:12" x14ac:dyDescent="0.25">
      <c r="A4">
        <v>1</v>
      </c>
      <c r="B4">
        <v>187.27</v>
      </c>
      <c r="C4">
        <v>46.67</v>
      </c>
      <c r="D4">
        <v>18.86</v>
      </c>
      <c r="E4">
        <v>0</v>
      </c>
      <c r="F4">
        <v>0.37</v>
      </c>
      <c r="G4" s="3">
        <f>SUM(B4:F4)</f>
        <v>253.17000000000002</v>
      </c>
      <c r="H4" s="4">
        <f>(0.043029*B4^2+B4*20+B4*0)</f>
        <v>5254.4293062341003</v>
      </c>
      <c r="I4" s="4">
        <f>(0.25*C4^2+C4*20+C4*0)</f>
        <v>1477.9222250000003</v>
      </c>
      <c r="J4" s="4">
        <f>(0.01*D4^2+D4*40+D4*0)</f>
        <v>757.956996</v>
      </c>
      <c r="K4" s="4">
        <f>(0.01*E4^2+E4*40+E4*0)</f>
        <v>0</v>
      </c>
      <c r="L4" s="4">
        <f>(0.01*F4^2+F4*40+F4*0)</f>
        <v>14.801369000000001</v>
      </c>
    </row>
    <row r="5" spans="1:12" x14ac:dyDescent="0.25">
      <c r="A5">
        <v>2</v>
      </c>
      <c r="B5">
        <v>183.53</v>
      </c>
      <c r="C5">
        <v>46.67</v>
      </c>
      <c r="D5">
        <v>16.739999999999998</v>
      </c>
      <c r="E5">
        <v>0</v>
      </c>
      <c r="F5">
        <v>0</v>
      </c>
      <c r="G5" s="3">
        <f t="shared" ref="G5:G27" si="0">SUM(B5:F5)</f>
        <v>246.94</v>
      </c>
      <c r="H5" s="4">
        <f t="shared" ref="H5:H27" si="1">(0.043029*B5^2+B5*20+B5*0)</f>
        <v>5119.9570332660996</v>
      </c>
      <c r="I5" s="4">
        <f t="shared" ref="I5:I27" si="2">(0.25*C5^2+C5*20+C5*0)</f>
        <v>1477.9222250000003</v>
      </c>
      <c r="J5" s="4">
        <f t="shared" ref="J5:J27" si="3">(0.01*D5^2+D5*40+D5*0)</f>
        <v>672.40227599999992</v>
      </c>
      <c r="K5" s="4">
        <f t="shared" ref="K5:K27" si="4">(0.01*E5^2+E5*40+E5*0)</f>
        <v>0</v>
      </c>
      <c r="L5" s="4">
        <f t="shared" ref="L5:L27" si="5">(0.01*F5^2+F5*40+F5*0)</f>
        <v>0</v>
      </c>
    </row>
    <row r="6" spans="1:12" x14ac:dyDescent="0.25">
      <c r="A6">
        <v>3</v>
      </c>
      <c r="B6">
        <v>181.98</v>
      </c>
      <c r="C6">
        <v>46.67</v>
      </c>
      <c r="D6">
        <v>14.92</v>
      </c>
      <c r="E6">
        <v>0</v>
      </c>
      <c r="F6">
        <v>0.18</v>
      </c>
      <c r="G6" s="3">
        <f t="shared" si="0"/>
        <v>243.74999999999997</v>
      </c>
      <c r="H6" s="4">
        <f t="shared" si="1"/>
        <v>5064.5793620915993</v>
      </c>
      <c r="I6" s="4">
        <f t="shared" si="2"/>
        <v>1477.9222250000003</v>
      </c>
      <c r="J6" s="4">
        <f t="shared" si="3"/>
        <v>599.02606399999991</v>
      </c>
      <c r="K6" s="4">
        <f t="shared" si="4"/>
        <v>0</v>
      </c>
      <c r="L6" s="4">
        <f t="shared" si="5"/>
        <v>7.2003239999999993</v>
      </c>
    </row>
    <row r="7" spans="1:12" x14ac:dyDescent="0.25">
      <c r="A7">
        <v>4</v>
      </c>
      <c r="B7">
        <v>181.12</v>
      </c>
      <c r="C7">
        <v>46.67</v>
      </c>
      <c r="D7">
        <v>14.16</v>
      </c>
      <c r="E7">
        <v>0</v>
      </c>
      <c r="F7">
        <v>0.55000000000000004</v>
      </c>
      <c r="G7" s="3">
        <f t="shared" si="0"/>
        <v>242.50000000000003</v>
      </c>
      <c r="H7" s="4">
        <f t="shared" si="1"/>
        <v>5033.9428683776005</v>
      </c>
      <c r="I7" s="4">
        <f t="shared" si="2"/>
        <v>1477.9222250000003</v>
      </c>
      <c r="J7" s="4">
        <f t="shared" si="3"/>
        <v>568.40505599999995</v>
      </c>
      <c r="K7" s="4">
        <f t="shared" si="4"/>
        <v>0</v>
      </c>
      <c r="L7" s="4">
        <f t="shared" si="5"/>
        <v>22.003025000000001</v>
      </c>
    </row>
    <row r="8" spans="1:12" x14ac:dyDescent="0.25">
      <c r="A8">
        <v>5</v>
      </c>
      <c r="B8">
        <v>182.97</v>
      </c>
      <c r="C8">
        <v>46.67</v>
      </c>
      <c r="D8">
        <v>15.88</v>
      </c>
      <c r="E8">
        <v>0</v>
      </c>
      <c r="F8">
        <v>0</v>
      </c>
      <c r="G8" s="3">
        <f t="shared" si="0"/>
        <v>245.51999999999998</v>
      </c>
      <c r="H8" s="4">
        <f t="shared" si="1"/>
        <v>5099.9257613061</v>
      </c>
      <c r="I8" s="4">
        <f t="shared" si="2"/>
        <v>1477.9222250000003</v>
      </c>
      <c r="J8" s="4">
        <f t="shared" si="3"/>
        <v>637.72174400000006</v>
      </c>
      <c r="K8" s="4">
        <f t="shared" si="4"/>
        <v>0</v>
      </c>
      <c r="L8" s="4">
        <f t="shared" si="5"/>
        <v>0</v>
      </c>
    </row>
    <row r="9" spans="1:12" x14ac:dyDescent="0.25">
      <c r="A9">
        <v>6</v>
      </c>
      <c r="B9">
        <v>187.41</v>
      </c>
      <c r="C9">
        <v>46.67</v>
      </c>
      <c r="D9">
        <v>18.920000000000002</v>
      </c>
      <c r="E9">
        <v>0</v>
      </c>
      <c r="F9">
        <v>0.41</v>
      </c>
      <c r="G9" s="3">
        <f t="shared" si="0"/>
        <v>253.41</v>
      </c>
      <c r="H9" s="4">
        <f t="shared" si="1"/>
        <v>5259.4864010348992</v>
      </c>
      <c r="I9" s="4">
        <f t="shared" si="2"/>
        <v>1477.9222250000003</v>
      </c>
      <c r="J9" s="4">
        <f t="shared" si="3"/>
        <v>760.37966400000005</v>
      </c>
      <c r="K9" s="4">
        <f t="shared" si="4"/>
        <v>0</v>
      </c>
      <c r="L9" s="4">
        <f t="shared" si="5"/>
        <v>16.401681</v>
      </c>
    </row>
    <row r="10" spans="1:12" x14ac:dyDescent="0.25">
      <c r="A10">
        <v>7</v>
      </c>
      <c r="B10">
        <v>189.44</v>
      </c>
      <c r="C10">
        <v>46.67</v>
      </c>
      <c r="D10">
        <v>19.809999999999999</v>
      </c>
      <c r="E10">
        <v>0</v>
      </c>
      <c r="F10">
        <v>1.02</v>
      </c>
      <c r="G10" s="3">
        <f t="shared" si="0"/>
        <v>256.94</v>
      </c>
      <c r="H10" s="4">
        <f t="shared" si="1"/>
        <v>5333.0038226943998</v>
      </c>
      <c r="I10" s="4">
        <f t="shared" si="2"/>
        <v>1477.9222250000003</v>
      </c>
      <c r="J10" s="4">
        <f t="shared" si="3"/>
        <v>796.32436099999995</v>
      </c>
      <c r="K10" s="4">
        <f t="shared" si="4"/>
        <v>0</v>
      </c>
      <c r="L10" s="4">
        <f t="shared" si="5"/>
        <v>40.810403999999998</v>
      </c>
    </row>
    <row r="11" spans="1:12" x14ac:dyDescent="0.25">
      <c r="A11">
        <v>8</v>
      </c>
      <c r="B11">
        <v>197.53</v>
      </c>
      <c r="C11">
        <v>46.67</v>
      </c>
      <c r="D11">
        <v>23.34</v>
      </c>
      <c r="E11">
        <v>0</v>
      </c>
      <c r="F11">
        <v>3.49</v>
      </c>
      <c r="G11" s="3">
        <f t="shared" si="0"/>
        <v>271.02999999999997</v>
      </c>
      <c r="H11" s="4">
        <f t="shared" si="1"/>
        <v>5629.5098636261</v>
      </c>
      <c r="I11" s="4">
        <f t="shared" si="2"/>
        <v>1477.9222250000003</v>
      </c>
      <c r="J11" s="4">
        <f t="shared" si="3"/>
        <v>939.04755599999999</v>
      </c>
      <c r="K11" s="4">
        <f t="shared" si="4"/>
        <v>0</v>
      </c>
      <c r="L11" s="4">
        <f t="shared" si="5"/>
        <v>139.72180100000003</v>
      </c>
    </row>
    <row r="12" spans="1:12" x14ac:dyDescent="0.25">
      <c r="A12">
        <v>9</v>
      </c>
      <c r="B12">
        <v>205.29</v>
      </c>
      <c r="C12">
        <v>46.67</v>
      </c>
      <c r="D12">
        <v>26.92</v>
      </c>
      <c r="E12">
        <v>0.36</v>
      </c>
      <c r="F12">
        <v>5.82</v>
      </c>
      <c r="G12" s="3">
        <f t="shared" si="0"/>
        <v>285.06</v>
      </c>
      <c r="H12" s="4">
        <f t="shared" si="1"/>
        <v>5919.2134918389002</v>
      </c>
      <c r="I12" s="4">
        <f t="shared" si="2"/>
        <v>1477.9222250000003</v>
      </c>
      <c r="J12" s="4">
        <f t="shared" si="3"/>
        <v>1084.0468640000001</v>
      </c>
      <c r="K12" s="4">
        <f t="shared" si="4"/>
        <v>14.401295999999999</v>
      </c>
      <c r="L12" s="4">
        <f t="shared" si="5"/>
        <v>233.13872400000002</v>
      </c>
    </row>
    <row r="13" spans="1:12" x14ac:dyDescent="0.25">
      <c r="A13">
        <v>10</v>
      </c>
      <c r="B13">
        <v>209.24</v>
      </c>
      <c r="C13">
        <v>46.67</v>
      </c>
      <c r="D13">
        <v>29.58</v>
      </c>
      <c r="E13">
        <v>2.2000000000000002</v>
      </c>
      <c r="F13">
        <v>6.94</v>
      </c>
      <c r="G13" s="3">
        <f t="shared" si="0"/>
        <v>294.63</v>
      </c>
      <c r="H13" s="4">
        <f t="shared" si="1"/>
        <v>6068.6688967504006</v>
      </c>
      <c r="I13" s="4">
        <f t="shared" si="2"/>
        <v>1477.9222250000003</v>
      </c>
      <c r="J13" s="4">
        <f t="shared" si="3"/>
        <v>1191.9497639999997</v>
      </c>
      <c r="K13" s="4">
        <f t="shared" si="4"/>
        <v>88.048400000000001</v>
      </c>
      <c r="L13" s="4">
        <f t="shared" si="5"/>
        <v>278.081636</v>
      </c>
    </row>
    <row r="14" spans="1:12" x14ac:dyDescent="0.25">
      <c r="A14">
        <v>11</v>
      </c>
      <c r="B14">
        <v>213.3</v>
      </c>
      <c r="C14">
        <v>46.67</v>
      </c>
      <c r="D14">
        <v>32.35</v>
      </c>
      <c r="E14">
        <v>4.1399999999999997</v>
      </c>
      <c r="F14">
        <v>8.07</v>
      </c>
      <c r="G14" s="3">
        <f t="shared" si="0"/>
        <v>304.53000000000003</v>
      </c>
      <c r="H14" s="4">
        <f t="shared" si="1"/>
        <v>6223.6856798099998</v>
      </c>
      <c r="I14" s="4">
        <f t="shared" si="2"/>
        <v>1477.9222250000003</v>
      </c>
      <c r="J14" s="4">
        <f t="shared" si="3"/>
        <v>1304.4652249999999</v>
      </c>
      <c r="K14" s="4">
        <f t="shared" si="4"/>
        <v>165.77139599999998</v>
      </c>
      <c r="L14" s="4">
        <f t="shared" si="5"/>
        <v>323.45124900000002</v>
      </c>
    </row>
    <row r="15" spans="1:12" x14ac:dyDescent="0.25">
      <c r="A15">
        <v>12</v>
      </c>
      <c r="B15">
        <v>214.54</v>
      </c>
      <c r="C15">
        <v>46.67</v>
      </c>
      <c r="D15">
        <v>35.93</v>
      </c>
      <c r="E15">
        <v>5.73</v>
      </c>
      <c r="F15">
        <v>8.77</v>
      </c>
      <c r="G15" s="3">
        <f t="shared" si="0"/>
        <v>311.64</v>
      </c>
      <c r="H15" s="4">
        <f t="shared" si="1"/>
        <v>6271.3134937364002</v>
      </c>
      <c r="I15" s="4">
        <f t="shared" si="2"/>
        <v>1477.9222250000003</v>
      </c>
      <c r="J15" s="4">
        <f t="shared" si="3"/>
        <v>1450.109649</v>
      </c>
      <c r="K15" s="4">
        <f t="shared" si="4"/>
        <v>229.52832900000001</v>
      </c>
      <c r="L15" s="4">
        <f t="shared" si="5"/>
        <v>351.56912899999998</v>
      </c>
    </row>
    <row r="16" spans="1:12" x14ac:dyDescent="0.25">
      <c r="A16">
        <v>13</v>
      </c>
      <c r="B16">
        <v>214.51</v>
      </c>
      <c r="C16">
        <v>46.67</v>
      </c>
      <c r="D16">
        <v>36.31</v>
      </c>
      <c r="E16">
        <v>5.86</v>
      </c>
      <c r="F16">
        <v>8.83</v>
      </c>
      <c r="G16" s="3">
        <f t="shared" si="0"/>
        <v>312.18</v>
      </c>
      <c r="H16" s="4">
        <f t="shared" si="1"/>
        <v>6270.1596459629</v>
      </c>
      <c r="I16" s="4">
        <f t="shared" si="2"/>
        <v>1477.9222250000003</v>
      </c>
      <c r="J16" s="4">
        <f t="shared" si="3"/>
        <v>1465.584161</v>
      </c>
      <c r="K16" s="4">
        <f t="shared" si="4"/>
        <v>234.74339600000002</v>
      </c>
      <c r="L16" s="4">
        <f t="shared" si="5"/>
        <v>353.97968900000001</v>
      </c>
    </row>
    <row r="17" spans="1:12" x14ac:dyDescent="0.25">
      <c r="A17">
        <v>14</v>
      </c>
      <c r="B17">
        <v>214.35</v>
      </c>
      <c r="C17">
        <v>46.67</v>
      </c>
      <c r="D17">
        <v>39.32</v>
      </c>
      <c r="E17">
        <v>6.8</v>
      </c>
      <c r="F17">
        <v>9.33</v>
      </c>
      <c r="G17" s="3">
        <f t="shared" si="0"/>
        <v>316.46999999999997</v>
      </c>
      <c r="H17" s="4">
        <f t="shared" si="1"/>
        <v>6264.0070992524998</v>
      </c>
      <c r="I17" s="4">
        <f t="shared" si="2"/>
        <v>1477.9222250000003</v>
      </c>
      <c r="J17" s="4">
        <f t="shared" si="3"/>
        <v>1588.260624</v>
      </c>
      <c r="K17" s="4">
        <f t="shared" si="4"/>
        <v>272.4624</v>
      </c>
      <c r="L17" s="4">
        <f t="shared" si="5"/>
        <v>374.07048900000001</v>
      </c>
    </row>
    <row r="18" spans="1:12" x14ac:dyDescent="0.25">
      <c r="A18">
        <v>15</v>
      </c>
      <c r="B18">
        <v>215.01</v>
      </c>
      <c r="C18">
        <v>46.67</v>
      </c>
      <c r="D18">
        <v>43.42</v>
      </c>
      <c r="E18">
        <v>6.81</v>
      </c>
      <c r="F18">
        <v>9.98</v>
      </c>
      <c r="G18" s="3">
        <f t="shared" si="0"/>
        <v>321.89000000000004</v>
      </c>
      <c r="H18" s="4">
        <f t="shared" si="1"/>
        <v>6289.4005540028993</v>
      </c>
      <c r="I18" s="4">
        <f t="shared" si="2"/>
        <v>1477.9222250000003</v>
      </c>
      <c r="J18" s="4">
        <f t="shared" si="3"/>
        <v>1755.6529640000001</v>
      </c>
      <c r="K18" s="4">
        <f t="shared" si="4"/>
        <v>272.86376099999995</v>
      </c>
      <c r="L18" s="4">
        <f t="shared" si="5"/>
        <v>400.19600400000007</v>
      </c>
    </row>
    <row r="19" spans="1:12" x14ac:dyDescent="0.25">
      <c r="A19">
        <v>16</v>
      </c>
      <c r="B19">
        <v>215.17</v>
      </c>
      <c r="C19">
        <v>46.67</v>
      </c>
      <c r="D19">
        <v>44.44</v>
      </c>
      <c r="E19">
        <v>6.8</v>
      </c>
      <c r="F19">
        <v>10.130000000000001</v>
      </c>
      <c r="G19" s="3">
        <f t="shared" si="0"/>
        <v>323.20999999999998</v>
      </c>
      <c r="H19" s="4">
        <f t="shared" si="1"/>
        <v>6295.5621884380998</v>
      </c>
      <c r="I19" s="4">
        <f t="shared" si="2"/>
        <v>1477.9222250000003</v>
      </c>
      <c r="J19" s="4">
        <f t="shared" si="3"/>
        <v>1797.3491359999998</v>
      </c>
      <c r="K19" s="4">
        <f t="shared" si="4"/>
        <v>272.4624</v>
      </c>
      <c r="L19" s="4">
        <f t="shared" si="5"/>
        <v>406.22616900000003</v>
      </c>
    </row>
    <row r="20" spans="1:12" x14ac:dyDescent="0.25">
      <c r="A20">
        <v>17</v>
      </c>
      <c r="B20">
        <v>215.03</v>
      </c>
      <c r="C20">
        <v>46.67</v>
      </c>
      <c r="D20">
        <v>43.55</v>
      </c>
      <c r="E20">
        <v>6.81</v>
      </c>
      <c r="F20">
        <v>10</v>
      </c>
      <c r="G20" s="3">
        <f t="shared" si="0"/>
        <v>322.06</v>
      </c>
      <c r="H20" s="4">
        <f t="shared" si="1"/>
        <v>6290.1706378261006</v>
      </c>
      <c r="I20" s="4">
        <f t="shared" si="2"/>
        <v>1477.9222250000003</v>
      </c>
      <c r="J20" s="4">
        <f t="shared" si="3"/>
        <v>1760.9660249999999</v>
      </c>
      <c r="K20" s="4">
        <f t="shared" si="4"/>
        <v>272.86376099999995</v>
      </c>
      <c r="L20" s="4">
        <f t="shared" si="5"/>
        <v>401</v>
      </c>
    </row>
    <row r="21" spans="1:12" x14ac:dyDescent="0.25">
      <c r="A21">
        <v>18</v>
      </c>
      <c r="B21">
        <v>214.65</v>
      </c>
      <c r="C21">
        <v>46.67</v>
      </c>
      <c r="D21">
        <v>41.12</v>
      </c>
      <c r="E21">
        <v>6.84</v>
      </c>
      <c r="F21">
        <v>9.6300000000000008</v>
      </c>
      <c r="G21" s="3">
        <f t="shared" si="0"/>
        <v>318.90999999999997</v>
      </c>
      <c r="H21" s="4">
        <f t="shared" si="1"/>
        <v>6275.5449315525002</v>
      </c>
      <c r="I21" s="4">
        <f t="shared" si="2"/>
        <v>1477.9222250000003</v>
      </c>
      <c r="J21" s="4">
        <f t="shared" si="3"/>
        <v>1661.7085439999998</v>
      </c>
      <c r="K21" s="4">
        <f t="shared" si="4"/>
        <v>274.06785600000001</v>
      </c>
      <c r="L21" s="4">
        <f t="shared" si="5"/>
        <v>386.12736900000004</v>
      </c>
    </row>
    <row r="22" spans="1:12" x14ac:dyDescent="0.25">
      <c r="A22">
        <v>19</v>
      </c>
      <c r="B22">
        <v>215.43</v>
      </c>
      <c r="C22">
        <v>46.67</v>
      </c>
      <c r="D22">
        <v>50.17</v>
      </c>
      <c r="E22">
        <v>7.07</v>
      </c>
      <c r="F22">
        <v>10.19</v>
      </c>
      <c r="G22" s="3">
        <f t="shared" si="0"/>
        <v>329.53000000000003</v>
      </c>
      <c r="H22" s="4">
        <f t="shared" si="1"/>
        <v>6305.5795431621009</v>
      </c>
      <c r="I22" s="4">
        <f t="shared" si="2"/>
        <v>1477.9222250000003</v>
      </c>
      <c r="J22" s="4">
        <f t="shared" si="3"/>
        <v>2031.9702890000001</v>
      </c>
      <c r="K22" s="4">
        <f t="shared" si="4"/>
        <v>283.29984899999999</v>
      </c>
      <c r="L22" s="4">
        <f t="shared" si="5"/>
        <v>408.63836099999997</v>
      </c>
    </row>
    <row r="23" spans="1:12" x14ac:dyDescent="0.25">
      <c r="A23">
        <v>20</v>
      </c>
      <c r="B23">
        <v>215.07</v>
      </c>
      <c r="C23">
        <v>46.67</v>
      </c>
      <c r="D23">
        <v>53.7</v>
      </c>
      <c r="E23">
        <v>7.47</v>
      </c>
      <c r="F23">
        <v>10.19</v>
      </c>
      <c r="G23" s="3">
        <f t="shared" si="0"/>
        <v>333.1</v>
      </c>
      <c r="H23" s="4">
        <f t="shared" si="1"/>
        <v>6291.7109087420995</v>
      </c>
      <c r="I23" s="4">
        <f t="shared" si="2"/>
        <v>1477.9222250000003</v>
      </c>
      <c r="J23" s="4">
        <f t="shared" si="3"/>
        <v>2176.8368999999998</v>
      </c>
      <c r="K23" s="4">
        <f t="shared" si="4"/>
        <v>299.35800900000004</v>
      </c>
      <c r="L23" s="4">
        <f t="shared" si="5"/>
        <v>408.63836099999997</v>
      </c>
    </row>
    <row r="24" spans="1:12" x14ac:dyDescent="0.25">
      <c r="A24">
        <v>21</v>
      </c>
      <c r="B24">
        <v>215.38</v>
      </c>
      <c r="C24">
        <v>46.67</v>
      </c>
      <c r="D24">
        <v>48.86</v>
      </c>
      <c r="E24">
        <v>7</v>
      </c>
      <c r="F24">
        <v>10.19</v>
      </c>
      <c r="G24" s="3">
        <f t="shared" si="0"/>
        <v>328.1</v>
      </c>
      <c r="H24" s="4">
        <f t="shared" si="1"/>
        <v>6303.6526769876</v>
      </c>
      <c r="I24" s="4">
        <f t="shared" si="2"/>
        <v>1477.9222250000003</v>
      </c>
      <c r="J24" s="4">
        <f t="shared" si="3"/>
        <v>1978.2729960000001</v>
      </c>
      <c r="K24" s="4">
        <f t="shared" si="4"/>
        <v>280.49</v>
      </c>
      <c r="L24" s="4">
        <f t="shared" si="5"/>
        <v>408.63836099999997</v>
      </c>
    </row>
    <row r="25" spans="1:12" x14ac:dyDescent="0.25">
      <c r="A25">
        <v>22</v>
      </c>
      <c r="B25">
        <v>214.49</v>
      </c>
      <c r="C25">
        <v>46.67</v>
      </c>
      <c r="D25">
        <v>40.08</v>
      </c>
      <c r="E25">
        <v>6.81</v>
      </c>
      <c r="F25">
        <v>9.48</v>
      </c>
      <c r="G25" s="3">
        <f t="shared" si="0"/>
        <v>317.53000000000003</v>
      </c>
      <c r="H25" s="4">
        <f t="shared" si="1"/>
        <v>6269.3904571429002</v>
      </c>
      <c r="I25" s="4">
        <f t="shared" si="2"/>
        <v>1477.9222250000003</v>
      </c>
      <c r="J25" s="4">
        <f t="shared" si="3"/>
        <v>1619.2640639999997</v>
      </c>
      <c r="K25" s="4">
        <f t="shared" si="4"/>
        <v>272.86376099999995</v>
      </c>
      <c r="L25" s="4">
        <f t="shared" si="5"/>
        <v>380.09870400000005</v>
      </c>
    </row>
    <row r="26" spans="1:12" x14ac:dyDescent="0.25">
      <c r="A26">
        <v>23</v>
      </c>
      <c r="B26">
        <v>210.28</v>
      </c>
      <c r="C26">
        <v>46.67</v>
      </c>
      <c r="D26">
        <v>30.95</v>
      </c>
      <c r="E26">
        <v>5.0599999999999996</v>
      </c>
      <c r="F26">
        <v>7.64</v>
      </c>
      <c r="G26" s="3">
        <f t="shared" si="0"/>
        <v>300.59999999999997</v>
      </c>
      <c r="H26" s="4">
        <f t="shared" si="1"/>
        <v>6108.2424838736006</v>
      </c>
      <c r="I26" s="4">
        <f t="shared" si="2"/>
        <v>1477.9222250000003</v>
      </c>
      <c r="J26" s="4">
        <f t="shared" si="3"/>
        <v>1247.579025</v>
      </c>
      <c r="K26" s="4">
        <f t="shared" si="4"/>
        <v>202.65603599999997</v>
      </c>
      <c r="L26" s="4">
        <f t="shared" si="5"/>
        <v>306.18369599999994</v>
      </c>
    </row>
    <row r="27" spans="1:12" x14ac:dyDescent="0.25">
      <c r="A27">
        <v>24</v>
      </c>
      <c r="B27">
        <v>202.4</v>
      </c>
      <c r="C27">
        <v>46.67</v>
      </c>
      <c r="D27">
        <v>26.32</v>
      </c>
      <c r="E27">
        <v>4.84</v>
      </c>
      <c r="F27">
        <v>6.25</v>
      </c>
      <c r="G27" s="3">
        <f t="shared" si="0"/>
        <v>286.47999999999996</v>
      </c>
      <c r="H27" s="4">
        <f t="shared" si="1"/>
        <v>5810.7156870399995</v>
      </c>
      <c r="I27" s="4">
        <f t="shared" si="2"/>
        <v>1477.9222250000003</v>
      </c>
      <c r="J27" s="4">
        <f t="shared" si="3"/>
        <v>1059.7274239999999</v>
      </c>
      <c r="K27" s="4">
        <f t="shared" si="4"/>
        <v>193.83425599999998</v>
      </c>
      <c r="L27" s="4">
        <f t="shared" si="5"/>
        <v>250.390625</v>
      </c>
    </row>
    <row r="28" spans="1:12" x14ac:dyDescent="0.25">
      <c r="B28" s="6">
        <f>SUM(B4:B27)</f>
        <v>4895.3899999999994</v>
      </c>
      <c r="C28" s="6">
        <f t="shared" ref="C28:F28" si="6">SUM(C4:C27)</f>
        <v>1120.08</v>
      </c>
      <c r="D28" s="6">
        <f t="shared" si="6"/>
        <v>765.65000000000009</v>
      </c>
      <c r="E28" s="6">
        <f t="shared" si="6"/>
        <v>90.600000000000009</v>
      </c>
      <c r="F28" s="6">
        <f t="shared" si="6"/>
        <v>147.45999999999998</v>
      </c>
      <c r="H28" s="5">
        <f>SUM(H4:H27)</f>
        <v>141051.85279474992</v>
      </c>
      <c r="I28" s="5">
        <f t="shared" ref="I28:K28" si="7">SUM(I4:I27)</f>
        <v>35470.133400000028</v>
      </c>
      <c r="J28" s="5">
        <f t="shared" si="7"/>
        <v>30905.007371</v>
      </c>
      <c r="K28" s="5">
        <f t="shared" si="7"/>
        <v>3629.7149060000002</v>
      </c>
      <c r="L28" s="5">
        <f>SUM(L4:L27)</f>
        <v>5911.3671700000014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48"/>
  <sheetViews>
    <sheetView zoomScale="90" zoomScaleNormal="90" workbookViewId="0">
      <selection activeCell="J22" sqref="J22"/>
    </sheetView>
  </sheetViews>
  <sheetFormatPr defaultRowHeight="15" x14ac:dyDescent="0.25"/>
  <cols>
    <col min="1" max="1" width="13.28515625" bestFit="1" customWidth="1"/>
    <col min="2" max="4" width="9.140625" bestFit="1" customWidth="1"/>
    <col min="5" max="21" width="14" customWidth="1"/>
  </cols>
  <sheetData>
    <row r="1" spans="1:21" ht="17.25" x14ac:dyDescent="0.3">
      <c r="A1" s="1" t="s">
        <v>19</v>
      </c>
    </row>
    <row r="3" spans="1:21" x14ac:dyDescent="0.25">
      <c r="A3" s="2" t="s">
        <v>13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  <c r="K3" s="2" t="s">
        <v>29</v>
      </c>
      <c r="L3" s="2" t="s">
        <v>30</v>
      </c>
      <c r="M3" s="2" t="s">
        <v>31</v>
      </c>
      <c r="N3" s="2" t="s">
        <v>32</v>
      </c>
      <c r="O3" s="2" t="s">
        <v>33</v>
      </c>
      <c r="P3" s="2" t="s">
        <v>34</v>
      </c>
      <c r="Q3" s="2" t="s">
        <v>35</v>
      </c>
      <c r="R3" s="2" t="s">
        <v>36</v>
      </c>
      <c r="S3" s="2" t="s">
        <v>37</v>
      </c>
      <c r="T3" s="2" t="s">
        <v>38</v>
      </c>
      <c r="U3" s="2" t="s">
        <v>39</v>
      </c>
    </row>
    <row r="4" spans="1:21" x14ac:dyDescent="0.25">
      <c r="A4">
        <v>1</v>
      </c>
      <c r="B4">
        <v>122.19</v>
      </c>
      <c r="C4">
        <v>62.42</v>
      </c>
      <c r="D4">
        <v>56.32</v>
      </c>
      <c r="E4">
        <v>50.37</v>
      </c>
      <c r="F4">
        <v>38.479999999999997</v>
      </c>
      <c r="G4">
        <v>-13.26</v>
      </c>
      <c r="H4">
        <v>-52.01</v>
      </c>
      <c r="I4">
        <v>27.42</v>
      </c>
      <c r="J4">
        <v>15.81</v>
      </c>
      <c r="K4">
        <v>39.6</v>
      </c>
      <c r="L4">
        <v>5.58</v>
      </c>
      <c r="M4">
        <v>7.12</v>
      </c>
      <c r="N4">
        <v>16</v>
      </c>
      <c r="O4">
        <v>-0.37</v>
      </c>
      <c r="P4">
        <v>27.79</v>
      </c>
      <c r="Q4">
        <v>6.28</v>
      </c>
      <c r="R4">
        <v>9.67</v>
      </c>
      <c r="S4">
        <v>-2.2000000000000002</v>
      </c>
      <c r="T4">
        <v>1.31</v>
      </c>
      <c r="U4">
        <v>4.4000000000000004</v>
      </c>
    </row>
    <row r="5" spans="1:21" x14ac:dyDescent="0.25">
      <c r="A5">
        <v>2</v>
      </c>
      <c r="B5">
        <v>119.61</v>
      </c>
      <c r="C5">
        <v>61.32</v>
      </c>
      <c r="D5">
        <v>55.68</v>
      </c>
      <c r="E5">
        <v>49.66</v>
      </c>
      <c r="F5">
        <v>37.96</v>
      </c>
      <c r="G5">
        <v>-13.26</v>
      </c>
      <c r="H5">
        <v>-51.22</v>
      </c>
      <c r="I5">
        <v>27.42</v>
      </c>
      <c r="J5">
        <v>15.73</v>
      </c>
      <c r="K5">
        <v>39.03</v>
      </c>
      <c r="L5">
        <v>5.89</v>
      </c>
      <c r="M5">
        <v>6.94</v>
      </c>
      <c r="N5">
        <v>15.63</v>
      </c>
      <c r="O5">
        <v>0</v>
      </c>
      <c r="P5">
        <v>27.42</v>
      </c>
      <c r="Q5">
        <v>7.13</v>
      </c>
      <c r="R5">
        <v>9.23</v>
      </c>
      <c r="S5">
        <v>-2.61</v>
      </c>
      <c r="T5">
        <v>1.31</v>
      </c>
      <c r="U5">
        <v>4.4000000000000004</v>
      </c>
    </row>
    <row r="6" spans="1:21" x14ac:dyDescent="0.25">
      <c r="A6">
        <v>3</v>
      </c>
      <c r="B6">
        <v>118.47</v>
      </c>
      <c r="C6">
        <v>60.94</v>
      </c>
      <c r="D6">
        <v>55.43</v>
      </c>
      <c r="E6">
        <v>49.38</v>
      </c>
      <c r="F6">
        <v>37.85</v>
      </c>
      <c r="G6">
        <v>-13.26</v>
      </c>
      <c r="H6">
        <v>-50.47</v>
      </c>
      <c r="I6">
        <v>27.42</v>
      </c>
      <c r="J6">
        <v>15.77</v>
      </c>
      <c r="K6">
        <v>39.479999999999997</v>
      </c>
      <c r="L6">
        <v>5.37</v>
      </c>
      <c r="M6">
        <v>7.3</v>
      </c>
      <c r="N6">
        <v>16.48</v>
      </c>
      <c r="O6">
        <v>-0.18</v>
      </c>
      <c r="P6">
        <v>27.6</v>
      </c>
      <c r="Q6">
        <v>6.38</v>
      </c>
      <c r="R6">
        <v>10.83</v>
      </c>
      <c r="S6">
        <v>-2.17</v>
      </c>
      <c r="T6">
        <v>1.41</v>
      </c>
      <c r="U6">
        <v>4.97</v>
      </c>
    </row>
    <row r="7" spans="1:21" x14ac:dyDescent="0.25">
      <c r="A7">
        <v>4</v>
      </c>
      <c r="B7">
        <v>117.86</v>
      </c>
      <c r="C7">
        <v>60.7</v>
      </c>
      <c r="D7">
        <v>55.3</v>
      </c>
      <c r="E7">
        <v>49.23</v>
      </c>
      <c r="F7">
        <v>37.76</v>
      </c>
      <c r="G7">
        <v>-13.26</v>
      </c>
      <c r="H7">
        <v>-50.24</v>
      </c>
      <c r="I7">
        <v>27.42</v>
      </c>
      <c r="J7">
        <v>15.84</v>
      </c>
      <c r="K7">
        <v>39.47</v>
      </c>
      <c r="L7">
        <v>5.63</v>
      </c>
      <c r="M7">
        <v>7.24</v>
      </c>
      <c r="N7">
        <v>16.37</v>
      </c>
      <c r="O7">
        <v>-0.55000000000000004</v>
      </c>
      <c r="P7">
        <v>27.97</v>
      </c>
      <c r="Q7">
        <v>7.25</v>
      </c>
      <c r="R7">
        <v>10.68</v>
      </c>
      <c r="S7">
        <v>-2.46</v>
      </c>
      <c r="T7">
        <v>1.4</v>
      </c>
      <c r="U7">
        <v>4.9800000000000004</v>
      </c>
    </row>
    <row r="8" spans="1:21" x14ac:dyDescent="0.25">
      <c r="A8">
        <v>5</v>
      </c>
      <c r="B8">
        <v>119.18</v>
      </c>
      <c r="C8">
        <v>61.2</v>
      </c>
      <c r="D8">
        <v>55.59</v>
      </c>
      <c r="E8">
        <v>49.56</v>
      </c>
      <c r="F8">
        <v>37.950000000000003</v>
      </c>
      <c r="G8">
        <v>-13.26</v>
      </c>
      <c r="H8">
        <v>-50.83</v>
      </c>
      <c r="I8">
        <v>27.42</v>
      </c>
      <c r="J8">
        <v>15.73</v>
      </c>
      <c r="K8">
        <v>39.380000000000003</v>
      </c>
      <c r="L8">
        <v>5.36</v>
      </c>
      <c r="M8">
        <v>7.14</v>
      </c>
      <c r="N8">
        <v>16.420000000000002</v>
      </c>
      <c r="O8">
        <v>0</v>
      </c>
      <c r="P8">
        <v>27.42</v>
      </c>
      <c r="Q8">
        <v>6.01</v>
      </c>
      <c r="R8">
        <v>10.65</v>
      </c>
      <c r="S8">
        <v>-2.12</v>
      </c>
      <c r="T8">
        <v>1.56</v>
      </c>
      <c r="U8">
        <v>4.9000000000000004</v>
      </c>
    </row>
    <row r="9" spans="1:21" x14ac:dyDescent="0.25">
      <c r="A9">
        <v>6</v>
      </c>
      <c r="B9">
        <v>122.29</v>
      </c>
      <c r="C9">
        <v>62.46</v>
      </c>
      <c r="D9">
        <v>56.34</v>
      </c>
      <c r="E9">
        <v>50.4</v>
      </c>
      <c r="F9">
        <v>38.51</v>
      </c>
      <c r="G9">
        <v>-13.26</v>
      </c>
      <c r="H9">
        <v>-52.03</v>
      </c>
      <c r="I9">
        <v>27.42</v>
      </c>
      <c r="J9">
        <v>15.81</v>
      </c>
      <c r="K9">
        <v>39.630000000000003</v>
      </c>
      <c r="L9">
        <v>5.58</v>
      </c>
      <c r="M9">
        <v>7.13</v>
      </c>
      <c r="N9">
        <v>16.02</v>
      </c>
      <c r="O9">
        <v>-0.41</v>
      </c>
      <c r="P9">
        <v>27.83</v>
      </c>
      <c r="Q9">
        <v>6.29</v>
      </c>
      <c r="R9">
        <v>9.68</v>
      </c>
      <c r="S9">
        <v>-2.2000000000000002</v>
      </c>
      <c r="T9">
        <v>1.31</v>
      </c>
      <c r="U9">
        <v>4.4000000000000004</v>
      </c>
    </row>
    <row r="10" spans="1:21" x14ac:dyDescent="0.25">
      <c r="A10">
        <v>7</v>
      </c>
      <c r="B10">
        <v>123.67</v>
      </c>
      <c r="C10">
        <v>63.07</v>
      </c>
      <c r="D10">
        <v>56.69</v>
      </c>
      <c r="E10">
        <v>50.79</v>
      </c>
      <c r="F10">
        <v>38.81</v>
      </c>
      <c r="G10">
        <v>-13.26</v>
      </c>
      <c r="H10">
        <v>-52.4</v>
      </c>
      <c r="I10">
        <v>27.42</v>
      </c>
      <c r="J10">
        <v>15.94</v>
      </c>
      <c r="K10">
        <v>40.049999999999997</v>
      </c>
      <c r="L10">
        <v>5.58</v>
      </c>
      <c r="M10">
        <v>7.22</v>
      </c>
      <c r="N10">
        <v>16.2</v>
      </c>
      <c r="O10">
        <v>-1.02</v>
      </c>
      <c r="P10">
        <v>28.44</v>
      </c>
      <c r="Q10">
        <v>6.46</v>
      </c>
      <c r="R10">
        <v>9.8699999999999992</v>
      </c>
      <c r="S10">
        <v>-2.15</v>
      </c>
      <c r="T10">
        <v>1.32</v>
      </c>
      <c r="U10">
        <v>4.41</v>
      </c>
    </row>
    <row r="11" spans="1:21" x14ac:dyDescent="0.25">
      <c r="A11">
        <v>8</v>
      </c>
      <c r="B11">
        <v>129.19</v>
      </c>
      <c r="C11">
        <v>65.489999999999995</v>
      </c>
      <c r="D11">
        <v>58.09</v>
      </c>
      <c r="E11">
        <v>52.36</v>
      </c>
      <c r="F11">
        <v>40.049999999999997</v>
      </c>
      <c r="G11">
        <v>-13.26</v>
      </c>
      <c r="H11">
        <v>-53.88</v>
      </c>
      <c r="I11">
        <v>27.42</v>
      </c>
      <c r="J11">
        <v>16.420000000000002</v>
      </c>
      <c r="K11">
        <v>41.73</v>
      </c>
      <c r="L11">
        <v>5.57</v>
      </c>
      <c r="M11">
        <v>7.57</v>
      </c>
      <c r="N11">
        <v>16.93</v>
      </c>
      <c r="O11">
        <v>-3.49</v>
      </c>
      <c r="P11">
        <v>30.91</v>
      </c>
      <c r="Q11">
        <v>7.11</v>
      </c>
      <c r="R11">
        <v>10.62</v>
      </c>
      <c r="S11">
        <v>-1.97</v>
      </c>
      <c r="T11">
        <v>1.35</v>
      </c>
      <c r="U11">
        <v>4.45</v>
      </c>
    </row>
    <row r="12" spans="1:21" x14ac:dyDescent="0.25">
      <c r="A12">
        <v>9</v>
      </c>
      <c r="B12">
        <v>134.49</v>
      </c>
      <c r="C12">
        <v>67.81</v>
      </c>
      <c r="D12">
        <v>59.43</v>
      </c>
      <c r="E12">
        <v>53.87</v>
      </c>
      <c r="F12">
        <v>41.21</v>
      </c>
      <c r="G12">
        <v>-13.26</v>
      </c>
      <c r="H12">
        <v>-55.39</v>
      </c>
      <c r="I12">
        <v>27.42</v>
      </c>
      <c r="J12">
        <v>16.89</v>
      </c>
      <c r="K12">
        <v>43.2</v>
      </c>
      <c r="L12">
        <v>5.66</v>
      </c>
      <c r="M12">
        <v>7.93</v>
      </c>
      <c r="N12">
        <v>17.71</v>
      </c>
      <c r="O12">
        <v>-5.82</v>
      </c>
      <c r="P12">
        <v>33.24</v>
      </c>
      <c r="Q12">
        <v>7.68</v>
      </c>
      <c r="R12">
        <v>11.3</v>
      </c>
      <c r="S12">
        <v>-1.88</v>
      </c>
      <c r="T12">
        <v>1.39</v>
      </c>
      <c r="U12">
        <v>4.5599999999999996</v>
      </c>
    </row>
    <row r="13" spans="1:21" x14ac:dyDescent="0.25">
      <c r="A13">
        <v>10</v>
      </c>
      <c r="B13">
        <v>137.27000000000001</v>
      </c>
      <c r="C13">
        <v>68.92</v>
      </c>
      <c r="D13">
        <v>60.1</v>
      </c>
      <c r="E13">
        <v>54.63</v>
      </c>
      <c r="F13">
        <v>41.69</v>
      </c>
      <c r="G13">
        <v>-13.26</v>
      </c>
      <c r="H13">
        <v>-56.58</v>
      </c>
      <c r="I13">
        <v>27.42</v>
      </c>
      <c r="J13">
        <v>17.11</v>
      </c>
      <c r="K13">
        <v>43.28</v>
      </c>
      <c r="L13">
        <v>6.12</v>
      </c>
      <c r="M13">
        <v>8.24</v>
      </c>
      <c r="N13">
        <v>18.440000000000001</v>
      </c>
      <c r="O13">
        <v>-6.94</v>
      </c>
      <c r="P13">
        <v>34.36</v>
      </c>
      <c r="Q13">
        <v>7.68</v>
      </c>
      <c r="R13">
        <v>11.5</v>
      </c>
      <c r="S13">
        <v>-2.2000000000000002</v>
      </c>
      <c r="T13">
        <v>1.47</v>
      </c>
      <c r="U13">
        <v>4.88</v>
      </c>
    </row>
    <row r="14" spans="1:21" x14ac:dyDescent="0.25">
      <c r="A14">
        <v>11</v>
      </c>
      <c r="B14">
        <v>140.12</v>
      </c>
      <c r="C14">
        <v>70.06</v>
      </c>
      <c r="D14">
        <v>60.8</v>
      </c>
      <c r="E14">
        <v>55.41</v>
      </c>
      <c r="F14">
        <v>42.18</v>
      </c>
      <c r="G14">
        <v>-13.26</v>
      </c>
      <c r="H14">
        <v>-57.82</v>
      </c>
      <c r="I14">
        <v>27.42</v>
      </c>
      <c r="J14">
        <v>17.329999999999998</v>
      </c>
      <c r="K14">
        <v>43.34</v>
      </c>
      <c r="L14">
        <v>6.6</v>
      </c>
      <c r="M14">
        <v>8.56</v>
      </c>
      <c r="N14">
        <v>19.21</v>
      </c>
      <c r="O14">
        <v>-8.07</v>
      </c>
      <c r="P14">
        <v>35.49</v>
      </c>
      <c r="Q14">
        <v>7.68</v>
      </c>
      <c r="R14">
        <v>11.72</v>
      </c>
      <c r="S14">
        <v>-2.5299999999999998</v>
      </c>
      <c r="T14">
        <v>1.56</v>
      </c>
      <c r="U14">
        <v>5.22</v>
      </c>
    </row>
    <row r="15" spans="1:21" x14ac:dyDescent="0.25">
      <c r="A15">
        <v>12</v>
      </c>
      <c r="B15">
        <v>140.94999999999999</v>
      </c>
      <c r="C15">
        <v>70.44</v>
      </c>
      <c r="D15">
        <v>60.48</v>
      </c>
      <c r="E15">
        <v>55.72</v>
      </c>
      <c r="F15">
        <v>42.39</v>
      </c>
      <c r="G15">
        <v>-12.56</v>
      </c>
      <c r="H15">
        <v>-58.27</v>
      </c>
      <c r="I15">
        <v>27.42</v>
      </c>
      <c r="J15">
        <v>17.47</v>
      </c>
      <c r="K15">
        <v>43.25</v>
      </c>
      <c r="L15">
        <v>6.95</v>
      </c>
      <c r="M15">
        <v>8.8000000000000007</v>
      </c>
      <c r="N15">
        <v>19.78</v>
      </c>
      <c r="O15">
        <v>-8.77</v>
      </c>
      <c r="P15">
        <v>36.19</v>
      </c>
      <c r="Q15">
        <v>7.68</v>
      </c>
      <c r="R15">
        <v>11.88</v>
      </c>
      <c r="S15">
        <v>-2.78</v>
      </c>
      <c r="T15">
        <v>1.63</v>
      </c>
      <c r="U15">
        <v>5.47</v>
      </c>
    </row>
    <row r="16" spans="1:21" x14ac:dyDescent="0.25">
      <c r="A16">
        <v>13</v>
      </c>
      <c r="B16">
        <v>140.91999999999999</v>
      </c>
      <c r="C16">
        <v>70.44</v>
      </c>
      <c r="D16">
        <v>60.4</v>
      </c>
      <c r="E16">
        <v>55.73</v>
      </c>
      <c r="F16">
        <v>42.4</v>
      </c>
      <c r="G16">
        <v>-12.46</v>
      </c>
      <c r="H16">
        <v>-58.27</v>
      </c>
      <c r="I16">
        <v>27.42</v>
      </c>
      <c r="J16">
        <v>17.48</v>
      </c>
      <c r="K16">
        <v>43.24</v>
      </c>
      <c r="L16">
        <v>6.98</v>
      </c>
      <c r="M16">
        <v>8.82</v>
      </c>
      <c r="N16">
        <v>19.829999999999998</v>
      </c>
      <c r="O16">
        <v>-8.83</v>
      </c>
      <c r="P16">
        <v>36.25</v>
      </c>
      <c r="Q16">
        <v>7.68</v>
      </c>
      <c r="R16">
        <v>11.9</v>
      </c>
      <c r="S16">
        <v>-2.8</v>
      </c>
      <c r="T16">
        <v>1.64</v>
      </c>
      <c r="U16">
        <v>5.49</v>
      </c>
    </row>
    <row r="17" spans="1:21" x14ac:dyDescent="0.25">
      <c r="A17">
        <v>14</v>
      </c>
      <c r="B17">
        <v>140.76</v>
      </c>
      <c r="C17">
        <v>70.45</v>
      </c>
      <c r="D17">
        <v>59.75</v>
      </c>
      <c r="E17">
        <v>55.8</v>
      </c>
      <c r="F17">
        <v>42.47</v>
      </c>
      <c r="G17">
        <v>-11.64</v>
      </c>
      <c r="H17">
        <v>-58.27</v>
      </c>
      <c r="I17">
        <v>27.42</v>
      </c>
      <c r="J17">
        <v>17.579999999999998</v>
      </c>
      <c r="K17">
        <v>43.19</v>
      </c>
      <c r="L17">
        <v>7.19</v>
      </c>
      <c r="M17">
        <v>8.9600000000000009</v>
      </c>
      <c r="N17">
        <v>20.170000000000002</v>
      </c>
      <c r="O17">
        <v>-9.33</v>
      </c>
      <c r="P17">
        <v>36.75</v>
      </c>
      <c r="Q17">
        <v>7.68</v>
      </c>
      <c r="R17">
        <v>12</v>
      </c>
      <c r="S17">
        <v>-2.94</v>
      </c>
      <c r="T17">
        <v>1.67</v>
      </c>
      <c r="U17">
        <v>5.64</v>
      </c>
    </row>
    <row r="18" spans="1:21" x14ac:dyDescent="0.25">
      <c r="A18">
        <v>15</v>
      </c>
      <c r="B18">
        <v>141.11000000000001</v>
      </c>
      <c r="C18">
        <v>70.739999999999995</v>
      </c>
      <c r="D18">
        <v>59.05</v>
      </c>
      <c r="E18">
        <v>56.05</v>
      </c>
      <c r="F18">
        <v>42.73</v>
      </c>
      <c r="G18">
        <v>-10.57</v>
      </c>
      <c r="H18">
        <v>-58.27</v>
      </c>
      <c r="I18">
        <v>27.42</v>
      </c>
      <c r="J18">
        <v>17.71</v>
      </c>
      <c r="K18">
        <v>43.54</v>
      </c>
      <c r="L18">
        <v>7.19</v>
      </c>
      <c r="M18">
        <v>9.0299999999999994</v>
      </c>
      <c r="N18">
        <v>20.190000000000001</v>
      </c>
      <c r="O18">
        <v>-9.98</v>
      </c>
      <c r="P18">
        <v>37.4</v>
      </c>
      <c r="Q18">
        <v>7.68</v>
      </c>
      <c r="R18">
        <v>12.04</v>
      </c>
      <c r="S18">
        <v>-2.86</v>
      </c>
      <c r="T18">
        <v>1.61</v>
      </c>
      <c r="U18">
        <v>5.62</v>
      </c>
    </row>
    <row r="19" spans="1:21" x14ac:dyDescent="0.25">
      <c r="A19">
        <v>16</v>
      </c>
      <c r="B19">
        <v>141.19999999999999</v>
      </c>
      <c r="C19">
        <v>70.819999999999993</v>
      </c>
      <c r="D19">
        <v>58.88</v>
      </c>
      <c r="E19">
        <v>56.11</v>
      </c>
      <c r="F19">
        <v>42.79</v>
      </c>
      <c r="G19">
        <v>-10.31</v>
      </c>
      <c r="H19">
        <v>-58.27</v>
      </c>
      <c r="I19">
        <v>27.42</v>
      </c>
      <c r="J19">
        <v>17.739999999999998</v>
      </c>
      <c r="K19">
        <v>43.62</v>
      </c>
      <c r="L19">
        <v>7.19</v>
      </c>
      <c r="M19">
        <v>9.0299999999999994</v>
      </c>
      <c r="N19">
        <v>20.190000000000001</v>
      </c>
      <c r="O19">
        <v>-10.130000000000001</v>
      </c>
      <c r="P19">
        <v>37.549999999999997</v>
      </c>
      <c r="Q19">
        <v>7.68</v>
      </c>
      <c r="R19">
        <v>12.04</v>
      </c>
      <c r="S19">
        <v>-2.84</v>
      </c>
      <c r="T19">
        <v>1.61</v>
      </c>
      <c r="U19">
        <v>5.6</v>
      </c>
    </row>
    <row r="20" spans="1:21" x14ac:dyDescent="0.25">
      <c r="A20">
        <v>17</v>
      </c>
      <c r="B20">
        <v>141.12</v>
      </c>
      <c r="C20">
        <v>70.75</v>
      </c>
      <c r="D20">
        <v>59.03</v>
      </c>
      <c r="E20">
        <v>56.06</v>
      </c>
      <c r="F20">
        <v>42.73</v>
      </c>
      <c r="G20">
        <v>-10.53</v>
      </c>
      <c r="H20">
        <v>-58.27</v>
      </c>
      <c r="I20">
        <v>27.42</v>
      </c>
      <c r="J20">
        <v>17.71</v>
      </c>
      <c r="K20">
        <v>43.55</v>
      </c>
      <c r="L20">
        <v>7.19</v>
      </c>
      <c r="M20">
        <v>9.0299999999999994</v>
      </c>
      <c r="N20">
        <v>20.190000000000001</v>
      </c>
      <c r="O20">
        <v>-10</v>
      </c>
      <c r="P20">
        <v>37.42</v>
      </c>
      <c r="Q20">
        <v>7.68</v>
      </c>
      <c r="R20">
        <v>12.04</v>
      </c>
      <c r="S20">
        <v>-2.85</v>
      </c>
      <c r="T20">
        <v>1.61</v>
      </c>
      <c r="U20">
        <v>5.61</v>
      </c>
    </row>
    <row r="21" spans="1:21" x14ac:dyDescent="0.25">
      <c r="A21">
        <v>18</v>
      </c>
      <c r="B21">
        <v>140.91999999999999</v>
      </c>
      <c r="C21">
        <v>70.58</v>
      </c>
      <c r="D21">
        <v>59.45</v>
      </c>
      <c r="E21">
        <v>55.91</v>
      </c>
      <c r="F21">
        <v>42.58</v>
      </c>
      <c r="G21">
        <v>-11.17</v>
      </c>
      <c r="H21">
        <v>-58.27</v>
      </c>
      <c r="I21">
        <v>27.42</v>
      </c>
      <c r="J21">
        <v>17.64</v>
      </c>
      <c r="K21">
        <v>43.35</v>
      </c>
      <c r="L21">
        <v>7.19</v>
      </c>
      <c r="M21">
        <v>9.0299999999999994</v>
      </c>
      <c r="N21">
        <v>20.190000000000001</v>
      </c>
      <c r="O21">
        <v>-9.6300000000000008</v>
      </c>
      <c r="P21">
        <v>37.049999999999997</v>
      </c>
      <c r="Q21">
        <v>7.68</v>
      </c>
      <c r="R21">
        <v>12.04</v>
      </c>
      <c r="S21">
        <v>-2.91</v>
      </c>
      <c r="T21">
        <v>1.61</v>
      </c>
      <c r="U21">
        <v>5.64</v>
      </c>
    </row>
    <row r="22" spans="1:21" x14ac:dyDescent="0.25">
      <c r="A22">
        <v>19</v>
      </c>
      <c r="B22">
        <v>141.27000000000001</v>
      </c>
      <c r="C22">
        <v>71</v>
      </c>
      <c r="D22">
        <v>57.81</v>
      </c>
      <c r="E22">
        <v>56.32</v>
      </c>
      <c r="F22">
        <v>43</v>
      </c>
      <c r="G22">
        <v>-8.85</v>
      </c>
      <c r="H22">
        <v>-58.27</v>
      </c>
      <c r="I22">
        <v>27.42</v>
      </c>
      <c r="J22">
        <v>17.75</v>
      </c>
      <c r="K22">
        <v>43.74</v>
      </c>
      <c r="L22">
        <v>7.19</v>
      </c>
      <c r="M22">
        <v>9.0299999999999994</v>
      </c>
      <c r="N22">
        <v>20.190000000000001</v>
      </c>
      <c r="O22">
        <v>-10.19</v>
      </c>
      <c r="P22">
        <v>37.61</v>
      </c>
      <c r="Q22">
        <v>7.68</v>
      </c>
      <c r="R22">
        <v>11.23</v>
      </c>
      <c r="S22">
        <v>-2.72</v>
      </c>
      <c r="T22">
        <v>1.61</v>
      </c>
      <c r="U22">
        <v>4.91</v>
      </c>
    </row>
    <row r="23" spans="1:21" x14ac:dyDescent="0.25">
      <c r="A23">
        <v>20</v>
      </c>
      <c r="B23">
        <v>140.97</v>
      </c>
      <c r="C23">
        <v>70.94</v>
      </c>
      <c r="D23">
        <v>57.04</v>
      </c>
      <c r="E23">
        <v>56.35</v>
      </c>
      <c r="F23">
        <v>43.03</v>
      </c>
      <c r="G23">
        <v>-7.94</v>
      </c>
      <c r="H23">
        <v>-58.27</v>
      </c>
      <c r="I23">
        <v>27.42</v>
      </c>
      <c r="J23">
        <v>17.75</v>
      </c>
      <c r="K23">
        <v>43.56</v>
      </c>
      <c r="L23">
        <v>7.19</v>
      </c>
      <c r="M23">
        <v>9.0299999999999994</v>
      </c>
      <c r="N23">
        <v>20.190000000000001</v>
      </c>
      <c r="O23">
        <v>-10.19</v>
      </c>
      <c r="P23">
        <v>37.61</v>
      </c>
      <c r="Q23">
        <v>7</v>
      </c>
      <c r="R23">
        <v>11.33</v>
      </c>
      <c r="S23">
        <v>-2.65</v>
      </c>
      <c r="T23">
        <v>1.61</v>
      </c>
      <c r="U23">
        <v>5.1100000000000003</v>
      </c>
    </row>
    <row r="24" spans="1:21" x14ac:dyDescent="0.25">
      <c r="A24">
        <v>21</v>
      </c>
      <c r="B24">
        <v>141.26</v>
      </c>
      <c r="C24">
        <v>70.959999999999994</v>
      </c>
      <c r="D24">
        <v>58.05</v>
      </c>
      <c r="E24">
        <v>56.27</v>
      </c>
      <c r="F24">
        <v>42.95</v>
      </c>
      <c r="G24">
        <v>-9.19</v>
      </c>
      <c r="H24">
        <v>-58.27</v>
      </c>
      <c r="I24">
        <v>27.42</v>
      </c>
      <c r="J24">
        <v>17.75</v>
      </c>
      <c r="K24">
        <v>43.72</v>
      </c>
      <c r="L24">
        <v>7.19</v>
      </c>
      <c r="M24">
        <v>9.0299999999999994</v>
      </c>
      <c r="N24">
        <v>20.190000000000001</v>
      </c>
      <c r="O24">
        <v>-10.19</v>
      </c>
      <c r="P24">
        <v>37.61</v>
      </c>
      <c r="Q24">
        <v>7.68</v>
      </c>
      <c r="R24">
        <v>11.33</v>
      </c>
      <c r="S24">
        <v>-2.74</v>
      </c>
      <c r="T24">
        <v>1.61</v>
      </c>
      <c r="U24">
        <v>5</v>
      </c>
    </row>
    <row r="25" spans="1:21" x14ac:dyDescent="0.25">
      <c r="A25">
        <v>22</v>
      </c>
      <c r="B25">
        <v>140.83000000000001</v>
      </c>
      <c r="C25">
        <v>70.510000000000005</v>
      </c>
      <c r="D25">
        <v>59.62</v>
      </c>
      <c r="E25">
        <v>55.85</v>
      </c>
      <c r="F25">
        <v>42.52</v>
      </c>
      <c r="G25">
        <v>-11.44</v>
      </c>
      <c r="H25">
        <v>-58.27</v>
      </c>
      <c r="I25">
        <v>27.42</v>
      </c>
      <c r="J25">
        <v>17.61</v>
      </c>
      <c r="K25">
        <v>43.27</v>
      </c>
      <c r="L25">
        <v>7.19</v>
      </c>
      <c r="M25">
        <v>8.98</v>
      </c>
      <c r="N25">
        <v>20.190000000000001</v>
      </c>
      <c r="O25">
        <v>-9.48</v>
      </c>
      <c r="P25">
        <v>36.9</v>
      </c>
      <c r="Q25">
        <v>7.68</v>
      </c>
      <c r="R25">
        <v>12.04</v>
      </c>
      <c r="S25">
        <v>-2.93</v>
      </c>
      <c r="T25">
        <v>1.66</v>
      </c>
      <c r="U25">
        <v>5.65</v>
      </c>
    </row>
    <row r="26" spans="1:21" x14ac:dyDescent="0.25">
      <c r="A26">
        <v>23</v>
      </c>
      <c r="B26">
        <v>138.06</v>
      </c>
      <c r="C26">
        <v>69.150000000000006</v>
      </c>
      <c r="D26">
        <v>60.29</v>
      </c>
      <c r="E26">
        <v>54.83</v>
      </c>
      <c r="F26">
        <v>41.72</v>
      </c>
      <c r="G26">
        <v>-13.26</v>
      </c>
      <c r="H26">
        <v>-57.32</v>
      </c>
      <c r="I26">
        <v>27.42</v>
      </c>
      <c r="J26">
        <v>17.239999999999998</v>
      </c>
      <c r="K26">
        <v>42.66</v>
      </c>
      <c r="L26">
        <v>6.83</v>
      </c>
      <c r="M26">
        <v>8.57</v>
      </c>
      <c r="N26">
        <v>19.420000000000002</v>
      </c>
      <c r="O26">
        <v>-7.64</v>
      </c>
      <c r="P26">
        <v>35.06</v>
      </c>
      <c r="Q26">
        <v>7.68</v>
      </c>
      <c r="R26">
        <v>11.94</v>
      </c>
      <c r="S26">
        <v>-2.83</v>
      </c>
      <c r="T26">
        <v>1.69</v>
      </c>
      <c r="U26">
        <v>5.61</v>
      </c>
    </row>
    <row r="27" spans="1:21" x14ac:dyDescent="0.25">
      <c r="A27">
        <v>24</v>
      </c>
      <c r="B27">
        <v>132.6</v>
      </c>
      <c r="C27">
        <v>66.86</v>
      </c>
      <c r="D27">
        <v>58.95</v>
      </c>
      <c r="E27">
        <v>53.33</v>
      </c>
      <c r="F27">
        <v>40.65</v>
      </c>
      <c r="G27">
        <v>-13.26</v>
      </c>
      <c r="H27">
        <v>-55.45</v>
      </c>
      <c r="I27">
        <v>27.42</v>
      </c>
      <c r="J27">
        <v>16.97</v>
      </c>
      <c r="K27">
        <v>41.75</v>
      </c>
      <c r="L27">
        <v>6.72</v>
      </c>
      <c r="M27">
        <v>8.48</v>
      </c>
      <c r="N27">
        <v>19.21</v>
      </c>
      <c r="O27">
        <v>-6.25</v>
      </c>
      <c r="P27">
        <v>33.67</v>
      </c>
      <c r="Q27">
        <v>7.68</v>
      </c>
      <c r="R27">
        <v>12.04</v>
      </c>
      <c r="S27">
        <v>-2.94</v>
      </c>
      <c r="T27">
        <v>1.66</v>
      </c>
      <c r="U27">
        <v>5.76</v>
      </c>
    </row>
    <row r="28" spans="1:21" x14ac:dyDescent="0.25">
      <c r="B28" s="3" cm="1">
        <f t="array" ref="B28">MAX(ABS(B4:B27))</f>
        <v>141.27000000000001</v>
      </c>
      <c r="C28" s="3" cm="1">
        <f t="array" ref="C28">MAX(ABS(C4:C27))</f>
        <v>71</v>
      </c>
      <c r="D28" s="3" cm="1">
        <f t="array" ref="D28">MAX(ABS(D4:D27))</f>
        <v>60.8</v>
      </c>
      <c r="E28" s="3" cm="1">
        <f t="array" ref="E28">MAX(ABS(E4:E27))</f>
        <v>56.35</v>
      </c>
      <c r="F28" s="3" cm="1">
        <f t="array" ref="F28">MAX(ABS(F4:F27))</f>
        <v>43.03</v>
      </c>
      <c r="G28" s="3" cm="1">
        <f t="array" ref="G28">MAX(ABS(G4:G27))</f>
        <v>13.26</v>
      </c>
      <c r="H28" s="3" cm="1">
        <f t="array" ref="H28">MAX(ABS(H4:H27))</f>
        <v>58.27</v>
      </c>
      <c r="I28" s="3" cm="1">
        <f t="array" ref="I28">MAX(ABS(I4:I27))</f>
        <v>27.42</v>
      </c>
      <c r="J28" s="3" cm="1">
        <f t="array" ref="J28">MAX(ABS(J4:J27))</f>
        <v>17.75</v>
      </c>
      <c r="K28" s="3" cm="1">
        <f t="array" ref="K28">MAX(ABS(K4:K27))</f>
        <v>43.74</v>
      </c>
      <c r="L28" s="3" cm="1">
        <f t="array" ref="L28">MAX(ABS(L4:L27))</f>
        <v>7.19</v>
      </c>
      <c r="M28" s="3" cm="1">
        <f t="array" ref="M28">MAX(ABS(M4:M27))</f>
        <v>9.0299999999999994</v>
      </c>
      <c r="N28" s="3" cm="1">
        <f t="array" ref="N28">MAX(ABS(N4:N27))</f>
        <v>20.190000000000001</v>
      </c>
      <c r="O28" s="3" cm="1">
        <f t="array" ref="O28">MAX(ABS(O4:O27))</f>
        <v>10.19</v>
      </c>
      <c r="P28" s="3" cm="1">
        <f t="array" ref="P28">MAX(ABS(P4:P27))</f>
        <v>37.61</v>
      </c>
      <c r="Q28" s="3" cm="1">
        <f t="array" ref="Q28">MAX(ABS(Q4:Q27))</f>
        <v>7.68</v>
      </c>
      <c r="R28" s="3" cm="1">
        <f t="array" ref="R28">MAX(ABS(R4:R27))</f>
        <v>12.04</v>
      </c>
      <c r="S28" s="3" cm="1">
        <f t="array" ref="S28">MAX(ABS(S4:S27))</f>
        <v>2.94</v>
      </c>
      <c r="T28" s="3" cm="1">
        <f t="array" ref="T28">MAX(ABS(T4:T27))</f>
        <v>1.69</v>
      </c>
      <c r="U28" s="3" cm="1">
        <f t="array" ref="U28">MAX(ABS(U4:U27))</f>
        <v>5.76</v>
      </c>
    </row>
    <row r="31" spans="1:21" x14ac:dyDescent="0.25">
      <c r="A31" s="7"/>
      <c r="B31" s="8"/>
      <c r="C31" s="9"/>
    </row>
    <row r="32" spans="1:21" x14ac:dyDescent="0.25">
      <c r="A32" s="10"/>
      <c r="B32" s="11"/>
      <c r="C32" s="12"/>
    </row>
    <row r="33" spans="1:3" x14ac:dyDescent="0.25">
      <c r="A33" s="10"/>
      <c r="B33" s="11"/>
      <c r="C33" s="12"/>
    </row>
    <row r="34" spans="1:3" x14ac:dyDescent="0.25">
      <c r="A34" s="10"/>
      <c r="B34" s="11"/>
      <c r="C34" s="12"/>
    </row>
    <row r="35" spans="1:3" x14ac:dyDescent="0.25">
      <c r="A35" s="10"/>
      <c r="B35" s="11"/>
      <c r="C35" s="12"/>
    </row>
    <row r="36" spans="1:3" x14ac:dyDescent="0.25">
      <c r="A36" s="10"/>
      <c r="B36" s="11"/>
      <c r="C36" s="12"/>
    </row>
    <row r="37" spans="1:3" x14ac:dyDescent="0.25">
      <c r="A37" s="10"/>
      <c r="B37" s="11"/>
      <c r="C37" s="12"/>
    </row>
    <row r="38" spans="1:3" x14ac:dyDescent="0.25">
      <c r="A38" s="10"/>
      <c r="B38" s="11"/>
      <c r="C38" s="12"/>
    </row>
    <row r="39" spans="1:3" x14ac:dyDescent="0.25">
      <c r="A39" s="10"/>
      <c r="B39" s="11"/>
      <c r="C39" s="12"/>
    </row>
    <row r="40" spans="1:3" x14ac:dyDescent="0.25">
      <c r="A40" s="10"/>
      <c r="B40" s="11"/>
      <c r="C40" s="12"/>
    </row>
    <row r="41" spans="1:3" x14ac:dyDescent="0.25">
      <c r="A41" s="10"/>
      <c r="B41" s="11"/>
      <c r="C41" s="12"/>
    </row>
    <row r="42" spans="1:3" x14ac:dyDescent="0.25">
      <c r="A42" s="10"/>
      <c r="B42" s="11"/>
      <c r="C42" s="12"/>
    </row>
    <row r="43" spans="1:3" x14ac:dyDescent="0.25">
      <c r="A43" s="10"/>
      <c r="B43" s="11"/>
      <c r="C43" s="12"/>
    </row>
    <row r="44" spans="1:3" x14ac:dyDescent="0.25">
      <c r="A44" s="10"/>
      <c r="B44" s="11"/>
      <c r="C44" s="12"/>
    </row>
    <row r="45" spans="1:3" x14ac:dyDescent="0.25">
      <c r="A45" s="10"/>
      <c r="B45" s="11"/>
      <c r="C45" s="12"/>
    </row>
    <row r="46" spans="1:3" x14ac:dyDescent="0.25">
      <c r="A46" s="10"/>
      <c r="B46" s="11"/>
      <c r="C46" s="12"/>
    </row>
    <row r="47" spans="1:3" x14ac:dyDescent="0.25">
      <c r="A47" s="10"/>
      <c r="B47" s="11"/>
      <c r="C47" s="12"/>
    </row>
    <row r="48" spans="1:3" x14ac:dyDescent="0.25">
      <c r="A48" s="13"/>
      <c r="B48" s="14"/>
      <c r="C48" s="15"/>
    </row>
  </sheetData>
  <pageMargins left="0.75" right="0.75" top="1" bottom="1" header="0.5" footer="0.5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7"/>
  <sheetViews>
    <sheetView workbookViewId="0">
      <selection activeCell="B4" sqref="B4:U27"/>
    </sheetView>
  </sheetViews>
  <sheetFormatPr defaultRowHeight="15" x14ac:dyDescent="0.25"/>
  <cols>
    <col min="1" max="21" width="14" customWidth="1"/>
  </cols>
  <sheetData>
    <row r="1" spans="1:21" ht="17.25" x14ac:dyDescent="0.3">
      <c r="A1" s="1" t="s">
        <v>40</v>
      </c>
    </row>
    <row r="3" spans="1:21" x14ac:dyDescent="0.25">
      <c r="A3" s="2" t="s">
        <v>13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  <c r="K3" s="2" t="s">
        <v>29</v>
      </c>
      <c r="L3" s="2" t="s">
        <v>30</v>
      </c>
      <c r="M3" s="2" t="s">
        <v>31</v>
      </c>
      <c r="N3" s="2" t="s">
        <v>32</v>
      </c>
      <c r="O3" s="2" t="s">
        <v>33</v>
      </c>
      <c r="P3" s="2" t="s">
        <v>34</v>
      </c>
      <c r="Q3" s="2" t="s">
        <v>35</v>
      </c>
      <c r="R3" s="2" t="s">
        <v>36</v>
      </c>
      <c r="S3" s="2" t="s">
        <v>37</v>
      </c>
      <c r="T3" s="2" t="s">
        <v>38</v>
      </c>
      <c r="U3" s="2" t="s">
        <v>39</v>
      </c>
    </row>
    <row r="4" spans="1:21" x14ac:dyDescent="0.25">
      <c r="A4">
        <v>1</v>
      </c>
      <c r="B4">
        <v>3.1539999999999999</v>
      </c>
      <c r="C4">
        <v>2.177</v>
      </c>
      <c r="D4">
        <v>1.5840000000000001</v>
      </c>
      <c r="E4">
        <v>1.3520000000000001</v>
      </c>
      <c r="F4">
        <v>0.99299999999999999</v>
      </c>
      <c r="G4">
        <v>0.39300000000000002</v>
      </c>
      <c r="H4">
        <v>1.3069999999999999</v>
      </c>
      <c r="I4">
        <v>0</v>
      </c>
      <c r="J4">
        <v>0</v>
      </c>
      <c r="K4">
        <v>0</v>
      </c>
      <c r="L4">
        <v>0.189</v>
      </c>
      <c r="M4">
        <v>0.24299999999999999</v>
      </c>
      <c r="N4">
        <v>0.56399999999999995</v>
      </c>
      <c r="O4">
        <v>0</v>
      </c>
      <c r="P4">
        <v>0</v>
      </c>
      <c r="Q4">
        <v>0.18099999999999999</v>
      </c>
      <c r="R4">
        <v>0.32500000000000001</v>
      </c>
      <c r="S4">
        <v>6.9000000000000006E-2</v>
      </c>
      <c r="T4">
        <v>5.7000000000000002E-2</v>
      </c>
      <c r="U4">
        <v>0.152</v>
      </c>
    </row>
    <row r="5" spans="1:21" x14ac:dyDescent="0.25">
      <c r="A5">
        <v>2</v>
      </c>
      <c r="B5">
        <v>3.0870000000000002</v>
      </c>
      <c r="C5">
        <v>2.1110000000000002</v>
      </c>
      <c r="D5">
        <v>1.5469999999999999</v>
      </c>
      <c r="E5">
        <v>1.2969999999999999</v>
      </c>
      <c r="F5">
        <v>0.98</v>
      </c>
      <c r="G5">
        <v>0.39300000000000002</v>
      </c>
      <c r="H5">
        <v>1.288</v>
      </c>
      <c r="I5">
        <v>0</v>
      </c>
      <c r="J5">
        <v>0</v>
      </c>
      <c r="K5">
        <v>0</v>
      </c>
      <c r="L5">
        <v>0.2</v>
      </c>
      <c r="M5">
        <v>0.23599999999999999</v>
      </c>
      <c r="N5">
        <v>0.55100000000000005</v>
      </c>
      <c r="O5">
        <v>0</v>
      </c>
      <c r="P5">
        <v>0</v>
      </c>
      <c r="Q5">
        <v>0.20499999999999999</v>
      </c>
      <c r="R5">
        <v>0.31</v>
      </c>
      <c r="S5">
        <v>8.2000000000000003E-2</v>
      </c>
      <c r="T5">
        <v>5.7000000000000002E-2</v>
      </c>
      <c r="U5">
        <v>0.152</v>
      </c>
    </row>
    <row r="6" spans="1:21" x14ac:dyDescent="0.25">
      <c r="A6">
        <v>3</v>
      </c>
      <c r="B6">
        <v>3.0579999999999998</v>
      </c>
      <c r="C6">
        <v>2.0880000000000001</v>
      </c>
      <c r="D6">
        <v>1.532</v>
      </c>
      <c r="E6">
        <v>1.2809999999999999</v>
      </c>
      <c r="F6">
        <v>0.97699999999999998</v>
      </c>
      <c r="G6">
        <v>0.39300000000000002</v>
      </c>
      <c r="H6">
        <v>1.2689999999999999</v>
      </c>
      <c r="I6">
        <v>0</v>
      </c>
      <c r="J6">
        <v>0</v>
      </c>
      <c r="K6">
        <v>0</v>
      </c>
      <c r="L6">
        <v>0.182</v>
      </c>
      <c r="M6">
        <v>0.249</v>
      </c>
      <c r="N6">
        <v>0.58099999999999996</v>
      </c>
      <c r="O6">
        <v>0</v>
      </c>
      <c r="P6">
        <v>0</v>
      </c>
      <c r="Q6">
        <v>0.184</v>
      </c>
      <c r="R6">
        <v>0.36399999999999999</v>
      </c>
      <c r="S6">
        <v>6.8000000000000005E-2</v>
      </c>
      <c r="T6">
        <v>6.0999999999999999E-2</v>
      </c>
      <c r="U6">
        <v>0.17100000000000001</v>
      </c>
    </row>
    <row r="7" spans="1:21" x14ac:dyDescent="0.25">
      <c r="A7">
        <v>4</v>
      </c>
      <c r="B7">
        <v>3.0419999999999998</v>
      </c>
      <c r="C7">
        <v>2.0739999999999998</v>
      </c>
      <c r="D7">
        <v>1.524</v>
      </c>
      <c r="E7">
        <v>1.2769999999999999</v>
      </c>
      <c r="F7">
        <v>0.97499999999999998</v>
      </c>
      <c r="G7">
        <v>0.39300000000000002</v>
      </c>
      <c r="H7">
        <v>1.2629999999999999</v>
      </c>
      <c r="I7">
        <v>0</v>
      </c>
      <c r="J7">
        <v>0</v>
      </c>
      <c r="K7">
        <v>0</v>
      </c>
      <c r="L7">
        <v>0.191</v>
      </c>
      <c r="M7">
        <v>0.247</v>
      </c>
      <c r="N7">
        <v>0.57699999999999996</v>
      </c>
      <c r="O7">
        <v>0</v>
      </c>
      <c r="P7">
        <v>0</v>
      </c>
      <c r="Q7">
        <v>0.20799999999999999</v>
      </c>
      <c r="R7">
        <v>0.35899999999999999</v>
      </c>
      <c r="S7">
        <v>7.6999999999999999E-2</v>
      </c>
      <c r="T7">
        <v>6.0999999999999999E-2</v>
      </c>
      <c r="U7">
        <v>0.17199999999999999</v>
      </c>
    </row>
    <row r="8" spans="1:21" x14ac:dyDescent="0.25">
      <c r="A8">
        <v>5</v>
      </c>
      <c r="B8">
        <v>3.0760000000000001</v>
      </c>
      <c r="C8">
        <v>2.1040000000000001</v>
      </c>
      <c r="D8">
        <v>1.542</v>
      </c>
      <c r="E8">
        <v>1.2889999999999999</v>
      </c>
      <c r="F8">
        <v>0.98</v>
      </c>
      <c r="G8">
        <v>0.39300000000000002</v>
      </c>
      <c r="H8">
        <v>1.278</v>
      </c>
      <c r="I8">
        <v>0</v>
      </c>
      <c r="J8">
        <v>0</v>
      </c>
      <c r="K8">
        <v>0</v>
      </c>
      <c r="L8">
        <v>0.182</v>
      </c>
      <c r="M8">
        <v>0.24299999999999999</v>
      </c>
      <c r="N8">
        <v>0.57899999999999996</v>
      </c>
      <c r="O8">
        <v>0</v>
      </c>
      <c r="P8">
        <v>0</v>
      </c>
      <c r="Q8">
        <v>0.17299999999999999</v>
      </c>
      <c r="R8">
        <v>0.35799999999999998</v>
      </c>
      <c r="S8">
        <v>6.7000000000000004E-2</v>
      </c>
      <c r="T8">
        <v>6.8000000000000005E-2</v>
      </c>
      <c r="U8">
        <v>0.16900000000000001</v>
      </c>
    </row>
    <row r="9" spans="1:21" x14ac:dyDescent="0.25">
      <c r="A9">
        <v>6</v>
      </c>
      <c r="B9">
        <v>3.157</v>
      </c>
      <c r="C9">
        <v>2.1789999999999998</v>
      </c>
      <c r="D9">
        <v>1.5860000000000001</v>
      </c>
      <c r="E9">
        <v>1.355</v>
      </c>
      <c r="F9">
        <v>0.99399999999999999</v>
      </c>
      <c r="G9">
        <v>0.39300000000000002</v>
      </c>
      <c r="H9">
        <v>1.3080000000000001</v>
      </c>
      <c r="I9">
        <v>0</v>
      </c>
      <c r="J9">
        <v>0</v>
      </c>
      <c r="K9">
        <v>0</v>
      </c>
      <c r="L9">
        <v>0.189</v>
      </c>
      <c r="M9">
        <v>0.24299999999999999</v>
      </c>
      <c r="N9">
        <v>0.56399999999999995</v>
      </c>
      <c r="O9">
        <v>0</v>
      </c>
      <c r="P9">
        <v>0</v>
      </c>
      <c r="Q9">
        <v>0.18099999999999999</v>
      </c>
      <c r="R9">
        <v>0.32500000000000001</v>
      </c>
      <c r="S9">
        <v>6.9000000000000006E-2</v>
      </c>
      <c r="T9">
        <v>5.7000000000000002E-2</v>
      </c>
      <c r="U9">
        <v>0.152</v>
      </c>
    </row>
    <row r="10" spans="1:21" x14ac:dyDescent="0.25">
      <c r="A10">
        <v>7</v>
      </c>
      <c r="B10">
        <v>3.1920000000000002</v>
      </c>
      <c r="C10">
        <v>2.2149999999999999</v>
      </c>
      <c r="D10">
        <v>1.6060000000000001</v>
      </c>
      <c r="E10">
        <v>1.385</v>
      </c>
      <c r="F10">
        <v>1.002</v>
      </c>
      <c r="G10">
        <v>0.39300000000000002</v>
      </c>
      <c r="H10">
        <v>1.3169999999999999</v>
      </c>
      <c r="I10">
        <v>0</v>
      </c>
      <c r="J10">
        <v>0</v>
      </c>
      <c r="K10">
        <v>0</v>
      </c>
      <c r="L10">
        <v>0.189</v>
      </c>
      <c r="M10">
        <v>0.246</v>
      </c>
      <c r="N10">
        <v>0.57099999999999995</v>
      </c>
      <c r="O10">
        <v>0</v>
      </c>
      <c r="P10">
        <v>0</v>
      </c>
      <c r="Q10">
        <v>0.186</v>
      </c>
      <c r="R10">
        <v>0.33200000000000002</v>
      </c>
      <c r="S10">
        <v>6.8000000000000005E-2</v>
      </c>
      <c r="T10">
        <v>5.7000000000000002E-2</v>
      </c>
      <c r="U10">
        <v>0.152</v>
      </c>
    </row>
    <row r="11" spans="1:21" x14ac:dyDescent="0.25">
      <c r="A11">
        <v>8</v>
      </c>
      <c r="B11">
        <v>3.335</v>
      </c>
      <c r="C11">
        <v>2.3610000000000002</v>
      </c>
      <c r="D11">
        <v>1.6879999999999999</v>
      </c>
      <c r="E11">
        <v>1.5069999999999999</v>
      </c>
      <c r="F11">
        <v>1.034</v>
      </c>
      <c r="G11">
        <v>0.39300000000000002</v>
      </c>
      <c r="H11">
        <v>1.355</v>
      </c>
      <c r="I11">
        <v>0</v>
      </c>
      <c r="J11">
        <v>0</v>
      </c>
      <c r="K11">
        <v>0</v>
      </c>
      <c r="L11">
        <v>0.189</v>
      </c>
      <c r="M11">
        <v>0.25800000000000001</v>
      </c>
      <c r="N11">
        <v>0.59699999999999998</v>
      </c>
      <c r="O11">
        <v>0</v>
      </c>
      <c r="P11">
        <v>0</v>
      </c>
      <c r="Q11">
        <v>0.20499999999999999</v>
      </c>
      <c r="R11">
        <v>0.35699999999999998</v>
      </c>
      <c r="S11">
        <v>6.2E-2</v>
      </c>
      <c r="T11">
        <v>5.8999999999999997E-2</v>
      </c>
      <c r="U11">
        <v>0.154</v>
      </c>
    </row>
    <row r="12" spans="1:21" x14ac:dyDescent="0.25">
      <c r="A12">
        <v>9</v>
      </c>
      <c r="B12">
        <v>3.472</v>
      </c>
      <c r="C12">
        <v>2.4990000000000001</v>
      </c>
      <c r="D12">
        <v>1.7669999999999999</v>
      </c>
      <c r="E12">
        <v>1.6240000000000001</v>
      </c>
      <c r="F12">
        <v>1.0640000000000001</v>
      </c>
      <c r="G12">
        <v>0.39300000000000002</v>
      </c>
      <c r="H12">
        <v>1.3919999999999999</v>
      </c>
      <c r="I12">
        <v>0</v>
      </c>
      <c r="J12">
        <v>0</v>
      </c>
      <c r="K12">
        <v>0</v>
      </c>
      <c r="L12">
        <v>0.192</v>
      </c>
      <c r="M12">
        <v>0.27</v>
      </c>
      <c r="N12">
        <v>0.624</v>
      </c>
      <c r="O12">
        <v>0</v>
      </c>
      <c r="P12">
        <v>0</v>
      </c>
      <c r="Q12">
        <v>0.221</v>
      </c>
      <c r="R12">
        <v>0.38</v>
      </c>
      <c r="S12">
        <v>5.8999999999999997E-2</v>
      </c>
      <c r="T12">
        <v>0.06</v>
      </c>
      <c r="U12">
        <v>0.157</v>
      </c>
    </row>
    <row r="13" spans="1:21" x14ac:dyDescent="0.25">
      <c r="A13">
        <v>10</v>
      </c>
      <c r="B13">
        <v>3.5430000000000001</v>
      </c>
      <c r="C13">
        <v>2.5659999999999998</v>
      </c>
      <c r="D13">
        <v>1.8069999999999999</v>
      </c>
      <c r="E13">
        <v>1.6830000000000001</v>
      </c>
      <c r="F13">
        <v>1.0760000000000001</v>
      </c>
      <c r="G13">
        <v>0.39300000000000002</v>
      </c>
      <c r="H13">
        <v>1.4219999999999999</v>
      </c>
      <c r="I13">
        <v>0</v>
      </c>
      <c r="J13">
        <v>0</v>
      </c>
      <c r="K13">
        <v>0</v>
      </c>
      <c r="L13">
        <v>0.20799999999999999</v>
      </c>
      <c r="M13">
        <v>0.28100000000000003</v>
      </c>
      <c r="N13">
        <v>0.65</v>
      </c>
      <c r="O13">
        <v>0</v>
      </c>
      <c r="P13">
        <v>0</v>
      </c>
      <c r="Q13">
        <v>0.221</v>
      </c>
      <c r="R13">
        <v>0.38700000000000001</v>
      </c>
      <c r="S13">
        <v>6.9000000000000006E-2</v>
      </c>
      <c r="T13">
        <v>6.4000000000000001E-2</v>
      </c>
      <c r="U13">
        <v>0.16900000000000001</v>
      </c>
    </row>
    <row r="14" spans="1:21" x14ac:dyDescent="0.25">
      <c r="A14">
        <v>11</v>
      </c>
      <c r="B14">
        <v>3.617</v>
      </c>
      <c r="C14">
        <v>2.6339999999999999</v>
      </c>
      <c r="D14">
        <v>1.8480000000000001</v>
      </c>
      <c r="E14">
        <v>1.744</v>
      </c>
      <c r="F14">
        <v>1.089</v>
      </c>
      <c r="G14">
        <v>0.39300000000000002</v>
      </c>
      <c r="H14">
        <v>1.4530000000000001</v>
      </c>
      <c r="I14">
        <v>0</v>
      </c>
      <c r="J14">
        <v>0</v>
      </c>
      <c r="K14">
        <v>0</v>
      </c>
      <c r="L14">
        <v>0.224</v>
      </c>
      <c r="M14">
        <v>0.29199999999999998</v>
      </c>
      <c r="N14">
        <v>0.67700000000000005</v>
      </c>
      <c r="O14">
        <v>0</v>
      </c>
      <c r="P14">
        <v>0</v>
      </c>
      <c r="Q14">
        <v>0.221</v>
      </c>
      <c r="R14">
        <v>0.39400000000000002</v>
      </c>
      <c r="S14">
        <v>0.08</v>
      </c>
      <c r="T14">
        <v>6.8000000000000005E-2</v>
      </c>
      <c r="U14">
        <v>0.18</v>
      </c>
    </row>
    <row r="15" spans="1:21" x14ac:dyDescent="0.25">
      <c r="A15">
        <v>12</v>
      </c>
      <c r="B15">
        <v>3.6379999999999999</v>
      </c>
      <c r="C15">
        <v>2.657</v>
      </c>
      <c r="D15">
        <v>1.829</v>
      </c>
      <c r="E15">
        <v>1.7689999999999999</v>
      </c>
      <c r="F15">
        <v>1.0940000000000001</v>
      </c>
      <c r="G15">
        <v>0.372</v>
      </c>
      <c r="H15">
        <v>1.4650000000000001</v>
      </c>
      <c r="I15">
        <v>0</v>
      </c>
      <c r="J15">
        <v>0</v>
      </c>
      <c r="K15">
        <v>0</v>
      </c>
      <c r="L15">
        <v>0.23599999999999999</v>
      </c>
      <c r="M15">
        <v>0.3</v>
      </c>
      <c r="N15">
        <v>0.69699999999999995</v>
      </c>
      <c r="O15">
        <v>0</v>
      </c>
      <c r="P15">
        <v>0</v>
      </c>
      <c r="Q15">
        <v>0.221</v>
      </c>
      <c r="R15">
        <v>0.39900000000000002</v>
      </c>
      <c r="S15">
        <v>8.7999999999999995E-2</v>
      </c>
      <c r="T15">
        <v>7.0999999999999994E-2</v>
      </c>
      <c r="U15">
        <v>0.189</v>
      </c>
    </row>
    <row r="16" spans="1:21" x14ac:dyDescent="0.25">
      <c r="A16">
        <v>13</v>
      </c>
      <c r="B16">
        <v>3.6379999999999999</v>
      </c>
      <c r="C16">
        <v>2.657</v>
      </c>
      <c r="D16">
        <v>1.8240000000000001</v>
      </c>
      <c r="E16">
        <v>1.7689999999999999</v>
      </c>
      <c r="F16">
        <v>1.0940000000000001</v>
      </c>
      <c r="G16">
        <v>0.36899999999999999</v>
      </c>
      <c r="H16">
        <v>1.4650000000000001</v>
      </c>
      <c r="I16">
        <v>0</v>
      </c>
      <c r="J16">
        <v>0</v>
      </c>
      <c r="K16">
        <v>0</v>
      </c>
      <c r="L16">
        <v>0.23699999999999999</v>
      </c>
      <c r="M16">
        <v>0.3</v>
      </c>
      <c r="N16">
        <v>0.69799999999999995</v>
      </c>
      <c r="O16">
        <v>0</v>
      </c>
      <c r="P16">
        <v>0</v>
      </c>
      <c r="Q16">
        <v>0.221</v>
      </c>
      <c r="R16">
        <v>0.4</v>
      </c>
      <c r="S16">
        <v>8.7999999999999995E-2</v>
      </c>
      <c r="T16">
        <v>7.0999999999999994E-2</v>
      </c>
      <c r="U16">
        <v>0.19</v>
      </c>
    </row>
    <row r="17" spans="1:21" x14ac:dyDescent="0.25">
      <c r="A17">
        <v>14</v>
      </c>
      <c r="B17">
        <v>3.633</v>
      </c>
      <c r="C17">
        <v>2.6579999999999999</v>
      </c>
      <c r="D17">
        <v>1.786</v>
      </c>
      <c r="E17">
        <v>1.7749999999999999</v>
      </c>
      <c r="F17">
        <v>1.0960000000000001</v>
      </c>
      <c r="G17">
        <v>0.34499999999999997</v>
      </c>
      <c r="H17">
        <v>1.4650000000000001</v>
      </c>
      <c r="I17">
        <v>0</v>
      </c>
      <c r="J17">
        <v>0</v>
      </c>
      <c r="K17">
        <v>0</v>
      </c>
      <c r="L17">
        <v>0.24399999999999999</v>
      </c>
      <c r="M17">
        <v>0.30499999999999999</v>
      </c>
      <c r="N17">
        <v>0.71099999999999997</v>
      </c>
      <c r="O17">
        <v>0</v>
      </c>
      <c r="P17">
        <v>0</v>
      </c>
      <c r="Q17">
        <v>0.221</v>
      </c>
      <c r="R17">
        <v>0.40300000000000002</v>
      </c>
      <c r="S17">
        <v>9.2999999999999999E-2</v>
      </c>
      <c r="T17">
        <v>7.2999999999999995E-2</v>
      </c>
      <c r="U17">
        <v>0.19500000000000001</v>
      </c>
    </row>
    <row r="18" spans="1:21" x14ac:dyDescent="0.25">
      <c r="A18">
        <v>15</v>
      </c>
      <c r="B18">
        <v>3.6429999999999998</v>
      </c>
      <c r="C18">
        <v>2.6749999999999998</v>
      </c>
      <c r="D18">
        <v>1.7450000000000001</v>
      </c>
      <c r="E18">
        <v>1.794</v>
      </c>
      <c r="F18">
        <v>1.103</v>
      </c>
      <c r="G18">
        <v>0.313</v>
      </c>
      <c r="H18">
        <v>1.4650000000000001</v>
      </c>
      <c r="I18">
        <v>0</v>
      </c>
      <c r="J18">
        <v>0</v>
      </c>
      <c r="K18">
        <v>0</v>
      </c>
      <c r="L18">
        <v>0.24399999999999999</v>
      </c>
      <c r="M18">
        <v>0.307</v>
      </c>
      <c r="N18">
        <v>0.71099999999999997</v>
      </c>
      <c r="O18">
        <v>0</v>
      </c>
      <c r="P18">
        <v>0</v>
      </c>
      <c r="Q18">
        <v>0.221</v>
      </c>
      <c r="R18">
        <v>0.40400000000000003</v>
      </c>
      <c r="S18">
        <v>0.09</v>
      </c>
      <c r="T18">
        <v>7.0000000000000007E-2</v>
      </c>
      <c r="U18">
        <v>0.19400000000000001</v>
      </c>
    </row>
    <row r="19" spans="1:21" x14ac:dyDescent="0.25">
      <c r="A19">
        <v>16</v>
      </c>
      <c r="B19">
        <v>3.645</v>
      </c>
      <c r="C19">
        <v>2.68</v>
      </c>
      <c r="D19">
        <v>1.7350000000000001</v>
      </c>
      <c r="E19">
        <v>1.7989999999999999</v>
      </c>
      <c r="F19">
        <v>1.1040000000000001</v>
      </c>
      <c r="G19">
        <v>0.30499999999999999</v>
      </c>
      <c r="H19">
        <v>1.4650000000000001</v>
      </c>
      <c r="I19">
        <v>0</v>
      </c>
      <c r="J19">
        <v>0</v>
      </c>
      <c r="K19">
        <v>0</v>
      </c>
      <c r="L19">
        <v>0.24399999999999999</v>
      </c>
      <c r="M19">
        <v>0.307</v>
      </c>
      <c r="N19">
        <v>0.71099999999999997</v>
      </c>
      <c r="O19">
        <v>0</v>
      </c>
      <c r="P19">
        <v>0</v>
      </c>
      <c r="Q19">
        <v>0.221</v>
      </c>
      <c r="R19">
        <v>0.40400000000000003</v>
      </c>
      <c r="S19">
        <v>8.8999999999999996E-2</v>
      </c>
      <c r="T19">
        <v>7.0000000000000007E-2</v>
      </c>
      <c r="U19">
        <v>0.193</v>
      </c>
    </row>
    <row r="20" spans="1:21" x14ac:dyDescent="0.25">
      <c r="A20">
        <v>17</v>
      </c>
      <c r="B20">
        <v>3.6429999999999998</v>
      </c>
      <c r="C20">
        <v>2.6760000000000002</v>
      </c>
      <c r="D20">
        <v>1.744</v>
      </c>
      <c r="E20">
        <v>1.7949999999999999</v>
      </c>
      <c r="F20">
        <v>1.103</v>
      </c>
      <c r="G20">
        <v>0.312</v>
      </c>
      <c r="H20">
        <v>1.4650000000000001</v>
      </c>
      <c r="I20">
        <v>0</v>
      </c>
      <c r="J20">
        <v>0</v>
      </c>
      <c r="K20">
        <v>0</v>
      </c>
      <c r="L20">
        <v>0.24399999999999999</v>
      </c>
      <c r="M20">
        <v>0.307</v>
      </c>
      <c r="N20">
        <v>0.71099999999999997</v>
      </c>
      <c r="O20">
        <v>0</v>
      </c>
      <c r="P20">
        <v>0</v>
      </c>
      <c r="Q20">
        <v>0.221</v>
      </c>
      <c r="R20">
        <v>0.40400000000000003</v>
      </c>
      <c r="S20">
        <v>0.09</v>
      </c>
      <c r="T20">
        <v>7.0000000000000007E-2</v>
      </c>
      <c r="U20">
        <v>0.19400000000000001</v>
      </c>
    </row>
    <row r="21" spans="1:21" x14ac:dyDescent="0.25">
      <c r="A21">
        <v>18</v>
      </c>
      <c r="B21">
        <v>3.6379999999999999</v>
      </c>
      <c r="C21">
        <v>2.6659999999999999</v>
      </c>
      <c r="D21">
        <v>1.768</v>
      </c>
      <c r="E21">
        <v>1.784</v>
      </c>
      <c r="F21">
        <v>1.099</v>
      </c>
      <c r="G21">
        <v>0.33100000000000002</v>
      </c>
      <c r="H21">
        <v>1.4650000000000001</v>
      </c>
      <c r="I21">
        <v>0</v>
      </c>
      <c r="J21">
        <v>0</v>
      </c>
      <c r="K21">
        <v>0</v>
      </c>
      <c r="L21">
        <v>0.24399999999999999</v>
      </c>
      <c r="M21">
        <v>0.307</v>
      </c>
      <c r="N21">
        <v>0.71099999999999997</v>
      </c>
      <c r="O21">
        <v>0</v>
      </c>
      <c r="P21">
        <v>0</v>
      </c>
      <c r="Q21">
        <v>0.221</v>
      </c>
      <c r="R21">
        <v>0.40400000000000003</v>
      </c>
      <c r="S21">
        <v>9.1999999999999998E-2</v>
      </c>
      <c r="T21">
        <v>7.0000000000000007E-2</v>
      </c>
      <c r="U21">
        <v>0.19500000000000001</v>
      </c>
    </row>
    <row r="22" spans="1:21" x14ac:dyDescent="0.25">
      <c r="A22">
        <v>19</v>
      </c>
      <c r="B22">
        <v>3.6469999999999998</v>
      </c>
      <c r="C22">
        <v>2.69</v>
      </c>
      <c r="D22">
        <v>1.6719999999999999</v>
      </c>
      <c r="E22">
        <v>1.8149999999999999</v>
      </c>
      <c r="F22">
        <v>1.1100000000000001</v>
      </c>
      <c r="G22">
        <v>0.26200000000000001</v>
      </c>
      <c r="H22">
        <v>1.4650000000000001</v>
      </c>
      <c r="I22">
        <v>0</v>
      </c>
      <c r="J22">
        <v>0</v>
      </c>
      <c r="K22">
        <v>0</v>
      </c>
      <c r="L22">
        <v>0.24399999999999999</v>
      </c>
      <c r="M22">
        <v>0.307</v>
      </c>
      <c r="N22">
        <v>0.71099999999999997</v>
      </c>
      <c r="O22">
        <v>0</v>
      </c>
      <c r="P22">
        <v>0</v>
      </c>
      <c r="Q22">
        <v>0.221</v>
      </c>
      <c r="R22">
        <v>0.377</v>
      </c>
      <c r="S22">
        <v>8.5999999999999993E-2</v>
      </c>
      <c r="T22">
        <v>7.0000000000000007E-2</v>
      </c>
      <c r="U22">
        <v>0.17</v>
      </c>
    </row>
    <row r="23" spans="1:21" x14ac:dyDescent="0.25">
      <c r="A23">
        <v>20</v>
      </c>
      <c r="B23">
        <v>3.6389999999999998</v>
      </c>
      <c r="C23">
        <v>2.6869999999999998</v>
      </c>
      <c r="D23">
        <v>1.627</v>
      </c>
      <c r="E23">
        <v>1.8169999999999999</v>
      </c>
      <c r="F23">
        <v>1.111</v>
      </c>
      <c r="G23">
        <v>0.23499999999999999</v>
      </c>
      <c r="H23">
        <v>1.4650000000000001</v>
      </c>
      <c r="I23">
        <v>0</v>
      </c>
      <c r="J23">
        <v>0</v>
      </c>
      <c r="K23">
        <v>0</v>
      </c>
      <c r="L23">
        <v>0.24399999999999999</v>
      </c>
      <c r="M23">
        <v>0.307</v>
      </c>
      <c r="N23">
        <v>0.71099999999999997</v>
      </c>
      <c r="O23">
        <v>0</v>
      </c>
      <c r="P23">
        <v>0</v>
      </c>
      <c r="Q23">
        <v>0.20100000000000001</v>
      </c>
      <c r="R23">
        <v>0.38100000000000001</v>
      </c>
      <c r="S23">
        <v>8.3000000000000004E-2</v>
      </c>
      <c r="T23">
        <v>7.0000000000000007E-2</v>
      </c>
      <c r="U23">
        <v>0.17699999999999999</v>
      </c>
    </row>
    <row r="24" spans="1:21" x14ac:dyDescent="0.25">
      <c r="A24">
        <v>21</v>
      </c>
      <c r="B24">
        <v>3.6459999999999999</v>
      </c>
      <c r="C24">
        <v>2.6880000000000002</v>
      </c>
      <c r="D24">
        <v>1.6859999999999999</v>
      </c>
      <c r="E24">
        <v>1.8120000000000001</v>
      </c>
      <c r="F24">
        <v>1.109</v>
      </c>
      <c r="G24">
        <v>0.27200000000000002</v>
      </c>
      <c r="H24">
        <v>1.4650000000000001</v>
      </c>
      <c r="I24">
        <v>0</v>
      </c>
      <c r="J24">
        <v>0</v>
      </c>
      <c r="K24">
        <v>0</v>
      </c>
      <c r="L24">
        <v>0.24399999999999999</v>
      </c>
      <c r="M24">
        <v>0.307</v>
      </c>
      <c r="N24">
        <v>0.71099999999999997</v>
      </c>
      <c r="O24">
        <v>0</v>
      </c>
      <c r="P24">
        <v>0</v>
      </c>
      <c r="Q24">
        <v>0.221</v>
      </c>
      <c r="R24">
        <v>0.38100000000000001</v>
      </c>
      <c r="S24">
        <v>8.5999999999999993E-2</v>
      </c>
      <c r="T24">
        <v>7.0000000000000007E-2</v>
      </c>
      <c r="U24">
        <v>0.17299999999999999</v>
      </c>
    </row>
    <row r="25" spans="1:21" x14ac:dyDescent="0.25">
      <c r="A25">
        <v>22</v>
      </c>
      <c r="B25">
        <v>3.6349999999999998</v>
      </c>
      <c r="C25">
        <v>2.661</v>
      </c>
      <c r="D25">
        <v>1.7789999999999999</v>
      </c>
      <c r="E25">
        <v>1.7789999999999999</v>
      </c>
      <c r="F25">
        <v>1.0980000000000001</v>
      </c>
      <c r="G25">
        <v>0.33900000000000002</v>
      </c>
      <c r="H25">
        <v>1.4650000000000001</v>
      </c>
      <c r="I25">
        <v>0</v>
      </c>
      <c r="J25">
        <v>0</v>
      </c>
      <c r="K25">
        <v>0</v>
      </c>
      <c r="L25">
        <v>0.24399999999999999</v>
      </c>
      <c r="M25">
        <v>0.30599999999999999</v>
      </c>
      <c r="N25">
        <v>0.71099999999999997</v>
      </c>
      <c r="O25">
        <v>0</v>
      </c>
      <c r="P25">
        <v>0</v>
      </c>
      <c r="Q25">
        <v>0.221</v>
      </c>
      <c r="R25">
        <v>0.40400000000000003</v>
      </c>
      <c r="S25">
        <v>9.1999999999999998E-2</v>
      </c>
      <c r="T25">
        <v>7.1999999999999995E-2</v>
      </c>
      <c r="U25">
        <v>0.19500000000000001</v>
      </c>
    </row>
    <row r="26" spans="1:21" x14ac:dyDescent="0.25">
      <c r="A26">
        <v>23</v>
      </c>
      <c r="B26">
        <v>3.5640000000000001</v>
      </c>
      <c r="C26">
        <v>2.58</v>
      </c>
      <c r="D26">
        <v>1.8180000000000001</v>
      </c>
      <c r="E26">
        <v>1.6990000000000001</v>
      </c>
      <c r="F26">
        <v>1.077</v>
      </c>
      <c r="G26">
        <v>0.39300000000000002</v>
      </c>
      <c r="H26">
        <v>1.4410000000000001</v>
      </c>
      <c r="I26">
        <v>0</v>
      </c>
      <c r="J26">
        <v>0</v>
      </c>
      <c r="K26">
        <v>0</v>
      </c>
      <c r="L26">
        <v>0.23200000000000001</v>
      </c>
      <c r="M26">
        <v>0.29199999999999998</v>
      </c>
      <c r="N26">
        <v>0.68400000000000005</v>
      </c>
      <c r="O26">
        <v>0</v>
      </c>
      <c r="P26">
        <v>0</v>
      </c>
      <c r="Q26">
        <v>0.221</v>
      </c>
      <c r="R26">
        <v>0.40100000000000002</v>
      </c>
      <c r="S26">
        <v>8.8999999999999996E-2</v>
      </c>
      <c r="T26">
        <v>7.2999999999999995E-2</v>
      </c>
      <c r="U26">
        <v>0.19400000000000001</v>
      </c>
    </row>
    <row r="27" spans="1:21" x14ac:dyDescent="0.25">
      <c r="A27">
        <v>24</v>
      </c>
      <c r="B27">
        <v>3.423</v>
      </c>
      <c r="C27">
        <v>2.4430000000000001</v>
      </c>
      <c r="D27">
        <v>1.7390000000000001</v>
      </c>
      <c r="E27">
        <v>1.5820000000000001</v>
      </c>
      <c r="F27">
        <v>1.0489999999999999</v>
      </c>
      <c r="G27">
        <v>0.39300000000000002</v>
      </c>
      <c r="H27">
        <v>1.3939999999999999</v>
      </c>
      <c r="I27">
        <v>0</v>
      </c>
      <c r="J27">
        <v>0</v>
      </c>
      <c r="K27">
        <v>0</v>
      </c>
      <c r="L27">
        <v>0.22800000000000001</v>
      </c>
      <c r="M27">
        <v>0.28899999999999998</v>
      </c>
      <c r="N27">
        <v>0.67700000000000005</v>
      </c>
      <c r="O27">
        <v>0</v>
      </c>
      <c r="P27">
        <v>0</v>
      </c>
      <c r="Q27">
        <v>0.221</v>
      </c>
      <c r="R27">
        <v>0.40400000000000003</v>
      </c>
      <c r="S27">
        <v>9.2999999999999999E-2</v>
      </c>
      <c r="T27">
        <v>7.1999999999999995E-2</v>
      </c>
      <c r="U27">
        <v>0.19900000000000001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7"/>
  <sheetViews>
    <sheetView workbookViewId="0"/>
  </sheetViews>
  <sheetFormatPr defaultRowHeight="15" x14ac:dyDescent="0.25"/>
  <cols>
    <col min="1" max="15" width="14" customWidth="1"/>
  </cols>
  <sheetData>
    <row r="1" spans="1:15" ht="17.25" x14ac:dyDescent="0.3">
      <c r="A1" s="1" t="s">
        <v>41</v>
      </c>
    </row>
    <row r="3" spans="1:15" x14ac:dyDescent="0.25">
      <c r="A3" s="2" t="s">
        <v>13</v>
      </c>
      <c r="B3" s="2" t="s">
        <v>42</v>
      </c>
      <c r="C3" s="2" t="s">
        <v>43</v>
      </c>
      <c r="D3" s="2" t="s">
        <v>44</v>
      </c>
      <c r="E3" s="2" t="s">
        <v>45</v>
      </c>
      <c r="F3" s="2" t="s">
        <v>46</v>
      </c>
      <c r="G3" s="2" t="s">
        <v>47</v>
      </c>
      <c r="H3" s="2" t="s">
        <v>48</v>
      </c>
      <c r="I3" s="2" t="s">
        <v>49</v>
      </c>
      <c r="J3" s="2" t="s">
        <v>50</v>
      </c>
      <c r="K3" s="2" t="s">
        <v>51</v>
      </c>
      <c r="L3" s="2" t="s">
        <v>52</v>
      </c>
      <c r="M3" s="2" t="s">
        <v>53</v>
      </c>
      <c r="N3" s="2" t="s">
        <v>54</v>
      </c>
      <c r="O3" s="2" t="s">
        <v>55</v>
      </c>
    </row>
    <row r="4" spans="1:15" x14ac:dyDescent="0.25">
      <c r="A4">
        <v>1</v>
      </c>
      <c r="B4">
        <v>0</v>
      </c>
      <c r="C4">
        <v>-4.1425000000000001</v>
      </c>
      <c r="D4">
        <v>-10.5303</v>
      </c>
      <c r="E4">
        <v>-9.2314000000000007</v>
      </c>
      <c r="F4">
        <v>-7.9764999999999997</v>
      </c>
      <c r="G4">
        <v>-13.694800000000001</v>
      </c>
      <c r="H4">
        <v>-12.5167</v>
      </c>
      <c r="I4">
        <v>-12.479900000000001</v>
      </c>
      <c r="J4">
        <v>-14.2681</v>
      </c>
      <c r="K4">
        <v>-14.5722</v>
      </c>
      <c r="L4">
        <v>-14.330299999999999</v>
      </c>
      <c r="M4">
        <v>-14.739000000000001</v>
      </c>
      <c r="N4">
        <v>-14.8893</v>
      </c>
      <c r="O4">
        <v>-15.766400000000001</v>
      </c>
    </row>
    <row r="5" spans="1:15" x14ac:dyDescent="0.25">
      <c r="A5">
        <v>2</v>
      </c>
      <c r="B5">
        <v>0</v>
      </c>
      <c r="C5">
        <v>-4.0548999999999999</v>
      </c>
      <c r="D5">
        <v>-10.3711</v>
      </c>
      <c r="E5">
        <v>-9.0722000000000005</v>
      </c>
      <c r="F5">
        <v>-7.8364000000000003</v>
      </c>
      <c r="G5">
        <v>-13.472799999999999</v>
      </c>
      <c r="H5">
        <v>-12.3576</v>
      </c>
      <c r="I5">
        <v>-12.3576</v>
      </c>
      <c r="J5">
        <v>-14.085900000000001</v>
      </c>
      <c r="K5">
        <v>-14.4312</v>
      </c>
      <c r="L5">
        <v>-14.144500000000001</v>
      </c>
      <c r="M5">
        <v>-14.49</v>
      </c>
      <c r="N5">
        <v>-14.639699999999999</v>
      </c>
      <c r="O5">
        <v>-15.516400000000001</v>
      </c>
    </row>
    <row r="6" spans="1:15" x14ac:dyDescent="0.25">
      <c r="A6">
        <v>3</v>
      </c>
      <c r="B6">
        <v>0</v>
      </c>
      <c r="C6">
        <v>-4.0163000000000002</v>
      </c>
      <c r="D6">
        <v>-10.3041</v>
      </c>
      <c r="E6">
        <v>-9.0051000000000005</v>
      </c>
      <c r="F6">
        <v>-7.7873000000000001</v>
      </c>
      <c r="G6">
        <v>-13.488300000000001</v>
      </c>
      <c r="H6">
        <v>-12.2905</v>
      </c>
      <c r="I6">
        <v>-12.2721</v>
      </c>
      <c r="J6">
        <v>-14.0303</v>
      </c>
      <c r="K6">
        <v>-14.3392</v>
      </c>
      <c r="L6">
        <v>-14.100099999999999</v>
      </c>
      <c r="M6">
        <v>-14.557600000000001</v>
      </c>
      <c r="N6">
        <v>-14.7187</v>
      </c>
      <c r="O6">
        <v>-15.7088</v>
      </c>
    </row>
    <row r="7" spans="1:15" x14ac:dyDescent="0.25">
      <c r="A7">
        <v>4</v>
      </c>
      <c r="B7">
        <v>0</v>
      </c>
      <c r="C7">
        <v>-3.9958</v>
      </c>
      <c r="D7">
        <v>-10.2684</v>
      </c>
      <c r="E7">
        <v>-8.9694000000000003</v>
      </c>
      <c r="F7">
        <v>-7.7572999999999999</v>
      </c>
      <c r="G7">
        <v>-13.456799999999999</v>
      </c>
      <c r="H7">
        <v>-12.254799999999999</v>
      </c>
      <c r="I7">
        <v>-12.1995</v>
      </c>
      <c r="J7">
        <v>-14.0176</v>
      </c>
      <c r="K7">
        <v>-14.368399999999999</v>
      </c>
      <c r="L7">
        <v>-14.098100000000001</v>
      </c>
      <c r="M7">
        <v>-14.5183</v>
      </c>
      <c r="N7">
        <v>-14.678900000000001</v>
      </c>
      <c r="O7">
        <v>-15.6717</v>
      </c>
    </row>
    <row r="8" spans="1:15" x14ac:dyDescent="0.25">
      <c r="A8">
        <v>5</v>
      </c>
      <c r="B8">
        <v>0</v>
      </c>
      <c r="C8">
        <v>-4.0403000000000002</v>
      </c>
      <c r="D8">
        <v>-10.346299999999999</v>
      </c>
      <c r="E8">
        <v>-9.0472999999999999</v>
      </c>
      <c r="F8">
        <v>-7.8209999999999997</v>
      </c>
      <c r="G8">
        <v>-13.5078</v>
      </c>
      <c r="H8">
        <v>-12.332700000000001</v>
      </c>
      <c r="I8">
        <v>-12.332700000000001</v>
      </c>
      <c r="J8">
        <v>-14.061</v>
      </c>
      <c r="K8">
        <v>-14.352</v>
      </c>
      <c r="L8">
        <v>-14.118499999999999</v>
      </c>
      <c r="M8">
        <v>-14.5547</v>
      </c>
      <c r="N8">
        <v>-14.733599999999999</v>
      </c>
      <c r="O8">
        <v>-15.710599999999999</v>
      </c>
    </row>
    <row r="9" spans="1:15" x14ac:dyDescent="0.25">
      <c r="A9">
        <v>6</v>
      </c>
      <c r="B9">
        <v>0</v>
      </c>
      <c r="C9">
        <v>-4.1458000000000004</v>
      </c>
      <c r="D9">
        <v>-10.536300000000001</v>
      </c>
      <c r="E9">
        <v>-9.2372999999999994</v>
      </c>
      <c r="F9">
        <v>-7.9819000000000004</v>
      </c>
      <c r="G9">
        <v>-13.7043</v>
      </c>
      <c r="H9">
        <v>-12.5227</v>
      </c>
      <c r="I9">
        <v>-12.4815</v>
      </c>
      <c r="J9">
        <v>-14.2767</v>
      </c>
      <c r="K9">
        <v>-14.5814</v>
      </c>
      <c r="L9">
        <v>-14.3398</v>
      </c>
      <c r="M9">
        <v>-14.7494</v>
      </c>
      <c r="N9">
        <v>-14.899800000000001</v>
      </c>
      <c r="O9">
        <v>-15.776999999999999</v>
      </c>
    </row>
    <row r="10" spans="1:15" x14ac:dyDescent="0.25">
      <c r="A10">
        <v>7</v>
      </c>
      <c r="B10">
        <v>0</v>
      </c>
      <c r="C10">
        <v>-4.1925999999999997</v>
      </c>
      <c r="D10">
        <v>-10.6227</v>
      </c>
      <c r="E10">
        <v>-9.3238000000000003</v>
      </c>
      <c r="F10">
        <v>-8.0594000000000001</v>
      </c>
      <c r="G10">
        <v>-13.842499999999999</v>
      </c>
      <c r="H10">
        <v>-12.6092</v>
      </c>
      <c r="I10">
        <v>-12.505800000000001</v>
      </c>
      <c r="J10">
        <v>-14.401999999999999</v>
      </c>
      <c r="K10">
        <v>-14.714600000000001</v>
      </c>
      <c r="L10">
        <v>-14.478</v>
      </c>
      <c r="M10">
        <v>-14.900600000000001</v>
      </c>
      <c r="N10">
        <v>-15.0517</v>
      </c>
      <c r="O10">
        <v>-15.931100000000001</v>
      </c>
    </row>
    <row r="11" spans="1:15" x14ac:dyDescent="0.25">
      <c r="A11">
        <v>8</v>
      </c>
      <c r="B11">
        <v>0</v>
      </c>
      <c r="C11">
        <v>-4.3796999999999997</v>
      </c>
      <c r="D11">
        <v>-10.9686</v>
      </c>
      <c r="E11">
        <v>-9.6696000000000009</v>
      </c>
      <c r="F11">
        <v>-8.3696000000000002</v>
      </c>
      <c r="G11">
        <v>-14.3957</v>
      </c>
      <c r="H11">
        <v>-12.955</v>
      </c>
      <c r="I11">
        <v>-12.6027</v>
      </c>
      <c r="J11">
        <v>-14.9033</v>
      </c>
      <c r="K11">
        <v>-15.2477</v>
      </c>
      <c r="L11">
        <v>-15.031000000000001</v>
      </c>
      <c r="M11">
        <v>-15.5053</v>
      </c>
      <c r="N11">
        <v>-15.659599999999999</v>
      </c>
      <c r="O11">
        <v>-16.547899999999998</v>
      </c>
    </row>
    <row r="12" spans="1:15" x14ac:dyDescent="0.25">
      <c r="A12">
        <v>9</v>
      </c>
      <c r="B12">
        <v>0</v>
      </c>
      <c r="C12">
        <v>-4.5595999999999997</v>
      </c>
      <c r="D12">
        <v>-11.3004</v>
      </c>
      <c r="E12">
        <v>-10.0015</v>
      </c>
      <c r="F12">
        <v>-8.6649999999999991</v>
      </c>
      <c r="G12">
        <v>-14.9023</v>
      </c>
      <c r="H12">
        <v>-13.286799999999999</v>
      </c>
      <c r="I12">
        <v>-12.699199999999999</v>
      </c>
      <c r="J12">
        <v>-15.382199999999999</v>
      </c>
      <c r="K12">
        <v>-15.7539</v>
      </c>
      <c r="L12">
        <v>-15.547499999999999</v>
      </c>
      <c r="M12">
        <v>-16.065000000000001</v>
      </c>
      <c r="N12">
        <v>-16.224</v>
      </c>
      <c r="O12">
        <v>-17.132200000000001</v>
      </c>
    </row>
    <row r="13" spans="1:15" x14ac:dyDescent="0.25">
      <c r="A13">
        <v>10</v>
      </c>
      <c r="B13">
        <v>0</v>
      </c>
      <c r="C13">
        <v>-4.6536</v>
      </c>
      <c r="D13">
        <v>-11.471</v>
      </c>
      <c r="E13">
        <v>-10.1721</v>
      </c>
      <c r="F13">
        <v>-8.8069000000000006</v>
      </c>
      <c r="G13">
        <v>-15.0557</v>
      </c>
      <c r="H13">
        <v>-13.4574</v>
      </c>
      <c r="I13">
        <v>-12.7569</v>
      </c>
      <c r="J13">
        <v>-15.623200000000001</v>
      </c>
      <c r="K13">
        <v>-15.994899999999999</v>
      </c>
      <c r="L13">
        <v>-15.7531</v>
      </c>
      <c r="M13">
        <v>-16.263500000000001</v>
      </c>
      <c r="N13">
        <v>-16.432300000000001</v>
      </c>
      <c r="O13">
        <v>-17.4055</v>
      </c>
    </row>
    <row r="14" spans="1:15" x14ac:dyDescent="0.25">
      <c r="A14">
        <v>11</v>
      </c>
      <c r="B14">
        <v>0</v>
      </c>
      <c r="C14">
        <v>-4.7504</v>
      </c>
      <c r="D14">
        <v>-11.646699999999999</v>
      </c>
      <c r="E14">
        <v>-10.347799999999999</v>
      </c>
      <c r="F14">
        <v>-8.9527999999999999</v>
      </c>
      <c r="G14">
        <v>-15.210900000000001</v>
      </c>
      <c r="H14">
        <v>-13.633100000000001</v>
      </c>
      <c r="I14">
        <v>-12.819100000000001</v>
      </c>
      <c r="J14">
        <v>-15.869899999999999</v>
      </c>
      <c r="K14">
        <v>-16.241599999999998</v>
      </c>
      <c r="L14">
        <v>-15.9627</v>
      </c>
      <c r="M14">
        <v>-16.465599999999998</v>
      </c>
      <c r="N14">
        <v>-16.644600000000001</v>
      </c>
      <c r="O14">
        <v>-17.6858</v>
      </c>
    </row>
    <row r="15" spans="1:15" x14ac:dyDescent="0.25">
      <c r="A15">
        <v>12</v>
      </c>
      <c r="B15">
        <v>0</v>
      </c>
      <c r="C15">
        <v>-4.7784000000000004</v>
      </c>
      <c r="D15">
        <v>-11.6389</v>
      </c>
      <c r="E15">
        <v>-10.4077</v>
      </c>
      <c r="F15">
        <v>-9.0017999999999994</v>
      </c>
      <c r="G15">
        <v>-15.247</v>
      </c>
      <c r="H15">
        <v>-13.693099999999999</v>
      </c>
      <c r="I15">
        <v>-12.808299999999999</v>
      </c>
      <c r="J15">
        <v>-15.974</v>
      </c>
      <c r="K15">
        <v>-16.345700000000001</v>
      </c>
      <c r="L15">
        <v>-16.039400000000001</v>
      </c>
      <c r="M15">
        <v>-16.536899999999999</v>
      </c>
      <c r="N15">
        <v>-16.723500000000001</v>
      </c>
      <c r="O15">
        <v>-17.815000000000001</v>
      </c>
    </row>
    <row r="16" spans="1:15" x14ac:dyDescent="0.25">
      <c r="A16">
        <v>13</v>
      </c>
      <c r="B16">
        <v>0</v>
      </c>
      <c r="C16">
        <v>-4.7774000000000001</v>
      </c>
      <c r="D16">
        <v>-11.628299999999999</v>
      </c>
      <c r="E16">
        <v>-10.407400000000001</v>
      </c>
      <c r="F16">
        <v>-9.0015000000000001</v>
      </c>
      <c r="G16">
        <v>-15.244999999999999</v>
      </c>
      <c r="H16">
        <v>-13.6928</v>
      </c>
      <c r="I16">
        <v>-12.8018</v>
      </c>
      <c r="J16">
        <v>-15.977600000000001</v>
      </c>
      <c r="K16">
        <v>-16.349299999999999</v>
      </c>
      <c r="L16">
        <v>-16.040700000000001</v>
      </c>
      <c r="M16">
        <v>-16.537700000000001</v>
      </c>
      <c r="N16">
        <v>-16.724900000000002</v>
      </c>
      <c r="O16">
        <v>-17.820399999999999</v>
      </c>
    </row>
    <row r="17" spans="1:15" x14ac:dyDescent="0.25">
      <c r="A17">
        <v>14</v>
      </c>
      <c r="B17">
        <v>0</v>
      </c>
      <c r="C17">
        <v>-4.7718999999999996</v>
      </c>
      <c r="D17">
        <v>-11.5494</v>
      </c>
      <c r="E17">
        <v>-10.408799999999999</v>
      </c>
      <c r="F17">
        <v>-9.0029000000000003</v>
      </c>
      <c r="G17">
        <v>-15.239599999999999</v>
      </c>
      <c r="H17">
        <v>-13.6942</v>
      </c>
      <c r="I17">
        <v>-12.7524</v>
      </c>
      <c r="J17">
        <v>-16.0107</v>
      </c>
      <c r="K17">
        <v>-16.382400000000001</v>
      </c>
      <c r="L17">
        <v>-16.058499999999999</v>
      </c>
      <c r="M17">
        <v>-16.5535</v>
      </c>
      <c r="N17">
        <v>-16.7453</v>
      </c>
      <c r="O17">
        <v>-17.8703</v>
      </c>
    </row>
    <row r="18" spans="1:15" x14ac:dyDescent="0.25">
      <c r="A18">
        <v>15</v>
      </c>
      <c r="B18">
        <v>0</v>
      </c>
      <c r="C18">
        <v>-4.7839</v>
      </c>
      <c r="D18">
        <v>-11.4824</v>
      </c>
      <c r="E18">
        <v>-10.446400000000001</v>
      </c>
      <c r="F18">
        <v>-9.0404999999999998</v>
      </c>
      <c r="G18">
        <v>-15.327400000000001</v>
      </c>
      <c r="H18">
        <v>-13.7318</v>
      </c>
      <c r="I18">
        <v>-12.7247</v>
      </c>
      <c r="J18">
        <v>-16.089099999999998</v>
      </c>
      <c r="K18">
        <v>-16.460799999999999</v>
      </c>
      <c r="L18">
        <v>-16.1464</v>
      </c>
      <c r="M18">
        <v>-16.650400000000001</v>
      </c>
      <c r="N18">
        <v>-16.834299999999999</v>
      </c>
      <c r="O18">
        <v>-17.954000000000001</v>
      </c>
    </row>
    <row r="19" spans="1:15" x14ac:dyDescent="0.25">
      <c r="A19">
        <v>16</v>
      </c>
      <c r="B19">
        <v>0</v>
      </c>
      <c r="C19">
        <v>-4.7868000000000004</v>
      </c>
      <c r="D19">
        <v>-11.465400000000001</v>
      </c>
      <c r="E19">
        <v>-10.4556</v>
      </c>
      <c r="F19">
        <v>-9.0495999999999999</v>
      </c>
      <c r="G19">
        <v>-15.348599999999999</v>
      </c>
      <c r="H19">
        <v>-13.7409</v>
      </c>
      <c r="I19">
        <v>-12.718299999999999</v>
      </c>
      <c r="J19">
        <v>-16.107900000000001</v>
      </c>
      <c r="K19">
        <v>-16.479700000000001</v>
      </c>
      <c r="L19">
        <v>-16.1676</v>
      </c>
      <c r="M19">
        <v>-16.671600000000002</v>
      </c>
      <c r="N19">
        <v>-16.855499999999999</v>
      </c>
      <c r="O19">
        <v>-17.972799999999999</v>
      </c>
    </row>
    <row r="20" spans="1:15" x14ac:dyDescent="0.25">
      <c r="A20">
        <v>17</v>
      </c>
      <c r="B20">
        <v>0</v>
      </c>
      <c r="C20">
        <v>-4.7843</v>
      </c>
      <c r="D20">
        <v>-11.48</v>
      </c>
      <c r="E20">
        <v>-10.447699999999999</v>
      </c>
      <c r="F20">
        <v>-9.0418000000000003</v>
      </c>
      <c r="G20">
        <v>-15.330299999999999</v>
      </c>
      <c r="H20">
        <v>-13.7331</v>
      </c>
      <c r="I20">
        <v>-12.723800000000001</v>
      </c>
      <c r="J20">
        <v>-16.091699999999999</v>
      </c>
      <c r="K20">
        <v>-16.4634</v>
      </c>
      <c r="L20">
        <v>-16.1493</v>
      </c>
      <c r="M20">
        <v>-16.653300000000002</v>
      </c>
      <c r="N20">
        <v>-16.837199999999999</v>
      </c>
      <c r="O20">
        <v>-17.956499999999998</v>
      </c>
    </row>
    <row r="21" spans="1:15" x14ac:dyDescent="0.25">
      <c r="A21">
        <v>18</v>
      </c>
      <c r="B21">
        <v>0</v>
      </c>
      <c r="C21">
        <v>-4.7774999999999999</v>
      </c>
      <c r="D21">
        <v>-11.5204</v>
      </c>
      <c r="E21">
        <v>-10.4259</v>
      </c>
      <c r="F21">
        <v>-9.02</v>
      </c>
      <c r="G21">
        <v>-15.2798</v>
      </c>
      <c r="H21">
        <v>-13.7113</v>
      </c>
      <c r="I21">
        <v>-12.739100000000001</v>
      </c>
      <c r="J21">
        <v>-16.046800000000001</v>
      </c>
      <c r="K21">
        <v>-16.418500000000002</v>
      </c>
      <c r="L21">
        <v>-16.098800000000001</v>
      </c>
      <c r="M21">
        <v>-16.602799999999998</v>
      </c>
      <c r="N21">
        <v>-16.7867</v>
      </c>
      <c r="O21">
        <v>-17.9117</v>
      </c>
    </row>
    <row r="22" spans="1:15" x14ac:dyDescent="0.25">
      <c r="A22">
        <v>19</v>
      </c>
      <c r="B22">
        <v>0</v>
      </c>
      <c r="C22">
        <v>-4.7892000000000001</v>
      </c>
      <c r="D22">
        <v>-11.3462</v>
      </c>
      <c r="E22">
        <v>-10.4786</v>
      </c>
      <c r="F22">
        <v>-9.0725999999999996</v>
      </c>
      <c r="G22">
        <v>-15.388299999999999</v>
      </c>
      <c r="H22">
        <v>-13.7639</v>
      </c>
      <c r="I22">
        <v>-12.7357</v>
      </c>
      <c r="J22">
        <v>-16.134399999999999</v>
      </c>
      <c r="K22">
        <v>-16.5061</v>
      </c>
      <c r="L22">
        <v>-16.2072</v>
      </c>
      <c r="M22">
        <v>-16.711200000000002</v>
      </c>
      <c r="N22">
        <v>-16.895099999999999</v>
      </c>
      <c r="O22">
        <v>-17.874300000000002</v>
      </c>
    </row>
    <row r="23" spans="1:15" x14ac:dyDescent="0.25">
      <c r="A23">
        <v>20</v>
      </c>
      <c r="B23">
        <v>0</v>
      </c>
      <c r="C23">
        <v>-4.7792000000000003</v>
      </c>
      <c r="D23">
        <v>-11.249700000000001</v>
      </c>
      <c r="E23">
        <v>-10.4716</v>
      </c>
      <c r="F23">
        <v>-9.0655999999999999</v>
      </c>
      <c r="G23">
        <v>-15.3559</v>
      </c>
      <c r="H23">
        <v>-13.7569</v>
      </c>
      <c r="I23">
        <v>-12.7287</v>
      </c>
      <c r="J23">
        <v>-16.127400000000002</v>
      </c>
      <c r="K23">
        <v>-16.466200000000001</v>
      </c>
      <c r="L23">
        <v>-16.174800000000001</v>
      </c>
      <c r="M23">
        <v>-16.678899999999999</v>
      </c>
      <c r="N23">
        <v>-16.8628</v>
      </c>
      <c r="O23">
        <v>-17.8826</v>
      </c>
    </row>
    <row r="24" spans="1:15" x14ac:dyDescent="0.25">
      <c r="A24">
        <v>21</v>
      </c>
      <c r="B24">
        <v>0</v>
      </c>
      <c r="C24">
        <v>-4.7888999999999999</v>
      </c>
      <c r="D24">
        <v>-11.373900000000001</v>
      </c>
      <c r="E24">
        <v>-10.473699999999999</v>
      </c>
      <c r="F24">
        <v>-9.0678000000000001</v>
      </c>
      <c r="G24">
        <v>-15.3804</v>
      </c>
      <c r="H24">
        <v>-13.7591</v>
      </c>
      <c r="I24">
        <v>-12.7309</v>
      </c>
      <c r="J24">
        <v>-16.1296</v>
      </c>
      <c r="K24">
        <v>-16.501300000000001</v>
      </c>
      <c r="L24">
        <v>-16.199400000000001</v>
      </c>
      <c r="M24">
        <v>-16.703399999999998</v>
      </c>
      <c r="N24">
        <v>-16.8873</v>
      </c>
      <c r="O24">
        <v>-17.8843</v>
      </c>
    </row>
    <row r="25" spans="1:15" x14ac:dyDescent="0.25">
      <c r="A25">
        <v>22</v>
      </c>
      <c r="B25">
        <v>0</v>
      </c>
      <c r="C25">
        <v>-4.7744999999999997</v>
      </c>
      <c r="D25">
        <v>-11.537699999999999</v>
      </c>
      <c r="E25">
        <v>-10.416700000000001</v>
      </c>
      <c r="F25">
        <v>-9.0106999999999999</v>
      </c>
      <c r="G25">
        <v>-15.2582</v>
      </c>
      <c r="H25">
        <v>-13.702</v>
      </c>
      <c r="I25">
        <v>-12.7456</v>
      </c>
      <c r="J25">
        <v>-16.0276</v>
      </c>
      <c r="K25">
        <v>-16.3993</v>
      </c>
      <c r="L25">
        <v>-16.077200000000001</v>
      </c>
      <c r="M25">
        <v>-16.5746</v>
      </c>
      <c r="N25">
        <v>-16.7651</v>
      </c>
      <c r="O25">
        <v>-17.892499999999998</v>
      </c>
    </row>
    <row r="26" spans="1:15" x14ac:dyDescent="0.25">
      <c r="A26">
        <v>23</v>
      </c>
      <c r="B26">
        <v>0</v>
      </c>
      <c r="C26">
        <v>-4.6806000000000001</v>
      </c>
      <c r="D26">
        <v>-11.518700000000001</v>
      </c>
      <c r="E26">
        <v>-10.2197</v>
      </c>
      <c r="F26">
        <v>-8.8367000000000004</v>
      </c>
      <c r="G26">
        <v>-14.9963</v>
      </c>
      <c r="H26">
        <v>-13.505100000000001</v>
      </c>
      <c r="I26">
        <v>-12.7339</v>
      </c>
      <c r="J26">
        <v>-15.715</v>
      </c>
      <c r="K26">
        <v>-16.0868</v>
      </c>
      <c r="L26">
        <v>-15.7751</v>
      </c>
      <c r="M26">
        <v>-16.252099999999999</v>
      </c>
      <c r="N26">
        <v>-16.445599999999999</v>
      </c>
      <c r="O26">
        <v>-17.564699999999998</v>
      </c>
    </row>
    <row r="27" spans="1:15" x14ac:dyDescent="0.25">
      <c r="A27">
        <v>24</v>
      </c>
      <c r="B27">
        <v>0</v>
      </c>
      <c r="C27">
        <v>-4.4954000000000001</v>
      </c>
      <c r="D27">
        <v>-11.181699999999999</v>
      </c>
      <c r="E27">
        <v>-9.8827999999999996</v>
      </c>
      <c r="F27">
        <v>-8.5448000000000004</v>
      </c>
      <c r="G27">
        <v>-14.5738</v>
      </c>
      <c r="H27">
        <v>-13.168100000000001</v>
      </c>
      <c r="I27">
        <v>-12.537100000000001</v>
      </c>
      <c r="J27">
        <v>-15.2906</v>
      </c>
      <c r="K27">
        <v>-15.6623</v>
      </c>
      <c r="L27">
        <v>-15.3392</v>
      </c>
      <c r="M27">
        <v>-15.817299999999999</v>
      </c>
      <c r="N27">
        <v>-16.0076</v>
      </c>
      <c r="O27">
        <v>-17.1554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4"/>
  <sheetViews>
    <sheetView workbookViewId="0">
      <selection activeCell="H37" sqref="H37"/>
    </sheetView>
  </sheetViews>
  <sheetFormatPr defaultRowHeight="15" x14ac:dyDescent="0.25"/>
  <cols>
    <col min="1" max="4" width="14" customWidth="1"/>
  </cols>
  <sheetData>
    <row r="1" spans="1:4" ht="17.25" x14ac:dyDescent="0.3">
      <c r="A1" s="1" t="s">
        <v>56</v>
      </c>
    </row>
    <row r="3" spans="1:4" x14ac:dyDescent="0.25">
      <c r="A3" s="2" t="s">
        <v>57</v>
      </c>
      <c r="B3" s="2" t="s">
        <v>58</v>
      </c>
      <c r="C3" s="2" t="s">
        <v>87</v>
      </c>
      <c r="D3" s="2" t="s">
        <v>88</v>
      </c>
    </row>
    <row r="4" spans="1:4" x14ac:dyDescent="0.25">
      <c r="A4" t="s">
        <v>59</v>
      </c>
      <c r="B4" t="s">
        <v>43</v>
      </c>
      <c r="C4" t="s">
        <v>60</v>
      </c>
      <c r="D4" t="s">
        <v>61</v>
      </c>
    </row>
    <row r="5" spans="1:4" x14ac:dyDescent="0.25">
      <c r="A5" t="s">
        <v>59</v>
      </c>
      <c r="B5" t="s">
        <v>44</v>
      </c>
      <c r="C5" t="s">
        <v>60</v>
      </c>
      <c r="D5" t="s">
        <v>61</v>
      </c>
    </row>
    <row r="6" spans="1:4" x14ac:dyDescent="0.25">
      <c r="A6" t="s">
        <v>59</v>
      </c>
      <c r="B6" t="s">
        <v>45</v>
      </c>
      <c r="C6" t="s">
        <v>60</v>
      </c>
      <c r="D6" t="s">
        <v>61</v>
      </c>
    </row>
    <row r="7" spans="1:4" x14ac:dyDescent="0.25">
      <c r="A7" t="s">
        <v>59</v>
      </c>
      <c r="B7" t="s">
        <v>46</v>
      </c>
      <c r="C7" t="s">
        <v>60</v>
      </c>
      <c r="D7" t="s">
        <v>61</v>
      </c>
    </row>
    <row r="8" spans="1:4" x14ac:dyDescent="0.25">
      <c r="A8" t="s">
        <v>59</v>
      </c>
      <c r="B8" t="s">
        <v>47</v>
      </c>
      <c r="C8" t="s">
        <v>60</v>
      </c>
      <c r="D8" t="s">
        <v>61</v>
      </c>
    </row>
    <row r="9" spans="1:4" x14ac:dyDescent="0.25">
      <c r="A9" t="s">
        <v>59</v>
      </c>
      <c r="B9" t="s">
        <v>50</v>
      </c>
      <c r="C9" t="s">
        <v>62</v>
      </c>
      <c r="D9" t="s">
        <v>63</v>
      </c>
    </row>
    <row r="10" spans="1:4" x14ac:dyDescent="0.25">
      <c r="A10" t="s">
        <v>59</v>
      </c>
      <c r="B10" t="s">
        <v>51</v>
      </c>
      <c r="C10" t="s">
        <v>64</v>
      </c>
      <c r="D10" t="s">
        <v>65</v>
      </c>
    </row>
    <row r="11" spans="1:4" x14ac:dyDescent="0.25">
      <c r="A11" t="s">
        <v>59</v>
      </c>
      <c r="B11" t="s">
        <v>52</v>
      </c>
      <c r="C11" t="s">
        <v>60</v>
      </c>
      <c r="D11" t="s">
        <v>61</v>
      </c>
    </row>
    <row r="12" spans="1:4" x14ac:dyDescent="0.25">
      <c r="A12" t="s">
        <v>59</v>
      </c>
      <c r="B12" t="s">
        <v>53</v>
      </c>
      <c r="C12" t="s">
        <v>66</v>
      </c>
      <c r="D12" t="s">
        <v>67</v>
      </c>
    </row>
    <row r="13" spans="1:4" x14ac:dyDescent="0.25">
      <c r="A13" t="s">
        <v>59</v>
      </c>
      <c r="B13" t="s">
        <v>54</v>
      </c>
      <c r="C13" t="s">
        <v>68</v>
      </c>
      <c r="D13" t="s">
        <v>69</v>
      </c>
    </row>
    <row r="14" spans="1:4" x14ac:dyDescent="0.25">
      <c r="A14" t="s">
        <v>59</v>
      </c>
      <c r="B14" t="s">
        <v>55</v>
      </c>
      <c r="C14" t="s">
        <v>70</v>
      </c>
      <c r="D14" t="s">
        <v>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17"/>
  <sheetViews>
    <sheetView tabSelected="1" topLeftCell="A293" workbookViewId="0">
      <selection activeCell="M311" sqref="M311"/>
    </sheetView>
  </sheetViews>
  <sheetFormatPr defaultRowHeight="15" x14ac:dyDescent="0.25"/>
  <cols>
    <col min="1" max="4" width="14" customWidth="1"/>
  </cols>
  <sheetData>
    <row r="1" spans="1:4" ht="17.25" x14ac:dyDescent="0.3">
      <c r="A1" s="1" t="s">
        <v>72</v>
      </c>
    </row>
    <row r="3" spans="1:4" x14ac:dyDescent="0.25">
      <c r="A3" s="2" t="s">
        <v>13</v>
      </c>
      <c r="B3" s="2" t="s">
        <v>73</v>
      </c>
      <c r="C3" s="2" t="s">
        <v>74</v>
      </c>
      <c r="D3" s="2" t="s">
        <v>75</v>
      </c>
    </row>
    <row r="4" spans="1:4" x14ac:dyDescent="0.25">
      <c r="A4">
        <v>1</v>
      </c>
      <c r="B4">
        <v>0</v>
      </c>
      <c r="C4">
        <v>0</v>
      </c>
      <c r="D4">
        <v>0</v>
      </c>
    </row>
    <row r="5" spans="1:4" x14ac:dyDescent="0.25">
      <c r="A5">
        <v>2</v>
      </c>
      <c r="B5">
        <v>0</v>
      </c>
      <c r="C5">
        <v>0</v>
      </c>
      <c r="D5">
        <v>0</v>
      </c>
    </row>
    <row r="6" spans="1:4" x14ac:dyDescent="0.25">
      <c r="A6">
        <v>3</v>
      </c>
      <c r="B6">
        <v>0</v>
      </c>
      <c r="C6">
        <v>0</v>
      </c>
      <c r="D6">
        <v>0</v>
      </c>
    </row>
    <row r="7" spans="1:4" x14ac:dyDescent="0.25">
      <c r="A7">
        <v>4</v>
      </c>
      <c r="B7">
        <v>0</v>
      </c>
      <c r="C7">
        <v>0</v>
      </c>
      <c r="D7">
        <v>0</v>
      </c>
    </row>
    <row r="8" spans="1:4" x14ac:dyDescent="0.25">
      <c r="A8">
        <v>5</v>
      </c>
      <c r="B8">
        <v>0</v>
      </c>
      <c r="C8">
        <v>0</v>
      </c>
      <c r="D8">
        <v>0</v>
      </c>
    </row>
    <row r="9" spans="1:4" x14ac:dyDescent="0.25">
      <c r="A9">
        <v>6</v>
      </c>
      <c r="B9">
        <v>0</v>
      </c>
      <c r="C9">
        <v>0</v>
      </c>
      <c r="D9">
        <v>0</v>
      </c>
    </row>
    <row r="10" spans="1:4" x14ac:dyDescent="0.25">
      <c r="A10">
        <v>7</v>
      </c>
      <c r="B10">
        <v>0</v>
      </c>
      <c r="C10">
        <v>0</v>
      </c>
      <c r="D10">
        <v>0</v>
      </c>
    </row>
    <row r="11" spans="1:4" x14ac:dyDescent="0.25">
      <c r="A11">
        <v>8</v>
      </c>
      <c r="B11">
        <v>0</v>
      </c>
      <c r="C11">
        <v>0</v>
      </c>
      <c r="D11">
        <v>0</v>
      </c>
    </row>
    <row r="12" spans="1:4" x14ac:dyDescent="0.25">
      <c r="A12">
        <v>9</v>
      </c>
      <c r="B12">
        <v>0</v>
      </c>
      <c r="C12">
        <v>0</v>
      </c>
      <c r="D12">
        <v>0</v>
      </c>
    </row>
    <row r="13" spans="1:4" x14ac:dyDescent="0.25">
      <c r="A13">
        <v>10</v>
      </c>
      <c r="B13">
        <v>0</v>
      </c>
      <c r="C13">
        <v>0</v>
      </c>
      <c r="D13">
        <v>0</v>
      </c>
    </row>
    <row r="14" spans="1:4" x14ac:dyDescent="0.25">
      <c r="A14">
        <v>11</v>
      </c>
      <c r="B14">
        <v>0</v>
      </c>
      <c r="C14">
        <v>0</v>
      </c>
      <c r="D14">
        <v>0</v>
      </c>
    </row>
    <row r="15" spans="1:4" x14ac:dyDescent="0.25">
      <c r="A15">
        <v>12</v>
      </c>
      <c r="B15">
        <v>0</v>
      </c>
      <c r="C15">
        <v>0</v>
      </c>
      <c r="D15">
        <v>0</v>
      </c>
    </row>
    <row r="16" spans="1:4" x14ac:dyDescent="0.25">
      <c r="A16">
        <v>13</v>
      </c>
      <c r="B16">
        <v>0</v>
      </c>
      <c r="C16">
        <v>0</v>
      </c>
      <c r="D16">
        <v>0</v>
      </c>
    </row>
    <row r="17" spans="1:4" x14ac:dyDescent="0.25">
      <c r="A17">
        <v>14</v>
      </c>
      <c r="B17">
        <v>0</v>
      </c>
      <c r="C17">
        <v>0</v>
      </c>
      <c r="D17">
        <v>0</v>
      </c>
    </row>
    <row r="18" spans="1:4" x14ac:dyDescent="0.25">
      <c r="A18">
        <v>15</v>
      </c>
      <c r="B18">
        <v>0</v>
      </c>
      <c r="C18">
        <v>0</v>
      </c>
      <c r="D18">
        <v>0</v>
      </c>
    </row>
    <row r="19" spans="1:4" x14ac:dyDescent="0.25">
      <c r="A19">
        <v>16</v>
      </c>
      <c r="B19">
        <v>0</v>
      </c>
      <c r="C19">
        <v>0</v>
      </c>
      <c r="D19">
        <v>0</v>
      </c>
    </row>
    <row r="20" spans="1:4" x14ac:dyDescent="0.25">
      <c r="A20">
        <v>17</v>
      </c>
      <c r="B20">
        <v>0</v>
      </c>
      <c r="C20">
        <v>0</v>
      </c>
      <c r="D20">
        <v>0</v>
      </c>
    </row>
    <row r="21" spans="1:4" x14ac:dyDescent="0.25">
      <c r="A21">
        <v>18</v>
      </c>
      <c r="B21">
        <v>0</v>
      </c>
      <c r="C21">
        <v>0</v>
      </c>
      <c r="D21">
        <v>0</v>
      </c>
    </row>
    <row r="22" spans="1:4" x14ac:dyDescent="0.25">
      <c r="A22">
        <v>19</v>
      </c>
      <c r="B22">
        <v>0</v>
      </c>
      <c r="C22">
        <v>0</v>
      </c>
      <c r="D22">
        <v>0</v>
      </c>
    </row>
    <row r="23" spans="1:4" x14ac:dyDescent="0.25">
      <c r="A23">
        <v>20</v>
      </c>
      <c r="B23">
        <v>0</v>
      </c>
      <c r="C23">
        <v>0</v>
      </c>
      <c r="D23">
        <v>0</v>
      </c>
    </row>
    <row r="24" spans="1:4" x14ac:dyDescent="0.25">
      <c r="A24">
        <v>21</v>
      </c>
      <c r="B24">
        <v>0</v>
      </c>
      <c r="C24">
        <v>0</v>
      </c>
      <c r="D24">
        <v>0</v>
      </c>
    </row>
    <row r="25" spans="1:4" x14ac:dyDescent="0.25">
      <c r="A25">
        <v>22</v>
      </c>
      <c r="B25">
        <v>0</v>
      </c>
      <c r="C25">
        <v>0</v>
      </c>
      <c r="D25">
        <v>0</v>
      </c>
    </row>
    <row r="26" spans="1:4" x14ac:dyDescent="0.25">
      <c r="A26">
        <v>23</v>
      </c>
      <c r="B26">
        <v>0</v>
      </c>
      <c r="C26">
        <v>0</v>
      </c>
      <c r="D26">
        <v>0</v>
      </c>
    </row>
    <row r="27" spans="1:4" x14ac:dyDescent="0.25">
      <c r="A27">
        <v>24</v>
      </c>
      <c r="B27">
        <v>0</v>
      </c>
      <c r="C27">
        <v>0</v>
      </c>
      <c r="D27">
        <v>0</v>
      </c>
    </row>
    <row r="30" spans="1:4" ht="17.25" x14ac:dyDescent="0.3">
      <c r="A30" s="1" t="s">
        <v>76</v>
      </c>
    </row>
    <row r="32" spans="1:4" x14ac:dyDescent="0.25">
      <c r="A32" s="2" t="s">
        <v>13</v>
      </c>
      <c r="B32" s="2" t="s">
        <v>73</v>
      </c>
      <c r="C32" s="2" t="s">
        <v>74</v>
      </c>
      <c r="D32" s="2" t="s">
        <v>75</v>
      </c>
    </row>
    <row r="33" spans="1:4" x14ac:dyDescent="0.25">
      <c r="A33">
        <v>1</v>
      </c>
      <c r="B33">
        <v>0</v>
      </c>
      <c r="C33">
        <v>0</v>
      </c>
      <c r="D33">
        <v>0</v>
      </c>
    </row>
    <row r="34" spans="1:4" x14ac:dyDescent="0.25">
      <c r="A34">
        <v>2</v>
      </c>
      <c r="B34">
        <v>0</v>
      </c>
      <c r="C34">
        <v>0</v>
      </c>
      <c r="D34">
        <v>0</v>
      </c>
    </row>
    <row r="35" spans="1:4" x14ac:dyDescent="0.25">
      <c r="A35">
        <v>3</v>
      </c>
      <c r="B35">
        <v>0</v>
      </c>
      <c r="C35">
        <v>0</v>
      </c>
      <c r="D35">
        <v>0</v>
      </c>
    </row>
    <row r="36" spans="1:4" x14ac:dyDescent="0.25">
      <c r="A36">
        <v>4</v>
      </c>
      <c r="B36">
        <v>0</v>
      </c>
      <c r="C36">
        <v>0</v>
      </c>
      <c r="D36">
        <v>0</v>
      </c>
    </row>
    <row r="37" spans="1:4" x14ac:dyDescent="0.25">
      <c r="A37">
        <v>5</v>
      </c>
      <c r="B37">
        <v>0</v>
      </c>
      <c r="C37">
        <v>0</v>
      </c>
      <c r="D37">
        <v>0</v>
      </c>
    </row>
    <row r="38" spans="1:4" x14ac:dyDescent="0.25">
      <c r="A38">
        <v>6</v>
      </c>
      <c r="B38">
        <v>0</v>
      </c>
      <c r="C38">
        <v>0</v>
      </c>
      <c r="D38">
        <v>0</v>
      </c>
    </row>
    <row r="39" spans="1:4" x14ac:dyDescent="0.25">
      <c r="A39">
        <v>7</v>
      </c>
      <c r="B39">
        <v>0</v>
      </c>
      <c r="C39">
        <v>0</v>
      </c>
      <c r="D39">
        <v>0</v>
      </c>
    </row>
    <row r="40" spans="1:4" x14ac:dyDescent="0.25">
      <c r="A40">
        <v>8</v>
      </c>
      <c r="B40">
        <v>0</v>
      </c>
      <c r="C40">
        <v>0</v>
      </c>
      <c r="D40">
        <v>0</v>
      </c>
    </row>
    <row r="41" spans="1:4" x14ac:dyDescent="0.25">
      <c r="A41">
        <v>9</v>
      </c>
      <c r="B41">
        <v>0</v>
      </c>
      <c r="C41">
        <v>0</v>
      </c>
      <c r="D41">
        <v>0</v>
      </c>
    </row>
    <row r="42" spans="1:4" x14ac:dyDescent="0.25">
      <c r="A42">
        <v>10</v>
      </c>
      <c r="B42">
        <v>0</v>
      </c>
      <c r="C42">
        <v>0</v>
      </c>
      <c r="D42">
        <v>0</v>
      </c>
    </row>
    <row r="43" spans="1:4" x14ac:dyDescent="0.25">
      <c r="A43">
        <v>11</v>
      </c>
      <c r="B43">
        <v>0</v>
      </c>
      <c r="C43">
        <v>0</v>
      </c>
      <c r="D43">
        <v>0</v>
      </c>
    </row>
    <row r="44" spans="1:4" x14ac:dyDescent="0.25">
      <c r="A44">
        <v>12</v>
      </c>
      <c r="B44">
        <v>0</v>
      </c>
      <c r="C44">
        <v>0</v>
      </c>
      <c r="D44">
        <v>0</v>
      </c>
    </row>
    <row r="45" spans="1:4" x14ac:dyDescent="0.25">
      <c r="A45">
        <v>13</v>
      </c>
      <c r="B45">
        <v>0</v>
      </c>
      <c r="C45">
        <v>0</v>
      </c>
      <c r="D45">
        <v>0</v>
      </c>
    </row>
    <row r="46" spans="1:4" x14ac:dyDescent="0.25">
      <c r="A46">
        <v>14</v>
      </c>
      <c r="B46">
        <v>0</v>
      </c>
      <c r="C46">
        <v>0</v>
      </c>
      <c r="D46">
        <v>0</v>
      </c>
    </row>
    <row r="47" spans="1:4" x14ac:dyDescent="0.25">
      <c r="A47">
        <v>15</v>
      </c>
      <c r="B47">
        <v>0</v>
      </c>
      <c r="C47">
        <v>0</v>
      </c>
      <c r="D47">
        <v>0</v>
      </c>
    </row>
    <row r="48" spans="1:4" x14ac:dyDescent="0.25">
      <c r="A48">
        <v>16</v>
      </c>
      <c r="B48">
        <v>0</v>
      </c>
      <c r="C48">
        <v>0</v>
      </c>
      <c r="D48">
        <v>0</v>
      </c>
    </row>
    <row r="49" spans="1:4" x14ac:dyDescent="0.25">
      <c r="A49">
        <v>17</v>
      </c>
      <c r="B49">
        <v>0</v>
      </c>
      <c r="C49">
        <v>0</v>
      </c>
      <c r="D49">
        <v>0</v>
      </c>
    </row>
    <row r="50" spans="1:4" x14ac:dyDescent="0.25">
      <c r="A50">
        <v>18</v>
      </c>
      <c r="B50">
        <v>0</v>
      </c>
      <c r="C50">
        <v>0</v>
      </c>
      <c r="D50">
        <v>0</v>
      </c>
    </row>
    <row r="51" spans="1:4" x14ac:dyDescent="0.25">
      <c r="A51">
        <v>19</v>
      </c>
      <c r="B51">
        <v>0</v>
      </c>
      <c r="C51">
        <v>0</v>
      </c>
      <c r="D51">
        <v>0</v>
      </c>
    </row>
    <row r="52" spans="1:4" x14ac:dyDescent="0.25">
      <c r="A52">
        <v>20</v>
      </c>
      <c r="B52">
        <v>0</v>
      </c>
      <c r="C52">
        <v>0</v>
      </c>
      <c r="D52">
        <v>0</v>
      </c>
    </row>
    <row r="53" spans="1:4" x14ac:dyDescent="0.25">
      <c r="A53">
        <v>21</v>
      </c>
      <c r="B53">
        <v>0</v>
      </c>
      <c r="C53">
        <v>0</v>
      </c>
      <c r="D53">
        <v>0</v>
      </c>
    </row>
    <row r="54" spans="1:4" x14ac:dyDescent="0.25">
      <c r="A54">
        <v>22</v>
      </c>
      <c r="B54">
        <v>0</v>
      </c>
      <c r="C54">
        <v>0</v>
      </c>
      <c r="D54">
        <v>0</v>
      </c>
    </row>
    <row r="55" spans="1:4" x14ac:dyDescent="0.25">
      <c r="A55">
        <v>23</v>
      </c>
      <c r="B55">
        <v>0</v>
      </c>
      <c r="C55">
        <v>0</v>
      </c>
      <c r="D55">
        <v>0</v>
      </c>
    </row>
    <row r="56" spans="1:4" x14ac:dyDescent="0.25">
      <c r="A56">
        <v>24</v>
      </c>
      <c r="B56">
        <v>0</v>
      </c>
      <c r="C56">
        <v>0</v>
      </c>
      <c r="D56">
        <v>0</v>
      </c>
    </row>
    <row r="59" spans="1:4" ht="17.25" x14ac:dyDescent="0.3">
      <c r="A59" s="1" t="s">
        <v>77</v>
      </c>
    </row>
    <row r="61" spans="1:4" x14ac:dyDescent="0.25">
      <c r="A61" s="2" t="s">
        <v>13</v>
      </c>
      <c r="B61" s="2" t="s">
        <v>73</v>
      </c>
      <c r="C61" s="2" t="s">
        <v>74</v>
      </c>
      <c r="D61" s="2" t="s">
        <v>75</v>
      </c>
    </row>
    <row r="62" spans="1:4" x14ac:dyDescent="0.25">
      <c r="A62">
        <v>1</v>
      </c>
      <c r="B62">
        <v>0</v>
      </c>
      <c r="C62">
        <v>0</v>
      </c>
      <c r="D62">
        <v>0</v>
      </c>
    </row>
    <row r="63" spans="1:4" x14ac:dyDescent="0.25">
      <c r="A63">
        <v>2</v>
      </c>
      <c r="B63">
        <v>0</v>
      </c>
      <c r="C63">
        <v>0</v>
      </c>
      <c r="D63">
        <v>0</v>
      </c>
    </row>
    <row r="64" spans="1:4" x14ac:dyDescent="0.25">
      <c r="A64">
        <v>3</v>
      </c>
      <c r="B64">
        <v>0</v>
      </c>
      <c r="C64">
        <v>0</v>
      </c>
      <c r="D64">
        <v>0</v>
      </c>
    </row>
    <row r="65" spans="1:4" x14ac:dyDescent="0.25">
      <c r="A65">
        <v>4</v>
      </c>
      <c r="B65">
        <v>0</v>
      </c>
      <c r="C65">
        <v>0</v>
      </c>
      <c r="D65">
        <v>0</v>
      </c>
    </row>
    <row r="66" spans="1:4" x14ac:dyDescent="0.25">
      <c r="A66">
        <v>5</v>
      </c>
      <c r="B66">
        <v>0</v>
      </c>
      <c r="C66">
        <v>0</v>
      </c>
      <c r="D66">
        <v>0</v>
      </c>
    </row>
    <row r="67" spans="1:4" x14ac:dyDescent="0.25">
      <c r="A67">
        <v>6</v>
      </c>
      <c r="B67">
        <v>0</v>
      </c>
      <c r="C67">
        <v>0</v>
      </c>
      <c r="D67">
        <v>0</v>
      </c>
    </row>
    <row r="68" spans="1:4" x14ac:dyDescent="0.25">
      <c r="A68">
        <v>7</v>
      </c>
      <c r="B68">
        <v>0</v>
      </c>
      <c r="C68">
        <v>0</v>
      </c>
      <c r="D68">
        <v>0</v>
      </c>
    </row>
    <row r="69" spans="1:4" x14ac:dyDescent="0.25">
      <c r="A69">
        <v>8</v>
      </c>
      <c r="B69">
        <v>0</v>
      </c>
      <c r="C69">
        <v>0</v>
      </c>
      <c r="D69">
        <v>0</v>
      </c>
    </row>
    <row r="70" spans="1:4" x14ac:dyDescent="0.25">
      <c r="A70">
        <v>9</v>
      </c>
      <c r="B70">
        <v>0</v>
      </c>
      <c r="C70">
        <v>0</v>
      </c>
      <c r="D70">
        <v>0</v>
      </c>
    </row>
    <row r="71" spans="1:4" x14ac:dyDescent="0.25">
      <c r="A71">
        <v>10</v>
      </c>
      <c r="B71">
        <v>0</v>
      </c>
      <c r="C71">
        <v>0</v>
      </c>
      <c r="D71">
        <v>0</v>
      </c>
    </row>
    <row r="72" spans="1:4" x14ac:dyDescent="0.25">
      <c r="A72">
        <v>11</v>
      </c>
      <c r="B72">
        <v>0</v>
      </c>
      <c r="C72">
        <v>0</v>
      </c>
      <c r="D72">
        <v>0</v>
      </c>
    </row>
    <row r="73" spans="1:4" x14ac:dyDescent="0.25">
      <c r="A73">
        <v>12</v>
      </c>
      <c r="B73">
        <v>0</v>
      </c>
      <c r="C73">
        <v>0</v>
      </c>
      <c r="D73">
        <v>0</v>
      </c>
    </row>
    <row r="74" spans="1:4" x14ac:dyDescent="0.25">
      <c r="A74">
        <v>13</v>
      </c>
      <c r="B74">
        <v>0</v>
      </c>
      <c r="C74">
        <v>0</v>
      </c>
      <c r="D74">
        <v>0</v>
      </c>
    </row>
    <row r="75" spans="1:4" x14ac:dyDescent="0.25">
      <c r="A75">
        <v>14</v>
      </c>
      <c r="B75">
        <v>0</v>
      </c>
      <c r="C75">
        <v>0</v>
      </c>
      <c r="D75">
        <v>0</v>
      </c>
    </row>
    <row r="76" spans="1:4" x14ac:dyDescent="0.25">
      <c r="A76">
        <v>15</v>
      </c>
      <c r="B76">
        <v>0</v>
      </c>
      <c r="C76">
        <v>0</v>
      </c>
      <c r="D76">
        <v>0</v>
      </c>
    </row>
    <row r="77" spans="1:4" x14ac:dyDescent="0.25">
      <c r="A77">
        <v>16</v>
      </c>
      <c r="B77">
        <v>0</v>
      </c>
      <c r="C77">
        <v>0</v>
      </c>
      <c r="D77">
        <v>0</v>
      </c>
    </row>
    <row r="78" spans="1:4" x14ac:dyDescent="0.25">
      <c r="A78">
        <v>17</v>
      </c>
      <c r="B78">
        <v>0</v>
      </c>
      <c r="C78">
        <v>0</v>
      </c>
      <c r="D78">
        <v>0</v>
      </c>
    </row>
    <row r="79" spans="1:4" x14ac:dyDescent="0.25">
      <c r="A79">
        <v>18</v>
      </c>
      <c r="B79">
        <v>0</v>
      </c>
      <c r="C79">
        <v>0</v>
      </c>
      <c r="D79">
        <v>0</v>
      </c>
    </row>
    <row r="80" spans="1:4" x14ac:dyDescent="0.25">
      <c r="A80">
        <v>19</v>
      </c>
      <c r="B80">
        <v>0</v>
      </c>
      <c r="C80">
        <v>0</v>
      </c>
      <c r="D80">
        <v>0</v>
      </c>
    </row>
    <row r="81" spans="1:4" x14ac:dyDescent="0.25">
      <c r="A81">
        <v>20</v>
      </c>
      <c r="B81">
        <v>0</v>
      </c>
      <c r="C81">
        <v>0</v>
      </c>
      <c r="D81">
        <v>0</v>
      </c>
    </row>
    <row r="82" spans="1:4" x14ac:dyDescent="0.25">
      <c r="A82">
        <v>21</v>
      </c>
      <c r="B82">
        <v>0</v>
      </c>
      <c r="C82">
        <v>0</v>
      </c>
      <c r="D82">
        <v>0</v>
      </c>
    </row>
    <row r="83" spans="1:4" x14ac:dyDescent="0.25">
      <c r="A83">
        <v>22</v>
      </c>
      <c r="B83">
        <v>0</v>
      </c>
      <c r="C83">
        <v>0</v>
      </c>
      <c r="D83">
        <v>0</v>
      </c>
    </row>
    <row r="84" spans="1:4" x14ac:dyDescent="0.25">
      <c r="A84">
        <v>23</v>
      </c>
      <c r="B84">
        <v>0</v>
      </c>
      <c r="C84">
        <v>0</v>
      </c>
      <c r="D84">
        <v>0</v>
      </c>
    </row>
    <row r="85" spans="1:4" x14ac:dyDescent="0.25">
      <c r="A85">
        <v>24</v>
      </c>
      <c r="B85">
        <v>0</v>
      </c>
      <c r="C85">
        <v>0</v>
      </c>
      <c r="D85">
        <v>0</v>
      </c>
    </row>
    <row r="88" spans="1:4" ht="17.25" x14ac:dyDescent="0.3">
      <c r="A88" s="1" t="s">
        <v>78</v>
      </c>
    </row>
    <row r="90" spans="1:4" x14ac:dyDescent="0.25">
      <c r="A90" s="2" t="s">
        <v>13</v>
      </c>
      <c r="B90" s="2" t="s">
        <v>73</v>
      </c>
      <c r="C90" s="2" t="s">
        <v>74</v>
      </c>
      <c r="D90" s="2" t="s">
        <v>75</v>
      </c>
    </row>
    <row r="91" spans="1:4" x14ac:dyDescent="0.25">
      <c r="A91">
        <v>1</v>
      </c>
      <c r="B91">
        <v>0</v>
      </c>
      <c r="C91">
        <v>0</v>
      </c>
      <c r="D91">
        <v>0</v>
      </c>
    </row>
    <row r="92" spans="1:4" x14ac:dyDescent="0.25">
      <c r="A92">
        <v>2</v>
      </c>
      <c r="B92">
        <v>0</v>
      </c>
      <c r="C92">
        <v>0</v>
      </c>
      <c r="D92">
        <v>0</v>
      </c>
    </row>
    <row r="93" spans="1:4" x14ac:dyDescent="0.25">
      <c r="A93">
        <v>3</v>
      </c>
      <c r="B93">
        <v>0</v>
      </c>
      <c r="C93">
        <v>0</v>
      </c>
      <c r="D93">
        <v>0</v>
      </c>
    </row>
    <row r="94" spans="1:4" x14ac:dyDescent="0.25">
      <c r="A94">
        <v>4</v>
      </c>
      <c r="B94">
        <v>0</v>
      </c>
      <c r="C94">
        <v>0</v>
      </c>
      <c r="D94">
        <v>0</v>
      </c>
    </row>
    <row r="95" spans="1:4" x14ac:dyDescent="0.25">
      <c r="A95">
        <v>5</v>
      </c>
      <c r="B95">
        <v>0</v>
      </c>
      <c r="C95">
        <v>0</v>
      </c>
      <c r="D95">
        <v>0</v>
      </c>
    </row>
    <row r="96" spans="1:4" x14ac:dyDescent="0.25">
      <c r="A96">
        <v>6</v>
      </c>
      <c r="B96">
        <v>0</v>
      </c>
      <c r="C96">
        <v>0</v>
      </c>
      <c r="D96">
        <v>0</v>
      </c>
    </row>
    <row r="97" spans="1:4" x14ac:dyDescent="0.25">
      <c r="A97">
        <v>7</v>
      </c>
      <c r="B97">
        <v>0</v>
      </c>
      <c r="C97">
        <v>0</v>
      </c>
      <c r="D97">
        <v>0</v>
      </c>
    </row>
    <row r="98" spans="1:4" x14ac:dyDescent="0.25">
      <c r="A98">
        <v>8</v>
      </c>
      <c r="B98">
        <v>0</v>
      </c>
      <c r="C98">
        <v>0</v>
      </c>
      <c r="D98">
        <v>0</v>
      </c>
    </row>
    <row r="99" spans="1:4" x14ac:dyDescent="0.25">
      <c r="A99">
        <v>9</v>
      </c>
      <c r="B99">
        <v>0</v>
      </c>
      <c r="C99">
        <v>0</v>
      </c>
      <c r="D99">
        <v>0</v>
      </c>
    </row>
    <row r="100" spans="1:4" x14ac:dyDescent="0.25">
      <c r="A100">
        <v>10</v>
      </c>
      <c r="B100">
        <v>0</v>
      </c>
      <c r="C100">
        <v>0</v>
      </c>
      <c r="D100">
        <v>0</v>
      </c>
    </row>
    <row r="101" spans="1:4" x14ac:dyDescent="0.25">
      <c r="A101">
        <v>11</v>
      </c>
      <c r="B101">
        <v>0</v>
      </c>
      <c r="C101">
        <v>0</v>
      </c>
      <c r="D101">
        <v>0</v>
      </c>
    </row>
    <row r="102" spans="1:4" x14ac:dyDescent="0.25">
      <c r="A102">
        <v>12</v>
      </c>
      <c r="B102">
        <v>0</v>
      </c>
      <c r="C102">
        <v>0</v>
      </c>
      <c r="D102">
        <v>0</v>
      </c>
    </row>
    <row r="103" spans="1:4" x14ac:dyDescent="0.25">
      <c r="A103">
        <v>13</v>
      </c>
      <c r="B103">
        <v>0</v>
      </c>
      <c r="C103">
        <v>0</v>
      </c>
      <c r="D103">
        <v>0</v>
      </c>
    </row>
    <row r="104" spans="1:4" x14ac:dyDescent="0.25">
      <c r="A104">
        <v>14</v>
      </c>
      <c r="B104">
        <v>0</v>
      </c>
      <c r="C104">
        <v>0</v>
      </c>
      <c r="D104">
        <v>0</v>
      </c>
    </row>
    <row r="105" spans="1:4" x14ac:dyDescent="0.25">
      <c r="A105">
        <v>15</v>
      </c>
      <c r="B105">
        <v>0</v>
      </c>
      <c r="C105">
        <v>0</v>
      </c>
      <c r="D105">
        <v>0</v>
      </c>
    </row>
    <row r="106" spans="1:4" x14ac:dyDescent="0.25">
      <c r="A106">
        <v>16</v>
      </c>
      <c r="B106">
        <v>0</v>
      </c>
      <c r="C106">
        <v>0</v>
      </c>
      <c r="D106">
        <v>0</v>
      </c>
    </row>
    <row r="107" spans="1:4" x14ac:dyDescent="0.25">
      <c r="A107">
        <v>17</v>
      </c>
      <c r="B107">
        <v>0</v>
      </c>
      <c r="C107">
        <v>0</v>
      </c>
      <c r="D107">
        <v>0</v>
      </c>
    </row>
    <row r="108" spans="1:4" x14ac:dyDescent="0.25">
      <c r="A108">
        <v>18</v>
      </c>
      <c r="B108">
        <v>0</v>
      </c>
      <c r="C108">
        <v>0</v>
      </c>
      <c r="D108">
        <v>0</v>
      </c>
    </row>
    <row r="109" spans="1:4" x14ac:dyDescent="0.25">
      <c r="A109">
        <v>19</v>
      </c>
      <c r="B109">
        <v>0</v>
      </c>
      <c r="C109">
        <v>0</v>
      </c>
      <c r="D109">
        <v>0</v>
      </c>
    </row>
    <row r="110" spans="1:4" x14ac:dyDescent="0.25">
      <c r="A110">
        <v>20</v>
      </c>
      <c r="B110">
        <v>0</v>
      </c>
      <c r="C110">
        <v>0</v>
      </c>
      <c r="D110">
        <v>0</v>
      </c>
    </row>
    <row r="111" spans="1:4" x14ac:dyDescent="0.25">
      <c r="A111">
        <v>21</v>
      </c>
      <c r="B111">
        <v>0</v>
      </c>
      <c r="C111">
        <v>0</v>
      </c>
      <c r="D111">
        <v>0</v>
      </c>
    </row>
    <row r="112" spans="1:4" x14ac:dyDescent="0.25">
      <c r="A112">
        <v>22</v>
      </c>
      <c r="B112">
        <v>0</v>
      </c>
      <c r="C112">
        <v>0</v>
      </c>
      <c r="D112">
        <v>0</v>
      </c>
    </row>
    <row r="113" spans="1:4" x14ac:dyDescent="0.25">
      <c r="A113">
        <v>23</v>
      </c>
      <c r="B113">
        <v>0</v>
      </c>
      <c r="C113">
        <v>0</v>
      </c>
      <c r="D113">
        <v>0</v>
      </c>
    </row>
    <row r="114" spans="1:4" x14ac:dyDescent="0.25">
      <c r="A114">
        <v>24</v>
      </c>
      <c r="B114">
        <v>0</v>
      </c>
      <c r="C114">
        <v>0</v>
      </c>
      <c r="D114">
        <v>0</v>
      </c>
    </row>
    <row r="117" spans="1:4" ht="17.25" x14ac:dyDescent="0.3">
      <c r="A117" s="1" t="s">
        <v>79</v>
      </c>
    </row>
    <row r="119" spans="1:4" x14ac:dyDescent="0.25">
      <c r="A119" s="2" t="s">
        <v>13</v>
      </c>
      <c r="B119" s="2" t="s">
        <v>73</v>
      </c>
      <c r="C119" s="2" t="s">
        <v>74</v>
      </c>
      <c r="D119" s="2" t="s">
        <v>75</v>
      </c>
    </row>
    <row r="120" spans="1:4" x14ac:dyDescent="0.25">
      <c r="A120">
        <v>1</v>
      </c>
      <c r="B120">
        <v>0</v>
      </c>
      <c r="C120">
        <v>0</v>
      </c>
      <c r="D120">
        <v>0</v>
      </c>
    </row>
    <row r="121" spans="1:4" x14ac:dyDescent="0.25">
      <c r="A121">
        <v>2</v>
      </c>
      <c r="B121">
        <v>0</v>
      </c>
      <c r="C121">
        <v>0</v>
      </c>
      <c r="D121">
        <v>0</v>
      </c>
    </row>
    <row r="122" spans="1:4" x14ac:dyDescent="0.25">
      <c r="A122">
        <v>3</v>
      </c>
      <c r="B122">
        <v>0</v>
      </c>
      <c r="C122">
        <v>0</v>
      </c>
      <c r="D122">
        <v>0</v>
      </c>
    </row>
    <row r="123" spans="1:4" x14ac:dyDescent="0.25">
      <c r="A123">
        <v>4</v>
      </c>
      <c r="B123">
        <v>0</v>
      </c>
      <c r="C123">
        <v>0</v>
      </c>
      <c r="D123">
        <v>0</v>
      </c>
    </row>
    <row r="124" spans="1:4" x14ac:dyDescent="0.25">
      <c r="A124">
        <v>5</v>
      </c>
      <c r="B124">
        <v>0</v>
      </c>
      <c r="C124">
        <v>0</v>
      </c>
      <c r="D124">
        <v>0</v>
      </c>
    </row>
    <row r="125" spans="1:4" x14ac:dyDescent="0.25">
      <c r="A125">
        <v>6</v>
      </c>
      <c r="B125">
        <v>0</v>
      </c>
      <c r="C125">
        <v>0</v>
      </c>
      <c r="D125">
        <v>0</v>
      </c>
    </row>
    <row r="126" spans="1:4" x14ac:dyDescent="0.25">
      <c r="A126">
        <v>7</v>
      </c>
      <c r="B126">
        <v>0</v>
      </c>
      <c r="C126">
        <v>0</v>
      </c>
      <c r="D126">
        <v>0</v>
      </c>
    </row>
    <row r="127" spans="1:4" x14ac:dyDescent="0.25">
      <c r="A127">
        <v>8</v>
      </c>
      <c r="B127">
        <v>0</v>
      </c>
      <c r="C127">
        <v>0</v>
      </c>
      <c r="D127">
        <v>0</v>
      </c>
    </row>
    <row r="128" spans="1:4" x14ac:dyDescent="0.25">
      <c r="A128">
        <v>9</v>
      </c>
      <c r="B128">
        <v>0</v>
      </c>
      <c r="C128">
        <v>0</v>
      </c>
      <c r="D128">
        <v>0</v>
      </c>
    </row>
    <row r="129" spans="1:4" x14ac:dyDescent="0.25">
      <c r="A129">
        <v>10</v>
      </c>
      <c r="B129">
        <v>0</v>
      </c>
      <c r="C129">
        <v>0</v>
      </c>
      <c r="D129">
        <v>0</v>
      </c>
    </row>
    <row r="130" spans="1:4" x14ac:dyDescent="0.25">
      <c r="A130">
        <v>11</v>
      </c>
      <c r="B130">
        <v>0</v>
      </c>
      <c r="C130">
        <v>0</v>
      </c>
      <c r="D130">
        <v>0</v>
      </c>
    </row>
    <row r="131" spans="1:4" x14ac:dyDescent="0.25">
      <c r="A131">
        <v>12</v>
      </c>
      <c r="B131">
        <v>0</v>
      </c>
      <c r="C131">
        <v>0</v>
      </c>
      <c r="D131">
        <v>0</v>
      </c>
    </row>
    <row r="132" spans="1:4" x14ac:dyDescent="0.25">
      <c r="A132">
        <v>13</v>
      </c>
      <c r="B132">
        <v>0</v>
      </c>
      <c r="C132">
        <v>0</v>
      </c>
      <c r="D132">
        <v>0</v>
      </c>
    </row>
    <row r="133" spans="1:4" x14ac:dyDescent="0.25">
      <c r="A133">
        <v>14</v>
      </c>
      <c r="B133">
        <v>0</v>
      </c>
      <c r="C133">
        <v>0</v>
      </c>
      <c r="D133">
        <v>0</v>
      </c>
    </row>
    <row r="134" spans="1:4" x14ac:dyDescent="0.25">
      <c r="A134">
        <v>15</v>
      </c>
      <c r="B134">
        <v>0</v>
      </c>
      <c r="C134">
        <v>0</v>
      </c>
      <c r="D134">
        <v>0</v>
      </c>
    </row>
    <row r="135" spans="1:4" x14ac:dyDescent="0.25">
      <c r="A135">
        <v>16</v>
      </c>
      <c r="B135">
        <v>0</v>
      </c>
      <c r="C135">
        <v>0</v>
      </c>
      <c r="D135">
        <v>0</v>
      </c>
    </row>
    <row r="136" spans="1:4" x14ac:dyDescent="0.25">
      <c r="A136">
        <v>17</v>
      </c>
      <c r="B136">
        <v>0</v>
      </c>
      <c r="C136">
        <v>0</v>
      </c>
      <c r="D136">
        <v>0</v>
      </c>
    </row>
    <row r="137" spans="1:4" x14ac:dyDescent="0.25">
      <c r="A137">
        <v>18</v>
      </c>
      <c r="B137">
        <v>0</v>
      </c>
      <c r="C137">
        <v>0</v>
      </c>
      <c r="D137">
        <v>0</v>
      </c>
    </row>
    <row r="138" spans="1:4" x14ac:dyDescent="0.25">
      <c r="A138">
        <v>19</v>
      </c>
      <c r="B138">
        <v>0</v>
      </c>
      <c r="C138">
        <v>0</v>
      </c>
      <c r="D138">
        <v>0</v>
      </c>
    </row>
    <row r="139" spans="1:4" x14ac:dyDescent="0.25">
      <c r="A139">
        <v>20</v>
      </c>
      <c r="B139">
        <v>0</v>
      </c>
      <c r="C139">
        <v>0</v>
      </c>
      <c r="D139">
        <v>0</v>
      </c>
    </row>
    <row r="140" spans="1:4" x14ac:dyDescent="0.25">
      <c r="A140">
        <v>21</v>
      </c>
      <c r="B140">
        <v>0</v>
      </c>
      <c r="C140">
        <v>0</v>
      </c>
      <c r="D140">
        <v>0</v>
      </c>
    </row>
    <row r="141" spans="1:4" x14ac:dyDescent="0.25">
      <c r="A141">
        <v>22</v>
      </c>
      <c r="B141">
        <v>0</v>
      </c>
      <c r="C141">
        <v>0</v>
      </c>
      <c r="D141">
        <v>0</v>
      </c>
    </row>
    <row r="142" spans="1:4" x14ac:dyDescent="0.25">
      <c r="A142">
        <v>23</v>
      </c>
      <c r="B142">
        <v>0</v>
      </c>
      <c r="C142">
        <v>0</v>
      </c>
      <c r="D142">
        <v>0</v>
      </c>
    </row>
    <row r="143" spans="1:4" x14ac:dyDescent="0.25">
      <c r="A143">
        <v>24</v>
      </c>
      <c r="B143">
        <v>0</v>
      </c>
      <c r="C143">
        <v>0</v>
      </c>
      <c r="D143">
        <v>0</v>
      </c>
    </row>
    <row r="146" spans="1:4" ht="17.25" x14ac:dyDescent="0.3">
      <c r="A146" s="1" t="s">
        <v>80</v>
      </c>
      <c r="B146" s="16"/>
    </row>
    <row r="148" spans="1:4" x14ac:dyDescent="0.25">
      <c r="A148" s="2" t="s">
        <v>13</v>
      </c>
      <c r="B148" s="2" t="s">
        <v>73</v>
      </c>
      <c r="C148" s="2" t="s">
        <v>74</v>
      </c>
      <c r="D148" s="2" t="s">
        <v>75</v>
      </c>
    </row>
    <row r="149" spans="1:4" x14ac:dyDescent="0.25">
      <c r="A149">
        <v>1</v>
      </c>
      <c r="B149">
        <v>0</v>
      </c>
      <c r="C149">
        <v>0</v>
      </c>
      <c r="D149">
        <v>0.09</v>
      </c>
    </row>
    <row r="150" spans="1:4" x14ac:dyDescent="0.25">
      <c r="A150">
        <v>2</v>
      </c>
      <c r="B150">
        <v>0</v>
      </c>
      <c r="C150">
        <v>0</v>
      </c>
      <c r="D150">
        <v>0.09</v>
      </c>
    </row>
    <row r="151" spans="1:4" x14ac:dyDescent="0.25">
      <c r="A151">
        <v>3</v>
      </c>
      <c r="B151">
        <v>0</v>
      </c>
      <c r="C151">
        <v>0</v>
      </c>
      <c r="D151">
        <v>0.09</v>
      </c>
    </row>
    <row r="152" spans="1:4" x14ac:dyDescent="0.25">
      <c r="A152">
        <v>4</v>
      </c>
      <c r="B152">
        <v>0</v>
      </c>
      <c r="C152">
        <v>0</v>
      </c>
      <c r="D152">
        <v>0.09</v>
      </c>
    </row>
    <row r="153" spans="1:4" x14ac:dyDescent="0.25">
      <c r="A153">
        <v>5</v>
      </c>
      <c r="B153">
        <v>0</v>
      </c>
      <c r="C153">
        <v>0</v>
      </c>
      <c r="D153">
        <v>0.09</v>
      </c>
    </row>
    <row r="154" spans="1:4" x14ac:dyDescent="0.25">
      <c r="A154">
        <v>6</v>
      </c>
      <c r="B154">
        <v>0</v>
      </c>
      <c r="C154">
        <v>0</v>
      </c>
      <c r="D154">
        <v>0.09</v>
      </c>
    </row>
    <row r="155" spans="1:4" x14ac:dyDescent="0.25">
      <c r="A155">
        <v>7</v>
      </c>
      <c r="B155">
        <v>0</v>
      </c>
      <c r="C155">
        <v>0</v>
      </c>
      <c r="D155">
        <v>0.09</v>
      </c>
    </row>
    <row r="156" spans="1:4" x14ac:dyDescent="0.25">
      <c r="A156">
        <v>8</v>
      </c>
      <c r="B156">
        <v>0</v>
      </c>
      <c r="C156">
        <v>0</v>
      </c>
      <c r="D156">
        <v>0.09</v>
      </c>
    </row>
    <row r="157" spans="1:4" x14ac:dyDescent="0.25">
      <c r="A157">
        <v>9</v>
      </c>
      <c r="B157">
        <v>0</v>
      </c>
      <c r="C157">
        <v>0</v>
      </c>
      <c r="D157">
        <v>0.09</v>
      </c>
    </row>
    <row r="158" spans="1:4" x14ac:dyDescent="0.25">
      <c r="A158">
        <v>10</v>
      </c>
      <c r="B158">
        <v>0.09</v>
      </c>
      <c r="C158">
        <v>0</v>
      </c>
      <c r="D158">
        <v>0.17</v>
      </c>
    </row>
    <row r="159" spans="1:4" x14ac:dyDescent="0.25">
      <c r="A159">
        <v>11</v>
      </c>
      <c r="B159">
        <v>0.14000000000000001</v>
      </c>
      <c r="C159">
        <v>0</v>
      </c>
      <c r="D159">
        <v>0.3</v>
      </c>
    </row>
    <row r="160" spans="1:4" x14ac:dyDescent="0.25">
      <c r="A160">
        <v>12</v>
      </c>
      <c r="B160">
        <v>0</v>
      </c>
      <c r="C160">
        <v>0</v>
      </c>
      <c r="D160">
        <v>0.3</v>
      </c>
    </row>
    <row r="161" spans="1:4" x14ac:dyDescent="0.25">
      <c r="A161">
        <v>13</v>
      </c>
      <c r="B161">
        <v>0</v>
      </c>
      <c r="C161">
        <v>0</v>
      </c>
      <c r="D161">
        <v>0.3</v>
      </c>
    </row>
    <row r="162" spans="1:4" x14ac:dyDescent="0.25">
      <c r="A162">
        <v>14</v>
      </c>
      <c r="B162">
        <v>0</v>
      </c>
      <c r="C162">
        <v>0</v>
      </c>
      <c r="D162">
        <v>0.3</v>
      </c>
    </row>
    <row r="163" spans="1:4" x14ac:dyDescent="0.25">
      <c r="A163">
        <v>15</v>
      </c>
      <c r="B163">
        <v>0</v>
      </c>
      <c r="C163">
        <v>0</v>
      </c>
      <c r="D163">
        <v>0.3</v>
      </c>
    </row>
    <row r="164" spans="1:4" x14ac:dyDescent="0.25">
      <c r="A164">
        <v>16</v>
      </c>
      <c r="B164">
        <v>0</v>
      </c>
      <c r="C164">
        <v>0</v>
      </c>
      <c r="D164">
        <v>0.3</v>
      </c>
    </row>
    <row r="165" spans="1:4" x14ac:dyDescent="0.25">
      <c r="A165">
        <v>17</v>
      </c>
      <c r="B165">
        <v>0</v>
      </c>
      <c r="C165">
        <v>0</v>
      </c>
      <c r="D165">
        <v>0.3</v>
      </c>
    </row>
    <row r="166" spans="1:4" x14ac:dyDescent="0.25">
      <c r="A166">
        <v>18</v>
      </c>
      <c r="B166">
        <v>0</v>
      </c>
      <c r="C166">
        <v>0</v>
      </c>
      <c r="D166">
        <v>0.3</v>
      </c>
    </row>
    <row r="167" spans="1:4" x14ac:dyDescent="0.25">
      <c r="A167">
        <v>19</v>
      </c>
      <c r="B167">
        <v>0</v>
      </c>
      <c r="C167">
        <v>0.14000000000000001</v>
      </c>
      <c r="D167">
        <v>0.15</v>
      </c>
    </row>
    <row r="168" spans="1:4" x14ac:dyDescent="0.25">
      <c r="A168">
        <v>20</v>
      </c>
      <c r="B168">
        <v>0</v>
      </c>
      <c r="C168">
        <v>0.14000000000000001</v>
      </c>
      <c r="D168">
        <v>0</v>
      </c>
    </row>
    <row r="169" spans="1:4" x14ac:dyDescent="0.25">
      <c r="A169">
        <v>21</v>
      </c>
      <c r="B169">
        <v>0</v>
      </c>
      <c r="C169">
        <v>0</v>
      </c>
      <c r="D169">
        <v>0</v>
      </c>
    </row>
    <row r="170" spans="1:4" x14ac:dyDescent="0.25">
      <c r="A170">
        <v>22</v>
      </c>
      <c r="B170">
        <v>0</v>
      </c>
      <c r="C170">
        <v>0</v>
      </c>
      <c r="D170">
        <v>0</v>
      </c>
    </row>
    <row r="171" spans="1:4" x14ac:dyDescent="0.25">
      <c r="A171">
        <v>23</v>
      </c>
      <c r="B171">
        <v>0</v>
      </c>
      <c r="C171">
        <v>0</v>
      </c>
      <c r="D171">
        <v>0</v>
      </c>
    </row>
    <row r="172" spans="1:4" x14ac:dyDescent="0.25">
      <c r="A172">
        <v>24</v>
      </c>
      <c r="B172">
        <v>0.1</v>
      </c>
      <c r="C172">
        <v>0</v>
      </c>
      <c r="D172">
        <v>0.09</v>
      </c>
    </row>
    <row r="175" spans="1:4" ht="17.25" x14ac:dyDescent="0.3">
      <c r="A175" s="1" t="s">
        <v>81</v>
      </c>
      <c r="B175" s="16"/>
    </row>
    <row r="177" spans="1:4" x14ac:dyDescent="0.25">
      <c r="A177" s="2" t="s">
        <v>13</v>
      </c>
      <c r="B177" s="2" t="s">
        <v>73</v>
      </c>
      <c r="C177" s="2" t="s">
        <v>74</v>
      </c>
      <c r="D177" s="2" t="s">
        <v>75</v>
      </c>
    </row>
    <row r="178" spans="1:4" x14ac:dyDescent="0.25">
      <c r="A178">
        <v>1</v>
      </c>
      <c r="B178">
        <v>0</v>
      </c>
      <c r="C178">
        <v>0</v>
      </c>
      <c r="D178">
        <v>1.5</v>
      </c>
    </row>
    <row r="179" spans="1:4" x14ac:dyDescent="0.25">
      <c r="A179">
        <v>2</v>
      </c>
      <c r="B179">
        <v>1.5</v>
      </c>
      <c r="C179">
        <v>0</v>
      </c>
      <c r="D179">
        <v>2.88</v>
      </c>
    </row>
    <row r="180" spans="1:4" x14ac:dyDescent="0.25">
      <c r="A180">
        <v>3</v>
      </c>
      <c r="B180">
        <v>0.53</v>
      </c>
      <c r="C180">
        <v>0</v>
      </c>
      <c r="D180">
        <v>3.37</v>
      </c>
    </row>
    <row r="181" spans="1:4" x14ac:dyDescent="0.25">
      <c r="A181">
        <v>4</v>
      </c>
      <c r="B181">
        <v>1.75</v>
      </c>
      <c r="C181">
        <v>0</v>
      </c>
      <c r="D181">
        <v>4.9800000000000004</v>
      </c>
    </row>
    <row r="182" spans="1:4" x14ac:dyDescent="0.25">
      <c r="A182">
        <v>5</v>
      </c>
      <c r="B182">
        <v>0.01</v>
      </c>
      <c r="C182">
        <v>0</v>
      </c>
      <c r="D182">
        <v>4.99</v>
      </c>
    </row>
    <row r="183" spans="1:4" x14ac:dyDescent="0.25">
      <c r="A183">
        <v>6</v>
      </c>
      <c r="B183">
        <v>0</v>
      </c>
      <c r="C183">
        <v>0</v>
      </c>
      <c r="D183">
        <v>4.9800000000000004</v>
      </c>
    </row>
    <row r="184" spans="1:4" x14ac:dyDescent="0.25">
      <c r="A184">
        <v>7</v>
      </c>
      <c r="B184">
        <v>0</v>
      </c>
      <c r="C184">
        <v>0</v>
      </c>
      <c r="D184">
        <v>4.9800000000000004</v>
      </c>
    </row>
    <row r="185" spans="1:4" x14ac:dyDescent="0.25">
      <c r="A185">
        <v>8</v>
      </c>
      <c r="B185">
        <v>0</v>
      </c>
      <c r="C185">
        <v>0</v>
      </c>
      <c r="D185">
        <v>4.99</v>
      </c>
    </row>
    <row r="186" spans="1:4" x14ac:dyDescent="0.25">
      <c r="A186">
        <v>9</v>
      </c>
      <c r="B186">
        <v>0</v>
      </c>
      <c r="C186">
        <v>0</v>
      </c>
      <c r="D186">
        <v>4.9800000000000004</v>
      </c>
    </row>
    <row r="187" spans="1:4" x14ac:dyDescent="0.25">
      <c r="A187">
        <v>10</v>
      </c>
      <c r="B187">
        <v>0</v>
      </c>
      <c r="C187">
        <v>0</v>
      </c>
      <c r="D187">
        <v>4.9800000000000004</v>
      </c>
    </row>
    <row r="188" spans="1:4" x14ac:dyDescent="0.25">
      <c r="A188">
        <v>11</v>
      </c>
      <c r="B188">
        <v>0</v>
      </c>
      <c r="C188">
        <v>0</v>
      </c>
      <c r="D188">
        <v>4.99</v>
      </c>
    </row>
    <row r="189" spans="1:4" x14ac:dyDescent="0.25">
      <c r="A189">
        <v>12</v>
      </c>
      <c r="B189">
        <v>0</v>
      </c>
      <c r="C189">
        <v>0</v>
      </c>
      <c r="D189">
        <v>4.9800000000000004</v>
      </c>
    </row>
    <row r="190" spans="1:4" x14ac:dyDescent="0.25">
      <c r="A190">
        <v>13</v>
      </c>
      <c r="B190">
        <v>0</v>
      </c>
      <c r="C190">
        <v>0</v>
      </c>
      <c r="D190">
        <v>4.99</v>
      </c>
    </row>
    <row r="191" spans="1:4" x14ac:dyDescent="0.25">
      <c r="A191">
        <v>14</v>
      </c>
      <c r="B191">
        <v>0</v>
      </c>
      <c r="C191">
        <v>0.01</v>
      </c>
      <c r="D191">
        <v>4.97</v>
      </c>
    </row>
    <row r="192" spans="1:4" x14ac:dyDescent="0.25">
      <c r="A192">
        <v>15</v>
      </c>
      <c r="B192">
        <v>0</v>
      </c>
      <c r="C192">
        <v>0.32</v>
      </c>
      <c r="D192">
        <v>4.62</v>
      </c>
    </row>
    <row r="193" spans="1:4" x14ac:dyDescent="0.25">
      <c r="A193">
        <v>16</v>
      </c>
      <c r="B193">
        <v>0</v>
      </c>
      <c r="C193">
        <v>0.4</v>
      </c>
      <c r="D193">
        <v>4.1900000000000004</v>
      </c>
    </row>
    <row r="194" spans="1:4" x14ac:dyDescent="0.25">
      <c r="A194">
        <v>17</v>
      </c>
      <c r="B194">
        <v>0</v>
      </c>
      <c r="C194">
        <v>0.33</v>
      </c>
      <c r="D194">
        <v>3.83</v>
      </c>
    </row>
    <row r="195" spans="1:4" x14ac:dyDescent="0.25">
      <c r="A195">
        <v>18</v>
      </c>
      <c r="B195">
        <v>0</v>
      </c>
      <c r="C195">
        <v>0.15</v>
      </c>
      <c r="D195">
        <v>3.66</v>
      </c>
    </row>
    <row r="196" spans="1:4" x14ac:dyDescent="0.25">
      <c r="A196">
        <v>19</v>
      </c>
      <c r="B196">
        <v>0</v>
      </c>
      <c r="C196">
        <v>0.83</v>
      </c>
      <c r="D196">
        <v>2.76</v>
      </c>
    </row>
    <row r="197" spans="1:4" x14ac:dyDescent="0.25">
      <c r="A197">
        <v>20</v>
      </c>
      <c r="B197">
        <v>0</v>
      </c>
      <c r="C197">
        <v>1.75</v>
      </c>
      <c r="D197">
        <v>0.87</v>
      </c>
    </row>
    <row r="198" spans="1:4" x14ac:dyDescent="0.25">
      <c r="A198">
        <v>21</v>
      </c>
      <c r="B198">
        <v>0</v>
      </c>
      <c r="C198">
        <v>0.73</v>
      </c>
      <c r="D198">
        <v>0.08</v>
      </c>
    </row>
    <row r="199" spans="1:4" x14ac:dyDescent="0.25">
      <c r="A199">
        <v>22</v>
      </c>
      <c r="B199">
        <v>0</v>
      </c>
      <c r="C199">
        <v>7.0000000000000007E-2</v>
      </c>
      <c r="D199">
        <v>0</v>
      </c>
    </row>
    <row r="200" spans="1:4" x14ac:dyDescent="0.25">
      <c r="A200">
        <v>23</v>
      </c>
      <c r="B200">
        <v>0.48</v>
      </c>
      <c r="C200">
        <v>0</v>
      </c>
      <c r="D200">
        <v>0.44</v>
      </c>
    </row>
    <row r="201" spans="1:4" x14ac:dyDescent="0.25">
      <c r="A201">
        <v>24</v>
      </c>
      <c r="B201">
        <v>1.1499999999999999</v>
      </c>
      <c r="C201">
        <v>0</v>
      </c>
      <c r="D201">
        <v>1.5</v>
      </c>
    </row>
    <row r="204" spans="1:4" ht="17.25" x14ac:dyDescent="0.3">
      <c r="A204" s="1" t="s">
        <v>82</v>
      </c>
    </row>
    <row r="206" spans="1:4" x14ac:dyDescent="0.25">
      <c r="A206" s="2" t="s">
        <v>13</v>
      </c>
      <c r="B206" s="2" t="s">
        <v>73</v>
      </c>
      <c r="C206" s="2" t="s">
        <v>74</v>
      </c>
      <c r="D206" s="2" t="s">
        <v>75</v>
      </c>
    </row>
    <row r="207" spans="1:4" x14ac:dyDescent="0.25">
      <c r="A207">
        <v>1</v>
      </c>
      <c r="B207">
        <v>0</v>
      </c>
      <c r="C207">
        <v>0</v>
      </c>
      <c r="D207">
        <v>0</v>
      </c>
    </row>
    <row r="208" spans="1:4" x14ac:dyDescent="0.25">
      <c r="A208">
        <v>2</v>
      </c>
      <c r="B208">
        <v>0</v>
      </c>
      <c r="C208">
        <v>0</v>
      </c>
      <c r="D208">
        <v>0</v>
      </c>
    </row>
    <row r="209" spans="1:4" x14ac:dyDescent="0.25">
      <c r="A209">
        <v>3</v>
      </c>
      <c r="B209">
        <v>0</v>
      </c>
      <c r="C209">
        <v>0</v>
      </c>
      <c r="D209">
        <v>0</v>
      </c>
    </row>
    <row r="210" spans="1:4" x14ac:dyDescent="0.25">
      <c r="A210">
        <v>4</v>
      </c>
      <c r="B210">
        <v>0</v>
      </c>
      <c r="C210">
        <v>0</v>
      </c>
      <c r="D210">
        <v>0</v>
      </c>
    </row>
    <row r="211" spans="1:4" x14ac:dyDescent="0.25">
      <c r="A211">
        <v>5</v>
      </c>
      <c r="B211">
        <v>0</v>
      </c>
      <c r="C211">
        <v>0</v>
      </c>
      <c r="D211">
        <v>0</v>
      </c>
    </row>
    <row r="212" spans="1:4" x14ac:dyDescent="0.25">
      <c r="A212">
        <v>6</v>
      </c>
      <c r="B212">
        <v>0</v>
      </c>
      <c r="C212">
        <v>0</v>
      </c>
      <c r="D212">
        <v>0</v>
      </c>
    </row>
    <row r="213" spans="1:4" x14ac:dyDescent="0.25">
      <c r="A213">
        <v>7</v>
      </c>
      <c r="B213">
        <v>0</v>
      </c>
      <c r="C213">
        <v>0</v>
      </c>
      <c r="D213">
        <v>0</v>
      </c>
    </row>
    <row r="214" spans="1:4" x14ac:dyDescent="0.25">
      <c r="A214">
        <v>8</v>
      </c>
      <c r="B214">
        <v>0</v>
      </c>
      <c r="C214">
        <v>0</v>
      </c>
      <c r="D214">
        <v>0</v>
      </c>
    </row>
    <row r="215" spans="1:4" x14ac:dyDescent="0.25">
      <c r="A215">
        <v>9</v>
      </c>
      <c r="B215">
        <v>0</v>
      </c>
      <c r="C215">
        <v>0</v>
      </c>
      <c r="D215">
        <v>0</v>
      </c>
    </row>
    <row r="216" spans="1:4" x14ac:dyDescent="0.25">
      <c r="A216">
        <v>10</v>
      </c>
      <c r="B216">
        <v>0</v>
      </c>
      <c r="C216">
        <v>0</v>
      </c>
      <c r="D216">
        <v>0</v>
      </c>
    </row>
    <row r="217" spans="1:4" x14ac:dyDescent="0.25">
      <c r="A217">
        <v>11</v>
      </c>
      <c r="B217">
        <v>0</v>
      </c>
      <c r="C217">
        <v>0</v>
      </c>
      <c r="D217">
        <v>0</v>
      </c>
    </row>
    <row r="218" spans="1:4" x14ac:dyDescent="0.25">
      <c r="A218">
        <v>12</v>
      </c>
      <c r="B218">
        <v>0</v>
      </c>
      <c r="C218">
        <v>0</v>
      </c>
      <c r="D218">
        <v>0</v>
      </c>
    </row>
    <row r="219" spans="1:4" x14ac:dyDescent="0.25">
      <c r="A219">
        <v>13</v>
      </c>
      <c r="B219">
        <v>0</v>
      </c>
      <c r="C219">
        <v>0</v>
      </c>
      <c r="D219">
        <v>0</v>
      </c>
    </row>
    <row r="220" spans="1:4" x14ac:dyDescent="0.25">
      <c r="A220">
        <v>14</v>
      </c>
      <c r="B220">
        <v>0</v>
      </c>
      <c r="C220">
        <v>0</v>
      </c>
      <c r="D220">
        <v>0</v>
      </c>
    </row>
    <row r="221" spans="1:4" x14ac:dyDescent="0.25">
      <c r="A221">
        <v>15</v>
      </c>
      <c r="B221">
        <v>0</v>
      </c>
      <c r="C221">
        <v>0</v>
      </c>
      <c r="D221">
        <v>0</v>
      </c>
    </row>
    <row r="222" spans="1:4" x14ac:dyDescent="0.25">
      <c r="A222">
        <v>16</v>
      </c>
      <c r="B222">
        <v>0</v>
      </c>
      <c r="C222">
        <v>0</v>
      </c>
      <c r="D222">
        <v>0</v>
      </c>
    </row>
    <row r="223" spans="1:4" x14ac:dyDescent="0.25">
      <c r="A223">
        <v>17</v>
      </c>
      <c r="B223">
        <v>0</v>
      </c>
      <c r="C223">
        <v>0</v>
      </c>
      <c r="D223">
        <v>0</v>
      </c>
    </row>
    <row r="224" spans="1:4" x14ac:dyDescent="0.25">
      <c r="A224">
        <v>18</v>
      </c>
      <c r="B224">
        <v>0</v>
      </c>
      <c r="C224">
        <v>0</v>
      </c>
      <c r="D224">
        <v>0</v>
      </c>
    </row>
    <row r="225" spans="1:4" x14ac:dyDescent="0.25">
      <c r="A225">
        <v>19</v>
      </c>
      <c r="B225">
        <v>0</v>
      </c>
      <c r="C225">
        <v>0</v>
      </c>
      <c r="D225">
        <v>0</v>
      </c>
    </row>
    <row r="226" spans="1:4" x14ac:dyDescent="0.25">
      <c r="A226">
        <v>20</v>
      </c>
      <c r="B226">
        <v>0</v>
      </c>
      <c r="C226">
        <v>0</v>
      </c>
      <c r="D226">
        <v>0</v>
      </c>
    </row>
    <row r="227" spans="1:4" x14ac:dyDescent="0.25">
      <c r="A227">
        <v>21</v>
      </c>
      <c r="B227">
        <v>0</v>
      </c>
      <c r="C227">
        <v>0</v>
      </c>
      <c r="D227">
        <v>0</v>
      </c>
    </row>
    <row r="228" spans="1:4" x14ac:dyDescent="0.25">
      <c r="A228">
        <v>22</v>
      </c>
      <c r="B228">
        <v>0</v>
      </c>
      <c r="C228">
        <v>0</v>
      </c>
      <c r="D228">
        <v>0</v>
      </c>
    </row>
    <row r="229" spans="1:4" x14ac:dyDescent="0.25">
      <c r="A229">
        <v>23</v>
      </c>
      <c r="B229">
        <v>0</v>
      </c>
      <c r="C229">
        <v>0</v>
      </c>
      <c r="D229">
        <v>0</v>
      </c>
    </row>
    <row r="230" spans="1:4" x14ac:dyDescent="0.25">
      <c r="A230">
        <v>24</v>
      </c>
      <c r="B230">
        <v>0</v>
      </c>
      <c r="C230">
        <v>0</v>
      </c>
      <c r="D230">
        <v>0</v>
      </c>
    </row>
    <row r="233" spans="1:4" ht="17.25" x14ac:dyDescent="0.3">
      <c r="A233" s="1" t="s">
        <v>83</v>
      </c>
      <c r="B233" s="16"/>
    </row>
    <row r="235" spans="1:4" x14ac:dyDescent="0.25">
      <c r="A235" s="2" t="s">
        <v>13</v>
      </c>
      <c r="B235" s="2" t="s">
        <v>73</v>
      </c>
      <c r="C235" s="2" t="s">
        <v>74</v>
      </c>
      <c r="D235" s="2" t="s">
        <v>75</v>
      </c>
    </row>
    <row r="236" spans="1:4" x14ac:dyDescent="0.25">
      <c r="A236">
        <v>1</v>
      </c>
      <c r="B236">
        <v>0</v>
      </c>
      <c r="C236">
        <v>0</v>
      </c>
      <c r="D236">
        <v>0.31</v>
      </c>
    </row>
    <row r="237" spans="1:4" x14ac:dyDescent="0.25">
      <c r="A237">
        <v>2</v>
      </c>
      <c r="B237">
        <v>0</v>
      </c>
      <c r="C237">
        <v>0</v>
      </c>
      <c r="D237">
        <v>0.31</v>
      </c>
    </row>
    <row r="238" spans="1:4" x14ac:dyDescent="0.25">
      <c r="A238">
        <v>3</v>
      </c>
      <c r="B238">
        <v>0.38</v>
      </c>
      <c r="C238">
        <v>0</v>
      </c>
      <c r="D238">
        <v>0.66</v>
      </c>
    </row>
    <row r="239" spans="1:4" x14ac:dyDescent="0.25">
      <c r="A239">
        <v>4</v>
      </c>
      <c r="B239">
        <v>0.39</v>
      </c>
      <c r="C239">
        <v>0</v>
      </c>
      <c r="D239">
        <v>1.02</v>
      </c>
    </row>
    <row r="240" spans="1:4" x14ac:dyDescent="0.25">
      <c r="A240">
        <v>5</v>
      </c>
      <c r="B240">
        <v>0</v>
      </c>
      <c r="C240">
        <v>0</v>
      </c>
      <c r="D240">
        <v>1.02</v>
      </c>
    </row>
    <row r="241" spans="1:4" x14ac:dyDescent="0.25">
      <c r="A241">
        <v>6</v>
      </c>
      <c r="B241">
        <v>0</v>
      </c>
      <c r="C241">
        <v>0</v>
      </c>
      <c r="D241">
        <v>1.02</v>
      </c>
    </row>
    <row r="242" spans="1:4" x14ac:dyDescent="0.25">
      <c r="A242">
        <v>7</v>
      </c>
      <c r="B242">
        <v>0</v>
      </c>
      <c r="C242">
        <v>0</v>
      </c>
      <c r="D242">
        <v>1.02</v>
      </c>
    </row>
    <row r="243" spans="1:4" x14ac:dyDescent="0.25">
      <c r="A243">
        <v>8</v>
      </c>
      <c r="B243">
        <v>0</v>
      </c>
      <c r="C243">
        <v>0</v>
      </c>
      <c r="D243">
        <v>1.02</v>
      </c>
    </row>
    <row r="244" spans="1:4" x14ac:dyDescent="0.25">
      <c r="A244">
        <v>9</v>
      </c>
      <c r="B244">
        <v>0</v>
      </c>
      <c r="C244">
        <v>0</v>
      </c>
      <c r="D244">
        <v>1.02</v>
      </c>
    </row>
    <row r="245" spans="1:4" x14ac:dyDescent="0.25">
      <c r="A245">
        <v>10</v>
      </c>
      <c r="B245">
        <v>0</v>
      </c>
      <c r="C245">
        <v>0</v>
      </c>
      <c r="D245">
        <v>1.02</v>
      </c>
    </row>
    <row r="246" spans="1:4" x14ac:dyDescent="0.25">
      <c r="A246">
        <v>11</v>
      </c>
      <c r="B246">
        <v>0</v>
      </c>
      <c r="C246">
        <v>0</v>
      </c>
      <c r="D246">
        <v>1.02</v>
      </c>
    </row>
    <row r="247" spans="1:4" x14ac:dyDescent="0.25">
      <c r="A247">
        <v>12</v>
      </c>
      <c r="B247">
        <v>0</v>
      </c>
      <c r="C247">
        <v>0</v>
      </c>
      <c r="D247">
        <v>1.02</v>
      </c>
    </row>
    <row r="248" spans="1:4" x14ac:dyDescent="0.25">
      <c r="A248">
        <v>13</v>
      </c>
      <c r="B248">
        <v>0</v>
      </c>
      <c r="C248">
        <v>0</v>
      </c>
      <c r="D248">
        <v>1.02</v>
      </c>
    </row>
    <row r="249" spans="1:4" x14ac:dyDescent="0.25">
      <c r="A249">
        <v>14</v>
      </c>
      <c r="B249">
        <v>0</v>
      </c>
      <c r="C249">
        <v>0</v>
      </c>
      <c r="D249">
        <v>1.02</v>
      </c>
    </row>
    <row r="250" spans="1:4" x14ac:dyDescent="0.25">
      <c r="A250">
        <v>15</v>
      </c>
      <c r="B250">
        <v>0</v>
      </c>
      <c r="C250">
        <v>0.02</v>
      </c>
      <c r="D250">
        <v>1</v>
      </c>
    </row>
    <row r="251" spans="1:4" x14ac:dyDescent="0.25">
      <c r="A251">
        <v>16</v>
      </c>
      <c r="B251">
        <v>0</v>
      </c>
      <c r="C251">
        <v>0.06</v>
      </c>
      <c r="D251">
        <v>0.93</v>
      </c>
    </row>
    <row r="252" spans="1:4" x14ac:dyDescent="0.25">
      <c r="A252">
        <v>17</v>
      </c>
      <c r="B252">
        <v>0</v>
      </c>
      <c r="C252">
        <v>0.03</v>
      </c>
      <c r="D252">
        <v>0.9</v>
      </c>
    </row>
    <row r="253" spans="1:4" x14ac:dyDescent="0.25">
      <c r="A253">
        <v>18</v>
      </c>
      <c r="B253">
        <v>0.06</v>
      </c>
      <c r="C253">
        <v>0</v>
      </c>
      <c r="D253">
        <v>0.96</v>
      </c>
    </row>
    <row r="254" spans="1:4" x14ac:dyDescent="0.25">
      <c r="A254">
        <v>19</v>
      </c>
      <c r="B254">
        <v>0</v>
      </c>
      <c r="C254">
        <v>0.27</v>
      </c>
      <c r="D254">
        <v>0.67</v>
      </c>
    </row>
    <row r="255" spans="1:4" x14ac:dyDescent="0.25">
      <c r="A255">
        <v>20</v>
      </c>
      <c r="B255">
        <v>0</v>
      </c>
      <c r="C255">
        <v>0.39</v>
      </c>
      <c r="D255">
        <v>0.24</v>
      </c>
    </row>
    <row r="256" spans="1:4" x14ac:dyDescent="0.25">
      <c r="A256">
        <v>21</v>
      </c>
      <c r="B256">
        <v>0</v>
      </c>
      <c r="C256">
        <v>0.22</v>
      </c>
      <c r="D256">
        <v>0</v>
      </c>
    </row>
    <row r="257" spans="1:4" x14ac:dyDescent="0.25">
      <c r="A257">
        <v>22</v>
      </c>
      <c r="B257">
        <v>0</v>
      </c>
      <c r="C257">
        <v>0</v>
      </c>
      <c r="D257">
        <v>0</v>
      </c>
    </row>
    <row r="258" spans="1:4" x14ac:dyDescent="0.25">
      <c r="A258">
        <v>23</v>
      </c>
      <c r="B258">
        <v>0</v>
      </c>
      <c r="C258">
        <v>0</v>
      </c>
      <c r="D258">
        <v>0</v>
      </c>
    </row>
    <row r="259" spans="1:4" x14ac:dyDescent="0.25">
      <c r="A259">
        <v>24</v>
      </c>
      <c r="B259">
        <v>0.33</v>
      </c>
      <c r="C259">
        <v>0</v>
      </c>
      <c r="D259">
        <v>0.31</v>
      </c>
    </row>
    <row r="262" spans="1:4" ht="17.25" x14ac:dyDescent="0.3">
      <c r="A262" s="1" t="s">
        <v>84</v>
      </c>
      <c r="B262" s="16"/>
    </row>
    <row r="264" spans="1:4" x14ac:dyDescent="0.25">
      <c r="A264" s="2" t="s">
        <v>13</v>
      </c>
      <c r="B264" s="2" t="s">
        <v>73</v>
      </c>
      <c r="C264" s="2" t="s">
        <v>74</v>
      </c>
      <c r="D264" s="2" t="s">
        <v>75</v>
      </c>
    </row>
    <row r="265" spans="1:4" x14ac:dyDescent="0.25">
      <c r="A265">
        <v>1</v>
      </c>
      <c r="B265">
        <v>0</v>
      </c>
      <c r="C265">
        <v>0</v>
      </c>
      <c r="D265" s="17">
        <v>0.81</v>
      </c>
    </row>
    <row r="266" spans="1:4" x14ac:dyDescent="0.25">
      <c r="A266">
        <v>2</v>
      </c>
      <c r="B266">
        <v>0.03</v>
      </c>
      <c r="C266">
        <v>0</v>
      </c>
      <c r="D266">
        <v>0.83</v>
      </c>
    </row>
    <row r="267" spans="1:4" x14ac:dyDescent="0.25">
      <c r="A267">
        <v>3</v>
      </c>
      <c r="B267">
        <v>0.67</v>
      </c>
      <c r="C267">
        <v>0</v>
      </c>
      <c r="D267">
        <v>1.45</v>
      </c>
    </row>
    <row r="268" spans="1:4" x14ac:dyDescent="0.25">
      <c r="A268">
        <v>4</v>
      </c>
      <c r="B268">
        <v>0.67</v>
      </c>
      <c r="C268">
        <v>0</v>
      </c>
      <c r="D268">
        <v>2.08</v>
      </c>
    </row>
    <row r="269" spans="1:4" x14ac:dyDescent="0.25">
      <c r="A269">
        <v>5</v>
      </c>
      <c r="B269">
        <v>0.67</v>
      </c>
      <c r="C269">
        <v>0</v>
      </c>
      <c r="D269">
        <v>2.7</v>
      </c>
    </row>
    <row r="270" spans="1:4" x14ac:dyDescent="0.25">
      <c r="A270">
        <v>6</v>
      </c>
      <c r="B270">
        <v>0</v>
      </c>
      <c r="C270">
        <v>0</v>
      </c>
      <c r="D270">
        <v>2.7</v>
      </c>
    </row>
    <row r="271" spans="1:4" x14ac:dyDescent="0.25">
      <c r="A271">
        <v>7</v>
      </c>
      <c r="B271">
        <v>0</v>
      </c>
      <c r="C271">
        <v>0</v>
      </c>
      <c r="D271">
        <v>2.7</v>
      </c>
    </row>
    <row r="272" spans="1:4" x14ac:dyDescent="0.25">
      <c r="A272">
        <v>8</v>
      </c>
      <c r="B272">
        <v>0</v>
      </c>
      <c r="C272">
        <v>0</v>
      </c>
      <c r="D272">
        <v>2.7</v>
      </c>
    </row>
    <row r="273" spans="1:4" x14ac:dyDescent="0.25">
      <c r="A273">
        <v>9</v>
      </c>
      <c r="B273">
        <v>0</v>
      </c>
      <c r="C273">
        <v>0</v>
      </c>
      <c r="D273">
        <v>2.7</v>
      </c>
    </row>
    <row r="274" spans="1:4" x14ac:dyDescent="0.25">
      <c r="A274">
        <v>10</v>
      </c>
      <c r="B274">
        <v>0</v>
      </c>
      <c r="C274">
        <v>0</v>
      </c>
      <c r="D274">
        <v>2.7</v>
      </c>
    </row>
    <row r="275" spans="1:4" x14ac:dyDescent="0.25">
      <c r="A275">
        <v>11</v>
      </c>
      <c r="B275">
        <v>0</v>
      </c>
      <c r="C275">
        <v>0</v>
      </c>
      <c r="D275">
        <v>2.7</v>
      </c>
    </row>
    <row r="276" spans="1:4" x14ac:dyDescent="0.25">
      <c r="A276">
        <v>12</v>
      </c>
      <c r="B276">
        <v>0</v>
      </c>
      <c r="C276">
        <v>0</v>
      </c>
      <c r="D276">
        <v>2.7</v>
      </c>
    </row>
    <row r="277" spans="1:4" x14ac:dyDescent="0.25">
      <c r="A277">
        <v>13</v>
      </c>
      <c r="B277">
        <v>0</v>
      </c>
      <c r="C277">
        <v>0</v>
      </c>
      <c r="D277">
        <v>2.7</v>
      </c>
    </row>
    <row r="278" spans="1:4" x14ac:dyDescent="0.25">
      <c r="A278">
        <v>14</v>
      </c>
      <c r="B278">
        <v>0</v>
      </c>
      <c r="C278">
        <v>0</v>
      </c>
      <c r="D278">
        <v>2.7</v>
      </c>
    </row>
    <row r="279" spans="1:4" x14ac:dyDescent="0.25">
      <c r="A279">
        <v>15</v>
      </c>
      <c r="B279">
        <v>0</v>
      </c>
      <c r="C279">
        <v>0.36</v>
      </c>
      <c r="D279">
        <v>2.31</v>
      </c>
    </row>
    <row r="280" spans="1:4" x14ac:dyDescent="0.25">
      <c r="A280">
        <v>16</v>
      </c>
      <c r="B280">
        <v>0</v>
      </c>
      <c r="C280">
        <v>0.43</v>
      </c>
      <c r="D280">
        <v>1.83</v>
      </c>
    </row>
    <row r="281" spans="1:4" x14ac:dyDescent="0.25">
      <c r="A281">
        <v>17</v>
      </c>
      <c r="B281">
        <v>0</v>
      </c>
      <c r="C281">
        <v>0.37</v>
      </c>
      <c r="D281">
        <v>1.43</v>
      </c>
    </row>
    <row r="282" spans="1:4" x14ac:dyDescent="0.25">
      <c r="A282">
        <v>18</v>
      </c>
      <c r="B282">
        <v>0</v>
      </c>
      <c r="C282">
        <v>0.2</v>
      </c>
      <c r="D282">
        <v>1.22</v>
      </c>
    </row>
    <row r="283" spans="1:4" x14ac:dyDescent="0.25">
      <c r="A283">
        <v>19</v>
      </c>
      <c r="B283">
        <v>0</v>
      </c>
      <c r="C283">
        <v>0.2</v>
      </c>
      <c r="D283">
        <v>1</v>
      </c>
    </row>
    <row r="284" spans="1:4" x14ac:dyDescent="0.25">
      <c r="A284">
        <v>20</v>
      </c>
      <c r="B284">
        <v>0</v>
      </c>
      <c r="C284">
        <v>0.67</v>
      </c>
      <c r="D284">
        <v>0.27</v>
      </c>
    </row>
    <row r="285" spans="1:4" x14ac:dyDescent="0.25">
      <c r="A285">
        <v>21</v>
      </c>
      <c r="B285">
        <v>0</v>
      </c>
      <c r="C285">
        <v>0.18</v>
      </c>
      <c r="D285">
        <v>7.0000000000000007E-2</v>
      </c>
    </row>
    <row r="286" spans="1:4" x14ac:dyDescent="0.25">
      <c r="A286">
        <v>22</v>
      </c>
      <c r="B286">
        <v>0</v>
      </c>
      <c r="C286">
        <v>7.0000000000000007E-2</v>
      </c>
      <c r="D286">
        <v>0</v>
      </c>
    </row>
    <row r="287" spans="1:4" x14ac:dyDescent="0.25">
      <c r="A287">
        <v>23</v>
      </c>
      <c r="B287">
        <v>0.2</v>
      </c>
      <c r="C287">
        <v>0</v>
      </c>
      <c r="D287">
        <v>0.19</v>
      </c>
    </row>
    <row r="288" spans="1:4" x14ac:dyDescent="0.25">
      <c r="A288">
        <v>24</v>
      </c>
      <c r="B288">
        <v>0.67</v>
      </c>
      <c r="C288">
        <v>0</v>
      </c>
      <c r="D288" s="17">
        <v>0.81</v>
      </c>
    </row>
    <row r="291" spans="1:4" ht="17.25" x14ac:dyDescent="0.3">
      <c r="A291" s="1" t="s">
        <v>85</v>
      </c>
      <c r="B291" s="16"/>
    </row>
    <row r="293" spans="1:4" x14ac:dyDescent="0.25">
      <c r="A293" s="2" t="s">
        <v>13</v>
      </c>
      <c r="B293" s="2" t="s">
        <v>73</v>
      </c>
      <c r="C293" s="2" t="s">
        <v>74</v>
      </c>
      <c r="D293" s="2" t="s">
        <v>75</v>
      </c>
    </row>
    <row r="294" spans="1:4" x14ac:dyDescent="0.25">
      <c r="A294">
        <v>1</v>
      </c>
      <c r="B294">
        <v>0</v>
      </c>
      <c r="C294">
        <v>0</v>
      </c>
      <c r="D294" s="17">
        <v>2.75</v>
      </c>
    </row>
    <row r="295" spans="1:4" x14ac:dyDescent="0.25">
      <c r="A295">
        <v>2</v>
      </c>
      <c r="B295">
        <v>0</v>
      </c>
      <c r="C295">
        <v>0</v>
      </c>
      <c r="D295">
        <v>2.75</v>
      </c>
    </row>
    <row r="296" spans="1:4" x14ac:dyDescent="0.25">
      <c r="A296">
        <v>3</v>
      </c>
      <c r="B296">
        <v>2.46</v>
      </c>
      <c r="C296">
        <v>0</v>
      </c>
      <c r="D296">
        <v>5.01</v>
      </c>
    </row>
    <row r="297" spans="1:4" x14ac:dyDescent="0.25">
      <c r="A297">
        <v>4</v>
      </c>
      <c r="B297">
        <v>2.46</v>
      </c>
      <c r="C297">
        <v>0</v>
      </c>
      <c r="D297">
        <v>7.28</v>
      </c>
    </row>
    <row r="298" spans="1:4" x14ac:dyDescent="0.25">
      <c r="A298">
        <v>5</v>
      </c>
      <c r="B298">
        <v>2.04</v>
      </c>
      <c r="C298">
        <v>0</v>
      </c>
      <c r="D298">
        <v>9.16</v>
      </c>
    </row>
    <row r="299" spans="1:4" x14ac:dyDescent="0.25">
      <c r="A299">
        <v>6</v>
      </c>
      <c r="B299">
        <v>0</v>
      </c>
      <c r="C299">
        <v>0</v>
      </c>
      <c r="D299">
        <v>9.16</v>
      </c>
    </row>
    <row r="300" spans="1:4" x14ac:dyDescent="0.25">
      <c r="A300">
        <v>7</v>
      </c>
      <c r="B300">
        <v>0</v>
      </c>
      <c r="C300">
        <v>0</v>
      </c>
      <c r="D300">
        <v>9.15</v>
      </c>
    </row>
    <row r="301" spans="1:4" x14ac:dyDescent="0.25">
      <c r="A301">
        <v>8</v>
      </c>
      <c r="B301">
        <v>0</v>
      </c>
      <c r="C301">
        <v>0</v>
      </c>
      <c r="D301">
        <v>9.16</v>
      </c>
    </row>
    <row r="302" spans="1:4" x14ac:dyDescent="0.25">
      <c r="A302">
        <v>9</v>
      </c>
      <c r="B302">
        <v>0</v>
      </c>
      <c r="C302">
        <v>0</v>
      </c>
      <c r="D302">
        <v>9.16</v>
      </c>
    </row>
    <row r="303" spans="1:4" x14ac:dyDescent="0.25">
      <c r="A303">
        <v>10</v>
      </c>
      <c r="B303">
        <v>0</v>
      </c>
      <c r="C303">
        <v>0</v>
      </c>
      <c r="D303">
        <v>9.15</v>
      </c>
    </row>
    <row r="304" spans="1:4" x14ac:dyDescent="0.25">
      <c r="A304">
        <v>11</v>
      </c>
      <c r="B304">
        <v>0</v>
      </c>
      <c r="C304">
        <v>0</v>
      </c>
      <c r="D304">
        <v>9.16</v>
      </c>
    </row>
    <row r="305" spans="1:4" x14ac:dyDescent="0.25">
      <c r="A305">
        <v>12</v>
      </c>
      <c r="B305">
        <v>0</v>
      </c>
      <c r="C305">
        <v>0</v>
      </c>
      <c r="D305">
        <v>9.16</v>
      </c>
    </row>
    <row r="306" spans="1:4" x14ac:dyDescent="0.25">
      <c r="A306">
        <v>13</v>
      </c>
      <c r="B306">
        <v>0</v>
      </c>
      <c r="C306">
        <v>0</v>
      </c>
      <c r="D306">
        <v>9.15</v>
      </c>
    </row>
    <row r="307" spans="1:4" x14ac:dyDescent="0.25">
      <c r="A307">
        <v>14</v>
      </c>
      <c r="B307">
        <v>0</v>
      </c>
      <c r="C307">
        <v>0</v>
      </c>
      <c r="D307">
        <v>9.16</v>
      </c>
    </row>
    <row r="308" spans="1:4" x14ac:dyDescent="0.25">
      <c r="A308">
        <v>15</v>
      </c>
      <c r="B308">
        <v>0</v>
      </c>
      <c r="C308">
        <v>0.36</v>
      </c>
      <c r="D308">
        <v>8.76</v>
      </c>
    </row>
    <row r="309" spans="1:4" x14ac:dyDescent="0.25">
      <c r="A309">
        <v>16</v>
      </c>
      <c r="B309">
        <v>0</v>
      </c>
      <c r="C309">
        <v>0.47</v>
      </c>
      <c r="D309">
        <v>8.25</v>
      </c>
    </row>
    <row r="310" spans="1:4" x14ac:dyDescent="0.25">
      <c r="A310">
        <v>17</v>
      </c>
      <c r="B310">
        <v>0</v>
      </c>
      <c r="C310">
        <v>0.38</v>
      </c>
      <c r="D310">
        <v>7.84</v>
      </c>
    </row>
    <row r="311" spans="1:4" x14ac:dyDescent="0.25">
      <c r="A311">
        <v>18</v>
      </c>
      <c r="B311">
        <v>0</v>
      </c>
      <c r="C311">
        <v>0.13</v>
      </c>
      <c r="D311">
        <v>7.7</v>
      </c>
    </row>
    <row r="312" spans="1:4" x14ac:dyDescent="0.25">
      <c r="A312">
        <v>19</v>
      </c>
      <c r="B312">
        <v>0</v>
      </c>
      <c r="C312">
        <v>2.46</v>
      </c>
      <c r="D312">
        <v>5.03</v>
      </c>
    </row>
    <row r="313" spans="1:4" x14ac:dyDescent="0.25">
      <c r="A313">
        <v>20</v>
      </c>
      <c r="B313">
        <v>0</v>
      </c>
      <c r="C313">
        <v>2.46</v>
      </c>
      <c r="D313">
        <v>2.36</v>
      </c>
    </row>
    <row r="314" spans="1:4" x14ac:dyDescent="0.25">
      <c r="A314">
        <v>21</v>
      </c>
      <c r="B314">
        <v>0</v>
      </c>
      <c r="C314">
        <v>2.16</v>
      </c>
      <c r="D314">
        <v>0.02</v>
      </c>
    </row>
    <row r="315" spans="1:4" x14ac:dyDescent="0.25">
      <c r="A315">
        <v>22</v>
      </c>
      <c r="B315">
        <v>0</v>
      </c>
      <c r="C315">
        <v>0.02</v>
      </c>
      <c r="D315">
        <v>0</v>
      </c>
    </row>
    <row r="316" spans="1:4" x14ac:dyDescent="0.25">
      <c r="A316">
        <v>23</v>
      </c>
      <c r="B316">
        <v>0.9</v>
      </c>
      <c r="C316">
        <v>0</v>
      </c>
      <c r="D316">
        <v>0.83</v>
      </c>
    </row>
    <row r="317" spans="1:4" x14ac:dyDescent="0.25">
      <c r="A317">
        <v>24</v>
      </c>
      <c r="B317">
        <v>2.08</v>
      </c>
      <c r="C317">
        <v>0</v>
      </c>
      <c r="D317" s="17">
        <v>2.75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Resumen</vt:lpstr>
      <vt:lpstr>Despacho</vt:lpstr>
      <vt:lpstr>Flujos</vt:lpstr>
      <vt:lpstr>Perdidas</vt:lpstr>
      <vt:lpstr>Angulos</vt:lpstr>
      <vt:lpstr>Inversiones</vt:lpstr>
      <vt:lpstr>BESS_operacion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Lindo</cp:lastModifiedBy>
  <dcterms:created xsi:type="dcterms:W3CDTF">2026-08-09T04:41:16Z</dcterms:created>
  <dcterms:modified xsi:type="dcterms:W3CDTF">2026-08-10T17:14:02Z</dcterms:modified>
</cp:coreProperties>
</file>