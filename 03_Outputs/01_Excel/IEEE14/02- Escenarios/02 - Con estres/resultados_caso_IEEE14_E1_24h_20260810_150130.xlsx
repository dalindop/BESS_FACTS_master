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5C009275-F474-49AD-A024-765CD7CB0C3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  <sheet name="BESS_operacion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D28" i="2"/>
  <c r="E28" i="2"/>
  <c r="F28" i="2"/>
  <c r="B28" i="2"/>
  <c r="C28" i="3" a="1"/>
  <c r="C28" i="3"/>
  <c r="D28" i="3" a="1"/>
  <c r="D28" i="3" s="1"/>
  <c r="E28" i="3" a="1"/>
  <c r="E28" i="3" s="1"/>
  <c r="F28" i="3" a="1"/>
  <c r="F28" i="3" s="1"/>
  <c r="G28" i="3" a="1"/>
  <c r="G28" i="3"/>
  <c r="H28" i="3" a="1"/>
  <c r="H28" i="3"/>
  <c r="I28" i="3" a="1"/>
  <c r="I28" i="3" s="1"/>
  <c r="J28" i="3" a="1"/>
  <c r="J28" i="3" s="1"/>
  <c r="K28" i="3" a="1"/>
  <c r="K28" i="3" s="1"/>
  <c r="L28" i="3" a="1"/>
  <c r="L28" i="3" s="1"/>
  <c r="M28" i="3" a="1"/>
  <c r="M28" i="3"/>
  <c r="N28" i="3" a="1"/>
  <c r="N28" i="3"/>
  <c r="O28" i="3" a="1"/>
  <c r="O28" i="3" s="1"/>
  <c r="P28" i="3" a="1"/>
  <c r="P28" i="3" s="1"/>
  <c r="Q28" i="3" a="1"/>
  <c r="Q28" i="3" s="1"/>
  <c r="R28" i="3" a="1"/>
  <c r="R28" i="3" s="1"/>
  <c r="S28" i="3" a="1"/>
  <c r="S28" i="3"/>
  <c r="T28" i="3" a="1"/>
  <c r="T28" i="3"/>
  <c r="U28" i="3" a="1"/>
  <c r="U28" i="3" s="1"/>
  <c r="B28" i="3" a="1"/>
  <c r="B28" i="3" s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4" i="2"/>
  <c r="M5" i="2"/>
  <c r="N5" i="2"/>
  <c r="O5" i="2"/>
  <c r="O28" i="2" s="1"/>
  <c r="P5" i="2"/>
  <c r="Q5" i="2"/>
  <c r="Q28" i="2" s="1"/>
  <c r="M6" i="2"/>
  <c r="N6" i="2"/>
  <c r="O6" i="2"/>
  <c r="P6" i="2"/>
  <c r="Q6" i="2"/>
  <c r="M7" i="2"/>
  <c r="M28" i="2" s="1"/>
  <c r="N7" i="2"/>
  <c r="N28" i="2" s="1"/>
  <c r="O7" i="2"/>
  <c r="P7" i="2"/>
  <c r="Q7" i="2"/>
  <c r="M8" i="2"/>
  <c r="N8" i="2"/>
  <c r="O8" i="2"/>
  <c r="P8" i="2"/>
  <c r="Q8" i="2"/>
  <c r="M9" i="2"/>
  <c r="N9" i="2"/>
  <c r="O9" i="2"/>
  <c r="P9" i="2"/>
  <c r="P28" i="2" s="1"/>
  <c r="Q9" i="2"/>
  <c r="M10" i="2"/>
  <c r="N10" i="2"/>
  <c r="O10" i="2"/>
  <c r="P10" i="2"/>
  <c r="Q10" i="2"/>
  <c r="M11" i="2"/>
  <c r="N11" i="2"/>
  <c r="O11" i="2"/>
  <c r="P11" i="2"/>
  <c r="Q11" i="2"/>
  <c r="M12" i="2"/>
  <c r="N12" i="2"/>
  <c r="O12" i="2"/>
  <c r="P12" i="2"/>
  <c r="Q12" i="2"/>
  <c r="M13" i="2"/>
  <c r="N13" i="2"/>
  <c r="O13" i="2"/>
  <c r="P13" i="2"/>
  <c r="Q13" i="2"/>
  <c r="M14" i="2"/>
  <c r="N14" i="2"/>
  <c r="O14" i="2"/>
  <c r="P14" i="2"/>
  <c r="Q14" i="2"/>
  <c r="M15" i="2"/>
  <c r="N15" i="2"/>
  <c r="O15" i="2"/>
  <c r="P15" i="2"/>
  <c r="Q15" i="2"/>
  <c r="M16" i="2"/>
  <c r="N16" i="2"/>
  <c r="O16" i="2"/>
  <c r="P16" i="2"/>
  <c r="Q16" i="2"/>
  <c r="M17" i="2"/>
  <c r="N17" i="2"/>
  <c r="O17" i="2"/>
  <c r="P17" i="2"/>
  <c r="Q17" i="2"/>
  <c r="M18" i="2"/>
  <c r="N18" i="2"/>
  <c r="O18" i="2"/>
  <c r="P18" i="2"/>
  <c r="Q18" i="2"/>
  <c r="M19" i="2"/>
  <c r="N19" i="2"/>
  <c r="O19" i="2"/>
  <c r="P19" i="2"/>
  <c r="Q19" i="2"/>
  <c r="M20" i="2"/>
  <c r="N20" i="2"/>
  <c r="O20" i="2"/>
  <c r="P20" i="2"/>
  <c r="Q20" i="2"/>
  <c r="M21" i="2"/>
  <c r="N21" i="2"/>
  <c r="O21" i="2"/>
  <c r="P21" i="2"/>
  <c r="Q21" i="2"/>
  <c r="M22" i="2"/>
  <c r="N22" i="2"/>
  <c r="O22" i="2"/>
  <c r="P22" i="2"/>
  <c r="Q22" i="2"/>
  <c r="M23" i="2"/>
  <c r="N23" i="2"/>
  <c r="O23" i="2"/>
  <c r="P23" i="2"/>
  <c r="Q23" i="2"/>
  <c r="M24" i="2"/>
  <c r="N24" i="2"/>
  <c r="O24" i="2"/>
  <c r="P24" i="2"/>
  <c r="Q24" i="2"/>
  <c r="M25" i="2"/>
  <c r="N25" i="2"/>
  <c r="O25" i="2"/>
  <c r="P25" i="2"/>
  <c r="Q25" i="2"/>
  <c r="M26" i="2"/>
  <c r="N26" i="2"/>
  <c r="O26" i="2"/>
  <c r="P26" i="2"/>
  <c r="Q26" i="2"/>
  <c r="M27" i="2"/>
  <c r="N27" i="2"/>
  <c r="O27" i="2"/>
  <c r="P27" i="2"/>
  <c r="Q27" i="2"/>
  <c r="Q4" i="2"/>
  <c r="P4" i="2"/>
  <c r="O4" i="2"/>
  <c r="N4" i="2"/>
  <c r="M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<sst xmlns="http://schemas.openxmlformats.org/spreadsheetml/2006/main" count="191" uniqueCount="94">
  <si>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</si>
  <si>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</si>
  <si>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</si>
  <si>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</si>
  <si>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</si>
  <si>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</si>
  <si>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</si>
  <si>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</si>
  <si>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</si>
  <si>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</si>
  <si>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highs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</si>
  <si>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</si>
  <si>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</si>
  <si>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</si>
  <si>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</si>
  <si>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</si>
  <si>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</si>
  <si>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</si>
  <si>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</si>
  <si>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</si>
  <si>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</si>
  <si>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</si>
  <si>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</si>
  <si>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</si>
  <si>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</si>
  <si>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</si>
  <si>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</si>
  <si>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</si>
  <si>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</si>
  <si>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</si>
  <si>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</si>
  <si>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</si>
  <si>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</si>
  <si>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</si>
  <si>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</si>
  <si>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</si>
  <si>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</si>
  <si>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</si>
  <si>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</si>
  <si>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</si>
  <si>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</si>
  <si>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</si>
  <si>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</si>
  <si>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</si>
  <si>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</si>
  <si>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</si>
  <si>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</si>
  <si>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</si>
  <si>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</si>
  <si>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</si>
  <si>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</si>
  <si>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</si>
  <si>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</si>
  <si>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</si>
  <si>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</si>
  <si>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</si>
  <si>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</si>
  <si>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</si>
  <si>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</si>
  <si>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</si>
  <si>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</si>
  <si>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</si>
  <si>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</si>
  <si>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</si>
  <si>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</si>
  <si>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</si>
  <si>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</si>
  <si>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</si>
  <si>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BESS</t>
  </si>
  <si>
    <t>-0.0 MW</t>
  </si>
  <si>
    <t>-0.0 MWh</t>
  </si>
  <si>
    <t>0.0 MWh</t>
  </si>
  <si>
    <t>0.5 MW</t>
  </si>
  <si>
    <t>0.9 MWh</t>
  </si>
  <si>
    <t>0.1 MW</t>
  </si>
  <si>
    <t>0.1 MWh</t>
  </si>
  <si>
    <t>0.4 MW</t>
  </si>
  <si>
    <t>0.7 MW</t>
  </si>
  <si>
    <t>1.1 MWh</t>
  </si>
  <si>
    <t>BESS en b2</t>
  </si>
  <si>
    <t>carga (MW)</t>
  </si>
  <si>
    <t>descarga (MW)</t>
  </si>
  <si>
    <t>SoC (MWh)</t>
  </si>
  <si>
    <t>BESS en b3</t>
  </si>
  <si>
    <t>BESS en b4</t>
  </si>
  <si>
    <t>BESS en b5</t>
  </si>
  <si>
    <t>BESS en b6</t>
  </si>
  <si>
    <t>BESS en b9</t>
  </si>
  <si>
    <t>BESS en b10</t>
  </si>
  <si>
    <t>BESS en b11</t>
  </si>
  <si>
    <t>BESS en b12</t>
  </si>
  <si>
    <t>BESS en b13</t>
  </si>
  <si>
    <t>BESS en b14</t>
  </si>
  <si>
    <t>Demanda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</si>
</sst>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1"/>
    <xf numFmtId="0" fontId="4" fillId="4" borderId="0" xfId="2"/>
    <xf numFmtId="44" fontId="4" fillId="4" borderId="0" xfId="2" applyNumberFormat="1"/>
    <xf numFmtId="44" fontId="5" fillId="4" borderId="0" xfId="2" applyNumberFormat="1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Despacho!$B$3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Despacho!$B$4:$B$27</c:f>
              <c:numCache>
                <c:formatCode>General</c:formatCode>
                <c:ptCount val="24"/>
                <c:pt idx="0">
                  <c:v>189.08</c:v>
                </c:pt>
                <c:pt idx="1">
                  <c:v>182.6</c:v>
                </c:pt>
                <c:pt idx="2">
                  <c:v>177.77</c:v>
                </c:pt>
                <c:pt idx="3">
                  <c:v>176.54</c:v>
                </c:pt>
                <c:pt idx="4">
                  <c:v>182.77</c:v>
                </c:pt>
                <c:pt idx="5">
                  <c:v>189.28</c:v>
                </c:pt>
                <c:pt idx="6">
                  <c:v>192.19</c:v>
                </c:pt>
                <c:pt idx="7">
                  <c:v>201.43</c:v>
                </c:pt>
                <c:pt idx="8">
                  <c:v>209.5</c:v>
                </c:pt>
                <c:pt idx="9">
                  <c:v>214.98</c:v>
                </c:pt>
                <c:pt idx="10">
                  <c:v>219.1</c:v>
                </c:pt>
                <c:pt idx="11">
                  <c:v>221.6</c:v>
                </c:pt>
                <c:pt idx="12">
                  <c:v>221.6</c:v>
                </c:pt>
                <c:pt idx="13">
                  <c:v>221.6</c:v>
                </c:pt>
                <c:pt idx="14">
                  <c:v>221.6</c:v>
                </c:pt>
                <c:pt idx="15">
                  <c:v>221.6</c:v>
                </c:pt>
                <c:pt idx="16">
                  <c:v>221.6</c:v>
                </c:pt>
                <c:pt idx="17">
                  <c:v>221.6</c:v>
                </c:pt>
                <c:pt idx="18">
                  <c:v>221.6</c:v>
                </c:pt>
                <c:pt idx="19">
                  <c:v>221.6</c:v>
                </c:pt>
                <c:pt idx="20">
                  <c:v>221.6</c:v>
                </c:pt>
                <c:pt idx="21">
                  <c:v>221.6</c:v>
                </c:pt>
                <c:pt idx="22">
                  <c:v>216.88</c:v>
                </c:pt>
                <c:pt idx="23">
                  <c:v>208.37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E-4844-B6E4-06F5C21015D0}"/>
            </c:ext>
          </c:extLst>
        </c:ser>
        <c:ser>
          <c:idx val="1"/>
          <c:order val="1"/>
          <c:tx>
            <c:strRef>
              <c:f>Despacho!$C$3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Despacho!$C$4:$C$26</c:f>
              <c:numCache>
                <c:formatCode>General</c:formatCode>
                <c:ptCount val="23"/>
                <c:pt idx="0">
                  <c:v>46.67</c:v>
                </c:pt>
                <c:pt idx="1">
                  <c:v>46.67</c:v>
                </c:pt>
                <c:pt idx="2">
                  <c:v>46.67</c:v>
                </c:pt>
                <c:pt idx="3">
                  <c:v>46.67</c:v>
                </c:pt>
                <c:pt idx="4">
                  <c:v>46.67</c:v>
                </c:pt>
                <c:pt idx="5">
                  <c:v>46.67</c:v>
                </c:pt>
                <c:pt idx="6">
                  <c:v>46.67</c:v>
                </c:pt>
                <c:pt idx="7">
                  <c:v>46.67</c:v>
                </c:pt>
                <c:pt idx="8">
                  <c:v>46.67</c:v>
                </c:pt>
                <c:pt idx="9">
                  <c:v>46.67</c:v>
                </c:pt>
                <c:pt idx="10">
                  <c:v>46.67</c:v>
                </c:pt>
                <c:pt idx="11">
                  <c:v>46.67</c:v>
                </c:pt>
                <c:pt idx="12">
                  <c:v>46.67</c:v>
                </c:pt>
                <c:pt idx="13">
                  <c:v>46.67</c:v>
                </c:pt>
                <c:pt idx="14">
                  <c:v>46.67</c:v>
                </c:pt>
                <c:pt idx="15">
                  <c:v>46.67</c:v>
                </c:pt>
                <c:pt idx="16">
                  <c:v>46.67</c:v>
                </c:pt>
                <c:pt idx="17">
                  <c:v>46.67</c:v>
                </c:pt>
                <c:pt idx="18">
                  <c:v>46.67</c:v>
                </c:pt>
                <c:pt idx="19">
                  <c:v>46.67</c:v>
                </c:pt>
                <c:pt idx="20">
                  <c:v>46.67</c:v>
                </c:pt>
                <c:pt idx="21">
                  <c:v>46.67</c:v>
                </c:pt>
                <c:pt idx="22">
                  <c:v>46.67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E-4844-B6E4-06F5C21015D0}"/>
            </c:ext>
          </c:extLst>
        </c:ser>
        <c:ser>
          <c:idx val="2"/>
          <c:order val="2"/>
          <c:tx>
            <c:strRef>
              <c:f>Despacho!$D$3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Despacho!$D$4:$D$26</c:f>
              <c:numCache>
                <c:formatCode>General</c:formatCode>
                <c:ptCount val="23"/>
                <c:pt idx="0">
                  <c:v>17.59</c:v>
                </c:pt>
                <c:pt idx="1">
                  <c:v>16.04</c:v>
                </c:pt>
                <c:pt idx="2">
                  <c:v>14.86</c:v>
                </c:pt>
                <c:pt idx="3">
                  <c:v>14.17</c:v>
                </c:pt>
                <c:pt idx="4">
                  <c:v>15.01</c:v>
                </c:pt>
                <c:pt idx="5">
                  <c:v>17.64</c:v>
                </c:pt>
                <c:pt idx="6">
                  <c:v>18.329999999999998</c:v>
                </c:pt>
                <c:pt idx="7">
                  <c:v>21.62</c:v>
                </c:pt>
                <c:pt idx="8">
                  <c:v>25.14</c:v>
                </c:pt>
                <c:pt idx="9">
                  <c:v>27.54</c:v>
                </c:pt>
                <c:pt idx="10">
                  <c:v>30.3</c:v>
                </c:pt>
                <c:pt idx="11">
                  <c:v>32.85</c:v>
                </c:pt>
                <c:pt idx="12">
                  <c:v>33.21</c:v>
                </c:pt>
                <c:pt idx="13">
                  <c:v>36.07</c:v>
                </c:pt>
                <c:pt idx="14">
                  <c:v>40.35</c:v>
                </c:pt>
                <c:pt idx="15">
                  <c:v>41.42</c:v>
                </c:pt>
                <c:pt idx="16">
                  <c:v>40.5</c:v>
                </c:pt>
                <c:pt idx="17">
                  <c:v>37.950000000000003</c:v>
                </c:pt>
                <c:pt idx="18">
                  <c:v>47.64</c:v>
                </c:pt>
                <c:pt idx="19">
                  <c:v>51.3</c:v>
                </c:pt>
                <c:pt idx="20">
                  <c:v>46.17</c:v>
                </c:pt>
                <c:pt idx="21">
                  <c:v>36.869999999999997</c:v>
                </c:pt>
                <c:pt idx="22">
                  <c:v>28.77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E-4844-B6E4-06F5C21015D0}"/>
            </c:ext>
          </c:extLst>
        </c:ser>
        <c:ser>
          <c:idx val="3"/>
          <c:order val="3"/>
          <c:tx>
            <c:strRef>
              <c:f>Despacho!$E$3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1.85</c:v>
                </c:pt>
                <c:pt idx="11">
                  <c:v>3.35</c:v>
                </c:pt>
                <c:pt idx="12">
                  <c:v>3.47</c:v>
                </c:pt>
                <c:pt idx="13">
                  <c:v>4.4400000000000004</c:v>
                </c:pt>
                <c:pt idx="14">
                  <c:v>5.9</c:v>
                </c:pt>
                <c:pt idx="15">
                  <c:v>6.27</c:v>
                </c:pt>
                <c:pt idx="16">
                  <c:v>5.95</c:v>
                </c:pt>
                <c:pt idx="17">
                  <c:v>5.09</c:v>
                </c:pt>
                <c:pt idx="18">
                  <c:v>7.27</c:v>
                </c:pt>
                <c:pt idx="19">
                  <c:v>7.29</c:v>
                </c:pt>
                <c:pt idx="20">
                  <c:v>7.26</c:v>
                </c:pt>
                <c:pt idx="21">
                  <c:v>4.71</c:v>
                </c:pt>
                <c:pt idx="22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E-4844-B6E4-06F5C21015D0}"/>
            </c:ext>
          </c:extLst>
        </c:ser>
        <c:ser>
          <c:idx val="4"/>
          <c:order val="4"/>
          <c:tx>
            <c:strRef>
              <c:f>Despacho!$F$3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1.66</c:v>
                </c:pt>
                <c:pt idx="8">
                  <c:v>4.12</c:v>
                </c:pt>
                <c:pt idx="9">
                  <c:v>5.79</c:v>
                </c:pt>
                <c:pt idx="10">
                  <c:v>6.9</c:v>
                </c:pt>
                <c:pt idx="11">
                  <c:v>7.72</c:v>
                </c:pt>
                <c:pt idx="12">
                  <c:v>7.78</c:v>
                </c:pt>
                <c:pt idx="13">
                  <c:v>8.2799999999999994</c:v>
                </c:pt>
                <c:pt idx="14">
                  <c:v>9.02</c:v>
                </c:pt>
                <c:pt idx="15">
                  <c:v>9.1999999999999993</c:v>
                </c:pt>
                <c:pt idx="16">
                  <c:v>9.0399999999999991</c:v>
                </c:pt>
                <c:pt idx="17">
                  <c:v>8.6</c:v>
                </c:pt>
                <c:pt idx="18">
                  <c:v>10.18</c:v>
                </c:pt>
                <c:pt idx="19">
                  <c:v>10.61</c:v>
                </c:pt>
                <c:pt idx="20">
                  <c:v>9.99</c:v>
                </c:pt>
                <c:pt idx="21">
                  <c:v>8.41</c:v>
                </c:pt>
                <c:pt idx="22">
                  <c:v>6.31</c:v>
                </c:pt>
                <c:pt idx="23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E-4844-B6E4-06F5C21015D0}"/>
            </c:ext>
          </c:extLst>
        </c:ser>
        <c:ser>
          <c:idx val="5"/>
          <c:order val="5"/>
          <c:tx>
            <c:strRef>
              <c:f>Despacho!$L$3</c:f>
              <c:strCache>
                <c:ptCount val="1"/>
                <c:pt idx="0">
                  <c:v>Demanda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Despacho!$L$4:$L$27</c:f>
              <c:numCache>
                <c:formatCode>General</c:formatCode>
                <c:ptCount val="24"/>
                <c:pt idx="0">
                  <c:v>253.34</c:v>
                </c:pt>
                <c:pt idx="1">
                  <c:v>245.30999999999997</c:v>
                </c:pt>
                <c:pt idx="2">
                  <c:v>239.3</c:v>
                </c:pt>
                <c:pt idx="3">
                  <c:v>237.37999999999997</c:v>
                </c:pt>
                <c:pt idx="4">
                  <c:v>244.45</c:v>
                </c:pt>
                <c:pt idx="5">
                  <c:v>253.58999999999997</c:v>
                </c:pt>
                <c:pt idx="6">
                  <c:v>257.19</c:v>
                </c:pt>
                <c:pt idx="7">
                  <c:v>271.38000000000005</c:v>
                </c:pt>
                <c:pt idx="8">
                  <c:v>285.43</c:v>
                </c:pt>
                <c:pt idx="9">
                  <c:v>294.98</c:v>
                </c:pt>
                <c:pt idx="10">
                  <c:v>304.82</c:v>
                </c:pt>
                <c:pt idx="11">
                  <c:v>312.19000000000005</c:v>
                </c:pt>
                <c:pt idx="12">
                  <c:v>312.72999999999996</c:v>
                </c:pt>
                <c:pt idx="13">
                  <c:v>317.05999999999995</c:v>
                </c:pt>
                <c:pt idx="14">
                  <c:v>323.53999999999996</c:v>
                </c:pt>
                <c:pt idx="15">
                  <c:v>325.15999999999997</c:v>
                </c:pt>
                <c:pt idx="16">
                  <c:v>323.76</c:v>
                </c:pt>
                <c:pt idx="17">
                  <c:v>319.90999999999997</c:v>
                </c:pt>
                <c:pt idx="18">
                  <c:v>333.35999999999996</c:v>
                </c:pt>
                <c:pt idx="19">
                  <c:v>337.47</c:v>
                </c:pt>
                <c:pt idx="20">
                  <c:v>331.69</c:v>
                </c:pt>
                <c:pt idx="21">
                  <c:v>318.26</c:v>
                </c:pt>
                <c:pt idx="22">
                  <c:v>299.40999999999997</c:v>
                </c:pt>
                <c:pt idx="23">
                  <c:v>283.41000000000003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E-4844-B6E4-06F5C2101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163343"/>
        <c:axId val="277386767"/>
      </c:lineChart>
      <c:catAx>
        <c:axId val="27316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6767"/>
        <c:crosses val="autoZero"/>
        <c:auto val="1"/>
        <c:lblAlgn val="ctr"/>
        <c:lblOffset val="100"/>
        <c:noMultiLvlLbl val="0"/>
      </c:catAx>
      <c:valAx>
        <c:axId val="2773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Generación despachada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BESS_operacion!$B$293</c:f>
              <c:strCache>
                <c:ptCount val="1"/>
                <c:pt idx="0">
                  <c:v>carga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BESS_operacion!$A$294:$A$317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BESS_operacion!$B$294:$B$317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</c:v>
                </c:pt>
                <c:pt idx="4">
                  <c:v>0.7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D-4199-98BF-9DE19E5EE483}"/>
            </c:ext>
          </c:extLst>
        </c:ser>
        <c:ser>
          <c:idx val="1"/>
          <c:order val="1"/>
          <c:tx>
            <c:strRef>
              <c:f>BESS_operacion!$C$293</c:f>
              <c:strCache>
                <c:ptCount val="1"/>
                <c:pt idx="0">
                  <c:v>descarga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BESS_operacion!$C$294:$C$317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0.23</c:v>
                </c:pt>
                <c:pt idx="19">
                  <c:v>0.7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CD-4199-98BF-9DE19E5EE483}"/>
            </c:ext>
          </c:extLst>
        </c:ser>
        <c:ser>
          <c:idx val="2"/>
          <c:order val="2"/>
          <c:tx>
            <c:strRef>
              <c:f>BESS_operacion!$D$293</c:f>
              <c:strCache>
                <c:ptCount val="1"/>
                <c:pt idx="0">
                  <c:v>SoC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BESS_operacion!$D$294:$D$317</c:f>
              <c:numCache>
                <c:formatCode>General</c:formatCode>
                <c:ptCount val="24"/>
                <c:pt idx="0">
                  <c:v>0.34</c:v>
                </c:pt>
                <c:pt idx="1">
                  <c:v>0.34</c:v>
                </c:pt>
                <c:pt idx="2">
                  <c:v>0.34</c:v>
                </c:pt>
                <c:pt idx="3">
                  <c:v>0.48</c:v>
                </c:pt>
                <c:pt idx="4">
                  <c:v>1.1200000000000001</c:v>
                </c:pt>
                <c:pt idx="5">
                  <c:v>1.1200000000000001</c:v>
                </c:pt>
                <c:pt idx="6">
                  <c:v>1.1200000000000001</c:v>
                </c:pt>
                <c:pt idx="7">
                  <c:v>1.1200000000000001</c:v>
                </c:pt>
                <c:pt idx="8">
                  <c:v>1.1200000000000001</c:v>
                </c:pt>
                <c:pt idx="9">
                  <c:v>1.1200000000000001</c:v>
                </c:pt>
                <c:pt idx="10">
                  <c:v>1.1200000000000001</c:v>
                </c:pt>
                <c:pt idx="11">
                  <c:v>1.1200000000000001</c:v>
                </c:pt>
                <c:pt idx="12">
                  <c:v>1.1200000000000001</c:v>
                </c:pt>
                <c:pt idx="13">
                  <c:v>1.1200000000000001</c:v>
                </c:pt>
                <c:pt idx="14">
                  <c:v>1.1200000000000001</c:v>
                </c:pt>
                <c:pt idx="15">
                  <c:v>1.1200000000000001</c:v>
                </c:pt>
                <c:pt idx="16">
                  <c:v>1.1200000000000001</c:v>
                </c:pt>
                <c:pt idx="17">
                  <c:v>1.1200000000000001</c:v>
                </c:pt>
                <c:pt idx="18">
                  <c:v>0.87</c:v>
                </c:pt>
                <c:pt idx="19">
                  <c:v>0.11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CD-4199-98BF-9DE19E5EE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538447"/>
        <c:axId val="277381967"/>
      </c:scatterChart>
      <c:valAx>
        <c:axId val="1434538447"/>
        <c:scaling>
          <c:orientation val="minMax"/>
          <c:max val="24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1967"/>
        <c:crosses val="autoZero"/>
        <c:crossBetween val="midCat"/>
      </c:valAx>
      <c:valAx>
        <c:axId val="27738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53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28</xdr:row>
      <xdr:rowOff>161925</xdr:rowOff>
    </xdr:from>
    <xdr:to>
      <xdr:col>10</xdr:col>
      <xdr:colOff>9525</xdr:colOff>
      <xdr:row>55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117BE-D405-4D6A-A034-49D98F3FA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297</xdr:row>
      <xdr:rowOff>119062</xdr:rowOff>
    </xdr:from>
    <xdr:to>
      <xdr:col>16</xdr:col>
      <xdr:colOff>152400</xdr:colOff>
      <xdr:row>312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F6003-8352-FD47-11AF-BD3DFE64D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cargas\resultados_caso_IEEE14_E1_24h_20260808_234052.xlsx" TargetMode="External"/><Relationship Id="rId1" Type="http://schemas.openxmlformats.org/officeDocument/2006/relationships/externalLinkPath" Target="resultados_caso_IEEE14_E1_24h_20260808_23405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cargas\resultados_caso_IEEE14_E0_24h_20260808_193835.xlsx" TargetMode="External"/><Relationship Id="rId1" Type="http://schemas.openxmlformats.org/officeDocument/2006/relationships/externalLinkPath" Target="resultados_caso_IEEE14_E0_24h_20260808_1938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espacho"/>
      <sheetName val="Flujos"/>
      <sheetName val="Perdidas"/>
      <sheetName val="Angulos"/>
      <sheetName val="Inversiones"/>
      <sheetName val="BESS_operacion"/>
    </sheetNames>
    <sheetDataSet>
      <sheetData sheetId="0"/>
      <sheetData sheetId="1">
        <row r="3">
          <cell r="B3" t="str">
            <v>G1</v>
          </cell>
          <cell r="C3" t="str">
            <v>G2</v>
          </cell>
          <cell r="D3" t="str">
            <v>G3</v>
          </cell>
          <cell r="E3" t="str">
            <v>G4</v>
          </cell>
          <cell r="F3" t="str">
            <v>G5</v>
          </cell>
        </row>
        <row r="4">
          <cell r="A4">
            <v>1</v>
          </cell>
          <cell r="B4">
            <v>187.27</v>
          </cell>
          <cell r="C4">
            <v>46.67</v>
          </cell>
          <cell r="D4">
            <v>18.86</v>
          </cell>
          <cell r="E4">
            <v>0</v>
          </cell>
          <cell r="F4">
            <v>0.37</v>
          </cell>
        </row>
        <row r="5">
          <cell r="A5">
            <v>2</v>
          </cell>
          <cell r="B5">
            <v>183.53</v>
          </cell>
          <cell r="C5">
            <v>46.67</v>
          </cell>
          <cell r="D5">
            <v>16.739999999999998</v>
          </cell>
          <cell r="E5">
            <v>0</v>
          </cell>
          <cell r="F5">
            <v>0</v>
          </cell>
        </row>
        <row r="6">
          <cell r="A6">
            <v>3</v>
          </cell>
          <cell r="B6">
            <v>181.98</v>
          </cell>
          <cell r="C6">
            <v>46.67</v>
          </cell>
          <cell r="D6">
            <v>14.92</v>
          </cell>
          <cell r="E6">
            <v>0</v>
          </cell>
          <cell r="F6">
            <v>0.18</v>
          </cell>
        </row>
        <row r="7">
          <cell r="A7">
            <v>4</v>
          </cell>
          <cell r="B7">
            <v>181.12</v>
          </cell>
          <cell r="C7">
            <v>46.67</v>
          </cell>
          <cell r="D7">
            <v>14.16</v>
          </cell>
          <cell r="E7">
            <v>0</v>
          </cell>
          <cell r="F7">
            <v>0.55000000000000004</v>
          </cell>
        </row>
        <row r="8">
          <cell r="A8">
            <v>5</v>
          </cell>
          <cell r="B8">
            <v>182.97</v>
          </cell>
          <cell r="C8">
            <v>46.67</v>
          </cell>
          <cell r="D8">
            <v>15.88</v>
          </cell>
          <cell r="E8">
            <v>0</v>
          </cell>
          <cell r="F8">
            <v>0</v>
          </cell>
        </row>
        <row r="9">
          <cell r="A9">
            <v>6</v>
          </cell>
          <cell r="B9">
            <v>187.41</v>
          </cell>
          <cell r="C9">
            <v>46.67</v>
          </cell>
          <cell r="D9">
            <v>18.920000000000002</v>
          </cell>
          <cell r="E9">
            <v>0</v>
          </cell>
          <cell r="F9">
            <v>0.41</v>
          </cell>
        </row>
        <row r="10">
          <cell r="A10">
            <v>7</v>
          </cell>
          <cell r="B10">
            <v>189.44</v>
          </cell>
          <cell r="C10">
            <v>46.67</v>
          </cell>
          <cell r="D10">
            <v>19.809999999999999</v>
          </cell>
          <cell r="E10">
            <v>0</v>
          </cell>
          <cell r="F10">
            <v>1.02</v>
          </cell>
        </row>
        <row r="11">
          <cell r="A11">
            <v>8</v>
          </cell>
          <cell r="B11">
            <v>197.53</v>
          </cell>
          <cell r="C11">
            <v>46.67</v>
          </cell>
          <cell r="D11">
            <v>23.34</v>
          </cell>
          <cell r="E11">
            <v>0</v>
          </cell>
          <cell r="F11">
            <v>3.49</v>
          </cell>
        </row>
        <row r="12">
          <cell r="A12">
            <v>9</v>
          </cell>
          <cell r="B12">
            <v>205.29</v>
          </cell>
          <cell r="C12">
            <v>46.67</v>
          </cell>
          <cell r="D12">
            <v>26.92</v>
          </cell>
          <cell r="E12">
            <v>0.36</v>
          </cell>
          <cell r="F12">
            <v>5.82</v>
          </cell>
        </row>
        <row r="13">
          <cell r="A13">
            <v>10</v>
          </cell>
          <cell r="B13">
            <v>209.24</v>
          </cell>
          <cell r="C13">
            <v>46.67</v>
          </cell>
          <cell r="D13">
            <v>29.58</v>
          </cell>
          <cell r="E13">
            <v>2.2000000000000002</v>
          </cell>
          <cell r="F13">
            <v>6.94</v>
          </cell>
        </row>
        <row r="14">
          <cell r="A14">
            <v>11</v>
          </cell>
          <cell r="B14">
            <v>213.3</v>
          </cell>
          <cell r="C14">
            <v>46.67</v>
          </cell>
          <cell r="D14">
            <v>32.35</v>
          </cell>
          <cell r="E14">
            <v>4.1399999999999997</v>
          </cell>
          <cell r="F14">
            <v>8.07</v>
          </cell>
        </row>
        <row r="15">
          <cell r="A15">
            <v>12</v>
          </cell>
          <cell r="B15">
            <v>214.54</v>
          </cell>
          <cell r="C15">
            <v>46.67</v>
          </cell>
          <cell r="D15">
            <v>35.93</v>
          </cell>
          <cell r="E15">
            <v>5.73</v>
          </cell>
          <cell r="F15">
            <v>8.77</v>
          </cell>
        </row>
        <row r="16">
          <cell r="A16">
            <v>13</v>
          </cell>
          <cell r="B16">
            <v>214.51</v>
          </cell>
          <cell r="C16">
            <v>46.67</v>
          </cell>
          <cell r="D16">
            <v>36.31</v>
          </cell>
          <cell r="E16">
            <v>5.86</v>
          </cell>
          <cell r="F16">
            <v>8.83</v>
          </cell>
        </row>
        <row r="17">
          <cell r="A17">
            <v>14</v>
          </cell>
          <cell r="B17">
            <v>214.35</v>
          </cell>
          <cell r="C17">
            <v>46.67</v>
          </cell>
          <cell r="D17">
            <v>39.32</v>
          </cell>
          <cell r="E17">
            <v>6.8</v>
          </cell>
          <cell r="F17">
            <v>9.33</v>
          </cell>
        </row>
        <row r="18">
          <cell r="A18">
            <v>15</v>
          </cell>
          <cell r="B18">
            <v>215.01</v>
          </cell>
          <cell r="C18">
            <v>46.67</v>
          </cell>
          <cell r="D18">
            <v>43.42</v>
          </cell>
          <cell r="E18">
            <v>6.81</v>
          </cell>
          <cell r="F18">
            <v>9.98</v>
          </cell>
        </row>
        <row r="19">
          <cell r="A19">
            <v>16</v>
          </cell>
          <cell r="B19">
            <v>215.17</v>
          </cell>
          <cell r="C19">
            <v>46.67</v>
          </cell>
          <cell r="D19">
            <v>44.44</v>
          </cell>
          <cell r="E19">
            <v>6.8</v>
          </cell>
          <cell r="F19">
            <v>10.130000000000001</v>
          </cell>
        </row>
        <row r="20">
          <cell r="A20">
            <v>17</v>
          </cell>
          <cell r="B20">
            <v>215.03</v>
          </cell>
          <cell r="C20">
            <v>46.67</v>
          </cell>
          <cell r="D20">
            <v>43.55</v>
          </cell>
          <cell r="E20">
            <v>6.81</v>
          </cell>
          <cell r="F20">
            <v>10</v>
          </cell>
        </row>
        <row r="21">
          <cell r="A21">
            <v>18</v>
          </cell>
          <cell r="B21">
            <v>214.65</v>
          </cell>
          <cell r="C21">
            <v>46.67</v>
          </cell>
          <cell r="D21">
            <v>41.12</v>
          </cell>
          <cell r="E21">
            <v>6.84</v>
          </cell>
          <cell r="F21">
            <v>9.6300000000000008</v>
          </cell>
        </row>
        <row r="22">
          <cell r="A22">
            <v>19</v>
          </cell>
          <cell r="B22">
            <v>215.43</v>
          </cell>
          <cell r="C22">
            <v>46.67</v>
          </cell>
          <cell r="D22">
            <v>50.17</v>
          </cell>
          <cell r="E22">
            <v>7.07</v>
          </cell>
          <cell r="F22">
            <v>10.19</v>
          </cell>
        </row>
        <row r="23">
          <cell r="A23">
            <v>20</v>
          </cell>
          <cell r="B23">
            <v>215.07</v>
          </cell>
          <cell r="C23">
            <v>46.67</v>
          </cell>
          <cell r="D23">
            <v>53.7</v>
          </cell>
          <cell r="E23">
            <v>7.47</v>
          </cell>
          <cell r="F23">
            <v>10.19</v>
          </cell>
        </row>
        <row r="24">
          <cell r="A24">
            <v>21</v>
          </cell>
          <cell r="B24">
            <v>215.38</v>
          </cell>
          <cell r="C24">
            <v>46.67</v>
          </cell>
          <cell r="D24">
            <v>48.86</v>
          </cell>
          <cell r="E24">
            <v>7</v>
          </cell>
          <cell r="F24">
            <v>10.19</v>
          </cell>
        </row>
        <row r="25">
          <cell r="A25">
            <v>22</v>
          </cell>
          <cell r="B25">
            <v>214.49</v>
          </cell>
          <cell r="C25">
            <v>46.67</v>
          </cell>
          <cell r="D25">
            <v>40.08</v>
          </cell>
          <cell r="E25">
            <v>6.81</v>
          </cell>
          <cell r="F25">
            <v>9.48</v>
          </cell>
        </row>
        <row r="26">
          <cell r="A26">
            <v>23</v>
          </cell>
          <cell r="B26">
            <v>210.28</v>
          </cell>
          <cell r="C26">
            <v>46.67</v>
          </cell>
          <cell r="D26">
            <v>30.95</v>
          </cell>
          <cell r="E26">
            <v>5.0599999999999996</v>
          </cell>
          <cell r="F26">
            <v>7.64</v>
          </cell>
        </row>
        <row r="27">
          <cell r="A27">
            <v>24</v>
          </cell>
          <cell r="B27">
            <v>202.4</v>
          </cell>
          <cell r="C27">
            <v>46.67</v>
          </cell>
          <cell r="D27">
            <v>26.32</v>
          </cell>
          <cell r="E27">
            <v>4.84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espacho"/>
      <sheetName val="Flujos"/>
      <sheetName val="Perdidas"/>
      <sheetName val="Angulos"/>
      <sheetName val="Inversiones"/>
    </sheetNames>
    <sheetDataSet>
      <sheetData sheetId="0" refreshError="1"/>
      <sheetData sheetId="1">
        <row r="3">
          <cell r="B3" t="str">
            <v>G1</v>
          </cell>
          <cell r="G3" t="str">
            <v>Demanda Total</v>
          </cell>
        </row>
        <row r="4">
          <cell r="G4">
            <v>202.18000000000004</v>
          </cell>
        </row>
        <row r="5">
          <cell r="G5">
            <v>195.81000000000003</v>
          </cell>
        </row>
        <row r="6">
          <cell r="G6">
            <v>190.99</v>
          </cell>
        </row>
        <row r="7">
          <cell r="G7">
            <v>188.9</v>
          </cell>
        </row>
        <row r="8">
          <cell r="G8">
            <v>193.58</v>
          </cell>
        </row>
        <row r="9">
          <cell r="G9">
            <v>202.37</v>
          </cell>
        </row>
        <row r="10">
          <cell r="G10">
            <v>205.22000000000003</v>
          </cell>
        </row>
        <row r="11">
          <cell r="G11">
            <v>216.63000000000002</v>
          </cell>
        </row>
        <row r="12">
          <cell r="G12">
            <v>228.01000000000002</v>
          </cell>
        </row>
        <row r="13">
          <cell r="G13">
            <v>235.73999999999998</v>
          </cell>
        </row>
        <row r="14">
          <cell r="G14">
            <v>243.78000000000003</v>
          </cell>
        </row>
        <row r="15">
          <cell r="G15">
            <v>249.85</v>
          </cell>
        </row>
        <row r="16">
          <cell r="G16">
            <v>250.32</v>
          </cell>
        </row>
        <row r="17">
          <cell r="G17">
            <v>253.95999999999998</v>
          </cell>
        </row>
        <row r="18">
          <cell r="G18">
            <v>259.40999999999997</v>
          </cell>
        </row>
        <row r="19">
          <cell r="G19">
            <v>260.76</v>
          </cell>
        </row>
        <row r="20">
          <cell r="G20">
            <v>259.59000000000003</v>
          </cell>
        </row>
        <row r="21">
          <cell r="G21">
            <v>256.34999999999997</v>
          </cell>
        </row>
        <row r="22">
          <cell r="G22">
            <v>268.28999999999996</v>
          </cell>
        </row>
        <row r="23">
          <cell r="G23">
            <v>272.63</v>
          </cell>
        </row>
        <row r="24">
          <cell r="G24">
            <v>266.57</v>
          </cell>
        </row>
        <row r="25">
          <cell r="G25">
            <v>254.97000000000003</v>
          </cell>
        </row>
        <row r="26">
          <cell r="G26">
            <v>239.36</v>
          </cell>
        </row>
        <row r="27">
          <cell r="G27">
            <v>225.52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D18" sqref="D18:D19"/>
    </sheetView>
  </sheetViews>
  <sheetFormatPr defaultRowHeight="15" x14ac:dyDescent="0.25"/>
  <cols>
    <col min="1" max="1" width="30.140625" bestFit="1" customWidth="1"/>
    <col min="2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219031.13</v>
      </c>
    </row>
    <row r="5" spans="1:2" x14ac:dyDescent="0.25">
      <c r="A5" t="s">
        <v>4</v>
      </c>
      <c r="B5">
        <v>7025.1</v>
      </c>
    </row>
    <row r="6" spans="1:2" x14ac:dyDescent="0.25">
      <c r="A6" t="s">
        <v>5</v>
      </c>
      <c r="B6">
        <v>347.34</v>
      </c>
    </row>
    <row r="7" spans="1:2" x14ac:dyDescent="0.25">
      <c r="A7" t="s">
        <v>6</v>
      </c>
      <c r="B7">
        <v>11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19.850000000000001</v>
      </c>
    </row>
    <row r="12" spans="1:2" x14ac:dyDescent="0.25">
      <c r="A12" t="s">
        <v>12</v>
      </c>
      <c r="B12">
        <v>537.9</v>
      </c>
    </row>
    <row r="13" spans="1:2" x14ac:dyDescent="0.2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abSelected="1" workbookViewId="0">
      <selection activeCell="J15" sqref="J15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7" width="11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93</v>
      </c>
    </row>
    <row r="4" spans="1:17" x14ac:dyDescent="0.25">
      <c r="A4">
        <v>1</v>
      </c>
      <c r="B4">
        <v>189.08</v>
      </c>
      <c r="C4">
        <v>46.67</v>
      </c>
      <c r="D4">
        <v>17.59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4">
        <f>SUM(B4:F4)</f>
        <v>253.34</v>
      </c>
      <c r="M4" s="5">
        <f>(0.043029*B4^2+B4*20+B4*0)</f>
        <v>5319.9403813456001</v>
      </c>
      <c r="N4" s="5">
        <f>(0.25*C4^2+C4*20+C4*0)</f>
        <v>1477.9222250000003</v>
      </c>
      <c r="O4" s="5">
        <f>(0.01*D4^2+D4*40+D4*0)</f>
        <v>706.69408099999998</v>
      </c>
      <c r="P4" s="5">
        <f>(0.01*E4^2+E4*40+E4*0)</f>
        <v>0</v>
      </c>
      <c r="Q4" s="5">
        <f>(0.01*F4^2+F4*40+F4*0)</f>
        <v>0</v>
      </c>
    </row>
    <row r="5" spans="1:17" x14ac:dyDescent="0.25">
      <c r="A5">
        <v>2</v>
      </c>
      <c r="B5">
        <v>182.6</v>
      </c>
      <c r="C5">
        <v>46.67</v>
      </c>
      <c r="D5">
        <v>16.04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 s="4">
        <f t="shared" ref="L5:L27" si="0">SUM(B5:F5)</f>
        <v>245.30999999999997</v>
      </c>
      <c r="M5" s="5">
        <f t="shared" ref="M5:M27" si="1">(0.043029*B5^2+B5*20+B5*0)</f>
        <v>5086.7056200400002</v>
      </c>
      <c r="N5" s="5">
        <f t="shared" ref="N5:N27" si="2">(0.25*C5^2+C5*20+C5*0)</f>
        <v>1477.9222250000003</v>
      </c>
      <c r="O5" s="5">
        <f t="shared" ref="O5:O27" si="3">(0.01*D5^2+D5*40+D5*0)</f>
        <v>644.1728159999999</v>
      </c>
      <c r="P5" s="5">
        <f t="shared" ref="P5:P27" si="4">(0.01*E5^2+E5*40+E5*0)</f>
        <v>0</v>
      </c>
      <c r="Q5" s="5">
        <f t="shared" ref="Q5:Q27" si="5">(0.01*F5^2+F5*40+F5*0)</f>
        <v>0</v>
      </c>
    </row>
    <row r="6" spans="1:17" x14ac:dyDescent="0.25">
      <c r="A6">
        <v>3</v>
      </c>
      <c r="B6">
        <v>177.77</v>
      </c>
      <c r="C6">
        <v>46.67</v>
      </c>
      <c r="D6">
        <v>14.86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 s="4">
        <f t="shared" si="0"/>
        <v>239.3</v>
      </c>
      <c r="M6" s="5">
        <f t="shared" si="1"/>
        <v>4915.2098977141004</v>
      </c>
      <c r="N6" s="5">
        <f t="shared" si="2"/>
        <v>1477.9222250000003</v>
      </c>
      <c r="O6" s="5">
        <f t="shared" si="3"/>
        <v>596.60819600000002</v>
      </c>
      <c r="P6" s="5">
        <f t="shared" si="4"/>
        <v>0</v>
      </c>
      <c r="Q6" s="5">
        <f t="shared" si="5"/>
        <v>0</v>
      </c>
    </row>
    <row r="7" spans="1:17" x14ac:dyDescent="0.25">
      <c r="A7">
        <v>4</v>
      </c>
      <c r="B7">
        <v>176.54</v>
      </c>
      <c r="C7">
        <v>46.67</v>
      </c>
      <c r="D7">
        <v>14.17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 s="4">
        <f t="shared" si="0"/>
        <v>237.37999999999997</v>
      </c>
      <c r="M7" s="5">
        <f t="shared" si="1"/>
        <v>4871.8578035763994</v>
      </c>
      <c r="N7" s="5">
        <f t="shared" si="2"/>
        <v>1477.9222250000003</v>
      </c>
      <c r="O7" s="5">
        <f t="shared" si="3"/>
        <v>568.80788899999993</v>
      </c>
      <c r="P7" s="5">
        <f t="shared" si="4"/>
        <v>0</v>
      </c>
      <c r="Q7" s="5">
        <f t="shared" si="5"/>
        <v>0</v>
      </c>
    </row>
    <row r="8" spans="1:17" x14ac:dyDescent="0.25">
      <c r="A8">
        <v>5</v>
      </c>
      <c r="B8">
        <v>182.77</v>
      </c>
      <c r="C8">
        <v>46.67</v>
      </c>
      <c r="D8">
        <v>15.01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 s="4">
        <f t="shared" si="0"/>
        <v>244.45</v>
      </c>
      <c r="M8" s="5">
        <f t="shared" si="1"/>
        <v>5092.7782760140999</v>
      </c>
      <c r="N8" s="5">
        <f t="shared" si="2"/>
        <v>1477.9222250000003</v>
      </c>
      <c r="O8" s="5">
        <f t="shared" si="3"/>
        <v>602.65300100000002</v>
      </c>
      <c r="P8" s="5">
        <f t="shared" si="4"/>
        <v>0</v>
      </c>
      <c r="Q8" s="5">
        <f t="shared" si="5"/>
        <v>0</v>
      </c>
    </row>
    <row r="9" spans="1:17" x14ac:dyDescent="0.25">
      <c r="A9">
        <v>6</v>
      </c>
      <c r="B9">
        <v>189.28</v>
      </c>
      <c r="C9">
        <v>46.67</v>
      </c>
      <c r="D9">
        <v>17.64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 s="4">
        <f t="shared" si="0"/>
        <v>253.58999999999997</v>
      </c>
      <c r="M9" s="5">
        <f t="shared" si="1"/>
        <v>5327.1964718336003</v>
      </c>
      <c r="N9" s="5">
        <f t="shared" si="2"/>
        <v>1477.9222250000003</v>
      </c>
      <c r="O9" s="5">
        <f t="shared" si="3"/>
        <v>708.71169600000007</v>
      </c>
      <c r="P9" s="5">
        <f t="shared" si="4"/>
        <v>0</v>
      </c>
      <c r="Q9" s="5">
        <f t="shared" si="5"/>
        <v>0</v>
      </c>
    </row>
    <row r="10" spans="1:17" x14ac:dyDescent="0.25">
      <c r="A10">
        <v>7</v>
      </c>
      <c r="B10">
        <v>192.19</v>
      </c>
      <c r="C10">
        <v>46.67</v>
      </c>
      <c r="D10">
        <v>18.329999999999998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 s="4">
        <f t="shared" si="0"/>
        <v>257.19</v>
      </c>
      <c r="M10" s="5">
        <f t="shared" si="1"/>
        <v>5433.1620051868995</v>
      </c>
      <c r="N10" s="5">
        <f t="shared" si="2"/>
        <v>1477.9222250000003</v>
      </c>
      <c r="O10" s="5">
        <f t="shared" si="3"/>
        <v>736.55988899999988</v>
      </c>
      <c r="P10" s="5">
        <f t="shared" si="4"/>
        <v>0</v>
      </c>
      <c r="Q10" s="5">
        <f t="shared" si="5"/>
        <v>0</v>
      </c>
    </row>
    <row r="11" spans="1:17" x14ac:dyDescent="0.25">
      <c r="A11">
        <v>8</v>
      </c>
      <c r="B11">
        <v>201.43</v>
      </c>
      <c r="C11">
        <v>46.67</v>
      </c>
      <c r="D11">
        <v>21.62</v>
      </c>
      <c r="E11">
        <v>0</v>
      </c>
      <c r="F11">
        <v>1.66</v>
      </c>
      <c r="G11">
        <v>1</v>
      </c>
      <c r="H11">
        <v>1</v>
      </c>
      <c r="I11">
        <v>1</v>
      </c>
      <c r="J11">
        <v>0</v>
      </c>
      <c r="K11">
        <v>1</v>
      </c>
      <c r="L11" s="4">
        <f t="shared" si="0"/>
        <v>271.38000000000005</v>
      </c>
      <c r="M11" s="5">
        <f t="shared" si="1"/>
        <v>5774.4605780021002</v>
      </c>
      <c r="N11" s="5">
        <f t="shared" si="2"/>
        <v>1477.9222250000003</v>
      </c>
      <c r="O11" s="5">
        <f t="shared" si="3"/>
        <v>869.47424400000011</v>
      </c>
      <c r="P11" s="5">
        <f t="shared" si="4"/>
        <v>0</v>
      </c>
      <c r="Q11" s="5">
        <f t="shared" si="5"/>
        <v>66.427555999999996</v>
      </c>
    </row>
    <row r="12" spans="1:17" x14ac:dyDescent="0.25">
      <c r="A12">
        <v>9</v>
      </c>
      <c r="B12">
        <v>209.5</v>
      </c>
      <c r="C12">
        <v>46.67</v>
      </c>
      <c r="D12">
        <v>25.14</v>
      </c>
      <c r="E12">
        <v>0</v>
      </c>
      <c r="F12">
        <v>4.12</v>
      </c>
      <c r="G12">
        <v>1</v>
      </c>
      <c r="H12">
        <v>1</v>
      </c>
      <c r="I12">
        <v>1</v>
      </c>
      <c r="J12">
        <v>1</v>
      </c>
      <c r="K12">
        <v>1</v>
      </c>
      <c r="L12" s="4">
        <f t="shared" si="0"/>
        <v>285.43</v>
      </c>
      <c r="M12" s="5">
        <f t="shared" si="1"/>
        <v>6078.55356725</v>
      </c>
      <c r="N12" s="5">
        <f t="shared" si="2"/>
        <v>1477.9222250000003</v>
      </c>
      <c r="O12" s="5">
        <f t="shared" si="3"/>
        <v>1011.920196</v>
      </c>
      <c r="P12" s="5">
        <f t="shared" si="4"/>
        <v>0</v>
      </c>
      <c r="Q12" s="5">
        <f t="shared" si="5"/>
        <v>164.96974400000002</v>
      </c>
    </row>
    <row r="13" spans="1:17" x14ac:dyDescent="0.25">
      <c r="A13">
        <v>10</v>
      </c>
      <c r="B13">
        <v>214.98</v>
      </c>
      <c r="C13">
        <v>46.67</v>
      </c>
      <c r="D13">
        <v>27.54</v>
      </c>
      <c r="E13">
        <v>0</v>
      </c>
      <c r="F13">
        <v>5.79</v>
      </c>
      <c r="G13">
        <v>1</v>
      </c>
      <c r="H13">
        <v>1</v>
      </c>
      <c r="I13">
        <v>1</v>
      </c>
      <c r="J13">
        <v>1</v>
      </c>
      <c r="K13">
        <v>1</v>
      </c>
      <c r="L13" s="4">
        <f t="shared" si="0"/>
        <v>294.98</v>
      </c>
      <c r="M13" s="5">
        <f t="shared" si="1"/>
        <v>6288.2454928115994</v>
      </c>
      <c r="N13" s="5">
        <f t="shared" si="2"/>
        <v>1477.9222250000003</v>
      </c>
      <c r="O13" s="5">
        <f t="shared" si="3"/>
        <v>1109.1845159999998</v>
      </c>
      <c r="P13" s="5">
        <f t="shared" si="4"/>
        <v>0</v>
      </c>
      <c r="Q13" s="5">
        <f t="shared" si="5"/>
        <v>231.93524099999999</v>
      </c>
    </row>
    <row r="14" spans="1:17" x14ac:dyDescent="0.25">
      <c r="A14">
        <v>11</v>
      </c>
      <c r="B14">
        <v>219.1</v>
      </c>
      <c r="C14">
        <v>46.67</v>
      </c>
      <c r="D14">
        <v>30.3</v>
      </c>
      <c r="E14">
        <v>1.85</v>
      </c>
      <c r="F14">
        <v>6.9</v>
      </c>
      <c r="G14">
        <v>1</v>
      </c>
      <c r="H14">
        <v>1</v>
      </c>
      <c r="I14">
        <v>1</v>
      </c>
      <c r="J14">
        <v>1</v>
      </c>
      <c r="K14">
        <v>1</v>
      </c>
      <c r="L14" s="4">
        <f t="shared" si="0"/>
        <v>304.82</v>
      </c>
      <c r="M14" s="5">
        <f t="shared" si="1"/>
        <v>6447.5989694899999</v>
      </c>
      <c r="N14" s="5">
        <f t="shared" si="2"/>
        <v>1477.9222250000003</v>
      </c>
      <c r="O14" s="5">
        <f t="shared" si="3"/>
        <v>1221.1809000000001</v>
      </c>
      <c r="P14" s="5">
        <f t="shared" si="4"/>
        <v>74.034225000000006</v>
      </c>
      <c r="Q14" s="5">
        <f t="shared" si="5"/>
        <v>276.47609999999997</v>
      </c>
    </row>
    <row r="15" spans="1:17" x14ac:dyDescent="0.25">
      <c r="A15">
        <v>12</v>
      </c>
      <c r="B15">
        <v>221.6</v>
      </c>
      <c r="C15">
        <v>46.67</v>
      </c>
      <c r="D15">
        <v>32.85</v>
      </c>
      <c r="E15">
        <v>3.35</v>
      </c>
      <c r="F15">
        <v>7.72</v>
      </c>
      <c r="G15">
        <v>1</v>
      </c>
      <c r="H15">
        <v>1</v>
      </c>
      <c r="I15">
        <v>1</v>
      </c>
      <c r="J15">
        <v>1</v>
      </c>
      <c r="K15">
        <v>1</v>
      </c>
      <c r="L15" s="4">
        <f t="shared" si="0"/>
        <v>312.19000000000005</v>
      </c>
      <c r="M15" s="5">
        <f t="shared" si="1"/>
        <v>6545.0061702399998</v>
      </c>
      <c r="N15" s="5">
        <f t="shared" si="2"/>
        <v>1477.9222250000003</v>
      </c>
      <c r="O15" s="5">
        <f t="shared" si="3"/>
        <v>1324.7912249999999</v>
      </c>
      <c r="P15" s="5">
        <f t="shared" si="4"/>
        <v>134.112225</v>
      </c>
      <c r="Q15" s="5">
        <f t="shared" si="5"/>
        <v>309.395984</v>
      </c>
    </row>
    <row r="16" spans="1:17" x14ac:dyDescent="0.25">
      <c r="A16">
        <v>13</v>
      </c>
      <c r="B16">
        <v>221.6</v>
      </c>
      <c r="C16">
        <v>46.67</v>
      </c>
      <c r="D16">
        <v>33.21</v>
      </c>
      <c r="E16">
        <v>3.47</v>
      </c>
      <c r="F16">
        <v>7.78</v>
      </c>
      <c r="G16">
        <v>1</v>
      </c>
      <c r="H16">
        <v>1</v>
      </c>
      <c r="I16">
        <v>1</v>
      </c>
      <c r="J16">
        <v>1</v>
      </c>
      <c r="K16">
        <v>1</v>
      </c>
      <c r="L16" s="4">
        <f t="shared" si="0"/>
        <v>312.72999999999996</v>
      </c>
      <c r="M16" s="5">
        <f t="shared" si="1"/>
        <v>6545.0061702399998</v>
      </c>
      <c r="N16" s="5">
        <f t="shared" si="2"/>
        <v>1477.9222250000003</v>
      </c>
      <c r="O16" s="5">
        <f t="shared" si="3"/>
        <v>1339.4290410000001</v>
      </c>
      <c r="P16" s="5">
        <f t="shared" si="4"/>
        <v>138.92040900000001</v>
      </c>
      <c r="Q16" s="5">
        <f t="shared" si="5"/>
        <v>311.80528399999997</v>
      </c>
    </row>
    <row r="17" spans="1:17" x14ac:dyDescent="0.25">
      <c r="A17">
        <v>14</v>
      </c>
      <c r="B17">
        <v>221.6</v>
      </c>
      <c r="C17">
        <v>46.67</v>
      </c>
      <c r="D17">
        <v>36.07</v>
      </c>
      <c r="E17">
        <v>4.4400000000000004</v>
      </c>
      <c r="F17">
        <v>8.2799999999999994</v>
      </c>
      <c r="G17">
        <v>1</v>
      </c>
      <c r="H17">
        <v>1</v>
      </c>
      <c r="I17">
        <v>1</v>
      </c>
      <c r="J17">
        <v>1</v>
      </c>
      <c r="K17">
        <v>1</v>
      </c>
      <c r="L17" s="4">
        <f t="shared" si="0"/>
        <v>317.05999999999995</v>
      </c>
      <c r="M17" s="5">
        <f t="shared" si="1"/>
        <v>6545.0061702399998</v>
      </c>
      <c r="N17" s="5">
        <f t="shared" si="2"/>
        <v>1477.9222250000003</v>
      </c>
      <c r="O17" s="5">
        <f t="shared" si="3"/>
        <v>1455.8104490000001</v>
      </c>
      <c r="P17" s="5">
        <f t="shared" si="4"/>
        <v>177.79713600000002</v>
      </c>
      <c r="Q17" s="5">
        <f t="shared" si="5"/>
        <v>331.88558399999999</v>
      </c>
    </row>
    <row r="18" spans="1:17" x14ac:dyDescent="0.25">
      <c r="A18">
        <v>15</v>
      </c>
      <c r="B18">
        <v>221.6</v>
      </c>
      <c r="C18">
        <v>46.67</v>
      </c>
      <c r="D18">
        <v>40.35</v>
      </c>
      <c r="E18">
        <v>5.9</v>
      </c>
      <c r="F18">
        <v>9.02</v>
      </c>
      <c r="G18">
        <v>1</v>
      </c>
      <c r="H18">
        <v>1</v>
      </c>
      <c r="I18">
        <v>1</v>
      </c>
      <c r="J18">
        <v>1</v>
      </c>
      <c r="K18">
        <v>1</v>
      </c>
      <c r="L18" s="4">
        <f t="shared" si="0"/>
        <v>323.53999999999996</v>
      </c>
      <c r="M18" s="5">
        <f t="shared" si="1"/>
        <v>6545.0061702399998</v>
      </c>
      <c r="N18" s="5">
        <f t="shared" si="2"/>
        <v>1477.9222250000003</v>
      </c>
      <c r="O18" s="5">
        <f t="shared" si="3"/>
        <v>1630.2812249999999</v>
      </c>
      <c r="P18" s="5">
        <f t="shared" si="4"/>
        <v>236.34809999999999</v>
      </c>
      <c r="Q18" s="5">
        <f t="shared" si="5"/>
        <v>361.61360399999995</v>
      </c>
    </row>
    <row r="19" spans="1:17" x14ac:dyDescent="0.25">
      <c r="A19">
        <v>16</v>
      </c>
      <c r="B19">
        <v>221.6</v>
      </c>
      <c r="C19">
        <v>46.67</v>
      </c>
      <c r="D19">
        <v>41.42</v>
      </c>
      <c r="E19">
        <v>6.27</v>
      </c>
      <c r="F19">
        <v>9.1999999999999993</v>
      </c>
      <c r="G19">
        <v>1</v>
      </c>
      <c r="H19">
        <v>1</v>
      </c>
      <c r="I19">
        <v>1</v>
      </c>
      <c r="J19">
        <v>1</v>
      </c>
      <c r="K19">
        <v>1</v>
      </c>
      <c r="L19" s="4">
        <f t="shared" si="0"/>
        <v>325.15999999999997</v>
      </c>
      <c r="M19" s="5">
        <f t="shared" si="1"/>
        <v>6545.0061702399998</v>
      </c>
      <c r="N19" s="5">
        <f t="shared" si="2"/>
        <v>1477.9222250000003</v>
      </c>
      <c r="O19" s="5">
        <f t="shared" si="3"/>
        <v>1673.9561640000002</v>
      </c>
      <c r="P19" s="5">
        <f t="shared" si="4"/>
        <v>251.19312899999997</v>
      </c>
      <c r="Q19" s="5">
        <f t="shared" si="5"/>
        <v>368.84640000000002</v>
      </c>
    </row>
    <row r="20" spans="1:17" x14ac:dyDescent="0.25">
      <c r="A20">
        <v>17</v>
      </c>
      <c r="B20">
        <v>221.6</v>
      </c>
      <c r="C20">
        <v>46.67</v>
      </c>
      <c r="D20">
        <v>40.5</v>
      </c>
      <c r="E20">
        <v>5.95</v>
      </c>
      <c r="F20">
        <v>9.0399999999999991</v>
      </c>
      <c r="G20">
        <v>1</v>
      </c>
      <c r="H20">
        <v>1</v>
      </c>
      <c r="I20">
        <v>1</v>
      </c>
      <c r="J20">
        <v>1</v>
      </c>
      <c r="K20">
        <v>1</v>
      </c>
      <c r="L20" s="4">
        <f t="shared" si="0"/>
        <v>323.76</v>
      </c>
      <c r="M20" s="5">
        <f t="shared" si="1"/>
        <v>6545.0061702399998</v>
      </c>
      <c r="N20" s="5">
        <f t="shared" si="2"/>
        <v>1477.9222250000003</v>
      </c>
      <c r="O20" s="5">
        <f t="shared" si="3"/>
        <v>1636.4024999999999</v>
      </c>
      <c r="P20" s="5">
        <f t="shared" si="4"/>
        <v>238.35402500000001</v>
      </c>
      <c r="Q20" s="5">
        <f t="shared" si="5"/>
        <v>362.41721599999994</v>
      </c>
    </row>
    <row r="21" spans="1:17" x14ac:dyDescent="0.25">
      <c r="A21">
        <v>18</v>
      </c>
      <c r="B21">
        <v>221.6</v>
      </c>
      <c r="C21">
        <v>46.67</v>
      </c>
      <c r="D21">
        <v>37.950000000000003</v>
      </c>
      <c r="E21">
        <v>5.09</v>
      </c>
      <c r="F21">
        <v>8.6</v>
      </c>
      <c r="G21">
        <v>1</v>
      </c>
      <c r="H21">
        <v>1</v>
      </c>
      <c r="I21">
        <v>1</v>
      </c>
      <c r="J21">
        <v>1</v>
      </c>
      <c r="K21">
        <v>1</v>
      </c>
      <c r="L21" s="4">
        <f t="shared" si="0"/>
        <v>319.90999999999997</v>
      </c>
      <c r="M21" s="5">
        <f t="shared" si="1"/>
        <v>6545.0061702399998</v>
      </c>
      <c r="N21" s="5">
        <f t="shared" si="2"/>
        <v>1477.9222250000003</v>
      </c>
      <c r="O21" s="5">
        <f t="shared" si="3"/>
        <v>1532.4020250000001</v>
      </c>
      <c r="P21" s="5">
        <f t="shared" si="4"/>
        <v>203.859081</v>
      </c>
      <c r="Q21" s="5">
        <f t="shared" si="5"/>
        <v>344.7396</v>
      </c>
    </row>
    <row r="22" spans="1:17" x14ac:dyDescent="0.25">
      <c r="A22">
        <v>19</v>
      </c>
      <c r="B22">
        <v>221.6</v>
      </c>
      <c r="C22">
        <v>46.67</v>
      </c>
      <c r="D22">
        <v>47.64</v>
      </c>
      <c r="E22">
        <v>7.27</v>
      </c>
      <c r="F22">
        <v>10.18</v>
      </c>
      <c r="G22">
        <v>1</v>
      </c>
      <c r="H22">
        <v>1</v>
      </c>
      <c r="I22">
        <v>1</v>
      </c>
      <c r="J22">
        <v>1</v>
      </c>
      <c r="K22">
        <v>1</v>
      </c>
      <c r="L22" s="4">
        <f t="shared" si="0"/>
        <v>333.35999999999996</v>
      </c>
      <c r="M22" s="5">
        <f t="shared" si="1"/>
        <v>6545.0061702399998</v>
      </c>
      <c r="N22" s="5">
        <f t="shared" si="2"/>
        <v>1477.9222250000003</v>
      </c>
      <c r="O22" s="5">
        <f t="shared" si="3"/>
        <v>1928.2956959999999</v>
      </c>
      <c r="P22" s="5">
        <f t="shared" si="4"/>
        <v>291.32852899999995</v>
      </c>
      <c r="Q22" s="5">
        <f t="shared" si="5"/>
        <v>408.23632399999997</v>
      </c>
    </row>
    <row r="23" spans="1:17" x14ac:dyDescent="0.25">
      <c r="A23">
        <v>20</v>
      </c>
      <c r="B23">
        <v>221.6</v>
      </c>
      <c r="C23">
        <v>46.67</v>
      </c>
      <c r="D23">
        <v>51.3</v>
      </c>
      <c r="E23">
        <v>7.29</v>
      </c>
      <c r="F23">
        <v>10.61</v>
      </c>
      <c r="G23">
        <v>1</v>
      </c>
      <c r="H23">
        <v>1</v>
      </c>
      <c r="I23">
        <v>1</v>
      </c>
      <c r="J23">
        <v>1</v>
      </c>
      <c r="K23">
        <v>1</v>
      </c>
      <c r="L23" s="4">
        <f t="shared" si="0"/>
        <v>337.47</v>
      </c>
      <c r="M23" s="5">
        <f t="shared" si="1"/>
        <v>6545.0061702399998</v>
      </c>
      <c r="N23" s="5">
        <f t="shared" si="2"/>
        <v>1477.9222250000003</v>
      </c>
      <c r="O23" s="5">
        <f t="shared" si="3"/>
        <v>2078.3168999999998</v>
      </c>
      <c r="P23" s="5">
        <f t="shared" si="4"/>
        <v>292.131441</v>
      </c>
      <c r="Q23" s="5">
        <f t="shared" si="5"/>
        <v>425.52572099999998</v>
      </c>
    </row>
    <row r="24" spans="1:17" x14ac:dyDescent="0.25">
      <c r="A24">
        <v>21</v>
      </c>
      <c r="B24">
        <v>221.6</v>
      </c>
      <c r="C24">
        <v>46.67</v>
      </c>
      <c r="D24">
        <v>46.17</v>
      </c>
      <c r="E24">
        <v>7.26</v>
      </c>
      <c r="F24">
        <v>9.99</v>
      </c>
      <c r="G24">
        <v>1</v>
      </c>
      <c r="H24">
        <v>1</v>
      </c>
      <c r="I24">
        <v>1</v>
      </c>
      <c r="J24">
        <v>1</v>
      </c>
      <c r="K24">
        <v>1</v>
      </c>
      <c r="L24" s="4">
        <f t="shared" si="0"/>
        <v>331.69</v>
      </c>
      <c r="M24" s="5">
        <f t="shared" si="1"/>
        <v>6545.0061702399998</v>
      </c>
      <c r="N24" s="5">
        <f t="shared" si="2"/>
        <v>1477.9222250000003</v>
      </c>
      <c r="O24" s="5">
        <f t="shared" si="3"/>
        <v>1868.1166890000002</v>
      </c>
      <c r="P24" s="5">
        <f t="shared" si="4"/>
        <v>290.927076</v>
      </c>
      <c r="Q24" s="5">
        <f t="shared" si="5"/>
        <v>400.59800100000001</v>
      </c>
    </row>
    <row r="25" spans="1:17" x14ac:dyDescent="0.25">
      <c r="A25">
        <v>22</v>
      </c>
      <c r="B25">
        <v>221.6</v>
      </c>
      <c r="C25">
        <v>46.67</v>
      </c>
      <c r="D25">
        <v>36.869999999999997</v>
      </c>
      <c r="E25">
        <v>4.71</v>
      </c>
      <c r="F25">
        <v>8.41</v>
      </c>
      <c r="G25">
        <v>1</v>
      </c>
      <c r="H25">
        <v>1</v>
      </c>
      <c r="I25">
        <v>1</v>
      </c>
      <c r="J25">
        <v>1</v>
      </c>
      <c r="K25">
        <v>1</v>
      </c>
      <c r="L25" s="4">
        <f t="shared" si="0"/>
        <v>318.26</v>
      </c>
      <c r="M25" s="5">
        <f t="shared" si="1"/>
        <v>6545.0061702399998</v>
      </c>
      <c r="N25" s="5">
        <f t="shared" si="2"/>
        <v>1477.9222250000003</v>
      </c>
      <c r="O25" s="5">
        <f t="shared" si="3"/>
        <v>1488.393969</v>
      </c>
      <c r="P25" s="5">
        <f t="shared" si="4"/>
        <v>188.62184100000002</v>
      </c>
      <c r="Q25" s="5">
        <f t="shared" si="5"/>
        <v>337.107281</v>
      </c>
    </row>
    <row r="26" spans="1:17" x14ac:dyDescent="0.25">
      <c r="A26">
        <v>23</v>
      </c>
      <c r="B26">
        <v>216.88</v>
      </c>
      <c r="C26">
        <v>46.67</v>
      </c>
      <c r="D26">
        <v>28.77</v>
      </c>
      <c r="E26">
        <v>0.78</v>
      </c>
      <c r="F26">
        <v>6.31</v>
      </c>
      <c r="G26">
        <v>1</v>
      </c>
      <c r="H26">
        <v>1</v>
      </c>
      <c r="I26">
        <v>1</v>
      </c>
      <c r="J26">
        <v>1</v>
      </c>
      <c r="K26">
        <v>1</v>
      </c>
      <c r="L26" s="4">
        <f t="shared" si="0"/>
        <v>299.40999999999997</v>
      </c>
      <c r="M26" s="5">
        <f t="shared" si="1"/>
        <v>6361.5522502976</v>
      </c>
      <c r="N26" s="5">
        <f t="shared" si="2"/>
        <v>1477.9222250000003</v>
      </c>
      <c r="O26" s="5">
        <f t="shared" si="3"/>
        <v>1159.077129</v>
      </c>
      <c r="P26" s="5">
        <f t="shared" si="4"/>
        <v>31.206084000000004</v>
      </c>
      <c r="Q26" s="5">
        <f t="shared" si="5"/>
        <v>252.79816099999996</v>
      </c>
    </row>
    <row r="27" spans="1:17" x14ac:dyDescent="0.25">
      <c r="A27">
        <v>24</v>
      </c>
      <c r="B27">
        <v>208.37</v>
      </c>
      <c r="C27">
        <v>46.67</v>
      </c>
      <c r="D27">
        <v>24.25</v>
      </c>
      <c r="E27">
        <v>0</v>
      </c>
      <c r="F27">
        <v>4.12</v>
      </c>
      <c r="G27">
        <v>1</v>
      </c>
      <c r="H27">
        <v>1</v>
      </c>
      <c r="I27">
        <v>1</v>
      </c>
      <c r="J27">
        <v>1</v>
      </c>
      <c r="K27">
        <v>1</v>
      </c>
      <c r="L27" s="4">
        <f t="shared" si="0"/>
        <v>283.41000000000003</v>
      </c>
      <c r="M27" s="5">
        <f t="shared" si="1"/>
        <v>6035.6355703500994</v>
      </c>
      <c r="N27" s="5">
        <f t="shared" si="2"/>
        <v>1477.9222250000003</v>
      </c>
      <c r="O27" s="5">
        <f t="shared" si="3"/>
        <v>975.88062500000001</v>
      </c>
      <c r="P27" s="5">
        <f t="shared" si="4"/>
        <v>0</v>
      </c>
      <c r="Q27" s="5">
        <f t="shared" si="5"/>
        <v>164.96974400000002</v>
      </c>
    </row>
    <row r="28" spans="1:17" x14ac:dyDescent="0.25">
      <c r="B28" s="4">
        <f>SUM(B4:B27)</f>
        <v>4998.09</v>
      </c>
      <c r="C28" s="4">
        <f t="shared" ref="C28:F28" si="6">SUM(C4:C27)</f>
        <v>1120.08</v>
      </c>
      <c r="D28" s="4">
        <f t="shared" si="6"/>
        <v>715.58999999999992</v>
      </c>
      <c r="E28" s="4">
        <f t="shared" si="6"/>
        <v>63.629999999999988</v>
      </c>
      <c r="F28" s="4">
        <f t="shared" si="6"/>
        <v>127.72999999999999</v>
      </c>
      <c r="M28" s="6">
        <f>SUM(M4:M27)</f>
        <v>145027.9647565521</v>
      </c>
      <c r="N28" s="6">
        <f t="shared" ref="N28:P28" si="7">SUM(N4:N27)</f>
        <v>35470.133400000028</v>
      </c>
      <c r="O28" s="6">
        <f t="shared" si="7"/>
        <v>28867.121061000005</v>
      </c>
      <c r="P28" s="6">
        <f t="shared" si="7"/>
        <v>2548.8333010000001</v>
      </c>
      <c r="Q28" s="6">
        <f>SUM(Q4:Q27)</f>
        <v>5119.7475449999993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selection activeCell="I25" sqref="I25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123.48</v>
      </c>
      <c r="C4">
        <v>62.9</v>
      </c>
      <c r="D4">
        <v>57.07</v>
      </c>
      <c r="E4">
        <v>50.68</v>
      </c>
      <c r="F4">
        <v>38.659999999999997</v>
      </c>
      <c r="G4">
        <v>-13.81</v>
      </c>
      <c r="H4">
        <v>-52.55</v>
      </c>
      <c r="I4">
        <v>27.64</v>
      </c>
      <c r="J4">
        <v>15.86</v>
      </c>
      <c r="K4">
        <v>39.700000000000003</v>
      </c>
      <c r="L4">
        <v>5.63</v>
      </c>
      <c r="M4">
        <v>7.13</v>
      </c>
      <c r="N4">
        <v>16.03</v>
      </c>
      <c r="O4">
        <v>0</v>
      </c>
      <c r="P4">
        <v>27.64</v>
      </c>
      <c r="Q4">
        <v>6.23</v>
      </c>
      <c r="R4">
        <v>9.6300000000000008</v>
      </c>
      <c r="S4">
        <v>-2.25</v>
      </c>
      <c r="T4">
        <v>1.32</v>
      </c>
      <c r="U4">
        <v>4.4400000000000004</v>
      </c>
    </row>
    <row r="5" spans="1:21" x14ac:dyDescent="0.25">
      <c r="A5">
        <v>2</v>
      </c>
      <c r="B5">
        <v>119.09</v>
      </c>
      <c r="C5">
        <v>60.93</v>
      </c>
      <c r="D5">
        <v>55.85</v>
      </c>
      <c r="E5">
        <v>49.32</v>
      </c>
      <c r="F5">
        <v>37.630000000000003</v>
      </c>
      <c r="G5">
        <v>-13.81</v>
      </c>
      <c r="H5">
        <v>-51.09</v>
      </c>
      <c r="I5">
        <v>26.77</v>
      </c>
      <c r="J5">
        <v>15.36</v>
      </c>
      <c r="K5">
        <v>38.47</v>
      </c>
      <c r="L5">
        <v>5.46</v>
      </c>
      <c r="M5">
        <v>6.91</v>
      </c>
      <c r="N5">
        <v>15.54</v>
      </c>
      <c r="O5">
        <v>0</v>
      </c>
      <c r="P5">
        <v>26.77</v>
      </c>
      <c r="Q5">
        <v>6.02</v>
      </c>
      <c r="R5">
        <v>9.33</v>
      </c>
      <c r="S5">
        <v>-2.19</v>
      </c>
      <c r="T5">
        <v>1.28</v>
      </c>
      <c r="U5">
        <v>4.3</v>
      </c>
    </row>
    <row r="6" spans="1:21" x14ac:dyDescent="0.25">
      <c r="A6">
        <v>3</v>
      </c>
      <c r="B6">
        <v>115.82</v>
      </c>
      <c r="C6">
        <v>59.46</v>
      </c>
      <c r="D6">
        <v>54.94</v>
      </c>
      <c r="E6">
        <v>48.29</v>
      </c>
      <c r="F6">
        <v>36.86</v>
      </c>
      <c r="G6">
        <v>-13.81</v>
      </c>
      <c r="H6">
        <v>-50.01</v>
      </c>
      <c r="I6">
        <v>26.11</v>
      </c>
      <c r="J6">
        <v>14.98</v>
      </c>
      <c r="K6">
        <v>37.54</v>
      </c>
      <c r="L6">
        <v>5.34</v>
      </c>
      <c r="M6">
        <v>6.74</v>
      </c>
      <c r="N6">
        <v>15.16</v>
      </c>
      <c r="O6">
        <v>0</v>
      </c>
      <c r="P6">
        <v>26.11</v>
      </c>
      <c r="Q6">
        <v>5.87</v>
      </c>
      <c r="R6">
        <v>9.1</v>
      </c>
      <c r="S6">
        <v>-2.14</v>
      </c>
      <c r="T6">
        <v>1.25</v>
      </c>
      <c r="U6">
        <v>4.2</v>
      </c>
    </row>
    <row r="7" spans="1:21" x14ac:dyDescent="0.25">
      <c r="A7">
        <v>4</v>
      </c>
      <c r="B7">
        <v>114.96</v>
      </c>
      <c r="C7">
        <v>59.11</v>
      </c>
      <c r="D7">
        <v>54.72</v>
      </c>
      <c r="E7">
        <v>48.05</v>
      </c>
      <c r="F7">
        <v>36.700000000000003</v>
      </c>
      <c r="G7">
        <v>-13.81</v>
      </c>
      <c r="H7">
        <v>-49.67</v>
      </c>
      <c r="I7">
        <v>26.04</v>
      </c>
      <c r="J7">
        <v>14.94</v>
      </c>
      <c r="K7">
        <v>37.450000000000003</v>
      </c>
      <c r="L7">
        <v>5.31</v>
      </c>
      <c r="M7">
        <v>6.73</v>
      </c>
      <c r="N7">
        <v>15.21</v>
      </c>
      <c r="O7">
        <v>0</v>
      </c>
      <c r="P7">
        <v>26.04</v>
      </c>
      <c r="Q7">
        <v>5.99</v>
      </c>
      <c r="R7">
        <v>9.14</v>
      </c>
      <c r="S7">
        <v>-2.15</v>
      </c>
      <c r="T7">
        <v>1.3</v>
      </c>
      <c r="U7">
        <v>4.17</v>
      </c>
    </row>
    <row r="8" spans="1:21" x14ac:dyDescent="0.25">
      <c r="A8">
        <v>5</v>
      </c>
      <c r="B8">
        <v>119.15</v>
      </c>
      <c r="C8">
        <v>61.04</v>
      </c>
      <c r="D8">
        <v>55.93</v>
      </c>
      <c r="E8">
        <v>49.4</v>
      </c>
      <c r="F8">
        <v>37.75</v>
      </c>
      <c r="G8">
        <v>-13.81</v>
      </c>
      <c r="H8">
        <v>-50.98</v>
      </c>
      <c r="I8">
        <v>27.06</v>
      </c>
      <c r="J8">
        <v>15.53</v>
      </c>
      <c r="K8">
        <v>38.869999999999997</v>
      </c>
      <c r="L8">
        <v>5.49</v>
      </c>
      <c r="M8">
        <v>7.03</v>
      </c>
      <c r="N8">
        <v>15.91</v>
      </c>
      <c r="O8">
        <v>0</v>
      </c>
      <c r="P8">
        <v>27.06</v>
      </c>
      <c r="Q8">
        <v>6.36</v>
      </c>
      <c r="R8">
        <v>9.74</v>
      </c>
      <c r="S8">
        <v>-2.25</v>
      </c>
      <c r="T8">
        <v>1.38</v>
      </c>
      <c r="U8">
        <v>4.45</v>
      </c>
    </row>
    <row r="9" spans="1:21" x14ac:dyDescent="0.25">
      <c r="A9">
        <v>6</v>
      </c>
      <c r="B9">
        <v>123.62</v>
      </c>
      <c r="C9">
        <v>62.96</v>
      </c>
      <c r="D9">
        <v>57.1</v>
      </c>
      <c r="E9">
        <v>50.72</v>
      </c>
      <c r="F9">
        <v>38.700000000000003</v>
      </c>
      <c r="G9">
        <v>-13.81</v>
      </c>
      <c r="H9">
        <v>-52.59</v>
      </c>
      <c r="I9">
        <v>27.66</v>
      </c>
      <c r="J9">
        <v>15.87</v>
      </c>
      <c r="K9">
        <v>39.74</v>
      </c>
      <c r="L9">
        <v>5.64</v>
      </c>
      <c r="M9">
        <v>7.14</v>
      </c>
      <c r="N9">
        <v>16.05</v>
      </c>
      <c r="O9">
        <v>0</v>
      </c>
      <c r="P9">
        <v>27.66</v>
      </c>
      <c r="Q9">
        <v>6.23</v>
      </c>
      <c r="R9">
        <v>9.64</v>
      </c>
      <c r="S9">
        <v>-2.2599999999999998</v>
      </c>
      <c r="T9">
        <v>1.32</v>
      </c>
      <c r="U9">
        <v>4.4400000000000004</v>
      </c>
    </row>
    <row r="10" spans="1:21" x14ac:dyDescent="0.25">
      <c r="A10">
        <v>7</v>
      </c>
      <c r="B10">
        <v>125.59</v>
      </c>
      <c r="C10">
        <v>63.85</v>
      </c>
      <c r="D10">
        <v>57.65</v>
      </c>
      <c r="E10">
        <v>51.33</v>
      </c>
      <c r="F10">
        <v>39.159999999999997</v>
      </c>
      <c r="G10">
        <v>-13.81</v>
      </c>
      <c r="H10">
        <v>-53.25</v>
      </c>
      <c r="I10">
        <v>28.05</v>
      </c>
      <c r="J10">
        <v>16.100000000000001</v>
      </c>
      <c r="K10">
        <v>40.29</v>
      </c>
      <c r="L10">
        <v>5.72</v>
      </c>
      <c r="M10">
        <v>7.24</v>
      </c>
      <c r="N10">
        <v>16.27</v>
      </c>
      <c r="O10">
        <v>0</v>
      </c>
      <c r="P10">
        <v>28.05</v>
      </c>
      <c r="Q10">
        <v>6.32</v>
      </c>
      <c r="R10">
        <v>9.7799999999999994</v>
      </c>
      <c r="S10">
        <v>-2.29</v>
      </c>
      <c r="T10">
        <v>1.34</v>
      </c>
      <c r="U10">
        <v>4.5</v>
      </c>
    </row>
    <row r="11" spans="1:21" x14ac:dyDescent="0.25">
      <c r="A11">
        <v>8</v>
      </c>
      <c r="B11">
        <v>131.88</v>
      </c>
      <c r="C11">
        <v>66.63</v>
      </c>
      <c r="D11">
        <v>59.3</v>
      </c>
      <c r="E11">
        <v>53.19</v>
      </c>
      <c r="F11">
        <v>40.590000000000003</v>
      </c>
      <c r="G11">
        <v>-13.81</v>
      </c>
      <c r="H11">
        <v>-55.1</v>
      </c>
      <c r="I11">
        <v>28.56</v>
      </c>
      <c r="J11">
        <v>16.72</v>
      </c>
      <c r="K11">
        <v>42.14</v>
      </c>
      <c r="L11">
        <v>5.81</v>
      </c>
      <c r="M11">
        <v>7.61</v>
      </c>
      <c r="N11">
        <v>17.059999999999999</v>
      </c>
      <c r="O11">
        <v>-1.66</v>
      </c>
      <c r="P11">
        <v>30.22</v>
      </c>
      <c r="Q11">
        <v>6.88</v>
      </c>
      <c r="R11">
        <v>10.46</v>
      </c>
      <c r="S11">
        <v>-2.2000000000000002</v>
      </c>
      <c r="T11">
        <v>1.38</v>
      </c>
      <c r="U11">
        <v>4.6100000000000003</v>
      </c>
    </row>
    <row r="12" spans="1:21" x14ac:dyDescent="0.25">
      <c r="A12">
        <v>9</v>
      </c>
      <c r="B12">
        <v>137.38</v>
      </c>
      <c r="C12">
        <v>69.05</v>
      </c>
      <c r="D12">
        <v>60.7</v>
      </c>
      <c r="E12">
        <v>54.76</v>
      </c>
      <c r="F12">
        <v>41.82</v>
      </c>
      <c r="G12">
        <v>-13.81</v>
      </c>
      <c r="H12">
        <v>-56.57</v>
      </c>
      <c r="I12">
        <v>28.56</v>
      </c>
      <c r="J12">
        <v>17.2</v>
      </c>
      <c r="K12">
        <v>43.82</v>
      </c>
      <c r="L12">
        <v>5.81</v>
      </c>
      <c r="M12">
        <v>7.96</v>
      </c>
      <c r="N12">
        <v>17.79</v>
      </c>
      <c r="O12">
        <v>-4.12</v>
      </c>
      <c r="P12">
        <v>32.68</v>
      </c>
      <c r="Q12">
        <v>7.53</v>
      </c>
      <c r="R12">
        <v>11.2</v>
      </c>
      <c r="S12">
        <v>-2.02</v>
      </c>
      <c r="T12">
        <v>1.41</v>
      </c>
      <c r="U12">
        <v>4.6500000000000004</v>
      </c>
    </row>
    <row r="13" spans="1:21" x14ac:dyDescent="0.25">
      <c r="A13">
        <v>10</v>
      </c>
      <c r="B13">
        <v>141.13</v>
      </c>
      <c r="C13">
        <v>70.7</v>
      </c>
      <c r="D13">
        <v>61.64</v>
      </c>
      <c r="E13">
        <v>55.82</v>
      </c>
      <c r="F13">
        <v>42.66</v>
      </c>
      <c r="G13">
        <v>-13.81</v>
      </c>
      <c r="H13">
        <v>-57.58</v>
      </c>
      <c r="I13">
        <v>28.56</v>
      </c>
      <c r="J13">
        <v>17.53</v>
      </c>
      <c r="K13">
        <v>44.96</v>
      </c>
      <c r="L13">
        <v>5.81</v>
      </c>
      <c r="M13">
        <v>8.19</v>
      </c>
      <c r="N13">
        <v>18.28</v>
      </c>
      <c r="O13">
        <v>-5.79</v>
      </c>
      <c r="P13">
        <v>34.35</v>
      </c>
      <c r="Q13">
        <v>7.98</v>
      </c>
      <c r="R13">
        <v>11.7</v>
      </c>
      <c r="S13">
        <v>-1.9</v>
      </c>
      <c r="T13">
        <v>1.43</v>
      </c>
      <c r="U13">
        <v>4.68</v>
      </c>
    </row>
    <row r="14" spans="1:21" x14ac:dyDescent="0.25">
      <c r="A14">
        <v>11</v>
      </c>
      <c r="B14">
        <v>144.01</v>
      </c>
      <c r="C14">
        <v>71.86</v>
      </c>
      <c r="D14">
        <v>62.35</v>
      </c>
      <c r="E14">
        <v>56.61</v>
      </c>
      <c r="F14">
        <v>43.16</v>
      </c>
      <c r="G14">
        <v>-13.81</v>
      </c>
      <c r="H14">
        <v>-58.8</v>
      </c>
      <c r="I14">
        <v>28.56</v>
      </c>
      <c r="J14">
        <v>17.75</v>
      </c>
      <c r="K14">
        <v>45.06</v>
      </c>
      <c r="L14">
        <v>6.26</v>
      </c>
      <c r="M14">
        <v>8.51</v>
      </c>
      <c r="N14">
        <v>19.03</v>
      </c>
      <c r="O14">
        <v>-6.9</v>
      </c>
      <c r="P14">
        <v>35.46</v>
      </c>
      <c r="Q14">
        <v>8</v>
      </c>
      <c r="R14">
        <v>11.93</v>
      </c>
      <c r="S14">
        <v>-2.21</v>
      </c>
      <c r="T14">
        <v>1.51</v>
      </c>
      <c r="U14">
        <v>5.01</v>
      </c>
    </row>
    <row r="15" spans="1:21" x14ac:dyDescent="0.25">
      <c r="A15">
        <v>12</v>
      </c>
      <c r="B15">
        <v>145.76</v>
      </c>
      <c r="C15">
        <v>72.569999999999993</v>
      </c>
      <c r="D15">
        <v>62.61</v>
      </c>
      <c r="E15">
        <v>57.12</v>
      </c>
      <c r="F15">
        <v>43.49</v>
      </c>
      <c r="G15">
        <v>-13.59</v>
      </c>
      <c r="H15">
        <v>-59.58</v>
      </c>
      <c r="I15">
        <v>28.56</v>
      </c>
      <c r="J15">
        <v>17.920000000000002</v>
      </c>
      <c r="K15">
        <v>45.07</v>
      </c>
      <c r="L15">
        <v>6.62</v>
      </c>
      <c r="M15">
        <v>8.75</v>
      </c>
      <c r="N15">
        <v>19.61</v>
      </c>
      <c r="O15">
        <v>-7.72</v>
      </c>
      <c r="P15">
        <v>36.28</v>
      </c>
      <c r="Q15">
        <v>8</v>
      </c>
      <c r="R15">
        <v>12.1</v>
      </c>
      <c r="S15">
        <v>-2.46</v>
      </c>
      <c r="T15">
        <v>1.58</v>
      </c>
      <c r="U15">
        <v>5.26</v>
      </c>
    </row>
    <row r="16" spans="1:21" x14ac:dyDescent="0.25">
      <c r="A16">
        <v>13</v>
      </c>
      <c r="B16">
        <v>145.75</v>
      </c>
      <c r="C16">
        <v>72.58</v>
      </c>
      <c r="D16">
        <v>62.54</v>
      </c>
      <c r="E16">
        <v>57.13</v>
      </c>
      <c r="F16">
        <v>43.5</v>
      </c>
      <c r="G16">
        <v>-13.5</v>
      </c>
      <c r="H16">
        <v>-59.59</v>
      </c>
      <c r="I16">
        <v>28.56</v>
      </c>
      <c r="J16">
        <v>17.93</v>
      </c>
      <c r="K16">
        <v>45.06</v>
      </c>
      <c r="L16">
        <v>6.65</v>
      </c>
      <c r="M16">
        <v>8.77</v>
      </c>
      <c r="N16">
        <v>19.649999999999999</v>
      </c>
      <c r="O16">
        <v>-7.78</v>
      </c>
      <c r="P16">
        <v>36.340000000000003</v>
      </c>
      <c r="Q16">
        <v>8</v>
      </c>
      <c r="R16">
        <v>12.11</v>
      </c>
      <c r="S16">
        <v>-2.48</v>
      </c>
      <c r="T16">
        <v>1.59</v>
      </c>
      <c r="U16">
        <v>5.28</v>
      </c>
    </row>
    <row r="17" spans="1:21" x14ac:dyDescent="0.25">
      <c r="A17">
        <v>14</v>
      </c>
      <c r="B17">
        <v>145.69999999999999</v>
      </c>
      <c r="C17">
        <v>72.62</v>
      </c>
      <c r="D17">
        <v>61.98</v>
      </c>
      <c r="E17">
        <v>57.22</v>
      </c>
      <c r="F17">
        <v>43.57</v>
      </c>
      <c r="G17">
        <v>-12.75</v>
      </c>
      <c r="H17">
        <v>-59.64</v>
      </c>
      <c r="I17">
        <v>28.56</v>
      </c>
      <c r="J17">
        <v>18.03</v>
      </c>
      <c r="K17">
        <v>45</v>
      </c>
      <c r="L17">
        <v>6.87</v>
      </c>
      <c r="M17">
        <v>8.91</v>
      </c>
      <c r="N17">
        <v>20</v>
      </c>
      <c r="O17">
        <v>-8.2799999999999994</v>
      </c>
      <c r="P17">
        <v>36.840000000000003</v>
      </c>
      <c r="Q17">
        <v>8</v>
      </c>
      <c r="R17">
        <v>12.21</v>
      </c>
      <c r="S17">
        <v>-2.64</v>
      </c>
      <c r="T17">
        <v>1.63</v>
      </c>
      <c r="U17">
        <v>5.43</v>
      </c>
    </row>
    <row r="18" spans="1:21" x14ac:dyDescent="0.25">
      <c r="A18">
        <v>15</v>
      </c>
      <c r="B18">
        <v>145.63</v>
      </c>
      <c r="C18">
        <v>72.69</v>
      </c>
      <c r="D18">
        <v>61.13</v>
      </c>
      <c r="E18">
        <v>57.35</v>
      </c>
      <c r="F18">
        <v>43.69</v>
      </c>
      <c r="G18">
        <v>-11.63</v>
      </c>
      <c r="H18">
        <v>-59.73</v>
      </c>
      <c r="I18">
        <v>28.56</v>
      </c>
      <c r="J18">
        <v>18.170000000000002</v>
      </c>
      <c r="K18">
        <v>44.91</v>
      </c>
      <c r="L18">
        <v>7.19</v>
      </c>
      <c r="M18">
        <v>9.1300000000000008</v>
      </c>
      <c r="N18">
        <v>20.53</v>
      </c>
      <c r="O18">
        <v>-9.02</v>
      </c>
      <c r="P18">
        <v>37.58</v>
      </c>
      <c r="Q18">
        <v>8</v>
      </c>
      <c r="R18">
        <v>12.36</v>
      </c>
      <c r="S18">
        <v>-2.86</v>
      </c>
      <c r="T18">
        <v>1.69</v>
      </c>
      <c r="U18">
        <v>5.67</v>
      </c>
    </row>
    <row r="19" spans="1:21" x14ac:dyDescent="0.25">
      <c r="A19">
        <v>16</v>
      </c>
      <c r="B19">
        <v>145.61000000000001</v>
      </c>
      <c r="C19">
        <v>72.709999999999994</v>
      </c>
      <c r="D19">
        <v>60.92</v>
      </c>
      <c r="E19">
        <v>57.38</v>
      </c>
      <c r="F19">
        <v>43.72</v>
      </c>
      <c r="G19">
        <v>-11.36</v>
      </c>
      <c r="H19">
        <v>-59.75</v>
      </c>
      <c r="I19">
        <v>28.56</v>
      </c>
      <c r="J19">
        <v>18.21</v>
      </c>
      <c r="K19">
        <v>44.88</v>
      </c>
      <c r="L19">
        <v>7.27</v>
      </c>
      <c r="M19">
        <v>9.19</v>
      </c>
      <c r="N19">
        <v>20.66</v>
      </c>
      <c r="O19">
        <v>-9.1999999999999993</v>
      </c>
      <c r="P19">
        <v>37.770000000000003</v>
      </c>
      <c r="Q19">
        <v>8</v>
      </c>
      <c r="R19">
        <v>12.39</v>
      </c>
      <c r="S19">
        <v>-2.92</v>
      </c>
      <c r="T19">
        <v>1.7</v>
      </c>
      <c r="U19">
        <v>5.72</v>
      </c>
    </row>
    <row r="20" spans="1:21" x14ac:dyDescent="0.25">
      <c r="A20">
        <v>17</v>
      </c>
      <c r="B20">
        <v>145.63</v>
      </c>
      <c r="C20">
        <v>72.7</v>
      </c>
      <c r="D20">
        <v>61.1</v>
      </c>
      <c r="E20">
        <v>57.35</v>
      </c>
      <c r="F20">
        <v>43.69</v>
      </c>
      <c r="G20">
        <v>-11.6</v>
      </c>
      <c r="H20">
        <v>-59.73</v>
      </c>
      <c r="I20">
        <v>28.56</v>
      </c>
      <c r="J20">
        <v>18.18</v>
      </c>
      <c r="K20">
        <v>44.9</v>
      </c>
      <c r="L20">
        <v>7.2</v>
      </c>
      <c r="M20">
        <v>9.14</v>
      </c>
      <c r="N20">
        <v>20.54</v>
      </c>
      <c r="O20">
        <v>-9.0399999999999991</v>
      </c>
      <c r="P20">
        <v>37.61</v>
      </c>
      <c r="Q20">
        <v>8</v>
      </c>
      <c r="R20">
        <v>12.36</v>
      </c>
      <c r="S20">
        <v>-2.87</v>
      </c>
      <c r="T20">
        <v>1.69</v>
      </c>
      <c r="U20">
        <v>5.67</v>
      </c>
    </row>
    <row r="21" spans="1:21" x14ac:dyDescent="0.25">
      <c r="A21">
        <v>18</v>
      </c>
      <c r="B21">
        <v>145.66999999999999</v>
      </c>
      <c r="C21">
        <v>72.650000000000006</v>
      </c>
      <c r="D21">
        <v>61.6</v>
      </c>
      <c r="E21">
        <v>57.27</v>
      </c>
      <c r="F21">
        <v>43.62</v>
      </c>
      <c r="G21">
        <v>-12.26</v>
      </c>
      <c r="H21">
        <v>-59.68</v>
      </c>
      <c r="I21">
        <v>28.56</v>
      </c>
      <c r="J21">
        <v>18.09</v>
      </c>
      <c r="K21">
        <v>44.96</v>
      </c>
      <c r="L21">
        <v>7.01</v>
      </c>
      <c r="M21">
        <v>9.01</v>
      </c>
      <c r="N21">
        <v>20.23</v>
      </c>
      <c r="O21">
        <v>-8.6</v>
      </c>
      <c r="P21">
        <v>37.159999999999997</v>
      </c>
      <c r="Q21">
        <v>8</v>
      </c>
      <c r="R21">
        <v>12.27</v>
      </c>
      <c r="S21">
        <v>-2.74</v>
      </c>
      <c r="T21">
        <v>1.65</v>
      </c>
      <c r="U21">
        <v>5.54</v>
      </c>
    </row>
    <row r="22" spans="1:21" x14ac:dyDescent="0.25">
      <c r="A22">
        <v>19</v>
      </c>
      <c r="B22">
        <v>145.47</v>
      </c>
      <c r="C22">
        <v>72.849999999999994</v>
      </c>
      <c r="D22">
        <v>59.62</v>
      </c>
      <c r="E22">
        <v>57.59</v>
      </c>
      <c r="F22">
        <v>43.95</v>
      </c>
      <c r="G22">
        <v>-9.64</v>
      </c>
      <c r="H22">
        <v>-59.67</v>
      </c>
      <c r="I22">
        <v>28.56</v>
      </c>
      <c r="J22">
        <v>18.399999999999999</v>
      </c>
      <c r="K22">
        <v>45.07</v>
      </c>
      <c r="L22">
        <v>7.49</v>
      </c>
      <c r="M22">
        <v>9.39</v>
      </c>
      <c r="N22">
        <v>21.03</v>
      </c>
      <c r="O22">
        <v>-10.18</v>
      </c>
      <c r="P22">
        <v>38.75</v>
      </c>
      <c r="Q22">
        <v>8</v>
      </c>
      <c r="R22">
        <v>12.54</v>
      </c>
      <c r="S22">
        <v>-3.01</v>
      </c>
      <c r="T22">
        <v>1.69</v>
      </c>
      <c r="U22">
        <v>5.87</v>
      </c>
    </row>
    <row r="23" spans="1:21" x14ac:dyDescent="0.25">
      <c r="A23">
        <v>20</v>
      </c>
      <c r="B23">
        <v>145.37</v>
      </c>
      <c r="C23">
        <v>72.95</v>
      </c>
      <c r="D23">
        <v>58.84</v>
      </c>
      <c r="E23">
        <v>57.71</v>
      </c>
      <c r="F23">
        <v>44.1</v>
      </c>
      <c r="G23">
        <v>-8.61</v>
      </c>
      <c r="H23">
        <v>-59.54</v>
      </c>
      <c r="I23">
        <v>28.56</v>
      </c>
      <c r="J23">
        <v>18.489999999999998</v>
      </c>
      <c r="K23">
        <v>45.28</v>
      </c>
      <c r="L23">
        <v>7.49</v>
      </c>
      <c r="M23">
        <v>9.4</v>
      </c>
      <c r="N23">
        <v>21.03</v>
      </c>
      <c r="O23">
        <v>-10.61</v>
      </c>
      <c r="P23">
        <v>39.17</v>
      </c>
      <c r="Q23">
        <v>8</v>
      </c>
      <c r="R23">
        <v>12.47</v>
      </c>
      <c r="S23">
        <v>-2.94</v>
      </c>
      <c r="T23">
        <v>1.67</v>
      </c>
      <c r="U23">
        <v>5.77</v>
      </c>
    </row>
    <row r="24" spans="1:21" x14ac:dyDescent="0.25">
      <c r="A24">
        <v>21</v>
      </c>
      <c r="B24">
        <v>145.51</v>
      </c>
      <c r="C24">
        <v>72.81</v>
      </c>
      <c r="D24">
        <v>59.94</v>
      </c>
      <c r="E24">
        <v>57.54</v>
      </c>
      <c r="F24">
        <v>43.88</v>
      </c>
      <c r="G24">
        <v>-10.06</v>
      </c>
      <c r="H24">
        <v>-59.72</v>
      </c>
      <c r="I24">
        <v>28.56</v>
      </c>
      <c r="J24">
        <v>18.36</v>
      </c>
      <c r="K24">
        <v>44.97</v>
      </c>
      <c r="L24">
        <v>7.49</v>
      </c>
      <c r="M24">
        <v>9.3699999999999992</v>
      </c>
      <c r="N24">
        <v>21.03</v>
      </c>
      <c r="O24">
        <v>-9.99</v>
      </c>
      <c r="P24">
        <v>38.549999999999997</v>
      </c>
      <c r="Q24">
        <v>8</v>
      </c>
      <c r="R24">
        <v>12.54</v>
      </c>
      <c r="S24">
        <v>-3.03</v>
      </c>
      <c r="T24">
        <v>1.72</v>
      </c>
      <c r="U24">
        <v>5.88</v>
      </c>
    </row>
    <row r="25" spans="1:21" x14ac:dyDescent="0.25">
      <c r="A25">
        <v>22</v>
      </c>
      <c r="B25">
        <v>145.69</v>
      </c>
      <c r="C25">
        <v>72.64</v>
      </c>
      <c r="D25">
        <v>61.82</v>
      </c>
      <c r="E25">
        <v>57.24</v>
      </c>
      <c r="F25">
        <v>43.6</v>
      </c>
      <c r="G25">
        <v>-12.54</v>
      </c>
      <c r="H25">
        <v>-59.66</v>
      </c>
      <c r="I25">
        <v>28.56</v>
      </c>
      <c r="J25">
        <v>18.05</v>
      </c>
      <c r="K25">
        <v>44.98</v>
      </c>
      <c r="L25">
        <v>6.93</v>
      </c>
      <c r="M25">
        <v>8.9600000000000009</v>
      </c>
      <c r="N25">
        <v>20.100000000000001</v>
      </c>
      <c r="O25">
        <v>-8.41</v>
      </c>
      <c r="P25">
        <v>36.979999999999997</v>
      </c>
      <c r="Q25">
        <v>8</v>
      </c>
      <c r="R25">
        <v>12.24</v>
      </c>
      <c r="S25">
        <v>-2.68</v>
      </c>
      <c r="T25">
        <v>1.64</v>
      </c>
      <c r="U25">
        <v>5.48</v>
      </c>
    </row>
    <row r="26" spans="1:21" x14ac:dyDescent="0.25">
      <c r="A26">
        <v>23</v>
      </c>
      <c r="B26">
        <v>142.44999999999999</v>
      </c>
      <c r="C26">
        <v>71.23</v>
      </c>
      <c r="D26">
        <v>61.97</v>
      </c>
      <c r="E26">
        <v>56.18</v>
      </c>
      <c r="F26">
        <v>42.9</v>
      </c>
      <c r="G26">
        <v>-13.81</v>
      </c>
      <c r="H26">
        <v>-58.12</v>
      </c>
      <c r="I26">
        <v>28.56</v>
      </c>
      <c r="J26">
        <v>17.64</v>
      </c>
      <c r="K26">
        <v>45.03</v>
      </c>
      <c r="L26">
        <v>6</v>
      </c>
      <c r="M26">
        <v>8.33</v>
      </c>
      <c r="N26">
        <v>18.61</v>
      </c>
      <c r="O26">
        <v>-6.31</v>
      </c>
      <c r="P26">
        <v>34.869999999999997</v>
      </c>
      <c r="Q26">
        <v>8</v>
      </c>
      <c r="R26">
        <v>11.82</v>
      </c>
      <c r="S26">
        <v>-2.0299999999999998</v>
      </c>
      <c r="T26">
        <v>1.47</v>
      </c>
      <c r="U26">
        <v>4.82</v>
      </c>
    </row>
    <row r="27" spans="1:21" x14ac:dyDescent="0.25">
      <c r="A27">
        <v>24</v>
      </c>
      <c r="B27">
        <v>136.59</v>
      </c>
      <c r="C27">
        <v>68.739999999999995</v>
      </c>
      <c r="D27">
        <v>60.51</v>
      </c>
      <c r="E27">
        <v>54.55</v>
      </c>
      <c r="F27">
        <v>41.69</v>
      </c>
      <c r="G27">
        <v>-13.81</v>
      </c>
      <c r="H27">
        <v>-56.23</v>
      </c>
      <c r="I27">
        <v>28.56</v>
      </c>
      <c r="J27">
        <v>17.2</v>
      </c>
      <c r="K27">
        <v>43.82</v>
      </c>
      <c r="L27">
        <v>5.79</v>
      </c>
      <c r="M27">
        <v>7.98</v>
      </c>
      <c r="N27">
        <v>17.920000000000002</v>
      </c>
      <c r="O27">
        <v>-4.12</v>
      </c>
      <c r="P27">
        <v>32.69</v>
      </c>
      <c r="Q27">
        <v>7.71</v>
      </c>
      <c r="R27">
        <v>11.36</v>
      </c>
      <c r="S27">
        <v>-2.04</v>
      </c>
      <c r="T27">
        <v>1.47</v>
      </c>
      <c r="U27">
        <v>4.6900000000000004</v>
      </c>
    </row>
    <row r="28" spans="1:21" x14ac:dyDescent="0.25">
      <c r="B28" s="4" cm="1">
        <f t="array" ref="B28">MAX(ABS(B4:B27))</f>
        <v>145.76</v>
      </c>
      <c r="C28" s="4" cm="1">
        <f t="array" ref="C28">MAX(ABS(C4:C27))</f>
        <v>72.95</v>
      </c>
      <c r="D28" s="4" cm="1">
        <f t="array" ref="D28">MAX(ABS(D4:D27))</f>
        <v>62.61</v>
      </c>
      <c r="E28" s="4" cm="1">
        <f t="array" ref="E28">MAX(ABS(E4:E27))</f>
        <v>57.71</v>
      </c>
      <c r="F28" s="4" cm="1">
        <f t="array" ref="F28">MAX(ABS(F4:F27))</f>
        <v>44.1</v>
      </c>
      <c r="G28" s="4" cm="1">
        <f t="array" ref="G28">MAX(ABS(G4:G27))</f>
        <v>13.81</v>
      </c>
      <c r="H28" s="4" cm="1">
        <f t="array" ref="H28">MAX(ABS(H4:H27))</f>
        <v>59.75</v>
      </c>
      <c r="I28" s="4" cm="1">
        <f t="array" ref="I28">MAX(ABS(I4:I27))</f>
        <v>28.56</v>
      </c>
      <c r="J28" s="4" cm="1">
        <f t="array" ref="J28">MAX(ABS(J4:J27))</f>
        <v>18.489999999999998</v>
      </c>
      <c r="K28" s="4" cm="1">
        <f t="array" ref="K28">MAX(ABS(K4:K27))</f>
        <v>45.28</v>
      </c>
      <c r="L28" s="4" cm="1">
        <f t="array" ref="L28">MAX(ABS(L4:L27))</f>
        <v>7.49</v>
      </c>
      <c r="M28" s="4" cm="1">
        <f t="array" ref="M28">MAX(ABS(M4:M27))</f>
        <v>9.4</v>
      </c>
      <c r="N28" s="4" cm="1">
        <f t="array" ref="N28">MAX(ABS(N4:N27))</f>
        <v>21.03</v>
      </c>
      <c r="O28" s="4" cm="1">
        <f t="array" ref="O28">MAX(ABS(O4:O27))</f>
        <v>10.61</v>
      </c>
      <c r="P28" s="4" cm="1">
        <f t="array" ref="P28">MAX(ABS(P4:P27))</f>
        <v>39.17</v>
      </c>
      <c r="Q28" s="4" cm="1">
        <f t="array" ref="Q28">MAX(ABS(Q4:Q27))</f>
        <v>8</v>
      </c>
      <c r="R28" s="4" cm="1">
        <f t="array" ref="R28">MAX(ABS(R4:R27))</f>
        <v>12.54</v>
      </c>
      <c r="S28" s="4" cm="1">
        <f t="array" ref="S28">MAX(ABS(S4:S27))</f>
        <v>3.03</v>
      </c>
      <c r="T28" s="4" cm="1">
        <f t="array" ref="T28">MAX(ABS(T4:T27))</f>
        <v>1.72</v>
      </c>
      <c r="U28" s="4" cm="1">
        <f t="array" ref="U28">MAX(ABS(U4:U27))</f>
        <v>5.88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3.1880000000000002</v>
      </c>
      <c r="C4">
        <v>2.206</v>
      </c>
      <c r="D4">
        <v>1.6279999999999999</v>
      </c>
      <c r="E4">
        <v>1.3759999999999999</v>
      </c>
      <c r="F4">
        <v>0.998</v>
      </c>
      <c r="G4">
        <v>0.40899999999999997</v>
      </c>
      <c r="H4">
        <v>1.321</v>
      </c>
      <c r="I4">
        <v>0</v>
      </c>
      <c r="J4">
        <v>0</v>
      </c>
      <c r="K4">
        <v>0</v>
      </c>
      <c r="L4">
        <v>0.191</v>
      </c>
      <c r="M4">
        <v>0.24299999999999999</v>
      </c>
      <c r="N4">
        <v>0.56499999999999995</v>
      </c>
      <c r="O4">
        <v>0</v>
      </c>
      <c r="P4">
        <v>0</v>
      </c>
      <c r="Q4">
        <v>0.17899999999999999</v>
      </c>
      <c r="R4">
        <v>0.32400000000000001</v>
      </c>
      <c r="S4">
        <v>7.0999999999999994E-2</v>
      </c>
      <c r="T4">
        <v>5.7000000000000002E-2</v>
      </c>
      <c r="U4">
        <v>0.153</v>
      </c>
    </row>
    <row r="5" spans="1:21" x14ac:dyDescent="0.25">
      <c r="A5">
        <v>2</v>
      </c>
      <c r="B5">
        <v>3.0739999999999998</v>
      </c>
      <c r="C5">
        <v>2.0880000000000001</v>
      </c>
      <c r="D5">
        <v>1.5569999999999999</v>
      </c>
      <c r="E5">
        <v>1.2789999999999999</v>
      </c>
      <c r="F5">
        <v>0.97099999999999997</v>
      </c>
      <c r="G5">
        <v>0.40899999999999997</v>
      </c>
      <c r="H5">
        <v>1.284</v>
      </c>
      <c r="I5">
        <v>0</v>
      </c>
      <c r="J5">
        <v>0</v>
      </c>
      <c r="K5">
        <v>0</v>
      </c>
      <c r="L5">
        <v>0.185</v>
      </c>
      <c r="M5">
        <v>0.23499999999999999</v>
      </c>
      <c r="N5">
        <v>0.54700000000000004</v>
      </c>
      <c r="O5">
        <v>0</v>
      </c>
      <c r="P5">
        <v>0</v>
      </c>
      <c r="Q5">
        <v>0.17299999999999999</v>
      </c>
      <c r="R5">
        <v>0.313</v>
      </c>
      <c r="S5">
        <v>6.9000000000000006E-2</v>
      </c>
      <c r="T5">
        <v>5.6000000000000001E-2</v>
      </c>
      <c r="U5">
        <v>0.14899999999999999</v>
      </c>
    </row>
    <row r="6" spans="1:21" x14ac:dyDescent="0.25">
      <c r="A6">
        <v>3</v>
      </c>
      <c r="B6">
        <v>2.99</v>
      </c>
      <c r="C6">
        <v>1.9990000000000001</v>
      </c>
      <c r="D6">
        <v>1.5029999999999999</v>
      </c>
      <c r="E6">
        <v>1.2529999999999999</v>
      </c>
      <c r="F6">
        <v>0.95099999999999996</v>
      </c>
      <c r="G6">
        <v>0.40899999999999997</v>
      </c>
      <c r="H6">
        <v>1.2569999999999999</v>
      </c>
      <c r="I6">
        <v>0</v>
      </c>
      <c r="J6">
        <v>0</v>
      </c>
      <c r="K6">
        <v>0</v>
      </c>
      <c r="L6">
        <v>0.18099999999999999</v>
      </c>
      <c r="M6">
        <v>0.23</v>
      </c>
      <c r="N6">
        <v>0.53400000000000003</v>
      </c>
      <c r="O6">
        <v>0</v>
      </c>
      <c r="P6">
        <v>0</v>
      </c>
      <c r="Q6">
        <v>0.16900000000000001</v>
      </c>
      <c r="R6">
        <v>0.30599999999999999</v>
      </c>
      <c r="S6">
        <v>6.8000000000000005E-2</v>
      </c>
      <c r="T6">
        <v>5.3999999999999999E-2</v>
      </c>
      <c r="U6">
        <v>0.14499999999999999</v>
      </c>
    </row>
    <row r="7" spans="1:21" x14ac:dyDescent="0.25">
      <c r="A7">
        <v>4</v>
      </c>
      <c r="B7">
        <v>2.968</v>
      </c>
      <c r="C7">
        <v>1.978</v>
      </c>
      <c r="D7">
        <v>1.4910000000000001</v>
      </c>
      <c r="E7">
        <v>1.2470000000000001</v>
      </c>
      <c r="F7">
        <v>0.94699999999999995</v>
      </c>
      <c r="G7">
        <v>0.40899999999999997</v>
      </c>
      <c r="H7">
        <v>1.2490000000000001</v>
      </c>
      <c r="I7">
        <v>0</v>
      </c>
      <c r="J7">
        <v>0</v>
      </c>
      <c r="K7">
        <v>0</v>
      </c>
      <c r="L7">
        <v>0.18</v>
      </c>
      <c r="M7">
        <v>0.22900000000000001</v>
      </c>
      <c r="N7">
        <v>0.53600000000000003</v>
      </c>
      <c r="O7">
        <v>0</v>
      </c>
      <c r="P7">
        <v>0</v>
      </c>
      <c r="Q7">
        <v>0.17199999999999999</v>
      </c>
      <c r="R7">
        <v>0.307</v>
      </c>
      <c r="S7">
        <v>6.8000000000000005E-2</v>
      </c>
      <c r="T7">
        <v>5.6000000000000001E-2</v>
      </c>
      <c r="U7">
        <v>0.14399999999999999</v>
      </c>
    </row>
    <row r="8" spans="1:21" x14ac:dyDescent="0.25">
      <c r="A8">
        <v>5</v>
      </c>
      <c r="B8">
        <v>3.0760000000000001</v>
      </c>
      <c r="C8">
        <v>2.0939999999999999</v>
      </c>
      <c r="D8">
        <v>1.5609999999999999</v>
      </c>
      <c r="E8">
        <v>1.282</v>
      </c>
      <c r="F8">
        <v>0.97399999999999998</v>
      </c>
      <c r="G8">
        <v>0.40899999999999997</v>
      </c>
      <c r="H8">
        <v>1.282</v>
      </c>
      <c r="I8">
        <v>0</v>
      </c>
      <c r="J8">
        <v>0</v>
      </c>
      <c r="K8">
        <v>0</v>
      </c>
      <c r="L8">
        <v>0.186</v>
      </c>
      <c r="M8">
        <v>0.23899999999999999</v>
      </c>
      <c r="N8">
        <v>0.56000000000000005</v>
      </c>
      <c r="O8">
        <v>0</v>
      </c>
      <c r="P8">
        <v>0</v>
      </c>
      <c r="Q8">
        <v>0.183</v>
      </c>
      <c r="R8">
        <v>0.32700000000000001</v>
      </c>
      <c r="S8">
        <v>7.0999999999999994E-2</v>
      </c>
      <c r="T8">
        <v>0.06</v>
      </c>
      <c r="U8">
        <v>0.153</v>
      </c>
    </row>
    <row r="9" spans="1:21" x14ac:dyDescent="0.25">
      <c r="A9">
        <v>6</v>
      </c>
      <c r="B9">
        <v>3.1909999999999998</v>
      </c>
      <c r="C9">
        <v>2.2090000000000001</v>
      </c>
      <c r="D9">
        <v>1.63</v>
      </c>
      <c r="E9">
        <v>1.38</v>
      </c>
      <c r="F9">
        <v>0.999</v>
      </c>
      <c r="G9">
        <v>0.40899999999999997</v>
      </c>
      <c r="H9">
        <v>1.3220000000000001</v>
      </c>
      <c r="I9">
        <v>0</v>
      </c>
      <c r="J9">
        <v>0</v>
      </c>
      <c r="K9">
        <v>0</v>
      </c>
      <c r="L9">
        <v>0.191</v>
      </c>
      <c r="M9">
        <v>0.24299999999999999</v>
      </c>
      <c r="N9">
        <v>0.56499999999999995</v>
      </c>
      <c r="O9">
        <v>0</v>
      </c>
      <c r="P9">
        <v>0</v>
      </c>
      <c r="Q9">
        <v>0.17899999999999999</v>
      </c>
      <c r="R9">
        <v>0.32400000000000001</v>
      </c>
      <c r="S9">
        <v>7.0999999999999994E-2</v>
      </c>
      <c r="T9">
        <v>5.7000000000000002E-2</v>
      </c>
      <c r="U9">
        <v>0.153</v>
      </c>
    </row>
    <row r="10" spans="1:21" x14ac:dyDescent="0.25">
      <c r="A10">
        <v>7</v>
      </c>
      <c r="B10">
        <v>3.242</v>
      </c>
      <c r="C10">
        <v>2.262</v>
      </c>
      <c r="D10">
        <v>1.663</v>
      </c>
      <c r="E10">
        <v>1.427</v>
      </c>
      <c r="F10">
        <v>1.0109999999999999</v>
      </c>
      <c r="G10">
        <v>0.40899999999999997</v>
      </c>
      <c r="H10">
        <v>1.339</v>
      </c>
      <c r="I10">
        <v>0</v>
      </c>
      <c r="J10">
        <v>0</v>
      </c>
      <c r="K10">
        <v>0</v>
      </c>
      <c r="L10">
        <v>0.19400000000000001</v>
      </c>
      <c r="M10">
        <v>0.247</v>
      </c>
      <c r="N10">
        <v>0.57299999999999995</v>
      </c>
      <c r="O10">
        <v>0</v>
      </c>
      <c r="P10">
        <v>0</v>
      </c>
      <c r="Q10">
        <v>0.182</v>
      </c>
      <c r="R10">
        <v>0.32900000000000001</v>
      </c>
      <c r="S10">
        <v>7.1999999999999995E-2</v>
      </c>
      <c r="T10">
        <v>5.8000000000000003E-2</v>
      </c>
      <c r="U10">
        <v>0.155</v>
      </c>
    </row>
    <row r="11" spans="1:21" x14ac:dyDescent="0.25">
      <c r="A11">
        <v>8</v>
      </c>
      <c r="B11">
        <v>3.4039999999999999</v>
      </c>
      <c r="C11">
        <v>2.4289999999999998</v>
      </c>
      <c r="D11">
        <v>1.76</v>
      </c>
      <c r="E11">
        <v>1.5720000000000001</v>
      </c>
      <c r="F11">
        <v>1.048</v>
      </c>
      <c r="G11">
        <v>0.40899999999999997</v>
      </c>
      <c r="H11">
        <v>1.385</v>
      </c>
      <c r="I11">
        <v>0</v>
      </c>
      <c r="J11">
        <v>0</v>
      </c>
      <c r="K11">
        <v>0</v>
      </c>
      <c r="L11">
        <v>0.19700000000000001</v>
      </c>
      <c r="M11">
        <v>0.25900000000000001</v>
      </c>
      <c r="N11">
        <v>0.60099999999999998</v>
      </c>
      <c r="O11">
        <v>0</v>
      </c>
      <c r="P11">
        <v>0</v>
      </c>
      <c r="Q11">
        <v>0.19800000000000001</v>
      </c>
      <c r="R11">
        <v>0.35099999999999998</v>
      </c>
      <c r="S11">
        <v>6.9000000000000006E-2</v>
      </c>
      <c r="T11">
        <v>0.06</v>
      </c>
      <c r="U11">
        <v>0.159</v>
      </c>
    </row>
    <row r="12" spans="1:21" x14ac:dyDescent="0.25">
      <c r="A12">
        <v>9</v>
      </c>
      <c r="B12">
        <v>3.5459999999999998</v>
      </c>
      <c r="C12">
        <v>2.5739999999999998</v>
      </c>
      <c r="D12">
        <v>1.8420000000000001</v>
      </c>
      <c r="E12">
        <v>1.694</v>
      </c>
      <c r="F12">
        <v>1.08</v>
      </c>
      <c r="G12">
        <v>0.40899999999999997</v>
      </c>
      <c r="H12">
        <v>1.4219999999999999</v>
      </c>
      <c r="I12">
        <v>0</v>
      </c>
      <c r="J12">
        <v>0</v>
      </c>
      <c r="K12">
        <v>0</v>
      </c>
      <c r="L12">
        <v>0.19700000000000001</v>
      </c>
      <c r="M12">
        <v>0.27100000000000002</v>
      </c>
      <c r="N12">
        <v>0.627</v>
      </c>
      <c r="O12">
        <v>0</v>
      </c>
      <c r="P12">
        <v>0</v>
      </c>
      <c r="Q12">
        <v>0.217</v>
      </c>
      <c r="R12">
        <v>0.376</v>
      </c>
      <c r="S12">
        <v>6.4000000000000001E-2</v>
      </c>
      <c r="T12">
        <v>6.0999999999999999E-2</v>
      </c>
      <c r="U12">
        <v>0.161</v>
      </c>
    </row>
    <row r="13" spans="1:21" x14ac:dyDescent="0.25">
      <c r="A13">
        <v>10</v>
      </c>
      <c r="B13">
        <v>3.6429999999999998</v>
      </c>
      <c r="C13">
        <v>2.673</v>
      </c>
      <c r="D13">
        <v>1.8979999999999999</v>
      </c>
      <c r="E13">
        <v>1.776</v>
      </c>
      <c r="F13">
        <v>1.101</v>
      </c>
      <c r="G13">
        <v>0.40899999999999997</v>
      </c>
      <c r="H13">
        <v>1.4470000000000001</v>
      </c>
      <c r="I13">
        <v>0</v>
      </c>
      <c r="J13">
        <v>0</v>
      </c>
      <c r="K13">
        <v>0</v>
      </c>
      <c r="L13">
        <v>0.19700000000000001</v>
      </c>
      <c r="M13">
        <v>0.27900000000000003</v>
      </c>
      <c r="N13">
        <v>0.64400000000000002</v>
      </c>
      <c r="O13">
        <v>0</v>
      </c>
      <c r="P13">
        <v>0</v>
      </c>
      <c r="Q13">
        <v>0.22900000000000001</v>
      </c>
      <c r="R13">
        <v>0.39300000000000002</v>
      </c>
      <c r="S13">
        <v>0.06</v>
      </c>
      <c r="T13">
        <v>6.2E-2</v>
      </c>
      <c r="U13">
        <v>0.16200000000000001</v>
      </c>
    </row>
    <row r="14" spans="1:21" x14ac:dyDescent="0.25">
      <c r="A14">
        <v>11</v>
      </c>
      <c r="B14">
        <v>3.7170000000000001</v>
      </c>
      <c r="C14">
        <v>2.742</v>
      </c>
      <c r="D14">
        <v>1.9390000000000001</v>
      </c>
      <c r="E14">
        <v>1.8380000000000001</v>
      </c>
      <c r="F14">
        <v>1.1140000000000001</v>
      </c>
      <c r="G14">
        <v>0.40899999999999997</v>
      </c>
      <c r="H14">
        <v>1.478</v>
      </c>
      <c r="I14">
        <v>0</v>
      </c>
      <c r="J14">
        <v>0</v>
      </c>
      <c r="K14">
        <v>0</v>
      </c>
      <c r="L14">
        <v>0.21299999999999999</v>
      </c>
      <c r="M14">
        <v>0.28999999999999998</v>
      </c>
      <c r="N14">
        <v>0.67100000000000004</v>
      </c>
      <c r="O14">
        <v>0</v>
      </c>
      <c r="P14">
        <v>0</v>
      </c>
      <c r="Q14">
        <v>0.23</v>
      </c>
      <c r="R14">
        <v>0.40100000000000002</v>
      </c>
      <c r="S14">
        <v>7.0000000000000007E-2</v>
      </c>
      <c r="T14">
        <v>6.6000000000000003E-2</v>
      </c>
      <c r="U14">
        <v>0.17299999999999999</v>
      </c>
    </row>
    <row r="15" spans="1:21" x14ac:dyDescent="0.25">
      <c r="A15">
        <v>12</v>
      </c>
      <c r="B15">
        <v>3.762</v>
      </c>
      <c r="C15">
        <v>2.7850000000000001</v>
      </c>
      <c r="D15">
        <v>1.954</v>
      </c>
      <c r="E15">
        <v>1.877</v>
      </c>
      <c r="F15">
        <v>1.123</v>
      </c>
      <c r="G15">
        <v>0.40300000000000002</v>
      </c>
      <c r="H15">
        <v>1.498</v>
      </c>
      <c r="I15">
        <v>0</v>
      </c>
      <c r="J15">
        <v>0</v>
      </c>
      <c r="K15">
        <v>0</v>
      </c>
      <c r="L15">
        <v>0.22500000000000001</v>
      </c>
      <c r="M15">
        <v>0.29799999999999999</v>
      </c>
      <c r="N15">
        <v>0.69099999999999995</v>
      </c>
      <c r="O15">
        <v>0</v>
      </c>
      <c r="P15">
        <v>0</v>
      </c>
      <c r="Q15">
        <v>0.23</v>
      </c>
      <c r="R15">
        <v>0.40600000000000003</v>
      </c>
      <c r="S15">
        <v>7.8E-2</v>
      </c>
      <c r="T15">
        <v>6.9000000000000006E-2</v>
      </c>
      <c r="U15">
        <v>0.182</v>
      </c>
    </row>
    <row r="16" spans="1:21" x14ac:dyDescent="0.25">
      <c r="A16">
        <v>13</v>
      </c>
      <c r="B16">
        <v>3.762</v>
      </c>
      <c r="C16">
        <v>2.7850000000000001</v>
      </c>
      <c r="D16">
        <v>1.95</v>
      </c>
      <c r="E16">
        <v>1.8779999999999999</v>
      </c>
      <c r="F16">
        <v>1.123</v>
      </c>
      <c r="G16">
        <v>0.4</v>
      </c>
      <c r="H16">
        <v>1.498</v>
      </c>
      <c r="I16">
        <v>0</v>
      </c>
      <c r="J16">
        <v>0</v>
      </c>
      <c r="K16">
        <v>0</v>
      </c>
      <c r="L16">
        <v>0.22600000000000001</v>
      </c>
      <c r="M16">
        <v>0.29899999999999999</v>
      </c>
      <c r="N16">
        <v>0.69199999999999995</v>
      </c>
      <c r="O16">
        <v>0</v>
      </c>
      <c r="P16">
        <v>0</v>
      </c>
      <c r="Q16">
        <v>0.23</v>
      </c>
      <c r="R16">
        <v>0.40699999999999997</v>
      </c>
      <c r="S16">
        <v>7.8E-2</v>
      </c>
      <c r="T16">
        <v>6.9000000000000006E-2</v>
      </c>
      <c r="U16">
        <v>0.182</v>
      </c>
    </row>
    <row r="17" spans="1:21" x14ac:dyDescent="0.25">
      <c r="A17">
        <v>14</v>
      </c>
      <c r="B17">
        <v>3.7610000000000001</v>
      </c>
      <c r="C17">
        <v>2.7879999999999998</v>
      </c>
      <c r="D17">
        <v>1.917</v>
      </c>
      <c r="E17">
        <v>1.885</v>
      </c>
      <c r="F17">
        <v>1.125</v>
      </c>
      <c r="G17">
        <v>0.378</v>
      </c>
      <c r="H17">
        <v>1.4990000000000001</v>
      </c>
      <c r="I17">
        <v>0</v>
      </c>
      <c r="J17">
        <v>0</v>
      </c>
      <c r="K17">
        <v>0</v>
      </c>
      <c r="L17">
        <v>0.23300000000000001</v>
      </c>
      <c r="M17">
        <v>0.30399999999999999</v>
      </c>
      <c r="N17">
        <v>0.70499999999999996</v>
      </c>
      <c r="O17">
        <v>0</v>
      </c>
      <c r="P17">
        <v>0</v>
      </c>
      <c r="Q17">
        <v>0.23</v>
      </c>
      <c r="R17">
        <v>0.41</v>
      </c>
      <c r="S17">
        <v>8.3000000000000004E-2</v>
      </c>
      <c r="T17">
        <v>7.0999999999999994E-2</v>
      </c>
      <c r="U17">
        <v>0.188</v>
      </c>
    </row>
    <row r="18" spans="1:21" x14ac:dyDescent="0.25">
      <c r="A18">
        <v>15</v>
      </c>
      <c r="B18">
        <v>3.7589999999999999</v>
      </c>
      <c r="C18">
        <v>2.7919999999999998</v>
      </c>
      <c r="D18">
        <v>1.867</v>
      </c>
      <c r="E18">
        <v>1.895</v>
      </c>
      <c r="F18">
        <v>1.1279999999999999</v>
      </c>
      <c r="G18">
        <v>0.34499999999999997</v>
      </c>
      <c r="H18">
        <v>1.502</v>
      </c>
      <c r="I18">
        <v>0</v>
      </c>
      <c r="J18">
        <v>0</v>
      </c>
      <c r="K18">
        <v>0</v>
      </c>
      <c r="L18">
        <v>0.24399999999999999</v>
      </c>
      <c r="M18">
        <v>0.311</v>
      </c>
      <c r="N18">
        <v>0.72299999999999998</v>
      </c>
      <c r="O18">
        <v>0</v>
      </c>
      <c r="P18">
        <v>0</v>
      </c>
      <c r="Q18">
        <v>0.23</v>
      </c>
      <c r="R18">
        <v>0.41499999999999998</v>
      </c>
      <c r="S18">
        <v>0.09</v>
      </c>
      <c r="T18">
        <v>7.2999999999999995E-2</v>
      </c>
      <c r="U18">
        <v>0.19600000000000001</v>
      </c>
    </row>
    <row r="19" spans="1:21" x14ac:dyDescent="0.25">
      <c r="A19">
        <v>16</v>
      </c>
      <c r="B19">
        <v>3.7589999999999999</v>
      </c>
      <c r="C19">
        <v>2.7930000000000001</v>
      </c>
      <c r="D19">
        <v>1.855</v>
      </c>
      <c r="E19">
        <v>1.8979999999999999</v>
      </c>
      <c r="F19">
        <v>1.1279999999999999</v>
      </c>
      <c r="G19">
        <v>0.33700000000000002</v>
      </c>
      <c r="H19">
        <v>1.502</v>
      </c>
      <c r="I19">
        <v>0</v>
      </c>
      <c r="J19">
        <v>0</v>
      </c>
      <c r="K19">
        <v>0</v>
      </c>
      <c r="L19">
        <v>0.247</v>
      </c>
      <c r="M19">
        <v>0.313</v>
      </c>
      <c r="N19">
        <v>0.72799999999999998</v>
      </c>
      <c r="O19">
        <v>0</v>
      </c>
      <c r="P19">
        <v>0</v>
      </c>
      <c r="Q19">
        <v>0.23</v>
      </c>
      <c r="R19">
        <v>0.41599999999999998</v>
      </c>
      <c r="S19">
        <v>9.1999999999999998E-2</v>
      </c>
      <c r="T19">
        <v>7.3999999999999996E-2</v>
      </c>
      <c r="U19">
        <v>0.19800000000000001</v>
      </c>
    </row>
    <row r="20" spans="1:21" x14ac:dyDescent="0.25">
      <c r="A20">
        <v>17</v>
      </c>
      <c r="B20">
        <v>3.7589999999999999</v>
      </c>
      <c r="C20">
        <v>2.7919999999999998</v>
      </c>
      <c r="D20">
        <v>1.8660000000000001</v>
      </c>
      <c r="E20">
        <v>1.8959999999999999</v>
      </c>
      <c r="F20">
        <v>1.1279999999999999</v>
      </c>
      <c r="G20">
        <v>0.34399999999999997</v>
      </c>
      <c r="H20">
        <v>1.502</v>
      </c>
      <c r="I20">
        <v>0</v>
      </c>
      <c r="J20">
        <v>0</v>
      </c>
      <c r="K20">
        <v>0</v>
      </c>
      <c r="L20">
        <v>0.24399999999999999</v>
      </c>
      <c r="M20">
        <v>0.311</v>
      </c>
      <c r="N20">
        <v>0.72399999999999998</v>
      </c>
      <c r="O20">
        <v>0</v>
      </c>
      <c r="P20">
        <v>0</v>
      </c>
      <c r="Q20">
        <v>0.23</v>
      </c>
      <c r="R20">
        <v>0.41499999999999998</v>
      </c>
      <c r="S20">
        <v>9.0999999999999998E-2</v>
      </c>
      <c r="T20">
        <v>7.2999999999999995E-2</v>
      </c>
      <c r="U20">
        <v>0.19600000000000001</v>
      </c>
    </row>
    <row r="21" spans="1:21" x14ac:dyDescent="0.25">
      <c r="A21">
        <v>18</v>
      </c>
      <c r="B21">
        <v>3.76</v>
      </c>
      <c r="C21">
        <v>2.79</v>
      </c>
      <c r="D21">
        <v>1.895</v>
      </c>
      <c r="E21">
        <v>1.89</v>
      </c>
      <c r="F21">
        <v>1.1259999999999999</v>
      </c>
      <c r="G21">
        <v>0.36299999999999999</v>
      </c>
      <c r="H21">
        <v>1.5</v>
      </c>
      <c r="I21">
        <v>0</v>
      </c>
      <c r="J21">
        <v>0</v>
      </c>
      <c r="K21">
        <v>0</v>
      </c>
      <c r="L21">
        <v>0.23799999999999999</v>
      </c>
      <c r="M21">
        <v>0.307</v>
      </c>
      <c r="N21">
        <v>0.71299999999999997</v>
      </c>
      <c r="O21">
        <v>0</v>
      </c>
      <c r="P21">
        <v>0</v>
      </c>
      <c r="Q21">
        <v>0.23</v>
      </c>
      <c r="R21">
        <v>0.41199999999999998</v>
      </c>
      <c r="S21">
        <v>8.5999999999999993E-2</v>
      </c>
      <c r="T21">
        <v>7.1999999999999995E-2</v>
      </c>
      <c r="U21">
        <v>0.191</v>
      </c>
    </row>
    <row r="22" spans="1:21" x14ac:dyDescent="0.25">
      <c r="A22">
        <v>19</v>
      </c>
      <c r="B22">
        <v>3.7549999999999999</v>
      </c>
      <c r="C22">
        <v>2.802</v>
      </c>
      <c r="D22">
        <v>1.7789999999999999</v>
      </c>
      <c r="E22">
        <v>1.9139999999999999</v>
      </c>
      <c r="F22">
        <v>1.1339999999999999</v>
      </c>
      <c r="G22">
        <v>0.28599999999999998</v>
      </c>
      <c r="H22">
        <v>1.5</v>
      </c>
      <c r="I22">
        <v>0</v>
      </c>
      <c r="J22">
        <v>0</v>
      </c>
      <c r="K22">
        <v>0</v>
      </c>
      <c r="L22">
        <v>0.254</v>
      </c>
      <c r="M22">
        <v>0.32</v>
      </c>
      <c r="N22">
        <v>0.74099999999999999</v>
      </c>
      <c r="O22">
        <v>0</v>
      </c>
      <c r="P22">
        <v>0</v>
      </c>
      <c r="Q22">
        <v>0.23</v>
      </c>
      <c r="R22">
        <v>0.42099999999999999</v>
      </c>
      <c r="S22">
        <v>9.5000000000000001E-2</v>
      </c>
      <c r="T22">
        <v>7.2999999999999995E-2</v>
      </c>
      <c r="U22">
        <v>0.20300000000000001</v>
      </c>
    </row>
    <row r="23" spans="1:21" x14ac:dyDescent="0.25">
      <c r="A23">
        <v>20</v>
      </c>
      <c r="B23">
        <v>3.7530000000000001</v>
      </c>
      <c r="C23">
        <v>2.8069999999999999</v>
      </c>
      <c r="D23">
        <v>1.732</v>
      </c>
      <c r="E23">
        <v>1.923</v>
      </c>
      <c r="F23">
        <v>1.1379999999999999</v>
      </c>
      <c r="G23">
        <v>0.255</v>
      </c>
      <c r="H23">
        <v>1.4970000000000001</v>
      </c>
      <c r="I23">
        <v>0</v>
      </c>
      <c r="J23">
        <v>0</v>
      </c>
      <c r="K23">
        <v>0</v>
      </c>
      <c r="L23">
        <v>0.254</v>
      </c>
      <c r="M23">
        <v>0.32</v>
      </c>
      <c r="N23">
        <v>0.74099999999999999</v>
      </c>
      <c r="O23">
        <v>0</v>
      </c>
      <c r="P23">
        <v>0</v>
      </c>
      <c r="Q23">
        <v>0.23</v>
      </c>
      <c r="R23">
        <v>0.41899999999999998</v>
      </c>
      <c r="S23">
        <v>9.2999999999999999E-2</v>
      </c>
      <c r="T23">
        <v>7.2999999999999995E-2</v>
      </c>
      <c r="U23">
        <v>0.19900000000000001</v>
      </c>
    </row>
    <row r="24" spans="1:21" x14ac:dyDescent="0.25">
      <c r="A24">
        <v>21</v>
      </c>
      <c r="B24">
        <v>3.7559999999999998</v>
      </c>
      <c r="C24">
        <v>2.7989999999999999</v>
      </c>
      <c r="D24">
        <v>1.7969999999999999</v>
      </c>
      <c r="E24">
        <v>1.91</v>
      </c>
      <c r="F24">
        <v>1.133</v>
      </c>
      <c r="G24">
        <v>0.29799999999999999</v>
      </c>
      <c r="H24">
        <v>1.5009999999999999</v>
      </c>
      <c r="I24">
        <v>0</v>
      </c>
      <c r="J24">
        <v>0</v>
      </c>
      <c r="K24">
        <v>0</v>
      </c>
      <c r="L24">
        <v>0.254</v>
      </c>
      <c r="M24">
        <v>0.31900000000000001</v>
      </c>
      <c r="N24">
        <v>0.74099999999999999</v>
      </c>
      <c r="O24">
        <v>0</v>
      </c>
      <c r="P24">
        <v>0</v>
      </c>
      <c r="Q24">
        <v>0.23</v>
      </c>
      <c r="R24">
        <v>0.42099999999999999</v>
      </c>
      <c r="S24">
        <v>9.6000000000000002E-2</v>
      </c>
      <c r="T24">
        <v>7.4999999999999997E-2</v>
      </c>
      <c r="U24">
        <v>0.20300000000000001</v>
      </c>
    </row>
    <row r="25" spans="1:21" x14ac:dyDescent="0.25">
      <c r="A25">
        <v>22</v>
      </c>
      <c r="B25">
        <v>3.7610000000000001</v>
      </c>
      <c r="C25">
        <v>2.7890000000000001</v>
      </c>
      <c r="D25">
        <v>1.9079999999999999</v>
      </c>
      <c r="E25">
        <v>1.887</v>
      </c>
      <c r="F25">
        <v>1.125</v>
      </c>
      <c r="G25">
        <v>0.372</v>
      </c>
      <c r="H25">
        <v>1.5</v>
      </c>
      <c r="I25">
        <v>0</v>
      </c>
      <c r="J25">
        <v>0</v>
      </c>
      <c r="K25">
        <v>0</v>
      </c>
      <c r="L25">
        <v>0.23499999999999999</v>
      </c>
      <c r="M25">
        <v>0.30499999999999999</v>
      </c>
      <c r="N25">
        <v>0.70799999999999996</v>
      </c>
      <c r="O25">
        <v>0</v>
      </c>
      <c r="P25">
        <v>0</v>
      </c>
      <c r="Q25">
        <v>0.23</v>
      </c>
      <c r="R25">
        <v>0.41099999999999998</v>
      </c>
      <c r="S25">
        <v>8.4000000000000005E-2</v>
      </c>
      <c r="T25">
        <v>7.0999999999999994E-2</v>
      </c>
      <c r="U25">
        <v>0.189</v>
      </c>
    </row>
    <row r="26" spans="1:21" x14ac:dyDescent="0.25">
      <c r="A26">
        <v>23</v>
      </c>
      <c r="B26">
        <v>3.677</v>
      </c>
      <c r="C26">
        <v>2.7050000000000001</v>
      </c>
      <c r="D26">
        <v>1.917</v>
      </c>
      <c r="E26">
        <v>1.8049999999999999</v>
      </c>
      <c r="F26">
        <v>1.107</v>
      </c>
      <c r="G26">
        <v>0.40899999999999997</v>
      </c>
      <c r="H26">
        <v>1.4610000000000001</v>
      </c>
      <c r="I26">
        <v>0</v>
      </c>
      <c r="J26">
        <v>0</v>
      </c>
      <c r="K26">
        <v>0</v>
      </c>
      <c r="L26">
        <v>0.20399999999999999</v>
      </c>
      <c r="M26">
        <v>0.28399999999999997</v>
      </c>
      <c r="N26">
        <v>0.65600000000000003</v>
      </c>
      <c r="O26">
        <v>0</v>
      </c>
      <c r="P26">
        <v>0</v>
      </c>
      <c r="Q26">
        <v>0.23</v>
      </c>
      <c r="R26">
        <v>0.39700000000000002</v>
      </c>
      <c r="S26">
        <v>6.4000000000000001E-2</v>
      </c>
      <c r="T26">
        <v>6.4000000000000001E-2</v>
      </c>
      <c r="U26">
        <v>0.16600000000000001</v>
      </c>
    </row>
    <row r="27" spans="1:21" x14ac:dyDescent="0.25">
      <c r="A27">
        <v>24</v>
      </c>
      <c r="B27">
        <v>3.5259999999999998</v>
      </c>
      <c r="C27">
        <v>2.5550000000000002</v>
      </c>
      <c r="D27">
        <v>1.831</v>
      </c>
      <c r="E27">
        <v>1.677</v>
      </c>
      <c r="F27">
        <v>1.0760000000000001</v>
      </c>
      <c r="G27">
        <v>0.40899999999999997</v>
      </c>
      <c r="H27">
        <v>1.4139999999999999</v>
      </c>
      <c r="I27">
        <v>0</v>
      </c>
      <c r="J27">
        <v>0</v>
      </c>
      <c r="K27">
        <v>0</v>
      </c>
      <c r="L27">
        <v>0.19700000000000001</v>
      </c>
      <c r="M27">
        <v>0.27200000000000002</v>
      </c>
      <c r="N27">
        <v>0.63100000000000001</v>
      </c>
      <c r="O27">
        <v>0</v>
      </c>
      <c r="P27">
        <v>0</v>
      </c>
      <c r="Q27">
        <v>0.222</v>
      </c>
      <c r="R27">
        <v>0.38200000000000001</v>
      </c>
      <c r="S27">
        <v>6.4000000000000001E-2</v>
      </c>
      <c r="T27">
        <v>6.4000000000000001E-2</v>
      </c>
      <c r="U27">
        <v>0.16200000000000001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-4.1863000000000001</v>
      </c>
      <c r="D4">
        <v>-10.6593</v>
      </c>
      <c r="E4">
        <v>-9.3062000000000005</v>
      </c>
      <c r="F4">
        <v>-8.0383999999999993</v>
      </c>
      <c r="G4">
        <v>-13.770899999999999</v>
      </c>
      <c r="H4">
        <v>-12.617699999999999</v>
      </c>
      <c r="I4">
        <v>-12.617699999999999</v>
      </c>
      <c r="J4">
        <v>-14.3597</v>
      </c>
      <c r="K4">
        <v>-14.661099999999999</v>
      </c>
      <c r="L4">
        <v>-14.413</v>
      </c>
      <c r="M4">
        <v>-14.8164</v>
      </c>
      <c r="N4">
        <v>-14.967700000000001</v>
      </c>
      <c r="O4">
        <v>-15.8522</v>
      </c>
    </row>
    <row r="5" spans="1:15" x14ac:dyDescent="0.25">
      <c r="A5">
        <v>2</v>
      </c>
      <c r="B5">
        <v>0</v>
      </c>
      <c r="C5">
        <v>-4.0373999999999999</v>
      </c>
      <c r="D5">
        <v>-10.3725</v>
      </c>
      <c r="E5">
        <v>-9.0193999999999992</v>
      </c>
      <c r="F5">
        <v>-7.7866999999999997</v>
      </c>
      <c r="G5">
        <v>-13.3416</v>
      </c>
      <c r="H5">
        <v>-12.226599999999999</v>
      </c>
      <c r="I5">
        <v>-12.226599999999999</v>
      </c>
      <c r="J5">
        <v>-13.9138</v>
      </c>
      <c r="K5">
        <v>-14.205500000000001</v>
      </c>
      <c r="L5">
        <v>-13.964399999999999</v>
      </c>
      <c r="M5">
        <v>-14.354699999999999</v>
      </c>
      <c r="N5">
        <v>-14.501300000000001</v>
      </c>
      <c r="O5">
        <v>-15.359</v>
      </c>
    </row>
    <row r="6" spans="1:15" x14ac:dyDescent="0.25">
      <c r="A6">
        <v>3</v>
      </c>
      <c r="B6">
        <v>0</v>
      </c>
      <c r="C6">
        <v>-3.9264000000000001</v>
      </c>
      <c r="D6">
        <v>-10.158300000000001</v>
      </c>
      <c r="E6">
        <v>-8.8051999999999992</v>
      </c>
      <c r="F6">
        <v>-7.5987</v>
      </c>
      <c r="G6">
        <v>-13.0198</v>
      </c>
      <c r="H6">
        <v>-11.9337</v>
      </c>
      <c r="I6">
        <v>-11.9337</v>
      </c>
      <c r="J6">
        <v>-13.5794</v>
      </c>
      <c r="K6">
        <v>-13.863799999999999</v>
      </c>
      <c r="L6">
        <v>-13.628</v>
      </c>
      <c r="M6">
        <v>-14.0083</v>
      </c>
      <c r="N6">
        <v>-14.151400000000001</v>
      </c>
      <c r="O6">
        <v>-14.989000000000001</v>
      </c>
    </row>
    <row r="7" spans="1:15" x14ac:dyDescent="0.25">
      <c r="A7">
        <v>4</v>
      </c>
      <c r="B7">
        <v>0</v>
      </c>
      <c r="C7">
        <v>-3.8975</v>
      </c>
      <c r="D7">
        <v>-10.104799999999999</v>
      </c>
      <c r="E7">
        <v>-8.7517999999999994</v>
      </c>
      <c r="F7">
        <v>-7.5533999999999999</v>
      </c>
      <c r="G7">
        <v>-12.960900000000001</v>
      </c>
      <c r="H7">
        <v>-11.8714</v>
      </c>
      <c r="I7">
        <v>-11.8714</v>
      </c>
      <c r="J7">
        <v>-13.512499999999999</v>
      </c>
      <c r="K7">
        <v>-13.8027</v>
      </c>
      <c r="L7">
        <v>-13.5662</v>
      </c>
      <c r="M7">
        <v>-13.947900000000001</v>
      </c>
      <c r="N7">
        <v>-14.096299999999999</v>
      </c>
      <c r="O7">
        <v>-14.9282</v>
      </c>
    </row>
    <row r="8" spans="1:15" x14ac:dyDescent="0.25">
      <c r="A8">
        <v>5</v>
      </c>
      <c r="B8">
        <v>0</v>
      </c>
      <c r="C8">
        <v>-4.0395000000000003</v>
      </c>
      <c r="D8">
        <v>-10.3832</v>
      </c>
      <c r="E8">
        <v>-9.0302000000000007</v>
      </c>
      <c r="F8">
        <v>-7.8000999999999996</v>
      </c>
      <c r="G8">
        <v>-13.4133</v>
      </c>
      <c r="H8">
        <v>-12.2723</v>
      </c>
      <c r="I8">
        <v>-12.2723</v>
      </c>
      <c r="J8">
        <v>-13.9779</v>
      </c>
      <c r="K8">
        <v>-14.2858</v>
      </c>
      <c r="L8">
        <v>-14.038600000000001</v>
      </c>
      <c r="M8">
        <v>-14.443</v>
      </c>
      <c r="N8">
        <v>-14.6007</v>
      </c>
      <c r="O8">
        <v>-15.487</v>
      </c>
    </row>
    <row r="9" spans="1:15" x14ac:dyDescent="0.25">
      <c r="A9">
        <v>6</v>
      </c>
      <c r="B9">
        <v>0</v>
      </c>
      <c r="C9">
        <v>-4.1909999999999998</v>
      </c>
      <c r="D9">
        <v>-10.668200000000001</v>
      </c>
      <c r="E9">
        <v>-9.3150999999999993</v>
      </c>
      <c r="F9">
        <v>-8.0460999999999991</v>
      </c>
      <c r="G9">
        <v>-13.7841</v>
      </c>
      <c r="H9">
        <v>-12.629799999999999</v>
      </c>
      <c r="I9">
        <v>-12.629799999999999</v>
      </c>
      <c r="J9">
        <v>-14.3735</v>
      </c>
      <c r="K9">
        <v>-14.6752</v>
      </c>
      <c r="L9">
        <v>-14.4269</v>
      </c>
      <c r="M9">
        <v>-14.8307</v>
      </c>
      <c r="N9">
        <v>-14.982100000000001</v>
      </c>
      <c r="O9">
        <v>-15.8675</v>
      </c>
    </row>
    <row r="10" spans="1:15" x14ac:dyDescent="0.25">
      <c r="A10">
        <v>7</v>
      </c>
      <c r="B10">
        <v>0</v>
      </c>
      <c r="C10">
        <v>-4.2577999999999996</v>
      </c>
      <c r="D10">
        <v>-10.796799999999999</v>
      </c>
      <c r="E10">
        <v>-9.4436999999999998</v>
      </c>
      <c r="F10">
        <v>-8.1590000000000007</v>
      </c>
      <c r="G10">
        <v>-13.9765</v>
      </c>
      <c r="H10">
        <v>-12.805099999999999</v>
      </c>
      <c r="I10">
        <v>-12.805099999999999</v>
      </c>
      <c r="J10">
        <v>-14.573399999999999</v>
      </c>
      <c r="K10">
        <v>-14.8794</v>
      </c>
      <c r="L10">
        <v>-14.6279</v>
      </c>
      <c r="M10">
        <v>-15.037699999999999</v>
      </c>
      <c r="N10">
        <v>-15.1911</v>
      </c>
      <c r="O10">
        <v>-16.0885</v>
      </c>
    </row>
    <row r="11" spans="1:15" x14ac:dyDescent="0.25">
      <c r="A11">
        <v>8</v>
      </c>
      <c r="B11">
        <v>0</v>
      </c>
      <c r="C11">
        <v>-4.4709000000000003</v>
      </c>
      <c r="D11">
        <v>-11.1974</v>
      </c>
      <c r="E11">
        <v>-9.8443000000000005</v>
      </c>
      <c r="F11">
        <v>-8.5149000000000008</v>
      </c>
      <c r="G11">
        <v>-14.599600000000001</v>
      </c>
      <c r="H11">
        <v>-13.2666</v>
      </c>
      <c r="I11">
        <v>-13.0992</v>
      </c>
      <c r="J11">
        <v>-15.1714</v>
      </c>
      <c r="K11">
        <v>-15.5044</v>
      </c>
      <c r="L11">
        <v>-15.2622</v>
      </c>
      <c r="M11">
        <v>-15.7143</v>
      </c>
      <c r="N11">
        <v>-15.8727</v>
      </c>
      <c r="O11">
        <v>-16.791599999999999</v>
      </c>
    </row>
    <row r="12" spans="1:15" x14ac:dyDescent="0.25">
      <c r="A12">
        <v>9</v>
      </c>
      <c r="B12">
        <v>0</v>
      </c>
      <c r="C12">
        <v>-4.6576000000000004</v>
      </c>
      <c r="D12">
        <v>-11.542299999999999</v>
      </c>
      <c r="E12">
        <v>-10.1892</v>
      </c>
      <c r="F12">
        <v>-8.8242999999999991</v>
      </c>
      <c r="G12">
        <v>-15.1511</v>
      </c>
      <c r="H12">
        <v>-13.611499999999999</v>
      </c>
      <c r="I12">
        <v>-13.196099999999999</v>
      </c>
      <c r="J12">
        <v>-15.671200000000001</v>
      </c>
      <c r="K12">
        <v>-16.035900000000002</v>
      </c>
      <c r="L12">
        <v>-15.8134</v>
      </c>
      <c r="M12">
        <v>-16.3171</v>
      </c>
      <c r="N12">
        <v>-16.4786</v>
      </c>
      <c r="O12">
        <v>-17.406199999999998</v>
      </c>
    </row>
    <row r="13" spans="1:15" x14ac:dyDescent="0.25">
      <c r="A13">
        <v>10</v>
      </c>
      <c r="B13">
        <v>0</v>
      </c>
      <c r="C13">
        <v>-4.7845000000000004</v>
      </c>
      <c r="D13">
        <v>-11.7768</v>
      </c>
      <c r="E13">
        <v>-10.4237</v>
      </c>
      <c r="F13">
        <v>-9.0345999999999993</v>
      </c>
      <c r="G13">
        <v>-15.526</v>
      </c>
      <c r="H13">
        <v>-13.846</v>
      </c>
      <c r="I13">
        <v>-13.261900000000001</v>
      </c>
      <c r="J13">
        <v>-16.011099999999999</v>
      </c>
      <c r="K13">
        <v>-16.397200000000002</v>
      </c>
      <c r="L13">
        <v>-16.188300000000002</v>
      </c>
      <c r="M13">
        <v>-16.727</v>
      </c>
      <c r="N13">
        <v>-16.890599999999999</v>
      </c>
      <c r="O13">
        <v>-17.824200000000001</v>
      </c>
    </row>
    <row r="14" spans="1:15" x14ac:dyDescent="0.25">
      <c r="A14">
        <v>11</v>
      </c>
      <c r="B14">
        <v>0</v>
      </c>
      <c r="C14">
        <v>-4.8822999999999999</v>
      </c>
      <c r="D14">
        <v>-11.9544</v>
      </c>
      <c r="E14">
        <v>-10.6013</v>
      </c>
      <c r="F14">
        <v>-9.1826000000000008</v>
      </c>
      <c r="G14">
        <v>-15.6889</v>
      </c>
      <c r="H14">
        <v>-14.0236</v>
      </c>
      <c r="I14">
        <v>-13.327</v>
      </c>
      <c r="J14">
        <v>-16.258900000000001</v>
      </c>
      <c r="K14">
        <v>-16.646100000000001</v>
      </c>
      <c r="L14">
        <v>-16.402799999999999</v>
      </c>
      <c r="M14">
        <v>-16.936199999999999</v>
      </c>
      <c r="N14">
        <v>-17.1096</v>
      </c>
      <c r="O14">
        <v>-18.107700000000001</v>
      </c>
    </row>
    <row r="15" spans="1:15" x14ac:dyDescent="0.25">
      <c r="A15">
        <v>12</v>
      </c>
      <c r="B15">
        <v>0</v>
      </c>
      <c r="C15">
        <v>-4.9413999999999998</v>
      </c>
      <c r="D15">
        <v>-12.043200000000001</v>
      </c>
      <c r="E15">
        <v>-10.711499999999999</v>
      </c>
      <c r="F15">
        <v>-9.2738999999999994</v>
      </c>
      <c r="G15">
        <v>-15.7819</v>
      </c>
      <c r="H15">
        <v>-14.133699999999999</v>
      </c>
      <c r="I15">
        <v>-13.354799999999999</v>
      </c>
      <c r="J15">
        <v>-16.420500000000001</v>
      </c>
      <c r="K15">
        <v>-16.807700000000001</v>
      </c>
      <c r="L15">
        <v>-16.5367</v>
      </c>
      <c r="M15">
        <v>-17.064499999999999</v>
      </c>
      <c r="N15">
        <v>-17.2456</v>
      </c>
      <c r="O15">
        <v>-18.294499999999999</v>
      </c>
    </row>
    <row r="16" spans="1:15" x14ac:dyDescent="0.25">
      <c r="A16">
        <v>13</v>
      </c>
      <c r="B16">
        <v>0</v>
      </c>
      <c r="C16">
        <v>-4.9412000000000003</v>
      </c>
      <c r="D16">
        <v>-12.035</v>
      </c>
      <c r="E16">
        <v>-10.712400000000001</v>
      </c>
      <c r="F16">
        <v>-9.2746999999999993</v>
      </c>
      <c r="G16">
        <v>-15.781599999999999</v>
      </c>
      <c r="H16">
        <v>-14.1347</v>
      </c>
      <c r="I16">
        <v>-13.349399999999999</v>
      </c>
      <c r="J16">
        <v>-16.4254</v>
      </c>
      <c r="K16">
        <v>-16.8126</v>
      </c>
      <c r="L16">
        <v>-16.539400000000001</v>
      </c>
      <c r="M16">
        <v>-17.066800000000001</v>
      </c>
      <c r="N16">
        <v>-17.2485</v>
      </c>
      <c r="O16">
        <v>-18.301400000000001</v>
      </c>
    </row>
    <row r="17" spans="1:15" x14ac:dyDescent="0.25">
      <c r="A17">
        <v>14</v>
      </c>
      <c r="B17">
        <v>0</v>
      </c>
      <c r="C17">
        <v>-4.9396000000000004</v>
      </c>
      <c r="D17">
        <v>-11.9695</v>
      </c>
      <c r="E17">
        <v>-10.719799999999999</v>
      </c>
      <c r="F17">
        <v>-9.2806999999999995</v>
      </c>
      <c r="G17">
        <v>-15.778600000000001</v>
      </c>
      <c r="H17">
        <v>-14.141999999999999</v>
      </c>
      <c r="I17">
        <v>-13.306900000000001</v>
      </c>
      <c r="J17">
        <v>-16.463999999999999</v>
      </c>
      <c r="K17">
        <v>-16.851199999999999</v>
      </c>
      <c r="L17">
        <v>-16.561199999999999</v>
      </c>
      <c r="M17">
        <v>-17.0852</v>
      </c>
      <c r="N17">
        <v>-17.271599999999999</v>
      </c>
      <c r="O17">
        <v>-18.3552</v>
      </c>
    </row>
    <row r="18" spans="1:15" x14ac:dyDescent="0.25">
      <c r="A18">
        <v>15</v>
      </c>
      <c r="B18">
        <v>0</v>
      </c>
      <c r="C18">
        <v>-4.9371</v>
      </c>
      <c r="D18">
        <v>-11.871</v>
      </c>
      <c r="E18">
        <v>-10.7309</v>
      </c>
      <c r="F18">
        <v>-9.2897999999999996</v>
      </c>
      <c r="G18">
        <v>-15.774100000000001</v>
      </c>
      <c r="H18">
        <v>-14.1531</v>
      </c>
      <c r="I18">
        <v>-13.242900000000001</v>
      </c>
      <c r="J18">
        <v>-16.521899999999999</v>
      </c>
      <c r="K18">
        <v>-16.909099999999999</v>
      </c>
      <c r="L18">
        <v>-16.593900000000001</v>
      </c>
      <c r="M18">
        <v>-17.1129</v>
      </c>
      <c r="N18">
        <v>-17.3062</v>
      </c>
      <c r="O18">
        <v>-18.4361</v>
      </c>
    </row>
    <row r="19" spans="1:15" x14ac:dyDescent="0.25">
      <c r="A19">
        <v>16</v>
      </c>
      <c r="B19">
        <v>0</v>
      </c>
      <c r="C19">
        <v>-4.9364999999999997</v>
      </c>
      <c r="D19">
        <v>-11.846399999999999</v>
      </c>
      <c r="E19">
        <v>-10.733599999999999</v>
      </c>
      <c r="F19">
        <v>-9.2919999999999998</v>
      </c>
      <c r="G19">
        <v>-15.773</v>
      </c>
      <c r="H19">
        <v>-14.155900000000001</v>
      </c>
      <c r="I19">
        <v>-13.226900000000001</v>
      </c>
      <c r="J19">
        <v>-16.5364</v>
      </c>
      <c r="K19">
        <v>-16.9236</v>
      </c>
      <c r="L19">
        <v>-16.602</v>
      </c>
      <c r="M19">
        <v>-17.119800000000001</v>
      </c>
      <c r="N19">
        <v>-17.314900000000002</v>
      </c>
      <c r="O19">
        <v>-18.456299999999999</v>
      </c>
    </row>
    <row r="20" spans="1:15" x14ac:dyDescent="0.25">
      <c r="A20">
        <v>17</v>
      </c>
      <c r="B20">
        <v>0</v>
      </c>
      <c r="C20">
        <v>-4.9371</v>
      </c>
      <c r="D20">
        <v>-11.867599999999999</v>
      </c>
      <c r="E20">
        <v>-10.731199999999999</v>
      </c>
      <c r="F20">
        <v>-9.2901000000000007</v>
      </c>
      <c r="G20">
        <v>-15.773999999999999</v>
      </c>
      <c r="H20">
        <v>-14.153499999999999</v>
      </c>
      <c r="I20">
        <v>-13.2407</v>
      </c>
      <c r="J20">
        <v>-16.523900000000001</v>
      </c>
      <c r="K20">
        <v>-16.911100000000001</v>
      </c>
      <c r="L20">
        <v>-16.594999999999999</v>
      </c>
      <c r="M20">
        <v>-17.113800000000001</v>
      </c>
      <c r="N20">
        <v>-17.307400000000001</v>
      </c>
      <c r="O20">
        <v>-18.4389</v>
      </c>
    </row>
    <row r="21" spans="1:15" x14ac:dyDescent="0.25">
      <c r="A21">
        <v>18</v>
      </c>
      <c r="B21">
        <v>0</v>
      </c>
      <c r="C21">
        <v>-4.9385000000000003</v>
      </c>
      <c r="D21">
        <v>-11.9262</v>
      </c>
      <c r="E21">
        <v>-10.724600000000001</v>
      </c>
      <c r="F21">
        <v>-9.2847000000000008</v>
      </c>
      <c r="G21">
        <v>-15.776400000000001</v>
      </c>
      <c r="H21">
        <v>-14.1469</v>
      </c>
      <c r="I21">
        <v>-13.278700000000001</v>
      </c>
      <c r="J21">
        <v>-16.4895</v>
      </c>
      <c r="K21">
        <v>-16.8767</v>
      </c>
      <c r="L21">
        <v>-16.575500000000002</v>
      </c>
      <c r="M21">
        <v>-17.097200000000001</v>
      </c>
      <c r="N21">
        <v>-17.2867</v>
      </c>
      <c r="O21">
        <v>-18.390799999999999</v>
      </c>
    </row>
    <row r="22" spans="1:15" x14ac:dyDescent="0.25">
      <c r="A22">
        <v>19</v>
      </c>
      <c r="B22">
        <v>0</v>
      </c>
      <c r="C22">
        <v>-4.9317000000000002</v>
      </c>
      <c r="D22">
        <v>-11.6944</v>
      </c>
      <c r="E22">
        <v>-10.7494</v>
      </c>
      <c r="F22">
        <v>-9.3099000000000007</v>
      </c>
      <c r="G22">
        <v>-15.8172</v>
      </c>
      <c r="H22">
        <v>-14.1717</v>
      </c>
      <c r="I22">
        <v>-13.144</v>
      </c>
      <c r="J22">
        <v>-16.613900000000001</v>
      </c>
      <c r="K22">
        <v>-17.001100000000001</v>
      </c>
      <c r="L22">
        <v>-16.670300000000001</v>
      </c>
      <c r="M22">
        <v>-17.1934</v>
      </c>
      <c r="N22">
        <v>-17.386800000000001</v>
      </c>
      <c r="O22">
        <v>-18.5564</v>
      </c>
    </row>
    <row r="23" spans="1:15" x14ac:dyDescent="0.25">
      <c r="A23">
        <v>20</v>
      </c>
      <c r="B23">
        <v>0</v>
      </c>
      <c r="C23">
        <v>-4.9284999999999997</v>
      </c>
      <c r="D23">
        <v>-11.6021</v>
      </c>
      <c r="E23">
        <v>-10.7584</v>
      </c>
      <c r="F23">
        <v>-9.3218999999999994</v>
      </c>
      <c r="G23">
        <v>-15.860799999999999</v>
      </c>
      <c r="H23">
        <v>-14.1807</v>
      </c>
      <c r="I23">
        <v>-13.1096</v>
      </c>
      <c r="J23">
        <v>-16.649899999999999</v>
      </c>
      <c r="K23">
        <v>-17.037099999999999</v>
      </c>
      <c r="L23">
        <v>-16.713899999999999</v>
      </c>
      <c r="M23">
        <v>-17.238900000000001</v>
      </c>
      <c r="N23">
        <v>-17.430499999999999</v>
      </c>
      <c r="O23">
        <v>-18.581099999999999</v>
      </c>
    </row>
    <row r="24" spans="1:15" x14ac:dyDescent="0.25">
      <c r="A24">
        <v>21</v>
      </c>
      <c r="B24">
        <v>0</v>
      </c>
      <c r="C24">
        <v>-4.9330999999999996</v>
      </c>
      <c r="D24">
        <v>-11.7319</v>
      </c>
      <c r="E24">
        <v>-10.745799999999999</v>
      </c>
      <c r="F24">
        <v>-9.3048999999999999</v>
      </c>
      <c r="G24">
        <v>-15.7982</v>
      </c>
      <c r="H24">
        <v>-14.168100000000001</v>
      </c>
      <c r="I24">
        <v>-13.1601</v>
      </c>
      <c r="J24">
        <v>-16.597899999999999</v>
      </c>
      <c r="K24">
        <v>-16.985099999999999</v>
      </c>
      <c r="L24">
        <v>-16.651299999999999</v>
      </c>
      <c r="M24">
        <v>-17.171199999999999</v>
      </c>
      <c r="N24">
        <v>-17.367799999999999</v>
      </c>
      <c r="O24">
        <v>-18.540400000000002</v>
      </c>
    </row>
    <row r="25" spans="1:15" x14ac:dyDescent="0.25">
      <c r="A25">
        <v>22</v>
      </c>
      <c r="B25">
        <v>0</v>
      </c>
      <c r="C25">
        <v>-4.9390999999999998</v>
      </c>
      <c r="D25">
        <v>-11.9511</v>
      </c>
      <c r="E25">
        <v>-10.7218</v>
      </c>
      <c r="F25">
        <v>-9.2824000000000009</v>
      </c>
      <c r="G25">
        <v>-15.777799999999999</v>
      </c>
      <c r="H25">
        <v>-14.1441</v>
      </c>
      <c r="I25">
        <v>-13.2949</v>
      </c>
      <c r="J25">
        <v>-16.474799999999998</v>
      </c>
      <c r="K25">
        <v>-16.861999999999998</v>
      </c>
      <c r="L25">
        <v>-16.567299999999999</v>
      </c>
      <c r="M25">
        <v>-17.090399999999999</v>
      </c>
      <c r="N25">
        <v>-17.277999999999999</v>
      </c>
      <c r="O25">
        <v>-18.3703</v>
      </c>
    </row>
    <row r="26" spans="1:15" x14ac:dyDescent="0.25">
      <c r="A26">
        <v>23</v>
      </c>
      <c r="B26">
        <v>0</v>
      </c>
      <c r="C26">
        <v>-4.8295000000000003</v>
      </c>
      <c r="D26">
        <v>-11.858599999999999</v>
      </c>
      <c r="E26">
        <v>-10.5055</v>
      </c>
      <c r="F26">
        <v>-9.1031999999999993</v>
      </c>
      <c r="G26">
        <v>-15.605499999999999</v>
      </c>
      <c r="H26">
        <v>-13.9277</v>
      </c>
      <c r="I26">
        <v>-13.291399999999999</v>
      </c>
      <c r="J26">
        <v>-16.125499999999999</v>
      </c>
      <c r="K26">
        <v>-16.512699999999999</v>
      </c>
      <c r="L26">
        <v>-16.2896</v>
      </c>
      <c r="M26">
        <v>-16.827000000000002</v>
      </c>
      <c r="N26">
        <v>-16.994900000000001</v>
      </c>
      <c r="O26">
        <v>-17.9559</v>
      </c>
    </row>
    <row r="27" spans="1:15" x14ac:dyDescent="0.25">
      <c r="A27">
        <v>24</v>
      </c>
      <c r="B27">
        <v>0</v>
      </c>
      <c r="C27">
        <v>-4.6306000000000003</v>
      </c>
      <c r="D27">
        <v>-11.494199999999999</v>
      </c>
      <c r="E27">
        <v>-10.1412</v>
      </c>
      <c r="F27">
        <v>-8.7844999999999995</v>
      </c>
      <c r="G27">
        <v>-15.112299999999999</v>
      </c>
      <c r="H27">
        <v>-13.5634</v>
      </c>
      <c r="I27">
        <v>-13.1471</v>
      </c>
      <c r="J27">
        <v>-15.623799999999999</v>
      </c>
      <c r="K27">
        <v>-15.997</v>
      </c>
      <c r="L27">
        <v>-15.772399999999999</v>
      </c>
      <c r="M27">
        <v>-16.281500000000001</v>
      </c>
      <c r="N27">
        <v>-16.4495</v>
      </c>
      <c r="O27">
        <v>-17.3842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50</v>
      </c>
      <c r="C4" t="s">
        <v>69</v>
      </c>
      <c r="D4" t="s">
        <v>70</v>
      </c>
    </row>
    <row r="5" spans="1:4" x14ac:dyDescent="0.25">
      <c r="A5" t="s">
        <v>68</v>
      </c>
      <c r="B5" t="s">
        <v>51</v>
      </c>
      <c r="C5" t="s">
        <v>69</v>
      </c>
      <c r="D5" t="s">
        <v>70</v>
      </c>
    </row>
    <row r="6" spans="1:4" x14ac:dyDescent="0.25">
      <c r="A6" t="s">
        <v>68</v>
      </c>
      <c r="B6" t="s">
        <v>52</v>
      </c>
      <c r="C6" t="s">
        <v>69</v>
      </c>
      <c r="D6" t="s">
        <v>70</v>
      </c>
    </row>
    <row r="7" spans="1:4" x14ac:dyDescent="0.25">
      <c r="A7" t="s">
        <v>68</v>
      </c>
      <c r="B7" t="s">
        <v>53</v>
      </c>
      <c r="C7" t="s">
        <v>69</v>
      </c>
      <c r="D7" t="s">
        <v>70</v>
      </c>
    </row>
    <row r="8" spans="1:4" x14ac:dyDescent="0.25">
      <c r="A8" t="s">
        <v>68</v>
      </c>
      <c r="B8" t="s">
        <v>54</v>
      </c>
      <c r="C8" t="s">
        <v>69</v>
      </c>
      <c r="D8" t="s">
        <v>71</v>
      </c>
    </row>
    <row r="9" spans="1:4" x14ac:dyDescent="0.25">
      <c r="A9" t="s">
        <v>68</v>
      </c>
      <c r="B9" t="s">
        <v>57</v>
      </c>
      <c r="C9" t="s">
        <v>69</v>
      </c>
      <c r="D9" t="s">
        <v>70</v>
      </c>
    </row>
    <row r="10" spans="1:4" x14ac:dyDescent="0.25">
      <c r="A10" t="s">
        <v>68</v>
      </c>
      <c r="B10" t="s">
        <v>58</v>
      </c>
      <c r="C10" t="s">
        <v>72</v>
      </c>
      <c r="D10" t="s">
        <v>73</v>
      </c>
    </row>
    <row r="11" spans="1:4" x14ac:dyDescent="0.25">
      <c r="A11" t="s">
        <v>68</v>
      </c>
      <c r="B11" t="s">
        <v>59</v>
      </c>
      <c r="C11" t="s">
        <v>69</v>
      </c>
      <c r="D11" t="s">
        <v>70</v>
      </c>
    </row>
    <row r="12" spans="1:4" x14ac:dyDescent="0.25">
      <c r="A12" t="s">
        <v>68</v>
      </c>
      <c r="B12" t="s">
        <v>60</v>
      </c>
      <c r="C12" t="s">
        <v>74</v>
      </c>
      <c r="D12" t="s">
        <v>75</v>
      </c>
    </row>
    <row r="13" spans="1:4" x14ac:dyDescent="0.25">
      <c r="A13" t="s">
        <v>68</v>
      </c>
      <c r="B13" t="s">
        <v>61</v>
      </c>
      <c r="C13" t="s">
        <v>76</v>
      </c>
      <c r="D13" t="s">
        <v>73</v>
      </c>
    </row>
    <row r="14" spans="1:4" x14ac:dyDescent="0.25">
      <c r="A14" t="s">
        <v>68</v>
      </c>
      <c r="B14" t="s">
        <v>62</v>
      </c>
      <c r="C14" t="s">
        <v>77</v>
      </c>
      <c r="D14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7"/>
  <sheetViews>
    <sheetView topLeftCell="A284" workbookViewId="0">
      <selection activeCell="S302" sqref="S302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79</v>
      </c>
    </row>
    <row r="3" spans="1:4" x14ac:dyDescent="0.25">
      <c r="A3" s="2" t="s">
        <v>15</v>
      </c>
      <c r="B3" s="2" t="s">
        <v>80</v>
      </c>
      <c r="C3" s="2" t="s">
        <v>81</v>
      </c>
      <c r="D3" s="2" t="s">
        <v>82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2</v>
      </c>
      <c r="B5">
        <v>0</v>
      </c>
      <c r="C5">
        <v>0</v>
      </c>
      <c r="D5">
        <v>0</v>
      </c>
    </row>
    <row r="6" spans="1:4" x14ac:dyDescent="0.25">
      <c r="A6">
        <v>3</v>
      </c>
      <c r="B6">
        <v>0</v>
      </c>
      <c r="C6">
        <v>0</v>
      </c>
      <c r="D6">
        <v>0</v>
      </c>
    </row>
    <row r="7" spans="1:4" x14ac:dyDescent="0.25">
      <c r="A7">
        <v>4</v>
      </c>
      <c r="B7">
        <v>0</v>
      </c>
      <c r="C7">
        <v>0</v>
      </c>
      <c r="D7">
        <v>0</v>
      </c>
    </row>
    <row r="8" spans="1:4" x14ac:dyDescent="0.25">
      <c r="A8">
        <v>5</v>
      </c>
      <c r="B8">
        <v>0</v>
      </c>
      <c r="C8">
        <v>0</v>
      </c>
      <c r="D8">
        <v>0</v>
      </c>
    </row>
    <row r="9" spans="1:4" x14ac:dyDescent="0.25">
      <c r="A9">
        <v>6</v>
      </c>
      <c r="B9">
        <v>0</v>
      </c>
      <c r="C9">
        <v>0</v>
      </c>
      <c r="D9">
        <v>0</v>
      </c>
    </row>
    <row r="10" spans="1:4" x14ac:dyDescent="0.25">
      <c r="A10">
        <v>7</v>
      </c>
      <c r="B10">
        <v>0</v>
      </c>
      <c r="C10">
        <v>0</v>
      </c>
      <c r="D10">
        <v>0</v>
      </c>
    </row>
    <row r="11" spans="1:4" x14ac:dyDescent="0.25">
      <c r="A11">
        <v>8</v>
      </c>
      <c r="B11">
        <v>0</v>
      </c>
      <c r="C11">
        <v>0</v>
      </c>
      <c r="D11">
        <v>0</v>
      </c>
    </row>
    <row r="12" spans="1:4" x14ac:dyDescent="0.25">
      <c r="A12">
        <v>9</v>
      </c>
      <c r="B12">
        <v>0</v>
      </c>
      <c r="C12">
        <v>0</v>
      </c>
      <c r="D12">
        <v>0</v>
      </c>
    </row>
    <row r="13" spans="1:4" x14ac:dyDescent="0.25">
      <c r="A13">
        <v>10</v>
      </c>
      <c r="B13">
        <v>0</v>
      </c>
      <c r="C13">
        <v>0</v>
      </c>
      <c r="D13">
        <v>0</v>
      </c>
    </row>
    <row r="14" spans="1:4" x14ac:dyDescent="0.25">
      <c r="A14">
        <v>11</v>
      </c>
      <c r="B14">
        <v>0</v>
      </c>
      <c r="C14">
        <v>0</v>
      </c>
      <c r="D14">
        <v>0</v>
      </c>
    </row>
    <row r="15" spans="1:4" x14ac:dyDescent="0.25">
      <c r="A15">
        <v>12</v>
      </c>
      <c r="B15">
        <v>0</v>
      </c>
      <c r="C15">
        <v>0</v>
      </c>
      <c r="D15">
        <v>0</v>
      </c>
    </row>
    <row r="16" spans="1:4" x14ac:dyDescent="0.25">
      <c r="A16">
        <v>13</v>
      </c>
      <c r="B16">
        <v>0</v>
      </c>
      <c r="C16">
        <v>0</v>
      </c>
      <c r="D16">
        <v>0</v>
      </c>
    </row>
    <row r="17" spans="1:4" x14ac:dyDescent="0.25">
      <c r="A17">
        <v>14</v>
      </c>
      <c r="B17">
        <v>0</v>
      </c>
      <c r="C17">
        <v>0</v>
      </c>
      <c r="D17">
        <v>0</v>
      </c>
    </row>
    <row r="18" spans="1:4" x14ac:dyDescent="0.25">
      <c r="A18">
        <v>15</v>
      </c>
      <c r="B18">
        <v>0</v>
      </c>
      <c r="C18">
        <v>0</v>
      </c>
      <c r="D18">
        <v>0</v>
      </c>
    </row>
    <row r="19" spans="1:4" x14ac:dyDescent="0.25">
      <c r="A19">
        <v>16</v>
      </c>
      <c r="B19">
        <v>0</v>
      </c>
      <c r="C19">
        <v>0</v>
      </c>
      <c r="D19">
        <v>0</v>
      </c>
    </row>
    <row r="20" spans="1:4" x14ac:dyDescent="0.25">
      <c r="A20">
        <v>17</v>
      </c>
      <c r="B20">
        <v>0</v>
      </c>
      <c r="C20">
        <v>0</v>
      </c>
      <c r="D20">
        <v>0</v>
      </c>
    </row>
    <row r="21" spans="1:4" x14ac:dyDescent="0.25">
      <c r="A21">
        <v>18</v>
      </c>
      <c r="B21">
        <v>0</v>
      </c>
      <c r="C21">
        <v>0</v>
      </c>
      <c r="D21">
        <v>0</v>
      </c>
    </row>
    <row r="22" spans="1:4" x14ac:dyDescent="0.25">
      <c r="A22">
        <v>19</v>
      </c>
      <c r="B22">
        <v>0</v>
      </c>
      <c r="C22">
        <v>0</v>
      </c>
      <c r="D22">
        <v>0</v>
      </c>
    </row>
    <row r="23" spans="1:4" x14ac:dyDescent="0.25">
      <c r="A23">
        <v>20</v>
      </c>
      <c r="B23">
        <v>0</v>
      </c>
      <c r="C23">
        <v>0</v>
      </c>
      <c r="D23">
        <v>0</v>
      </c>
    </row>
    <row r="24" spans="1:4" x14ac:dyDescent="0.25">
      <c r="A24">
        <v>21</v>
      </c>
      <c r="B24">
        <v>0</v>
      </c>
      <c r="C24">
        <v>0</v>
      </c>
      <c r="D24">
        <v>0</v>
      </c>
    </row>
    <row r="25" spans="1:4" x14ac:dyDescent="0.25">
      <c r="A25">
        <v>22</v>
      </c>
      <c r="B25">
        <v>0</v>
      </c>
      <c r="C25">
        <v>0</v>
      </c>
      <c r="D25">
        <v>0</v>
      </c>
    </row>
    <row r="26" spans="1:4" x14ac:dyDescent="0.25">
      <c r="A26">
        <v>23</v>
      </c>
      <c r="B26">
        <v>0</v>
      </c>
      <c r="C26">
        <v>0</v>
      </c>
      <c r="D26">
        <v>0</v>
      </c>
    </row>
    <row r="27" spans="1:4" x14ac:dyDescent="0.25">
      <c r="A27">
        <v>24</v>
      </c>
      <c r="B27">
        <v>0</v>
      </c>
      <c r="C27">
        <v>0</v>
      </c>
      <c r="D27">
        <v>0</v>
      </c>
    </row>
    <row r="30" spans="1:4" ht="17.25" x14ac:dyDescent="0.3">
      <c r="A30" s="1" t="s">
        <v>83</v>
      </c>
    </row>
    <row r="32" spans="1:4" x14ac:dyDescent="0.25">
      <c r="A32" s="2" t="s">
        <v>15</v>
      </c>
      <c r="B32" s="2" t="s">
        <v>80</v>
      </c>
      <c r="C32" s="2" t="s">
        <v>81</v>
      </c>
      <c r="D32" s="2" t="s">
        <v>82</v>
      </c>
    </row>
    <row r="33" spans="1:4" x14ac:dyDescent="0.25">
      <c r="A33">
        <v>1</v>
      </c>
      <c r="B33">
        <v>0</v>
      </c>
      <c r="C33">
        <v>0</v>
      </c>
      <c r="D33">
        <v>0</v>
      </c>
    </row>
    <row r="34" spans="1:4" x14ac:dyDescent="0.25">
      <c r="A34">
        <v>2</v>
      </c>
      <c r="B34">
        <v>0</v>
      </c>
      <c r="C34">
        <v>0</v>
      </c>
      <c r="D34">
        <v>0</v>
      </c>
    </row>
    <row r="35" spans="1:4" x14ac:dyDescent="0.25">
      <c r="A35">
        <v>3</v>
      </c>
      <c r="B35">
        <v>0</v>
      </c>
      <c r="C35">
        <v>0</v>
      </c>
      <c r="D35">
        <v>0</v>
      </c>
    </row>
    <row r="36" spans="1:4" x14ac:dyDescent="0.25">
      <c r="A36">
        <v>4</v>
      </c>
      <c r="B36">
        <v>0</v>
      </c>
      <c r="C36">
        <v>0</v>
      </c>
      <c r="D36">
        <v>0</v>
      </c>
    </row>
    <row r="37" spans="1:4" x14ac:dyDescent="0.25">
      <c r="A37">
        <v>5</v>
      </c>
      <c r="B37">
        <v>0</v>
      </c>
      <c r="C37">
        <v>0</v>
      </c>
      <c r="D37">
        <v>0</v>
      </c>
    </row>
    <row r="38" spans="1:4" x14ac:dyDescent="0.25">
      <c r="A38">
        <v>6</v>
      </c>
      <c r="B38">
        <v>0</v>
      </c>
      <c r="C38">
        <v>0</v>
      </c>
      <c r="D38">
        <v>0</v>
      </c>
    </row>
    <row r="39" spans="1:4" x14ac:dyDescent="0.25">
      <c r="A39">
        <v>7</v>
      </c>
      <c r="B39">
        <v>0</v>
      </c>
      <c r="C39">
        <v>0</v>
      </c>
      <c r="D39">
        <v>0</v>
      </c>
    </row>
    <row r="40" spans="1:4" x14ac:dyDescent="0.25">
      <c r="A40">
        <v>8</v>
      </c>
      <c r="B40">
        <v>0</v>
      </c>
      <c r="C40">
        <v>0</v>
      </c>
      <c r="D40">
        <v>0</v>
      </c>
    </row>
    <row r="41" spans="1:4" x14ac:dyDescent="0.25">
      <c r="A41">
        <v>9</v>
      </c>
      <c r="B41">
        <v>0</v>
      </c>
      <c r="C41">
        <v>0</v>
      </c>
      <c r="D41">
        <v>0</v>
      </c>
    </row>
    <row r="42" spans="1:4" x14ac:dyDescent="0.25">
      <c r="A42">
        <v>10</v>
      </c>
      <c r="B42">
        <v>0</v>
      </c>
      <c r="C42">
        <v>0</v>
      </c>
      <c r="D42">
        <v>0</v>
      </c>
    </row>
    <row r="43" spans="1:4" x14ac:dyDescent="0.25">
      <c r="A43">
        <v>11</v>
      </c>
      <c r="B43">
        <v>0</v>
      </c>
      <c r="C43">
        <v>0</v>
      </c>
      <c r="D43">
        <v>0</v>
      </c>
    </row>
    <row r="44" spans="1:4" x14ac:dyDescent="0.25">
      <c r="A44">
        <v>12</v>
      </c>
      <c r="B44">
        <v>0</v>
      </c>
      <c r="C44">
        <v>0</v>
      </c>
      <c r="D44">
        <v>0</v>
      </c>
    </row>
    <row r="45" spans="1:4" x14ac:dyDescent="0.25">
      <c r="A45">
        <v>13</v>
      </c>
      <c r="B45">
        <v>0</v>
      </c>
      <c r="C45">
        <v>0</v>
      </c>
      <c r="D45">
        <v>0</v>
      </c>
    </row>
    <row r="46" spans="1:4" x14ac:dyDescent="0.25">
      <c r="A46">
        <v>14</v>
      </c>
      <c r="B46">
        <v>0</v>
      </c>
      <c r="C46">
        <v>0</v>
      </c>
      <c r="D46">
        <v>0</v>
      </c>
    </row>
    <row r="47" spans="1:4" x14ac:dyDescent="0.25">
      <c r="A47">
        <v>15</v>
      </c>
      <c r="B47">
        <v>0</v>
      </c>
      <c r="C47">
        <v>0</v>
      </c>
      <c r="D47">
        <v>0</v>
      </c>
    </row>
    <row r="48" spans="1:4" x14ac:dyDescent="0.25">
      <c r="A48">
        <v>16</v>
      </c>
      <c r="B48">
        <v>0</v>
      </c>
      <c r="C48">
        <v>0</v>
      </c>
      <c r="D48">
        <v>0</v>
      </c>
    </row>
    <row r="49" spans="1:4" x14ac:dyDescent="0.25">
      <c r="A49">
        <v>17</v>
      </c>
      <c r="B49">
        <v>0</v>
      </c>
      <c r="C49">
        <v>0</v>
      </c>
      <c r="D49">
        <v>0</v>
      </c>
    </row>
    <row r="50" spans="1:4" x14ac:dyDescent="0.25">
      <c r="A50">
        <v>18</v>
      </c>
      <c r="B50">
        <v>0</v>
      </c>
      <c r="C50">
        <v>0</v>
      </c>
      <c r="D50">
        <v>0</v>
      </c>
    </row>
    <row r="51" spans="1:4" x14ac:dyDescent="0.25">
      <c r="A51">
        <v>19</v>
      </c>
      <c r="B51">
        <v>0</v>
      </c>
      <c r="C51">
        <v>0</v>
      </c>
      <c r="D51">
        <v>0</v>
      </c>
    </row>
    <row r="52" spans="1:4" x14ac:dyDescent="0.25">
      <c r="A52">
        <v>20</v>
      </c>
      <c r="B52">
        <v>0</v>
      </c>
      <c r="C52">
        <v>0</v>
      </c>
      <c r="D52">
        <v>0</v>
      </c>
    </row>
    <row r="53" spans="1:4" x14ac:dyDescent="0.25">
      <c r="A53">
        <v>21</v>
      </c>
      <c r="B53">
        <v>0</v>
      </c>
      <c r="C53">
        <v>0</v>
      </c>
      <c r="D53">
        <v>0</v>
      </c>
    </row>
    <row r="54" spans="1:4" x14ac:dyDescent="0.25">
      <c r="A54">
        <v>22</v>
      </c>
      <c r="B54">
        <v>0</v>
      </c>
      <c r="C54">
        <v>0</v>
      </c>
      <c r="D54">
        <v>0</v>
      </c>
    </row>
    <row r="55" spans="1:4" x14ac:dyDescent="0.25">
      <c r="A55">
        <v>23</v>
      </c>
      <c r="B55">
        <v>0</v>
      </c>
      <c r="C55">
        <v>0</v>
      </c>
      <c r="D55">
        <v>0</v>
      </c>
    </row>
    <row r="56" spans="1:4" x14ac:dyDescent="0.25">
      <c r="A56">
        <v>24</v>
      </c>
      <c r="B56">
        <v>0</v>
      </c>
      <c r="C56">
        <v>0</v>
      </c>
      <c r="D56">
        <v>0</v>
      </c>
    </row>
    <row r="59" spans="1:4" ht="17.25" x14ac:dyDescent="0.3">
      <c r="A59" s="1" t="s">
        <v>84</v>
      </c>
    </row>
    <row r="61" spans="1:4" x14ac:dyDescent="0.25">
      <c r="A61" s="2" t="s">
        <v>15</v>
      </c>
      <c r="B61" s="2" t="s">
        <v>80</v>
      </c>
      <c r="C61" s="2" t="s">
        <v>81</v>
      </c>
      <c r="D61" s="2" t="s">
        <v>82</v>
      </c>
    </row>
    <row r="62" spans="1:4" x14ac:dyDescent="0.25">
      <c r="A62">
        <v>1</v>
      </c>
      <c r="B62">
        <v>0</v>
      </c>
      <c r="C62">
        <v>0</v>
      </c>
      <c r="D62">
        <v>0</v>
      </c>
    </row>
    <row r="63" spans="1:4" x14ac:dyDescent="0.25">
      <c r="A63">
        <v>2</v>
      </c>
      <c r="B63">
        <v>0</v>
      </c>
      <c r="C63">
        <v>0</v>
      </c>
      <c r="D63">
        <v>0</v>
      </c>
    </row>
    <row r="64" spans="1:4" x14ac:dyDescent="0.25">
      <c r="A64">
        <v>3</v>
      </c>
      <c r="B64">
        <v>0</v>
      </c>
      <c r="C64">
        <v>0</v>
      </c>
      <c r="D64">
        <v>0</v>
      </c>
    </row>
    <row r="65" spans="1:4" x14ac:dyDescent="0.25">
      <c r="A65">
        <v>4</v>
      </c>
      <c r="B65">
        <v>0</v>
      </c>
      <c r="C65">
        <v>0</v>
      </c>
      <c r="D65">
        <v>0</v>
      </c>
    </row>
    <row r="66" spans="1:4" x14ac:dyDescent="0.25">
      <c r="A66">
        <v>5</v>
      </c>
      <c r="B66">
        <v>0</v>
      </c>
      <c r="C66">
        <v>0</v>
      </c>
      <c r="D66">
        <v>0</v>
      </c>
    </row>
    <row r="67" spans="1:4" x14ac:dyDescent="0.25">
      <c r="A67">
        <v>6</v>
      </c>
      <c r="B67">
        <v>0</v>
      </c>
      <c r="C67">
        <v>0</v>
      </c>
      <c r="D67">
        <v>0</v>
      </c>
    </row>
    <row r="68" spans="1:4" x14ac:dyDescent="0.25">
      <c r="A68">
        <v>7</v>
      </c>
      <c r="B68">
        <v>0</v>
      </c>
      <c r="C68">
        <v>0</v>
      </c>
      <c r="D68">
        <v>0</v>
      </c>
    </row>
    <row r="69" spans="1:4" x14ac:dyDescent="0.25">
      <c r="A69">
        <v>8</v>
      </c>
      <c r="B69">
        <v>0</v>
      </c>
      <c r="C69">
        <v>0</v>
      </c>
      <c r="D69">
        <v>0</v>
      </c>
    </row>
    <row r="70" spans="1:4" x14ac:dyDescent="0.25">
      <c r="A70">
        <v>9</v>
      </c>
      <c r="B70">
        <v>0</v>
      </c>
      <c r="C70">
        <v>0</v>
      </c>
      <c r="D70">
        <v>0</v>
      </c>
    </row>
    <row r="71" spans="1:4" x14ac:dyDescent="0.25">
      <c r="A71">
        <v>10</v>
      </c>
      <c r="B71">
        <v>0</v>
      </c>
      <c r="C71">
        <v>0</v>
      </c>
      <c r="D71">
        <v>0</v>
      </c>
    </row>
    <row r="72" spans="1:4" x14ac:dyDescent="0.25">
      <c r="A72">
        <v>11</v>
      </c>
      <c r="B72">
        <v>0</v>
      </c>
      <c r="C72">
        <v>0</v>
      </c>
      <c r="D72">
        <v>0</v>
      </c>
    </row>
    <row r="73" spans="1:4" x14ac:dyDescent="0.25">
      <c r="A73">
        <v>12</v>
      </c>
      <c r="B73">
        <v>0</v>
      </c>
      <c r="C73">
        <v>0</v>
      </c>
      <c r="D73">
        <v>0</v>
      </c>
    </row>
    <row r="74" spans="1:4" x14ac:dyDescent="0.25">
      <c r="A74">
        <v>13</v>
      </c>
      <c r="B74">
        <v>0</v>
      </c>
      <c r="C74">
        <v>0</v>
      </c>
      <c r="D74">
        <v>0</v>
      </c>
    </row>
    <row r="75" spans="1:4" x14ac:dyDescent="0.25">
      <c r="A75">
        <v>14</v>
      </c>
      <c r="B75">
        <v>0</v>
      </c>
      <c r="C75">
        <v>0</v>
      </c>
      <c r="D75">
        <v>0</v>
      </c>
    </row>
    <row r="76" spans="1:4" x14ac:dyDescent="0.25">
      <c r="A76">
        <v>15</v>
      </c>
      <c r="B76">
        <v>0</v>
      </c>
      <c r="C76">
        <v>0</v>
      </c>
      <c r="D76">
        <v>0</v>
      </c>
    </row>
    <row r="77" spans="1:4" x14ac:dyDescent="0.25">
      <c r="A77">
        <v>16</v>
      </c>
      <c r="B77">
        <v>0</v>
      </c>
      <c r="C77">
        <v>0</v>
      </c>
      <c r="D77">
        <v>0</v>
      </c>
    </row>
    <row r="78" spans="1:4" x14ac:dyDescent="0.25">
      <c r="A78">
        <v>17</v>
      </c>
      <c r="B78">
        <v>0</v>
      </c>
      <c r="C78">
        <v>0</v>
      </c>
      <c r="D78">
        <v>0</v>
      </c>
    </row>
    <row r="79" spans="1:4" x14ac:dyDescent="0.25">
      <c r="A79">
        <v>18</v>
      </c>
      <c r="B79">
        <v>0</v>
      </c>
      <c r="C79">
        <v>0</v>
      </c>
      <c r="D79">
        <v>0</v>
      </c>
    </row>
    <row r="80" spans="1:4" x14ac:dyDescent="0.25">
      <c r="A80">
        <v>19</v>
      </c>
      <c r="B80">
        <v>0</v>
      </c>
      <c r="C80">
        <v>0</v>
      </c>
      <c r="D80">
        <v>0</v>
      </c>
    </row>
    <row r="81" spans="1:4" x14ac:dyDescent="0.25">
      <c r="A81">
        <v>20</v>
      </c>
      <c r="B81">
        <v>0</v>
      </c>
      <c r="C81">
        <v>0</v>
      </c>
      <c r="D81">
        <v>0</v>
      </c>
    </row>
    <row r="82" spans="1:4" x14ac:dyDescent="0.25">
      <c r="A82">
        <v>21</v>
      </c>
      <c r="B82">
        <v>0</v>
      </c>
      <c r="C82">
        <v>0</v>
      </c>
      <c r="D82">
        <v>0</v>
      </c>
    </row>
    <row r="83" spans="1:4" x14ac:dyDescent="0.25">
      <c r="A83">
        <v>22</v>
      </c>
      <c r="B83">
        <v>0</v>
      </c>
      <c r="C83">
        <v>0</v>
      </c>
      <c r="D83">
        <v>0</v>
      </c>
    </row>
    <row r="84" spans="1:4" x14ac:dyDescent="0.25">
      <c r="A84">
        <v>23</v>
      </c>
      <c r="B84">
        <v>0</v>
      </c>
      <c r="C84">
        <v>0</v>
      </c>
      <c r="D84">
        <v>0</v>
      </c>
    </row>
    <row r="85" spans="1:4" x14ac:dyDescent="0.25">
      <c r="A85">
        <v>24</v>
      </c>
      <c r="B85">
        <v>0</v>
      </c>
      <c r="C85">
        <v>0</v>
      </c>
      <c r="D85">
        <v>0</v>
      </c>
    </row>
    <row r="88" spans="1:4" ht="17.25" x14ac:dyDescent="0.3">
      <c r="A88" s="1" t="s">
        <v>85</v>
      </c>
    </row>
    <row r="90" spans="1:4" x14ac:dyDescent="0.25">
      <c r="A90" s="2" t="s">
        <v>15</v>
      </c>
      <c r="B90" s="2" t="s">
        <v>80</v>
      </c>
      <c r="C90" s="2" t="s">
        <v>81</v>
      </c>
      <c r="D90" s="2" t="s">
        <v>82</v>
      </c>
    </row>
    <row r="91" spans="1:4" x14ac:dyDescent="0.25">
      <c r="A91">
        <v>1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0</v>
      </c>
      <c r="C92">
        <v>0</v>
      </c>
      <c r="D92">
        <v>0</v>
      </c>
    </row>
    <row r="93" spans="1:4" x14ac:dyDescent="0.25">
      <c r="A93">
        <v>3</v>
      </c>
      <c r="B93">
        <v>0</v>
      </c>
      <c r="C93">
        <v>0</v>
      </c>
      <c r="D93">
        <v>0</v>
      </c>
    </row>
    <row r="94" spans="1:4" x14ac:dyDescent="0.25">
      <c r="A94">
        <v>4</v>
      </c>
      <c r="B94">
        <v>0</v>
      </c>
      <c r="C94">
        <v>0</v>
      </c>
      <c r="D94">
        <v>0</v>
      </c>
    </row>
    <row r="95" spans="1:4" x14ac:dyDescent="0.25">
      <c r="A95">
        <v>5</v>
      </c>
      <c r="B95">
        <v>0</v>
      </c>
      <c r="C95">
        <v>0</v>
      </c>
      <c r="D95">
        <v>0</v>
      </c>
    </row>
    <row r="96" spans="1:4" x14ac:dyDescent="0.25">
      <c r="A96">
        <v>6</v>
      </c>
      <c r="B96">
        <v>0</v>
      </c>
      <c r="C96">
        <v>0</v>
      </c>
      <c r="D96">
        <v>0</v>
      </c>
    </row>
    <row r="97" spans="1:4" x14ac:dyDescent="0.25">
      <c r="A97">
        <v>7</v>
      </c>
      <c r="B97">
        <v>0</v>
      </c>
      <c r="C97">
        <v>0</v>
      </c>
      <c r="D97">
        <v>0</v>
      </c>
    </row>
    <row r="98" spans="1:4" x14ac:dyDescent="0.25">
      <c r="A98">
        <v>8</v>
      </c>
      <c r="B98">
        <v>0</v>
      </c>
      <c r="C98">
        <v>0</v>
      </c>
      <c r="D98">
        <v>0</v>
      </c>
    </row>
    <row r="99" spans="1:4" x14ac:dyDescent="0.25">
      <c r="A99">
        <v>9</v>
      </c>
      <c r="B99">
        <v>0</v>
      </c>
      <c r="C99">
        <v>0</v>
      </c>
      <c r="D99">
        <v>0</v>
      </c>
    </row>
    <row r="100" spans="1:4" x14ac:dyDescent="0.25">
      <c r="A100">
        <v>10</v>
      </c>
      <c r="B100">
        <v>0</v>
      </c>
      <c r="C100">
        <v>0</v>
      </c>
      <c r="D100">
        <v>0</v>
      </c>
    </row>
    <row r="101" spans="1:4" x14ac:dyDescent="0.25">
      <c r="A101">
        <v>11</v>
      </c>
      <c r="B101">
        <v>0</v>
      </c>
      <c r="C101">
        <v>0</v>
      </c>
      <c r="D101">
        <v>0</v>
      </c>
    </row>
    <row r="102" spans="1:4" x14ac:dyDescent="0.25">
      <c r="A102">
        <v>12</v>
      </c>
      <c r="B102">
        <v>0</v>
      </c>
      <c r="C102">
        <v>0</v>
      </c>
      <c r="D102">
        <v>0</v>
      </c>
    </row>
    <row r="103" spans="1:4" x14ac:dyDescent="0.25">
      <c r="A103">
        <v>13</v>
      </c>
      <c r="B103">
        <v>0</v>
      </c>
      <c r="C103">
        <v>0</v>
      </c>
      <c r="D103">
        <v>0</v>
      </c>
    </row>
    <row r="104" spans="1:4" x14ac:dyDescent="0.25">
      <c r="A104">
        <v>14</v>
      </c>
      <c r="B104">
        <v>0</v>
      </c>
      <c r="C104">
        <v>0</v>
      </c>
      <c r="D104">
        <v>0</v>
      </c>
    </row>
    <row r="105" spans="1:4" x14ac:dyDescent="0.25">
      <c r="A105">
        <v>15</v>
      </c>
      <c r="B105">
        <v>0</v>
      </c>
      <c r="C105">
        <v>0</v>
      </c>
      <c r="D105">
        <v>0</v>
      </c>
    </row>
    <row r="106" spans="1:4" x14ac:dyDescent="0.25">
      <c r="A106">
        <v>16</v>
      </c>
      <c r="B106">
        <v>0</v>
      </c>
      <c r="C106">
        <v>0</v>
      </c>
      <c r="D106">
        <v>0</v>
      </c>
    </row>
    <row r="107" spans="1:4" x14ac:dyDescent="0.25">
      <c r="A107">
        <v>17</v>
      </c>
      <c r="B107">
        <v>0</v>
      </c>
      <c r="C107">
        <v>0</v>
      </c>
      <c r="D107">
        <v>0</v>
      </c>
    </row>
    <row r="108" spans="1:4" x14ac:dyDescent="0.25">
      <c r="A108">
        <v>18</v>
      </c>
      <c r="B108">
        <v>0</v>
      </c>
      <c r="C108">
        <v>0</v>
      </c>
      <c r="D108">
        <v>0</v>
      </c>
    </row>
    <row r="109" spans="1:4" x14ac:dyDescent="0.25">
      <c r="A109">
        <v>19</v>
      </c>
      <c r="B109">
        <v>0</v>
      </c>
      <c r="C109">
        <v>0</v>
      </c>
      <c r="D109">
        <v>0</v>
      </c>
    </row>
    <row r="110" spans="1:4" x14ac:dyDescent="0.25">
      <c r="A110">
        <v>20</v>
      </c>
      <c r="B110">
        <v>0</v>
      </c>
      <c r="C110">
        <v>0</v>
      </c>
      <c r="D110">
        <v>0</v>
      </c>
    </row>
    <row r="111" spans="1:4" x14ac:dyDescent="0.25">
      <c r="A111">
        <v>21</v>
      </c>
      <c r="B111">
        <v>0</v>
      </c>
      <c r="C111">
        <v>0</v>
      </c>
      <c r="D111">
        <v>0</v>
      </c>
    </row>
    <row r="112" spans="1:4" x14ac:dyDescent="0.25">
      <c r="A112">
        <v>22</v>
      </c>
      <c r="B112">
        <v>0</v>
      </c>
      <c r="C112">
        <v>0</v>
      </c>
      <c r="D112">
        <v>0</v>
      </c>
    </row>
    <row r="113" spans="1:4" x14ac:dyDescent="0.25">
      <c r="A113">
        <v>23</v>
      </c>
      <c r="B113">
        <v>0</v>
      </c>
      <c r="C113">
        <v>0</v>
      </c>
      <c r="D113">
        <v>0</v>
      </c>
    </row>
    <row r="114" spans="1:4" x14ac:dyDescent="0.25">
      <c r="A114">
        <v>24</v>
      </c>
      <c r="B114">
        <v>0</v>
      </c>
      <c r="C114">
        <v>0</v>
      </c>
      <c r="D114">
        <v>0</v>
      </c>
    </row>
    <row r="117" spans="1:4" ht="17.25" x14ac:dyDescent="0.3">
      <c r="A117" s="1" t="s">
        <v>86</v>
      </c>
    </row>
    <row r="119" spans="1:4" x14ac:dyDescent="0.25">
      <c r="A119" s="2" t="s">
        <v>15</v>
      </c>
      <c r="B119" s="2" t="s">
        <v>80</v>
      </c>
      <c r="C119" s="2" t="s">
        <v>81</v>
      </c>
      <c r="D119" s="2" t="s">
        <v>82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2</v>
      </c>
      <c r="B121">
        <v>0</v>
      </c>
      <c r="C121">
        <v>0</v>
      </c>
      <c r="D121">
        <v>0</v>
      </c>
    </row>
    <row r="122" spans="1:4" x14ac:dyDescent="0.25">
      <c r="A122">
        <v>3</v>
      </c>
      <c r="B122">
        <v>0</v>
      </c>
      <c r="C122">
        <v>0</v>
      </c>
      <c r="D122">
        <v>0</v>
      </c>
    </row>
    <row r="123" spans="1:4" x14ac:dyDescent="0.25">
      <c r="A123">
        <v>4</v>
      </c>
      <c r="B123">
        <v>0</v>
      </c>
      <c r="C123">
        <v>0</v>
      </c>
      <c r="D123">
        <v>0</v>
      </c>
    </row>
    <row r="124" spans="1:4" x14ac:dyDescent="0.25">
      <c r="A124">
        <v>5</v>
      </c>
      <c r="B124">
        <v>0</v>
      </c>
      <c r="C124">
        <v>0</v>
      </c>
      <c r="D124">
        <v>0</v>
      </c>
    </row>
    <row r="125" spans="1:4" x14ac:dyDescent="0.25">
      <c r="A125">
        <v>6</v>
      </c>
      <c r="B125">
        <v>0</v>
      </c>
      <c r="C125">
        <v>0</v>
      </c>
      <c r="D125">
        <v>0</v>
      </c>
    </row>
    <row r="126" spans="1:4" x14ac:dyDescent="0.25">
      <c r="A126">
        <v>7</v>
      </c>
      <c r="B126">
        <v>0</v>
      </c>
      <c r="C126">
        <v>0</v>
      </c>
      <c r="D126">
        <v>0</v>
      </c>
    </row>
    <row r="127" spans="1:4" x14ac:dyDescent="0.25">
      <c r="A127">
        <v>8</v>
      </c>
      <c r="B127">
        <v>0</v>
      </c>
      <c r="C127">
        <v>0</v>
      </c>
      <c r="D127">
        <v>0</v>
      </c>
    </row>
    <row r="128" spans="1:4" x14ac:dyDescent="0.25">
      <c r="A128">
        <v>9</v>
      </c>
      <c r="B128">
        <v>0</v>
      </c>
      <c r="C128">
        <v>0</v>
      </c>
      <c r="D128">
        <v>0</v>
      </c>
    </row>
    <row r="129" spans="1:4" x14ac:dyDescent="0.25">
      <c r="A129">
        <v>10</v>
      </c>
      <c r="B129">
        <v>0</v>
      </c>
      <c r="C129">
        <v>0</v>
      </c>
      <c r="D129">
        <v>0</v>
      </c>
    </row>
    <row r="130" spans="1:4" x14ac:dyDescent="0.25">
      <c r="A130">
        <v>11</v>
      </c>
      <c r="B130">
        <v>0</v>
      </c>
      <c r="C130">
        <v>0</v>
      </c>
      <c r="D130">
        <v>0</v>
      </c>
    </row>
    <row r="131" spans="1:4" x14ac:dyDescent="0.25">
      <c r="A131">
        <v>12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14</v>
      </c>
      <c r="B133">
        <v>0</v>
      </c>
      <c r="C133">
        <v>0</v>
      </c>
      <c r="D133">
        <v>0</v>
      </c>
    </row>
    <row r="134" spans="1:4" x14ac:dyDescent="0.25">
      <c r="A134">
        <v>15</v>
      </c>
      <c r="B134">
        <v>0</v>
      </c>
      <c r="C134">
        <v>0</v>
      </c>
      <c r="D134">
        <v>0</v>
      </c>
    </row>
    <row r="135" spans="1:4" x14ac:dyDescent="0.25">
      <c r="A135">
        <v>16</v>
      </c>
      <c r="B135">
        <v>0</v>
      </c>
      <c r="C135">
        <v>0</v>
      </c>
      <c r="D135">
        <v>0</v>
      </c>
    </row>
    <row r="136" spans="1:4" x14ac:dyDescent="0.25">
      <c r="A136">
        <v>17</v>
      </c>
      <c r="B136">
        <v>0</v>
      </c>
      <c r="C136">
        <v>0</v>
      </c>
      <c r="D136">
        <v>0</v>
      </c>
    </row>
    <row r="137" spans="1:4" x14ac:dyDescent="0.25">
      <c r="A137">
        <v>18</v>
      </c>
      <c r="B137">
        <v>0</v>
      </c>
      <c r="C137">
        <v>0</v>
      </c>
      <c r="D137">
        <v>0</v>
      </c>
    </row>
    <row r="138" spans="1:4" x14ac:dyDescent="0.25">
      <c r="A138">
        <v>19</v>
      </c>
      <c r="B138">
        <v>0</v>
      </c>
      <c r="C138">
        <v>0</v>
      </c>
      <c r="D138">
        <v>0</v>
      </c>
    </row>
    <row r="139" spans="1:4" x14ac:dyDescent="0.25">
      <c r="A139">
        <v>20</v>
      </c>
      <c r="B139">
        <v>0</v>
      </c>
      <c r="C139">
        <v>0</v>
      </c>
      <c r="D139">
        <v>0</v>
      </c>
    </row>
    <row r="140" spans="1:4" x14ac:dyDescent="0.25">
      <c r="A140">
        <v>21</v>
      </c>
      <c r="B140">
        <v>0</v>
      </c>
      <c r="C140">
        <v>0</v>
      </c>
      <c r="D140">
        <v>0</v>
      </c>
    </row>
    <row r="141" spans="1:4" x14ac:dyDescent="0.25">
      <c r="A141">
        <v>22</v>
      </c>
      <c r="B141">
        <v>0</v>
      </c>
      <c r="C141">
        <v>0</v>
      </c>
      <c r="D141">
        <v>0</v>
      </c>
    </row>
    <row r="142" spans="1:4" x14ac:dyDescent="0.25">
      <c r="A142">
        <v>23</v>
      </c>
      <c r="B142">
        <v>0</v>
      </c>
      <c r="C142">
        <v>0</v>
      </c>
      <c r="D142">
        <v>0</v>
      </c>
    </row>
    <row r="143" spans="1:4" x14ac:dyDescent="0.25">
      <c r="A143">
        <v>24</v>
      </c>
      <c r="B143">
        <v>0</v>
      </c>
      <c r="C143">
        <v>0</v>
      </c>
      <c r="D143">
        <v>0</v>
      </c>
    </row>
    <row r="146" spans="1:4" ht="17.25" x14ac:dyDescent="0.3">
      <c r="A146" s="1" t="s">
        <v>87</v>
      </c>
    </row>
    <row r="148" spans="1:4" x14ac:dyDescent="0.25">
      <c r="A148" s="2" t="s">
        <v>15</v>
      </c>
      <c r="B148" s="2" t="s">
        <v>80</v>
      </c>
      <c r="C148" s="2" t="s">
        <v>81</v>
      </c>
      <c r="D148" s="2" t="s">
        <v>82</v>
      </c>
    </row>
    <row r="149" spans="1:4" x14ac:dyDescent="0.25">
      <c r="A149">
        <v>1</v>
      </c>
      <c r="B149">
        <v>0</v>
      </c>
      <c r="C149">
        <v>0</v>
      </c>
      <c r="D149">
        <v>0</v>
      </c>
    </row>
    <row r="150" spans="1:4" x14ac:dyDescent="0.25">
      <c r="A150">
        <v>2</v>
      </c>
      <c r="B150">
        <v>0</v>
      </c>
      <c r="C150">
        <v>0</v>
      </c>
      <c r="D150">
        <v>0</v>
      </c>
    </row>
    <row r="151" spans="1:4" x14ac:dyDescent="0.25">
      <c r="A151">
        <v>3</v>
      </c>
      <c r="B151">
        <v>0</v>
      </c>
      <c r="C151">
        <v>0</v>
      </c>
      <c r="D151">
        <v>0</v>
      </c>
    </row>
    <row r="152" spans="1:4" x14ac:dyDescent="0.25">
      <c r="A152">
        <v>4</v>
      </c>
      <c r="B152">
        <v>0</v>
      </c>
      <c r="C152">
        <v>0</v>
      </c>
      <c r="D152">
        <v>0</v>
      </c>
    </row>
    <row r="153" spans="1:4" x14ac:dyDescent="0.25">
      <c r="A153">
        <v>5</v>
      </c>
      <c r="B153">
        <v>0</v>
      </c>
      <c r="C153">
        <v>0</v>
      </c>
      <c r="D153">
        <v>0</v>
      </c>
    </row>
    <row r="154" spans="1:4" x14ac:dyDescent="0.25">
      <c r="A154">
        <v>6</v>
      </c>
      <c r="B154">
        <v>0</v>
      </c>
      <c r="C154">
        <v>0</v>
      </c>
      <c r="D154">
        <v>0</v>
      </c>
    </row>
    <row r="155" spans="1:4" x14ac:dyDescent="0.25">
      <c r="A155">
        <v>7</v>
      </c>
      <c r="B155">
        <v>0</v>
      </c>
      <c r="C155">
        <v>0</v>
      </c>
      <c r="D155">
        <v>0</v>
      </c>
    </row>
    <row r="156" spans="1:4" x14ac:dyDescent="0.25">
      <c r="A156">
        <v>8</v>
      </c>
      <c r="B156">
        <v>0</v>
      </c>
      <c r="C156">
        <v>0</v>
      </c>
      <c r="D156">
        <v>0</v>
      </c>
    </row>
    <row r="157" spans="1:4" x14ac:dyDescent="0.25">
      <c r="A157">
        <v>9</v>
      </c>
      <c r="B157">
        <v>0</v>
      </c>
      <c r="C157">
        <v>0</v>
      </c>
      <c r="D157">
        <v>0</v>
      </c>
    </row>
    <row r="158" spans="1:4" x14ac:dyDescent="0.25">
      <c r="A158">
        <v>10</v>
      </c>
      <c r="B158">
        <v>0</v>
      </c>
      <c r="C158">
        <v>0</v>
      </c>
      <c r="D158">
        <v>0</v>
      </c>
    </row>
    <row r="159" spans="1:4" x14ac:dyDescent="0.25">
      <c r="A159">
        <v>11</v>
      </c>
      <c r="B159">
        <v>0</v>
      </c>
      <c r="C159">
        <v>0</v>
      </c>
      <c r="D159">
        <v>0</v>
      </c>
    </row>
    <row r="160" spans="1:4" x14ac:dyDescent="0.25">
      <c r="A160">
        <v>12</v>
      </c>
      <c r="B160">
        <v>0</v>
      </c>
      <c r="C160">
        <v>0</v>
      </c>
      <c r="D160">
        <v>0</v>
      </c>
    </row>
    <row r="161" spans="1:4" x14ac:dyDescent="0.25">
      <c r="A161">
        <v>13</v>
      </c>
      <c r="B161">
        <v>0</v>
      </c>
      <c r="C161">
        <v>0</v>
      </c>
      <c r="D161">
        <v>0</v>
      </c>
    </row>
    <row r="162" spans="1:4" x14ac:dyDescent="0.25">
      <c r="A162">
        <v>14</v>
      </c>
      <c r="B162">
        <v>0</v>
      </c>
      <c r="C162">
        <v>0</v>
      </c>
      <c r="D162">
        <v>0</v>
      </c>
    </row>
    <row r="163" spans="1:4" x14ac:dyDescent="0.25">
      <c r="A163">
        <v>15</v>
      </c>
      <c r="B163">
        <v>0</v>
      </c>
      <c r="C163">
        <v>0</v>
      </c>
      <c r="D163">
        <v>0</v>
      </c>
    </row>
    <row r="164" spans="1:4" x14ac:dyDescent="0.25">
      <c r="A164">
        <v>16</v>
      </c>
      <c r="B164">
        <v>0</v>
      </c>
      <c r="C164">
        <v>0</v>
      </c>
      <c r="D164">
        <v>0</v>
      </c>
    </row>
    <row r="165" spans="1:4" x14ac:dyDescent="0.25">
      <c r="A165">
        <v>17</v>
      </c>
      <c r="B165">
        <v>0</v>
      </c>
      <c r="C165">
        <v>0</v>
      </c>
      <c r="D165">
        <v>0</v>
      </c>
    </row>
    <row r="166" spans="1:4" x14ac:dyDescent="0.25">
      <c r="A166">
        <v>18</v>
      </c>
      <c r="B166">
        <v>0</v>
      </c>
      <c r="C166">
        <v>0</v>
      </c>
      <c r="D166">
        <v>0</v>
      </c>
    </row>
    <row r="167" spans="1:4" x14ac:dyDescent="0.25">
      <c r="A167">
        <v>19</v>
      </c>
      <c r="B167">
        <v>0</v>
      </c>
      <c r="C167">
        <v>0</v>
      </c>
      <c r="D167">
        <v>0</v>
      </c>
    </row>
    <row r="168" spans="1:4" x14ac:dyDescent="0.25">
      <c r="A168">
        <v>20</v>
      </c>
      <c r="B168">
        <v>0</v>
      </c>
      <c r="C168">
        <v>0</v>
      </c>
      <c r="D168">
        <v>0</v>
      </c>
    </row>
    <row r="169" spans="1:4" x14ac:dyDescent="0.25">
      <c r="A169">
        <v>21</v>
      </c>
      <c r="B169">
        <v>0</v>
      </c>
      <c r="C169">
        <v>0</v>
      </c>
      <c r="D169">
        <v>0</v>
      </c>
    </row>
    <row r="170" spans="1:4" x14ac:dyDescent="0.25">
      <c r="A170">
        <v>22</v>
      </c>
      <c r="B170">
        <v>0</v>
      </c>
      <c r="C170">
        <v>0</v>
      </c>
      <c r="D170">
        <v>0</v>
      </c>
    </row>
    <row r="171" spans="1:4" x14ac:dyDescent="0.25">
      <c r="A171">
        <v>23</v>
      </c>
      <c r="B171">
        <v>0</v>
      </c>
      <c r="C171">
        <v>0</v>
      </c>
      <c r="D171">
        <v>0</v>
      </c>
    </row>
    <row r="172" spans="1:4" x14ac:dyDescent="0.25">
      <c r="A172">
        <v>24</v>
      </c>
      <c r="B172">
        <v>0</v>
      </c>
      <c r="C172">
        <v>0</v>
      </c>
      <c r="D172">
        <v>0</v>
      </c>
    </row>
    <row r="175" spans="1:4" ht="17.25" x14ac:dyDescent="0.3">
      <c r="A175" s="1" t="s">
        <v>88</v>
      </c>
      <c r="B175" s="3"/>
    </row>
    <row r="177" spans="1:4" x14ac:dyDescent="0.25">
      <c r="A177" s="2" t="s">
        <v>15</v>
      </c>
      <c r="B177" s="2" t="s">
        <v>80</v>
      </c>
      <c r="C177" s="2" t="s">
        <v>81</v>
      </c>
      <c r="D177" s="2" t="s">
        <v>82</v>
      </c>
    </row>
    <row r="178" spans="1:4" x14ac:dyDescent="0.25">
      <c r="A178">
        <v>1</v>
      </c>
      <c r="B178">
        <v>0</v>
      </c>
      <c r="C178">
        <v>0</v>
      </c>
      <c r="D178">
        <v>0.27</v>
      </c>
    </row>
    <row r="179" spans="1:4" x14ac:dyDescent="0.25">
      <c r="A179">
        <v>2</v>
      </c>
      <c r="B179">
        <v>0</v>
      </c>
      <c r="C179">
        <v>0</v>
      </c>
      <c r="D179">
        <v>0.27</v>
      </c>
    </row>
    <row r="180" spans="1:4" x14ac:dyDescent="0.25">
      <c r="A180">
        <v>3</v>
      </c>
      <c r="B180">
        <v>0</v>
      </c>
      <c r="C180">
        <v>0</v>
      </c>
      <c r="D180">
        <v>0.27</v>
      </c>
    </row>
    <row r="181" spans="1:4" x14ac:dyDescent="0.25">
      <c r="A181">
        <v>4</v>
      </c>
      <c r="B181">
        <v>0.21</v>
      </c>
      <c r="C181">
        <v>0</v>
      </c>
      <c r="D181">
        <v>0.47</v>
      </c>
    </row>
    <row r="182" spans="1:4" x14ac:dyDescent="0.25">
      <c r="A182">
        <v>5</v>
      </c>
      <c r="B182">
        <v>0.48</v>
      </c>
      <c r="C182">
        <v>0</v>
      </c>
      <c r="D182">
        <v>0.91</v>
      </c>
    </row>
    <row r="183" spans="1:4" x14ac:dyDescent="0.25">
      <c r="A183">
        <v>6</v>
      </c>
      <c r="B183">
        <v>0</v>
      </c>
      <c r="C183">
        <v>0</v>
      </c>
      <c r="D183">
        <v>0.91</v>
      </c>
    </row>
    <row r="184" spans="1:4" x14ac:dyDescent="0.25">
      <c r="A184">
        <v>7</v>
      </c>
      <c r="B184">
        <v>0</v>
      </c>
      <c r="C184">
        <v>0</v>
      </c>
      <c r="D184">
        <v>0.91</v>
      </c>
    </row>
    <row r="185" spans="1:4" x14ac:dyDescent="0.25">
      <c r="A185">
        <v>8</v>
      </c>
      <c r="B185">
        <v>0</v>
      </c>
      <c r="C185">
        <v>0</v>
      </c>
      <c r="D185">
        <v>0.91</v>
      </c>
    </row>
    <row r="186" spans="1:4" x14ac:dyDescent="0.25">
      <c r="A186">
        <v>9</v>
      </c>
      <c r="B186">
        <v>0</v>
      </c>
      <c r="C186">
        <v>0</v>
      </c>
      <c r="D186">
        <v>0.91</v>
      </c>
    </row>
    <row r="187" spans="1:4" x14ac:dyDescent="0.25">
      <c r="A187">
        <v>10</v>
      </c>
      <c r="B187">
        <v>0</v>
      </c>
      <c r="C187">
        <v>0</v>
      </c>
      <c r="D187">
        <v>0.91</v>
      </c>
    </row>
    <row r="188" spans="1:4" x14ac:dyDescent="0.25">
      <c r="A188">
        <v>11</v>
      </c>
      <c r="B188">
        <v>0</v>
      </c>
      <c r="C188">
        <v>0</v>
      </c>
      <c r="D188">
        <v>0.91</v>
      </c>
    </row>
    <row r="189" spans="1:4" x14ac:dyDescent="0.25">
      <c r="A189">
        <v>12</v>
      </c>
      <c r="B189">
        <v>0</v>
      </c>
      <c r="C189">
        <v>0</v>
      </c>
      <c r="D189">
        <v>0.91</v>
      </c>
    </row>
    <row r="190" spans="1:4" x14ac:dyDescent="0.25">
      <c r="A190">
        <v>13</v>
      </c>
      <c r="B190">
        <v>0</v>
      </c>
      <c r="C190">
        <v>0</v>
      </c>
      <c r="D190">
        <v>0.91</v>
      </c>
    </row>
    <row r="191" spans="1:4" x14ac:dyDescent="0.25">
      <c r="A191">
        <v>14</v>
      </c>
      <c r="B191">
        <v>0</v>
      </c>
      <c r="C191">
        <v>0</v>
      </c>
      <c r="D191">
        <v>0.91</v>
      </c>
    </row>
    <row r="192" spans="1:4" x14ac:dyDescent="0.25">
      <c r="A192">
        <v>15</v>
      </c>
      <c r="B192">
        <v>0</v>
      </c>
      <c r="C192">
        <v>0</v>
      </c>
      <c r="D192">
        <v>0.91</v>
      </c>
    </row>
    <row r="193" spans="1:4" x14ac:dyDescent="0.25">
      <c r="A193">
        <v>16</v>
      </c>
      <c r="B193">
        <v>0</v>
      </c>
      <c r="C193">
        <v>0</v>
      </c>
      <c r="D193">
        <v>0.91</v>
      </c>
    </row>
    <row r="194" spans="1:4" x14ac:dyDescent="0.25">
      <c r="A194">
        <v>17</v>
      </c>
      <c r="B194">
        <v>0</v>
      </c>
      <c r="C194">
        <v>0</v>
      </c>
      <c r="D194">
        <v>0.91</v>
      </c>
    </row>
    <row r="195" spans="1:4" x14ac:dyDescent="0.25">
      <c r="A195">
        <v>18</v>
      </c>
      <c r="B195">
        <v>0</v>
      </c>
      <c r="C195">
        <v>0</v>
      </c>
      <c r="D195">
        <v>0.91</v>
      </c>
    </row>
    <row r="196" spans="1:4" x14ac:dyDescent="0.25">
      <c r="A196">
        <v>19</v>
      </c>
      <c r="B196">
        <v>0</v>
      </c>
      <c r="C196">
        <v>0.23</v>
      </c>
      <c r="D196">
        <v>0.66</v>
      </c>
    </row>
    <row r="197" spans="1:4" x14ac:dyDescent="0.25">
      <c r="A197">
        <v>20</v>
      </c>
      <c r="B197">
        <v>0</v>
      </c>
      <c r="C197">
        <v>0.48</v>
      </c>
      <c r="D197">
        <v>0.14000000000000001</v>
      </c>
    </row>
    <row r="198" spans="1:4" x14ac:dyDescent="0.25">
      <c r="A198">
        <v>21</v>
      </c>
      <c r="B198">
        <v>0</v>
      </c>
      <c r="C198">
        <v>0.13</v>
      </c>
      <c r="D198">
        <v>0</v>
      </c>
    </row>
    <row r="199" spans="1:4" x14ac:dyDescent="0.25">
      <c r="A199">
        <v>22</v>
      </c>
      <c r="B199">
        <v>0</v>
      </c>
      <c r="C199">
        <v>0</v>
      </c>
      <c r="D199">
        <v>0</v>
      </c>
    </row>
    <row r="200" spans="1:4" x14ac:dyDescent="0.25">
      <c r="A200">
        <v>23</v>
      </c>
      <c r="B200">
        <v>0</v>
      </c>
      <c r="C200">
        <v>0</v>
      </c>
      <c r="D200">
        <v>0</v>
      </c>
    </row>
    <row r="201" spans="1:4" x14ac:dyDescent="0.25">
      <c r="A201">
        <v>24</v>
      </c>
      <c r="B201">
        <v>0.3</v>
      </c>
      <c r="C201">
        <v>0</v>
      </c>
      <c r="D201">
        <v>0.27</v>
      </c>
    </row>
    <row r="204" spans="1:4" ht="17.25" x14ac:dyDescent="0.3">
      <c r="A204" s="1" t="s">
        <v>89</v>
      </c>
    </row>
    <row r="206" spans="1:4" x14ac:dyDescent="0.25">
      <c r="A206" s="2" t="s">
        <v>15</v>
      </c>
      <c r="B206" s="2" t="s">
        <v>80</v>
      </c>
      <c r="C206" s="2" t="s">
        <v>81</v>
      </c>
      <c r="D206" s="2" t="s">
        <v>82</v>
      </c>
    </row>
    <row r="207" spans="1:4" x14ac:dyDescent="0.25">
      <c r="A207">
        <v>1</v>
      </c>
      <c r="B207">
        <v>0</v>
      </c>
      <c r="C207">
        <v>0</v>
      </c>
      <c r="D207">
        <v>0</v>
      </c>
    </row>
    <row r="208" spans="1:4" x14ac:dyDescent="0.25">
      <c r="A208">
        <v>2</v>
      </c>
      <c r="B208">
        <v>0</v>
      </c>
      <c r="C208">
        <v>0</v>
      </c>
      <c r="D208">
        <v>0</v>
      </c>
    </row>
    <row r="209" spans="1:4" x14ac:dyDescent="0.25">
      <c r="A209">
        <v>3</v>
      </c>
      <c r="B209">
        <v>0</v>
      </c>
      <c r="C209">
        <v>0</v>
      </c>
      <c r="D209">
        <v>0</v>
      </c>
    </row>
    <row r="210" spans="1:4" x14ac:dyDescent="0.25">
      <c r="A210">
        <v>4</v>
      </c>
      <c r="B210">
        <v>0</v>
      </c>
      <c r="C210">
        <v>0</v>
      </c>
      <c r="D210">
        <v>0</v>
      </c>
    </row>
    <row r="211" spans="1:4" x14ac:dyDescent="0.25">
      <c r="A211">
        <v>5</v>
      </c>
      <c r="B211">
        <v>0</v>
      </c>
      <c r="C211">
        <v>0</v>
      </c>
      <c r="D211">
        <v>0</v>
      </c>
    </row>
    <row r="212" spans="1:4" x14ac:dyDescent="0.25">
      <c r="A212">
        <v>6</v>
      </c>
      <c r="B212">
        <v>0</v>
      </c>
      <c r="C212">
        <v>0</v>
      </c>
      <c r="D212">
        <v>0</v>
      </c>
    </row>
    <row r="213" spans="1:4" x14ac:dyDescent="0.25">
      <c r="A213">
        <v>7</v>
      </c>
      <c r="B213">
        <v>0</v>
      </c>
      <c r="C213">
        <v>0</v>
      </c>
      <c r="D213">
        <v>0</v>
      </c>
    </row>
    <row r="214" spans="1:4" x14ac:dyDescent="0.25">
      <c r="A214">
        <v>8</v>
      </c>
      <c r="B214">
        <v>0</v>
      </c>
      <c r="C214">
        <v>0</v>
      </c>
      <c r="D214">
        <v>0</v>
      </c>
    </row>
    <row r="215" spans="1:4" x14ac:dyDescent="0.25">
      <c r="A215">
        <v>9</v>
      </c>
      <c r="B215">
        <v>0</v>
      </c>
      <c r="C215">
        <v>0</v>
      </c>
      <c r="D215">
        <v>0</v>
      </c>
    </row>
    <row r="216" spans="1:4" x14ac:dyDescent="0.25">
      <c r="A216">
        <v>10</v>
      </c>
      <c r="B216">
        <v>0</v>
      </c>
      <c r="C216">
        <v>0</v>
      </c>
      <c r="D216">
        <v>0</v>
      </c>
    </row>
    <row r="217" spans="1:4" x14ac:dyDescent="0.25">
      <c r="A217">
        <v>11</v>
      </c>
      <c r="B217">
        <v>0</v>
      </c>
      <c r="C217">
        <v>0</v>
      </c>
      <c r="D217">
        <v>0</v>
      </c>
    </row>
    <row r="218" spans="1:4" x14ac:dyDescent="0.25">
      <c r="A218">
        <v>12</v>
      </c>
      <c r="B218">
        <v>0</v>
      </c>
      <c r="C218">
        <v>0</v>
      </c>
      <c r="D218">
        <v>0</v>
      </c>
    </row>
    <row r="219" spans="1:4" x14ac:dyDescent="0.25">
      <c r="A219">
        <v>13</v>
      </c>
      <c r="B219">
        <v>0</v>
      </c>
      <c r="C219">
        <v>0</v>
      </c>
      <c r="D219">
        <v>0</v>
      </c>
    </row>
    <row r="220" spans="1:4" x14ac:dyDescent="0.25">
      <c r="A220">
        <v>14</v>
      </c>
      <c r="B220">
        <v>0</v>
      </c>
      <c r="C220">
        <v>0</v>
      </c>
      <c r="D220">
        <v>0</v>
      </c>
    </row>
    <row r="221" spans="1:4" x14ac:dyDescent="0.25">
      <c r="A221">
        <v>15</v>
      </c>
      <c r="B221">
        <v>0</v>
      </c>
      <c r="C221">
        <v>0</v>
      </c>
      <c r="D221">
        <v>0</v>
      </c>
    </row>
    <row r="222" spans="1:4" x14ac:dyDescent="0.25">
      <c r="A222">
        <v>16</v>
      </c>
      <c r="B222">
        <v>0</v>
      </c>
      <c r="C222">
        <v>0</v>
      </c>
      <c r="D222">
        <v>0</v>
      </c>
    </row>
    <row r="223" spans="1:4" x14ac:dyDescent="0.25">
      <c r="A223">
        <v>17</v>
      </c>
      <c r="B223">
        <v>0</v>
      </c>
      <c r="C223">
        <v>0</v>
      </c>
      <c r="D223">
        <v>0</v>
      </c>
    </row>
    <row r="224" spans="1:4" x14ac:dyDescent="0.25">
      <c r="A224">
        <v>18</v>
      </c>
      <c r="B224">
        <v>0</v>
      </c>
      <c r="C224">
        <v>0</v>
      </c>
      <c r="D224">
        <v>0</v>
      </c>
    </row>
    <row r="225" spans="1:4" x14ac:dyDescent="0.25">
      <c r="A225">
        <v>19</v>
      </c>
      <c r="B225">
        <v>0</v>
      </c>
      <c r="C225">
        <v>0</v>
      </c>
      <c r="D225">
        <v>0</v>
      </c>
    </row>
    <row r="226" spans="1:4" x14ac:dyDescent="0.25">
      <c r="A226">
        <v>20</v>
      </c>
      <c r="B226">
        <v>0</v>
      </c>
      <c r="C226">
        <v>0</v>
      </c>
      <c r="D226">
        <v>0</v>
      </c>
    </row>
    <row r="227" spans="1:4" x14ac:dyDescent="0.25">
      <c r="A227">
        <v>21</v>
      </c>
      <c r="B227">
        <v>0</v>
      </c>
      <c r="C227">
        <v>0</v>
      </c>
      <c r="D227">
        <v>0</v>
      </c>
    </row>
    <row r="228" spans="1:4" x14ac:dyDescent="0.25">
      <c r="A228">
        <v>22</v>
      </c>
      <c r="B228">
        <v>0</v>
      </c>
      <c r="C228">
        <v>0</v>
      </c>
      <c r="D228">
        <v>0</v>
      </c>
    </row>
    <row r="229" spans="1:4" x14ac:dyDescent="0.25">
      <c r="A229">
        <v>23</v>
      </c>
      <c r="B229">
        <v>0</v>
      </c>
      <c r="C229">
        <v>0</v>
      </c>
      <c r="D229">
        <v>0</v>
      </c>
    </row>
    <row r="230" spans="1:4" x14ac:dyDescent="0.25">
      <c r="A230">
        <v>24</v>
      </c>
      <c r="B230">
        <v>0</v>
      </c>
      <c r="C230">
        <v>0</v>
      </c>
      <c r="D230">
        <v>0</v>
      </c>
    </row>
    <row r="233" spans="1:4" ht="17.25" x14ac:dyDescent="0.3">
      <c r="A233" s="1" t="s">
        <v>90</v>
      </c>
      <c r="B233" s="3"/>
    </row>
    <row r="235" spans="1:4" x14ac:dyDescent="0.25">
      <c r="A235" s="2" t="s">
        <v>15</v>
      </c>
      <c r="B235" s="2" t="s">
        <v>80</v>
      </c>
      <c r="C235" s="2" t="s">
        <v>81</v>
      </c>
      <c r="D235" s="2" t="s">
        <v>82</v>
      </c>
    </row>
    <row r="236" spans="1:4" x14ac:dyDescent="0.25">
      <c r="A236">
        <v>1</v>
      </c>
      <c r="B236">
        <v>0</v>
      </c>
      <c r="C236">
        <v>0</v>
      </c>
      <c r="D236">
        <v>0.03</v>
      </c>
    </row>
    <row r="237" spans="1:4" x14ac:dyDescent="0.25">
      <c r="A237">
        <v>2</v>
      </c>
      <c r="B237">
        <v>0</v>
      </c>
      <c r="C237">
        <v>0</v>
      </c>
      <c r="D237">
        <v>0.03</v>
      </c>
    </row>
    <row r="238" spans="1:4" x14ac:dyDescent="0.25">
      <c r="A238">
        <v>3</v>
      </c>
      <c r="B238">
        <v>0</v>
      </c>
      <c r="C238">
        <v>0</v>
      </c>
      <c r="D238">
        <v>0.03</v>
      </c>
    </row>
    <row r="239" spans="1:4" x14ac:dyDescent="0.25">
      <c r="A239">
        <v>4</v>
      </c>
      <c r="B239">
        <v>0</v>
      </c>
      <c r="C239">
        <v>0</v>
      </c>
      <c r="D239">
        <v>0.03</v>
      </c>
    </row>
    <row r="240" spans="1:4" x14ac:dyDescent="0.25">
      <c r="A240">
        <v>5</v>
      </c>
      <c r="B240">
        <v>0.08</v>
      </c>
      <c r="C240">
        <v>0</v>
      </c>
      <c r="D240">
        <v>0.1</v>
      </c>
    </row>
    <row r="241" spans="1:4" x14ac:dyDescent="0.25">
      <c r="A241">
        <v>6</v>
      </c>
      <c r="B241">
        <v>0</v>
      </c>
      <c r="C241">
        <v>0</v>
      </c>
      <c r="D241">
        <v>0.1</v>
      </c>
    </row>
    <row r="242" spans="1:4" x14ac:dyDescent="0.25">
      <c r="A242">
        <v>7</v>
      </c>
      <c r="B242">
        <v>0</v>
      </c>
      <c r="C242">
        <v>0</v>
      </c>
      <c r="D242">
        <v>0.1</v>
      </c>
    </row>
    <row r="243" spans="1:4" x14ac:dyDescent="0.25">
      <c r="A243">
        <v>8</v>
      </c>
      <c r="B243">
        <v>0</v>
      </c>
      <c r="C243">
        <v>0</v>
      </c>
      <c r="D243">
        <v>0.1</v>
      </c>
    </row>
    <row r="244" spans="1:4" x14ac:dyDescent="0.25">
      <c r="A244">
        <v>9</v>
      </c>
      <c r="B244">
        <v>0</v>
      </c>
      <c r="C244">
        <v>0</v>
      </c>
      <c r="D244">
        <v>0.1</v>
      </c>
    </row>
    <row r="245" spans="1:4" x14ac:dyDescent="0.25">
      <c r="A245">
        <v>10</v>
      </c>
      <c r="B245">
        <v>0</v>
      </c>
      <c r="C245">
        <v>0</v>
      </c>
      <c r="D245">
        <v>0.1</v>
      </c>
    </row>
    <row r="246" spans="1:4" x14ac:dyDescent="0.25">
      <c r="A246">
        <v>11</v>
      </c>
      <c r="B246">
        <v>0</v>
      </c>
      <c r="C246">
        <v>0</v>
      </c>
      <c r="D246">
        <v>0.1</v>
      </c>
    </row>
    <row r="247" spans="1:4" x14ac:dyDescent="0.25">
      <c r="A247">
        <v>12</v>
      </c>
      <c r="B247">
        <v>0</v>
      </c>
      <c r="C247">
        <v>0</v>
      </c>
      <c r="D247">
        <v>0.1</v>
      </c>
    </row>
    <row r="248" spans="1:4" x14ac:dyDescent="0.25">
      <c r="A248">
        <v>13</v>
      </c>
      <c r="B248">
        <v>0</v>
      </c>
      <c r="C248">
        <v>0</v>
      </c>
      <c r="D248">
        <v>0.1</v>
      </c>
    </row>
    <row r="249" spans="1:4" x14ac:dyDescent="0.25">
      <c r="A249">
        <v>14</v>
      </c>
      <c r="B249">
        <v>0</v>
      </c>
      <c r="C249">
        <v>0</v>
      </c>
      <c r="D249">
        <v>0.1</v>
      </c>
    </row>
    <row r="250" spans="1:4" x14ac:dyDescent="0.25">
      <c r="A250">
        <v>15</v>
      </c>
      <c r="B250">
        <v>0</v>
      </c>
      <c r="C250">
        <v>0</v>
      </c>
      <c r="D250">
        <v>0.1</v>
      </c>
    </row>
    <row r="251" spans="1:4" x14ac:dyDescent="0.25">
      <c r="A251">
        <v>16</v>
      </c>
      <c r="B251">
        <v>0</v>
      </c>
      <c r="C251">
        <v>0</v>
      </c>
      <c r="D251">
        <v>0.1</v>
      </c>
    </row>
    <row r="252" spans="1:4" x14ac:dyDescent="0.25">
      <c r="A252">
        <v>17</v>
      </c>
      <c r="B252">
        <v>0</v>
      </c>
      <c r="C252">
        <v>0</v>
      </c>
      <c r="D252">
        <v>0.1</v>
      </c>
    </row>
    <row r="253" spans="1:4" x14ac:dyDescent="0.25">
      <c r="A253">
        <v>18</v>
      </c>
      <c r="B253">
        <v>0</v>
      </c>
      <c r="C253">
        <v>0</v>
      </c>
      <c r="D253">
        <v>0.1</v>
      </c>
    </row>
    <row r="254" spans="1:4" x14ac:dyDescent="0.25">
      <c r="A254">
        <v>19</v>
      </c>
      <c r="B254">
        <v>0</v>
      </c>
      <c r="C254">
        <v>0</v>
      </c>
      <c r="D254">
        <v>0.1</v>
      </c>
    </row>
    <row r="255" spans="1:4" x14ac:dyDescent="0.25">
      <c r="A255">
        <v>20</v>
      </c>
      <c r="B255">
        <v>0</v>
      </c>
      <c r="C255">
        <v>0.09</v>
      </c>
      <c r="D255">
        <v>0</v>
      </c>
    </row>
    <row r="256" spans="1:4" x14ac:dyDescent="0.25">
      <c r="A256">
        <v>21</v>
      </c>
      <c r="B256">
        <v>0</v>
      </c>
      <c r="C256">
        <v>0</v>
      </c>
      <c r="D256">
        <v>0</v>
      </c>
    </row>
    <row r="257" spans="1:4" x14ac:dyDescent="0.25">
      <c r="A257">
        <v>22</v>
      </c>
      <c r="B257">
        <v>0</v>
      </c>
      <c r="C257">
        <v>0</v>
      </c>
      <c r="D257">
        <v>0</v>
      </c>
    </row>
    <row r="258" spans="1:4" x14ac:dyDescent="0.25">
      <c r="A258">
        <v>23</v>
      </c>
      <c r="B258">
        <v>0</v>
      </c>
      <c r="C258">
        <v>0</v>
      </c>
      <c r="D258">
        <v>0</v>
      </c>
    </row>
    <row r="259" spans="1:4" x14ac:dyDescent="0.25">
      <c r="A259">
        <v>24</v>
      </c>
      <c r="B259">
        <v>0.03</v>
      </c>
      <c r="C259">
        <v>0</v>
      </c>
      <c r="D259">
        <v>0.03</v>
      </c>
    </row>
    <row r="262" spans="1:4" ht="17.25" x14ac:dyDescent="0.3">
      <c r="A262" s="1" t="s">
        <v>91</v>
      </c>
      <c r="B262" s="3"/>
    </row>
    <row r="264" spans="1:4" x14ac:dyDescent="0.25">
      <c r="A264" s="2" t="s">
        <v>15</v>
      </c>
      <c r="B264" s="2" t="s">
        <v>80</v>
      </c>
      <c r="C264" s="2" t="s">
        <v>81</v>
      </c>
      <c r="D264" s="2" t="s">
        <v>82</v>
      </c>
    </row>
    <row r="265" spans="1:4" x14ac:dyDescent="0.25">
      <c r="A265">
        <v>1</v>
      </c>
      <c r="B265">
        <v>0</v>
      </c>
      <c r="C265">
        <v>0</v>
      </c>
      <c r="D265">
        <v>0.28000000000000003</v>
      </c>
    </row>
    <row r="266" spans="1:4" x14ac:dyDescent="0.25">
      <c r="A266">
        <v>2</v>
      </c>
      <c r="B266">
        <v>0</v>
      </c>
      <c r="C266">
        <v>0</v>
      </c>
      <c r="D266">
        <v>0.28000000000000003</v>
      </c>
    </row>
    <row r="267" spans="1:4" x14ac:dyDescent="0.25">
      <c r="A267">
        <v>3</v>
      </c>
      <c r="B267">
        <v>0</v>
      </c>
      <c r="C267">
        <v>0</v>
      </c>
      <c r="D267">
        <v>0.28000000000000003</v>
      </c>
    </row>
    <row r="268" spans="1:4" x14ac:dyDescent="0.25">
      <c r="A268">
        <v>4</v>
      </c>
      <c r="B268">
        <v>0.25</v>
      </c>
      <c r="C268">
        <v>0</v>
      </c>
      <c r="D268">
        <v>0.51</v>
      </c>
    </row>
    <row r="269" spans="1:4" x14ac:dyDescent="0.25">
      <c r="A269">
        <v>5</v>
      </c>
      <c r="B269">
        <v>0.45</v>
      </c>
      <c r="C269">
        <v>0</v>
      </c>
      <c r="D269">
        <v>0.92</v>
      </c>
    </row>
    <row r="270" spans="1:4" x14ac:dyDescent="0.25">
      <c r="A270">
        <v>6</v>
      </c>
      <c r="B270">
        <v>0</v>
      </c>
      <c r="C270">
        <v>0</v>
      </c>
      <c r="D270">
        <v>0.92</v>
      </c>
    </row>
    <row r="271" spans="1:4" x14ac:dyDescent="0.25">
      <c r="A271">
        <v>7</v>
      </c>
      <c r="B271">
        <v>0</v>
      </c>
      <c r="C271">
        <v>0</v>
      </c>
      <c r="D271">
        <v>0.92</v>
      </c>
    </row>
    <row r="272" spans="1:4" x14ac:dyDescent="0.25">
      <c r="A272">
        <v>8</v>
      </c>
      <c r="B272">
        <v>0</v>
      </c>
      <c r="C272">
        <v>0</v>
      </c>
      <c r="D272">
        <v>0.92</v>
      </c>
    </row>
    <row r="273" spans="1:4" x14ac:dyDescent="0.25">
      <c r="A273">
        <v>9</v>
      </c>
      <c r="B273">
        <v>0</v>
      </c>
      <c r="C273">
        <v>0</v>
      </c>
      <c r="D273">
        <v>0.92</v>
      </c>
    </row>
    <row r="274" spans="1:4" x14ac:dyDescent="0.25">
      <c r="A274">
        <v>10</v>
      </c>
      <c r="B274">
        <v>0</v>
      </c>
      <c r="C274">
        <v>0</v>
      </c>
      <c r="D274">
        <v>0.92</v>
      </c>
    </row>
    <row r="275" spans="1:4" x14ac:dyDescent="0.25">
      <c r="A275">
        <v>11</v>
      </c>
      <c r="B275">
        <v>0</v>
      </c>
      <c r="C275">
        <v>0</v>
      </c>
      <c r="D275">
        <v>0.92</v>
      </c>
    </row>
    <row r="276" spans="1:4" x14ac:dyDescent="0.25">
      <c r="A276">
        <v>12</v>
      </c>
      <c r="B276">
        <v>0</v>
      </c>
      <c r="C276">
        <v>0</v>
      </c>
      <c r="D276">
        <v>0.92</v>
      </c>
    </row>
    <row r="277" spans="1:4" x14ac:dyDescent="0.25">
      <c r="A277">
        <v>13</v>
      </c>
      <c r="B277">
        <v>0</v>
      </c>
      <c r="C277">
        <v>0</v>
      </c>
      <c r="D277">
        <v>0.92</v>
      </c>
    </row>
    <row r="278" spans="1:4" x14ac:dyDescent="0.25">
      <c r="A278">
        <v>14</v>
      </c>
      <c r="B278">
        <v>0</v>
      </c>
      <c r="C278">
        <v>0</v>
      </c>
      <c r="D278">
        <v>0.92</v>
      </c>
    </row>
    <row r="279" spans="1:4" x14ac:dyDescent="0.25">
      <c r="A279">
        <v>15</v>
      </c>
      <c r="B279">
        <v>0</v>
      </c>
      <c r="C279">
        <v>0</v>
      </c>
      <c r="D279">
        <v>0.92</v>
      </c>
    </row>
    <row r="280" spans="1:4" x14ac:dyDescent="0.25">
      <c r="A280">
        <v>16</v>
      </c>
      <c r="B280">
        <v>0</v>
      </c>
      <c r="C280">
        <v>0</v>
      </c>
      <c r="D280">
        <v>0.92</v>
      </c>
    </row>
    <row r="281" spans="1:4" x14ac:dyDescent="0.25">
      <c r="A281">
        <v>17</v>
      </c>
      <c r="B281">
        <v>0</v>
      </c>
      <c r="C281">
        <v>0</v>
      </c>
      <c r="D281">
        <v>0.92</v>
      </c>
    </row>
    <row r="282" spans="1:4" x14ac:dyDescent="0.25">
      <c r="A282">
        <v>18</v>
      </c>
      <c r="B282">
        <v>0</v>
      </c>
      <c r="C282">
        <v>0</v>
      </c>
      <c r="D282">
        <v>0.92</v>
      </c>
    </row>
    <row r="283" spans="1:4" x14ac:dyDescent="0.25">
      <c r="A283">
        <v>19</v>
      </c>
      <c r="B283">
        <v>0</v>
      </c>
      <c r="C283">
        <v>0.26</v>
      </c>
      <c r="D283">
        <v>0.64</v>
      </c>
    </row>
    <row r="284" spans="1:4" x14ac:dyDescent="0.25">
      <c r="A284">
        <v>20</v>
      </c>
      <c r="B284">
        <v>0</v>
      </c>
      <c r="C284">
        <v>0.45</v>
      </c>
      <c r="D284">
        <v>0.15</v>
      </c>
    </row>
    <row r="285" spans="1:4" x14ac:dyDescent="0.25">
      <c r="A285">
        <v>21</v>
      </c>
      <c r="B285">
        <v>0</v>
      </c>
      <c r="C285">
        <v>0.14000000000000001</v>
      </c>
      <c r="D285">
        <v>0</v>
      </c>
    </row>
    <row r="286" spans="1:4" x14ac:dyDescent="0.25">
      <c r="A286">
        <v>22</v>
      </c>
      <c r="B286">
        <v>0</v>
      </c>
      <c r="C286">
        <v>0</v>
      </c>
      <c r="D286">
        <v>0</v>
      </c>
    </row>
    <row r="287" spans="1:4" x14ac:dyDescent="0.25">
      <c r="A287">
        <v>23</v>
      </c>
      <c r="B287">
        <v>0</v>
      </c>
      <c r="C287">
        <v>0</v>
      </c>
      <c r="D287">
        <v>0</v>
      </c>
    </row>
    <row r="288" spans="1:4" x14ac:dyDescent="0.25">
      <c r="A288">
        <v>24</v>
      </c>
      <c r="B288">
        <v>0.3</v>
      </c>
      <c r="C288">
        <v>0</v>
      </c>
      <c r="D288">
        <v>0.28000000000000003</v>
      </c>
    </row>
    <row r="291" spans="1:4" ht="17.25" x14ac:dyDescent="0.3">
      <c r="A291" s="1" t="s">
        <v>92</v>
      </c>
      <c r="B291" s="3"/>
    </row>
    <row r="293" spans="1:4" x14ac:dyDescent="0.25">
      <c r="A293" s="2" t="s">
        <v>15</v>
      </c>
      <c r="B293" s="2" t="s">
        <v>80</v>
      </c>
      <c r="C293" s="2" t="s">
        <v>81</v>
      </c>
      <c r="D293" s="2" t="s">
        <v>82</v>
      </c>
    </row>
    <row r="294" spans="1:4" x14ac:dyDescent="0.25">
      <c r="A294">
        <v>1</v>
      </c>
      <c r="B294">
        <v>0</v>
      </c>
      <c r="C294">
        <v>0</v>
      </c>
      <c r="D294">
        <v>0.34</v>
      </c>
    </row>
    <row r="295" spans="1:4" x14ac:dyDescent="0.25">
      <c r="A295">
        <v>2</v>
      </c>
      <c r="B295">
        <v>0</v>
      </c>
      <c r="C295">
        <v>0</v>
      </c>
      <c r="D295">
        <v>0.34</v>
      </c>
    </row>
    <row r="296" spans="1:4" x14ac:dyDescent="0.25">
      <c r="A296">
        <v>3</v>
      </c>
      <c r="B296">
        <v>0</v>
      </c>
      <c r="C296">
        <v>0</v>
      </c>
      <c r="D296">
        <v>0.34</v>
      </c>
    </row>
    <row r="297" spans="1:4" x14ac:dyDescent="0.25">
      <c r="A297">
        <v>4</v>
      </c>
      <c r="B297">
        <v>0.15</v>
      </c>
      <c r="C297">
        <v>0</v>
      </c>
      <c r="D297">
        <v>0.48</v>
      </c>
    </row>
    <row r="298" spans="1:4" x14ac:dyDescent="0.25">
      <c r="A298">
        <v>5</v>
      </c>
      <c r="B298">
        <v>0.7</v>
      </c>
      <c r="C298">
        <v>0</v>
      </c>
      <c r="D298">
        <v>1.1200000000000001</v>
      </c>
    </row>
    <row r="299" spans="1:4" x14ac:dyDescent="0.25">
      <c r="A299">
        <v>6</v>
      </c>
      <c r="B299">
        <v>0</v>
      </c>
      <c r="C299">
        <v>0</v>
      </c>
      <c r="D299">
        <v>1.1200000000000001</v>
      </c>
    </row>
    <row r="300" spans="1:4" x14ac:dyDescent="0.25">
      <c r="A300">
        <v>7</v>
      </c>
      <c r="B300">
        <v>0</v>
      </c>
      <c r="C300">
        <v>0</v>
      </c>
      <c r="D300">
        <v>1.1200000000000001</v>
      </c>
    </row>
    <row r="301" spans="1:4" x14ac:dyDescent="0.25">
      <c r="A301">
        <v>8</v>
      </c>
      <c r="B301">
        <v>0</v>
      </c>
      <c r="C301">
        <v>0</v>
      </c>
      <c r="D301">
        <v>1.1200000000000001</v>
      </c>
    </row>
    <row r="302" spans="1:4" x14ac:dyDescent="0.25">
      <c r="A302">
        <v>9</v>
      </c>
      <c r="B302">
        <v>0</v>
      </c>
      <c r="C302">
        <v>0</v>
      </c>
      <c r="D302">
        <v>1.1200000000000001</v>
      </c>
    </row>
    <row r="303" spans="1:4" x14ac:dyDescent="0.25">
      <c r="A303">
        <v>10</v>
      </c>
      <c r="B303">
        <v>0</v>
      </c>
      <c r="C303">
        <v>0</v>
      </c>
      <c r="D303">
        <v>1.1200000000000001</v>
      </c>
    </row>
    <row r="304" spans="1:4" x14ac:dyDescent="0.25">
      <c r="A304">
        <v>11</v>
      </c>
      <c r="B304">
        <v>0</v>
      </c>
      <c r="C304">
        <v>0</v>
      </c>
      <c r="D304">
        <v>1.1200000000000001</v>
      </c>
    </row>
    <row r="305" spans="1:4" x14ac:dyDescent="0.25">
      <c r="A305">
        <v>12</v>
      </c>
      <c r="B305">
        <v>0</v>
      </c>
      <c r="C305">
        <v>0</v>
      </c>
      <c r="D305">
        <v>1.1200000000000001</v>
      </c>
    </row>
    <row r="306" spans="1:4" x14ac:dyDescent="0.25">
      <c r="A306">
        <v>13</v>
      </c>
      <c r="B306">
        <v>0</v>
      </c>
      <c r="C306">
        <v>0</v>
      </c>
      <c r="D306">
        <v>1.1200000000000001</v>
      </c>
    </row>
    <row r="307" spans="1:4" x14ac:dyDescent="0.25">
      <c r="A307">
        <v>14</v>
      </c>
      <c r="B307">
        <v>0</v>
      </c>
      <c r="C307">
        <v>0</v>
      </c>
      <c r="D307">
        <v>1.1200000000000001</v>
      </c>
    </row>
    <row r="308" spans="1:4" x14ac:dyDescent="0.25">
      <c r="A308">
        <v>15</v>
      </c>
      <c r="B308">
        <v>0</v>
      </c>
      <c r="C308">
        <v>0</v>
      </c>
      <c r="D308">
        <v>1.1200000000000001</v>
      </c>
    </row>
    <row r="309" spans="1:4" x14ac:dyDescent="0.25">
      <c r="A309">
        <v>16</v>
      </c>
      <c r="B309">
        <v>0</v>
      </c>
      <c r="C309">
        <v>0</v>
      </c>
      <c r="D309">
        <v>1.1200000000000001</v>
      </c>
    </row>
    <row r="310" spans="1:4" x14ac:dyDescent="0.25">
      <c r="A310">
        <v>17</v>
      </c>
      <c r="B310">
        <v>0</v>
      </c>
      <c r="C310">
        <v>0</v>
      </c>
      <c r="D310">
        <v>1.1200000000000001</v>
      </c>
    </row>
    <row r="311" spans="1:4" x14ac:dyDescent="0.25">
      <c r="A311">
        <v>18</v>
      </c>
      <c r="B311">
        <v>0</v>
      </c>
      <c r="C311">
        <v>0</v>
      </c>
      <c r="D311">
        <v>1.1200000000000001</v>
      </c>
    </row>
    <row r="312" spans="1:4" x14ac:dyDescent="0.25">
      <c r="A312">
        <v>19</v>
      </c>
      <c r="B312">
        <v>0</v>
      </c>
      <c r="C312">
        <v>0.23</v>
      </c>
      <c r="D312">
        <v>0.87</v>
      </c>
    </row>
    <row r="313" spans="1:4" x14ac:dyDescent="0.25">
      <c r="A313">
        <v>20</v>
      </c>
      <c r="B313">
        <v>0</v>
      </c>
      <c r="C313">
        <v>0.7</v>
      </c>
      <c r="D313">
        <v>0.11</v>
      </c>
    </row>
    <row r="314" spans="1:4" x14ac:dyDescent="0.25">
      <c r="A314">
        <v>21</v>
      </c>
      <c r="B314">
        <v>0</v>
      </c>
      <c r="C314">
        <v>0.1</v>
      </c>
      <c r="D314">
        <v>0</v>
      </c>
    </row>
    <row r="315" spans="1:4" x14ac:dyDescent="0.25">
      <c r="A315">
        <v>22</v>
      </c>
      <c r="B315">
        <v>0</v>
      </c>
      <c r="C315">
        <v>0</v>
      </c>
      <c r="D315">
        <v>0</v>
      </c>
    </row>
    <row r="316" spans="1:4" x14ac:dyDescent="0.25">
      <c r="A316">
        <v>23</v>
      </c>
      <c r="B316">
        <v>0</v>
      </c>
      <c r="C316">
        <v>0</v>
      </c>
      <c r="D316">
        <v>0</v>
      </c>
    </row>
    <row r="317" spans="1:4" x14ac:dyDescent="0.25">
      <c r="A317">
        <v>24</v>
      </c>
      <c r="B317">
        <v>0.36</v>
      </c>
      <c r="C317">
        <v>0</v>
      </c>
      <c r="D317">
        <v>0.34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Despacho</vt:lpstr>
      <vt:lpstr>Flujos</vt:lpstr>
      <vt:lpstr>Perdidas</vt:lpstr>
      <vt:lpstr>Angulos</vt:lpstr>
      <vt:lpstr>Inversiones</vt:lpstr>
      <vt:lpstr>BESS_operacion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2026-08-10T20:01:40Z</dcterms:created>
  <dcterms:modified xsi:type="dcterms:W3CDTF">2026-08-11T02:37:00Z</dcterms:modified>
</cp:coreProperties>
</file>